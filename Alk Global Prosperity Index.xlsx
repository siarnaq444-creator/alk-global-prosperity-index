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01"/>
  <workbookPr defaultThemeVersion="166925"/>
  <mc:AlternateContent xmlns:mc="http://schemas.openxmlformats.org/markup-compatibility/2006">
    <mc:Choice Requires="x15">
      <x15ac:absPath xmlns:x15ac="http://schemas.microsoft.com/office/spreadsheetml/2010/11/ac" url="D:\Users\GAMA\Documents\"/>
    </mc:Choice>
  </mc:AlternateContent>
  <xr:revisionPtr revIDLastSave="0" documentId="13_ncr:1_{346BBDEE-7A3C-4C53-819B-A8C6B287551A}" xr6:coauthVersionLast="43" xr6:coauthVersionMax="43" xr10:uidLastSave="{00000000-0000-0000-0000-000000000000}"/>
  <bookViews>
    <workbookView xWindow="-120" yWindow="-120" windowWidth="29040" windowHeight="15840" xr2:uid="{7878C8B3-E463-4FC1-A49E-C5D800E18418}"/>
  </bookViews>
  <sheets>
    <sheet name="Alk Global Prosperity Index" sheetId="1" r:id="rId1"/>
    <sheet name="Inflation- last 5 years average" sheetId="7" r:id="rId2"/>
    <sheet name="GDP PC PPP Growth L5yrs average" sheetId="5" r:id="rId3"/>
    <sheet name="Basic Services Access Index" sheetId="11" r:id="rId4"/>
    <sheet name="Infrastructure Index" sheetId="12" r:id="rId5"/>
    <sheet name="Healthcare System" sheetId="13" r:id="rId6"/>
    <sheet name="Biomedical &amp; BW Index" sheetId="14" r:id="rId7"/>
    <sheet name="Education Index" sheetId="15" r:id="rId8"/>
    <sheet name="Average quality of higher edu." sheetId="16" r:id="rId9"/>
    <sheet name="Less Political CAH Index" sheetId="10" r:id="rId10"/>
    <sheet name="Less Legal Discrimination index" sheetId="9" r:id="rId11"/>
  </sheets>
  <definedNames>
    <definedName name="_xlnm._FilterDatabase" localSheetId="0" hidden="1">'Alk Global Prosperity Index'!$B$6:$BY$204</definedName>
    <definedName name="_xlnm._FilterDatabase" localSheetId="8" hidden="1">'Average quality of higher edu.'!$B$2:$L$2</definedName>
    <definedName name="_xlnm._FilterDatabase" localSheetId="3" hidden="1">'Basic Services Access Index'!$B$3:$L$3</definedName>
    <definedName name="_xlnm._FilterDatabase" localSheetId="6" hidden="1">'Biomedical &amp; BW Index'!$B$4:$AB$4</definedName>
    <definedName name="_xlnm._FilterDatabase" localSheetId="7" hidden="1">'Education Index'!$B$4:$O$4</definedName>
    <definedName name="_xlnm._FilterDatabase" localSheetId="2" hidden="1">'GDP PC PPP Growth L5yrs average'!$A$1:$BR$1</definedName>
    <definedName name="_xlnm._FilterDatabase" localSheetId="5" hidden="1">'Healthcare System'!$B$4:$T$4</definedName>
    <definedName name="_xlnm._FilterDatabase" localSheetId="1" hidden="1">'Inflation- last 5 years average'!$A$1:$AV$1</definedName>
    <definedName name="_xlnm._FilterDatabase" localSheetId="4" hidden="1">'Infrastructure Index'!$B$4:$AW$4</definedName>
    <definedName name="_xlnm._FilterDatabase" localSheetId="10" hidden="1">'Less Legal Discrimination index'!$B$3:$J$3</definedName>
    <definedName name="_xlnm._FilterDatabase" localSheetId="9" hidden="1">'Less Political CAH Index'!$A$2:$J$2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M43" i="1" l="1"/>
  <c r="L200" i="16"/>
  <c r="L199" i="16"/>
  <c r="L198" i="16"/>
  <c r="L197" i="16"/>
  <c r="L196" i="16"/>
  <c r="L195" i="16"/>
  <c r="L194" i="16"/>
  <c r="L193" i="16"/>
  <c r="L192" i="16"/>
  <c r="L191" i="16"/>
  <c r="L190" i="16"/>
  <c r="L189" i="16"/>
  <c r="L188" i="16"/>
  <c r="L187" i="16"/>
  <c r="L186" i="16"/>
  <c r="L185" i="16"/>
  <c r="L184" i="16"/>
  <c r="L183" i="16"/>
  <c r="L182" i="16"/>
  <c r="L181" i="16"/>
  <c r="L180" i="16"/>
  <c r="L179" i="16"/>
  <c r="L178" i="16"/>
  <c r="L177" i="16"/>
  <c r="L176" i="16"/>
  <c r="L175" i="16"/>
  <c r="L174" i="16"/>
  <c r="L172" i="16"/>
  <c r="L171" i="16"/>
  <c r="L170" i="16"/>
  <c r="L169" i="16"/>
  <c r="L168" i="16"/>
  <c r="L167" i="16"/>
  <c r="L166" i="16"/>
  <c r="L165" i="16"/>
  <c r="L164" i="16"/>
  <c r="L163" i="16"/>
  <c r="L162" i="16"/>
  <c r="L161" i="16"/>
  <c r="L160" i="16"/>
  <c r="L159" i="16"/>
  <c r="L158" i="16"/>
  <c r="L157" i="16"/>
  <c r="L156" i="16"/>
  <c r="L155" i="16"/>
  <c r="L154" i="16"/>
  <c r="L153" i="16"/>
  <c r="L152" i="16"/>
  <c r="L151" i="16"/>
  <c r="L150" i="16"/>
  <c r="L149" i="16"/>
  <c r="L148" i="16"/>
  <c r="L147" i="16"/>
  <c r="L146" i="16"/>
  <c r="L145" i="16"/>
  <c r="L144" i="16"/>
  <c r="L143" i="16"/>
  <c r="L142" i="16"/>
  <c r="L141" i="16"/>
  <c r="L140" i="16"/>
  <c r="L139" i="16"/>
  <c r="L138" i="16"/>
  <c r="L137" i="16"/>
  <c r="L136" i="16"/>
  <c r="L135" i="16"/>
  <c r="L134" i="16"/>
  <c r="L133" i="16"/>
  <c r="L132" i="16"/>
  <c r="L131" i="16"/>
  <c r="L130" i="16"/>
  <c r="L129" i="16"/>
  <c r="L128" i="16"/>
  <c r="L127" i="16"/>
  <c r="L126" i="16"/>
  <c r="L125" i="16"/>
  <c r="L124" i="16"/>
  <c r="L123" i="16"/>
  <c r="L122" i="16"/>
  <c r="L121" i="16"/>
  <c r="L120" i="16"/>
  <c r="L119" i="16"/>
  <c r="L118" i="16"/>
  <c r="L117" i="16"/>
  <c r="L116" i="16"/>
  <c r="L115" i="16"/>
  <c r="L114" i="16"/>
  <c r="L113" i="16"/>
  <c r="L112" i="16"/>
  <c r="L111" i="16"/>
  <c r="L110" i="16"/>
  <c r="L109" i="16"/>
  <c r="L108" i="16"/>
  <c r="L107" i="16"/>
  <c r="L106" i="16"/>
  <c r="L105" i="16"/>
  <c r="L104" i="16"/>
  <c r="L103" i="16"/>
  <c r="L102" i="16"/>
  <c r="L101" i="16"/>
  <c r="L100" i="16"/>
  <c r="L99" i="16"/>
  <c r="L98" i="16"/>
  <c r="L97" i="16"/>
  <c r="L96" i="16"/>
  <c r="L95" i="16"/>
  <c r="L94" i="16"/>
  <c r="L93" i="16"/>
  <c r="L92" i="16"/>
  <c r="L91" i="16"/>
  <c r="L90" i="16"/>
  <c r="L89" i="16"/>
  <c r="L88" i="16"/>
  <c r="L87" i="16"/>
  <c r="L86" i="16"/>
  <c r="L85" i="16"/>
  <c r="L84" i="16"/>
  <c r="L83" i="16"/>
  <c r="L82" i="16"/>
  <c r="L81" i="16"/>
  <c r="L80" i="16"/>
  <c r="L79" i="16"/>
  <c r="L78" i="16"/>
  <c r="L77" i="16"/>
  <c r="L76" i="16"/>
  <c r="L75" i="16"/>
  <c r="L74" i="16"/>
  <c r="L73" i="16"/>
  <c r="L72" i="16"/>
  <c r="L71" i="16"/>
  <c r="L70" i="16"/>
  <c r="L69" i="16"/>
  <c r="L68" i="16"/>
  <c r="L67" i="16"/>
  <c r="L66" i="16"/>
  <c r="L65" i="16"/>
  <c r="L64" i="16"/>
  <c r="L63" i="16"/>
  <c r="L62" i="16"/>
  <c r="L61" i="16"/>
  <c r="L60" i="16"/>
  <c r="L59" i="16"/>
  <c r="L58" i="16"/>
  <c r="L57" i="16"/>
  <c r="L56" i="16"/>
  <c r="L55" i="16"/>
  <c r="L54" i="16"/>
  <c r="L53" i="16"/>
  <c r="L52" i="16"/>
  <c r="L51" i="16"/>
  <c r="L50" i="16"/>
  <c r="L49" i="16"/>
  <c r="L48" i="16"/>
  <c r="L47" i="16"/>
  <c r="L46" i="16"/>
  <c r="L45" i="16"/>
  <c r="L44" i="16"/>
  <c r="L43" i="16"/>
  <c r="L42" i="16"/>
  <c r="L41" i="16"/>
  <c r="L40" i="16"/>
  <c r="L39" i="16"/>
  <c r="L38" i="16"/>
  <c r="L37" i="16"/>
  <c r="L36" i="16"/>
  <c r="L35" i="16"/>
  <c r="L34" i="16"/>
  <c r="L33" i="16"/>
  <c r="L32" i="16"/>
  <c r="L31" i="16"/>
  <c r="L30" i="16"/>
  <c r="L29" i="16"/>
  <c r="L28" i="16"/>
  <c r="L27" i="16"/>
  <c r="L26" i="16"/>
  <c r="L25" i="16"/>
  <c r="L24" i="16"/>
  <c r="L23" i="16"/>
  <c r="L22" i="16"/>
  <c r="L21" i="16"/>
  <c r="L20" i="16"/>
  <c r="L19" i="16"/>
  <c r="L18" i="16"/>
  <c r="L17" i="16"/>
  <c r="L16" i="16"/>
  <c r="L15" i="16"/>
  <c r="L14" i="16"/>
  <c r="L13" i="16"/>
  <c r="L12" i="16"/>
  <c r="L11" i="16"/>
  <c r="L10" i="16"/>
  <c r="L9" i="16"/>
  <c r="L8" i="16"/>
  <c r="L7" i="16"/>
  <c r="L6" i="16"/>
  <c r="L5" i="16"/>
  <c r="L4" i="16"/>
  <c r="L3" i="16"/>
  <c r="Q207" i="15"/>
  <c r="O140" i="15"/>
  <c r="J140" i="15"/>
  <c r="G140" i="15"/>
  <c r="O166" i="15"/>
  <c r="J166" i="15"/>
  <c r="G166" i="15"/>
  <c r="E166" i="15" s="1"/>
  <c r="O194" i="15"/>
  <c r="J194" i="15"/>
  <c r="G194" i="15"/>
  <c r="O53" i="15"/>
  <c r="J53" i="15"/>
  <c r="G53" i="15"/>
  <c r="O119" i="15"/>
  <c r="J119" i="15"/>
  <c r="G119" i="15"/>
  <c r="O162" i="15"/>
  <c r="J162" i="15"/>
  <c r="G162" i="15"/>
  <c r="O86" i="15"/>
  <c r="J86" i="15"/>
  <c r="G86" i="15"/>
  <c r="O60" i="15"/>
  <c r="J60" i="15"/>
  <c r="G60" i="15"/>
  <c r="O28" i="15"/>
  <c r="J28" i="15"/>
  <c r="G28" i="15"/>
  <c r="E28" i="15" s="1"/>
  <c r="O9" i="15"/>
  <c r="J9" i="15"/>
  <c r="G9" i="15"/>
  <c r="E9" i="15" s="1"/>
  <c r="O49" i="15"/>
  <c r="J49" i="15"/>
  <c r="G49" i="15"/>
  <c r="O65" i="15"/>
  <c r="J65" i="15"/>
  <c r="G65" i="15"/>
  <c r="O160" i="15"/>
  <c r="J160" i="15"/>
  <c r="G160" i="15"/>
  <c r="O142" i="15"/>
  <c r="J142" i="15"/>
  <c r="G142" i="15"/>
  <c r="O110" i="15"/>
  <c r="J110" i="15"/>
  <c r="G110" i="15"/>
  <c r="O43" i="15"/>
  <c r="J43" i="15"/>
  <c r="G43" i="15"/>
  <c r="O118" i="15"/>
  <c r="J118" i="15"/>
  <c r="G118" i="15"/>
  <c r="E118" i="15" s="1"/>
  <c r="O82" i="15"/>
  <c r="J82" i="15"/>
  <c r="G82" i="15"/>
  <c r="E82" i="15" s="1"/>
  <c r="O89" i="15"/>
  <c r="J89" i="15"/>
  <c r="G89" i="15"/>
  <c r="E89" i="15" s="1"/>
  <c r="O150" i="15"/>
  <c r="J150" i="15"/>
  <c r="G150" i="15"/>
  <c r="O151" i="15"/>
  <c r="J151" i="15"/>
  <c r="G151" i="15"/>
  <c r="O78" i="15"/>
  <c r="J78" i="15"/>
  <c r="G78" i="15"/>
  <c r="O165" i="15"/>
  <c r="J165" i="15"/>
  <c r="G165" i="15"/>
  <c r="O132" i="15"/>
  <c r="J132" i="15"/>
  <c r="G132" i="15"/>
  <c r="O16" i="15"/>
  <c r="J16" i="15"/>
  <c r="G16" i="15"/>
  <c r="E16" i="15" s="1"/>
  <c r="O174" i="15"/>
  <c r="J174" i="15"/>
  <c r="G174" i="15"/>
  <c r="E174" i="15" s="1"/>
  <c r="O12" i="15"/>
  <c r="J12" i="15"/>
  <c r="G12" i="15"/>
  <c r="E12" i="15" s="1"/>
  <c r="O8" i="15"/>
  <c r="J8" i="15"/>
  <c r="G8" i="15"/>
  <c r="O145" i="15"/>
  <c r="J145" i="15"/>
  <c r="G145" i="15"/>
  <c r="O188" i="15"/>
  <c r="J188" i="15"/>
  <c r="G188" i="15"/>
  <c r="O96" i="15"/>
  <c r="J96" i="15"/>
  <c r="G96" i="15"/>
  <c r="O122" i="15"/>
  <c r="J122" i="15"/>
  <c r="G122" i="15"/>
  <c r="O70" i="15"/>
  <c r="J70" i="15"/>
  <c r="G70" i="15"/>
  <c r="O111" i="15"/>
  <c r="J111" i="15"/>
  <c r="G111" i="15"/>
  <c r="E111" i="15" s="1"/>
  <c r="O26" i="15"/>
  <c r="J26" i="15"/>
  <c r="G26" i="15"/>
  <c r="O200" i="15"/>
  <c r="J200" i="15"/>
  <c r="G200" i="15"/>
  <c r="O115" i="15"/>
  <c r="J115" i="15"/>
  <c r="G115" i="15"/>
  <c r="O198" i="15"/>
  <c r="J198" i="15"/>
  <c r="G198" i="15"/>
  <c r="O169" i="15"/>
  <c r="J169" i="15"/>
  <c r="G169" i="15"/>
  <c r="O35" i="15"/>
  <c r="J35" i="15"/>
  <c r="G35" i="15"/>
  <c r="O41" i="15"/>
  <c r="J41" i="15"/>
  <c r="G41" i="15"/>
  <c r="E41" i="15" s="1"/>
  <c r="O10" i="15"/>
  <c r="J10" i="15"/>
  <c r="G10" i="15"/>
  <c r="E10" i="15" s="1"/>
  <c r="O196" i="15"/>
  <c r="J196" i="15"/>
  <c r="G196" i="15"/>
  <c r="O50" i="15"/>
  <c r="J50" i="15"/>
  <c r="G50" i="15"/>
  <c r="O59" i="15"/>
  <c r="J59" i="15"/>
  <c r="G59" i="15"/>
  <c r="O177" i="15"/>
  <c r="J177" i="15"/>
  <c r="G177" i="15"/>
  <c r="O48" i="15"/>
  <c r="J48" i="15"/>
  <c r="G48" i="15"/>
  <c r="O152" i="15"/>
  <c r="J152" i="15"/>
  <c r="G152" i="15"/>
  <c r="O56" i="15"/>
  <c r="J56" i="15"/>
  <c r="G56" i="15"/>
  <c r="E56" i="15" s="1"/>
  <c r="O127" i="15"/>
  <c r="J127" i="15"/>
  <c r="G127" i="15"/>
  <c r="E127" i="15" s="1"/>
  <c r="O163" i="15"/>
  <c r="J163" i="15"/>
  <c r="G163" i="15"/>
  <c r="O51" i="15"/>
  <c r="J51" i="15"/>
  <c r="G51" i="15"/>
  <c r="O63" i="15"/>
  <c r="J63" i="15"/>
  <c r="G63" i="15"/>
  <c r="O77" i="15"/>
  <c r="J77" i="15"/>
  <c r="G77" i="15"/>
  <c r="O33" i="15"/>
  <c r="J33" i="15"/>
  <c r="G33" i="15"/>
  <c r="O34" i="15"/>
  <c r="J34" i="15"/>
  <c r="G34" i="15"/>
  <c r="O135" i="15"/>
  <c r="J135" i="15"/>
  <c r="G135" i="15"/>
  <c r="E135" i="15" s="1"/>
  <c r="O97" i="15"/>
  <c r="J97" i="15"/>
  <c r="G97" i="15"/>
  <c r="E97" i="15" s="1"/>
  <c r="O123" i="15"/>
  <c r="J123" i="15"/>
  <c r="G123" i="15"/>
  <c r="O168" i="15"/>
  <c r="J168" i="15"/>
  <c r="G168" i="15"/>
  <c r="O120" i="15"/>
  <c r="J120" i="15"/>
  <c r="G120" i="15"/>
  <c r="O102" i="15"/>
  <c r="J102" i="15"/>
  <c r="G102" i="15"/>
  <c r="O72" i="15"/>
  <c r="J72" i="15"/>
  <c r="G72" i="15"/>
  <c r="O192" i="15"/>
  <c r="J192" i="15"/>
  <c r="G192" i="15"/>
  <c r="O83" i="15"/>
  <c r="J83" i="15"/>
  <c r="G83" i="15"/>
  <c r="E83" i="15" s="1"/>
  <c r="O14" i="15"/>
  <c r="J14" i="15"/>
  <c r="G14" i="15"/>
  <c r="E14" i="15" s="1"/>
  <c r="O91" i="15"/>
  <c r="J91" i="15"/>
  <c r="G91" i="15"/>
  <c r="O180" i="15"/>
  <c r="J180" i="15"/>
  <c r="G180" i="15"/>
  <c r="O201" i="15"/>
  <c r="J201" i="15"/>
  <c r="G201" i="15"/>
  <c r="O141" i="15"/>
  <c r="J141" i="15"/>
  <c r="G141" i="15"/>
  <c r="O24" i="15"/>
  <c r="J24" i="15"/>
  <c r="G24" i="15"/>
  <c r="O11" i="15"/>
  <c r="J11" i="15"/>
  <c r="G11" i="15"/>
  <c r="O155" i="15"/>
  <c r="J155" i="15"/>
  <c r="G155" i="15"/>
  <c r="E155" i="15" s="1"/>
  <c r="O148" i="15"/>
  <c r="J148" i="15"/>
  <c r="G148" i="15"/>
  <c r="E148" i="15" s="1"/>
  <c r="O138" i="15"/>
  <c r="J138" i="15"/>
  <c r="G138" i="15"/>
  <c r="O144" i="15"/>
  <c r="J144" i="15"/>
  <c r="G144" i="15"/>
  <c r="O178" i="15"/>
  <c r="J178" i="15"/>
  <c r="G178" i="15"/>
  <c r="O130" i="15"/>
  <c r="J130" i="15"/>
  <c r="G130" i="15"/>
  <c r="O57" i="15"/>
  <c r="J57" i="15"/>
  <c r="G57" i="15"/>
  <c r="O84" i="15"/>
  <c r="J84" i="15"/>
  <c r="G84" i="15"/>
  <c r="O17" i="15"/>
  <c r="J17" i="15"/>
  <c r="G17" i="15"/>
  <c r="E17" i="15" s="1"/>
  <c r="O66" i="15"/>
  <c r="J66" i="15"/>
  <c r="G66" i="15"/>
  <c r="E66" i="15" s="1"/>
  <c r="O161" i="15"/>
  <c r="J161" i="15"/>
  <c r="G161" i="15"/>
  <c r="O95" i="15"/>
  <c r="J95" i="15"/>
  <c r="G95" i="15"/>
  <c r="O67" i="15"/>
  <c r="J67" i="15"/>
  <c r="G67" i="15"/>
  <c r="O195" i="15"/>
  <c r="J195" i="15"/>
  <c r="G195" i="15"/>
  <c r="O106" i="15"/>
  <c r="J106" i="15"/>
  <c r="G106" i="15"/>
  <c r="O32" i="15"/>
  <c r="J32" i="15"/>
  <c r="G32" i="15"/>
  <c r="O202" i="15"/>
  <c r="J202" i="15"/>
  <c r="G202" i="15"/>
  <c r="E202" i="15" s="1"/>
  <c r="O126" i="15"/>
  <c r="J126" i="15"/>
  <c r="G126" i="15"/>
  <c r="E126" i="15" s="1"/>
  <c r="O87" i="15"/>
  <c r="J87" i="15"/>
  <c r="G87" i="15"/>
  <c r="O182" i="15"/>
  <c r="J182" i="15"/>
  <c r="G182" i="15"/>
  <c r="O186" i="15"/>
  <c r="J186" i="15"/>
  <c r="G186" i="15"/>
  <c r="O7" i="15"/>
  <c r="J7" i="15"/>
  <c r="G7" i="15"/>
  <c r="O54" i="15"/>
  <c r="J54" i="15"/>
  <c r="G54" i="15"/>
  <c r="O38" i="15"/>
  <c r="J38" i="15"/>
  <c r="G38" i="15"/>
  <c r="O46" i="15"/>
  <c r="J46" i="15"/>
  <c r="G46" i="15"/>
  <c r="E46" i="15" s="1"/>
  <c r="O124" i="15"/>
  <c r="J124" i="15"/>
  <c r="G124" i="15"/>
  <c r="E124" i="15" s="1"/>
  <c r="O183" i="15"/>
  <c r="J183" i="15"/>
  <c r="G183" i="15"/>
  <c r="O149" i="15"/>
  <c r="J149" i="15"/>
  <c r="G149" i="15"/>
  <c r="O114" i="15"/>
  <c r="J114" i="15"/>
  <c r="G114" i="15"/>
  <c r="O40" i="15"/>
  <c r="J40" i="15"/>
  <c r="G40" i="15"/>
  <c r="O170" i="15"/>
  <c r="J170" i="15"/>
  <c r="G170" i="15"/>
  <c r="O94" i="15"/>
  <c r="J94" i="15"/>
  <c r="G94" i="15"/>
  <c r="O103" i="15"/>
  <c r="J103" i="15"/>
  <c r="G103" i="15"/>
  <c r="E103" i="15" s="1"/>
  <c r="O107" i="15"/>
  <c r="J107" i="15"/>
  <c r="G107" i="15"/>
  <c r="E107" i="15" s="1"/>
  <c r="O22" i="15"/>
  <c r="J22" i="15"/>
  <c r="G22" i="15"/>
  <c r="O80" i="15"/>
  <c r="J80" i="15"/>
  <c r="G80" i="15"/>
  <c r="O137" i="15"/>
  <c r="J137" i="15"/>
  <c r="G137" i="15"/>
  <c r="O117" i="15"/>
  <c r="J117" i="15"/>
  <c r="G117" i="15"/>
  <c r="O73" i="15"/>
  <c r="J73" i="15"/>
  <c r="G73" i="15"/>
  <c r="O69" i="15"/>
  <c r="J69" i="15"/>
  <c r="G69" i="15"/>
  <c r="O37" i="15"/>
  <c r="J37" i="15"/>
  <c r="G37" i="15"/>
  <c r="E37" i="15" s="1"/>
  <c r="O125" i="15"/>
  <c r="J125" i="15"/>
  <c r="G125" i="15"/>
  <c r="E125" i="15" s="1"/>
  <c r="O25" i="15"/>
  <c r="J25" i="15"/>
  <c r="G25" i="15"/>
  <c r="O36" i="15"/>
  <c r="J36" i="15"/>
  <c r="G36" i="15"/>
  <c r="O18" i="15"/>
  <c r="J18" i="15"/>
  <c r="G18" i="15"/>
  <c r="O153" i="15"/>
  <c r="J153" i="15"/>
  <c r="G153" i="15"/>
  <c r="O81" i="15"/>
  <c r="J81" i="15"/>
  <c r="G81" i="15"/>
  <c r="O121" i="15"/>
  <c r="J121" i="15"/>
  <c r="G121" i="15"/>
  <c r="O128" i="15"/>
  <c r="J128" i="15"/>
  <c r="G128" i="15"/>
  <c r="E128" i="15" s="1"/>
  <c r="O19" i="15"/>
  <c r="J19" i="15"/>
  <c r="G19" i="15"/>
  <c r="E19" i="15" s="1"/>
  <c r="O45" i="15"/>
  <c r="J45" i="15"/>
  <c r="G45" i="15"/>
  <c r="O15" i="15"/>
  <c r="J15" i="15"/>
  <c r="G15" i="15"/>
  <c r="O154" i="15"/>
  <c r="J154" i="15"/>
  <c r="G154" i="15"/>
  <c r="O173" i="15"/>
  <c r="J173" i="15"/>
  <c r="G173" i="15"/>
  <c r="O147" i="15"/>
  <c r="J147" i="15"/>
  <c r="G147" i="15"/>
  <c r="O179" i="15"/>
  <c r="J179" i="15"/>
  <c r="G179" i="15"/>
  <c r="O184" i="15"/>
  <c r="J184" i="15"/>
  <c r="G184" i="15"/>
  <c r="E184" i="15" s="1"/>
  <c r="O158" i="15"/>
  <c r="J158" i="15"/>
  <c r="G158" i="15"/>
  <c r="E158" i="15" s="1"/>
  <c r="O64" i="15"/>
  <c r="J64" i="15"/>
  <c r="G64" i="15"/>
  <c r="O23" i="15"/>
  <c r="J23" i="15"/>
  <c r="G23" i="15"/>
  <c r="O171" i="15"/>
  <c r="J171" i="15"/>
  <c r="G171" i="15"/>
  <c r="O31" i="15"/>
  <c r="J31" i="15"/>
  <c r="G31" i="15"/>
  <c r="O62" i="15"/>
  <c r="J62" i="15"/>
  <c r="G62" i="15"/>
  <c r="O190" i="15"/>
  <c r="J190" i="15"/>
  <c r="G190" i="15"/>
  <c r="O105" i="15"/>
  <c r="J105" i="15"/>
  <c r="G105" i="15"/>
  <c r="E105" i="15" s="1"/>
  <c r="O42" i="15"/>
  <c r="J42" i="15"/>
  <c r="G42" i="15"/>
  <c r="E42" i="15" s="1"/>
  <c r="O5" i="15"/>
  <c r="J5" i="15"/>
  <c r="G5" i="15"/>
  <c r="O112" i="15"/>
  <c r="J112" i="15"/>
  <c r="G112" i="15"/>
  <c r="O187" i="15"/>
  <c r="J187" i="15"/>
  <c r="G187" i="15"/>
  <c r="O99" i="15"/>
  <c r="J99" i="15"/>
  <c r="G99" i="15"/>
  <c r="O27" i="15"/>
  <c r="J27" i="15"/>
  <c r="G27" i="15"/>
  <c r="O185" i="15"/>
  <c r="J185" i="15"/>
  <c r="G185" i="15"/>
  <c r="O131" i="15"/>
  <c r="J131" i="15"/>
  <c r="G131" i="15"/>
  <c r="E131" i="15" s="1"/>
  <c r="O136" i="15"/>
  <c r="J136" i="15"/>
  <c r="G136" i="15"/>
  <c r="E136" i="15" s="1"/>
  <c r="O109" i="15"/>
  <c r="J109" i="15"/>
  <c r="G109" i="15"/>
  <c r="O85" i="15"/>
  <c r="J85" i="15"/>
  <c r="G85" i="15"/>
  <c r="O133" i="15"/>
  <c r="J133" i="15"/>
  <c r="G133" i="15"/>
  <c r="O113" i="15"/>
  <c r="J113" i="15"/>
  <c r="G113" i="15"/>
  <c r="O193" i="15"/>
  <c r="J193" i="15"/>
  <c r="G193" i="15"/>
  <c r="O13" i="15"/>
  <c r="J13" i="15"/>
  <c r="G13" i="15"/>
  <c r="O29" i="15"/>
  <c r="J29" i="15"/>
  <c r="G29" i="15"/>
  <c r="E29" i="15" s="1"/>
  <c r="O39" i="15"/>
  <c r="J39" i="15"/>
  <c r="G39" i="15"/>
  <c r="E39" i="15" s="1"/>
  <c r="O101" i="15"/>
  <c r="J101" i="15"/>
  <c r="G101" i="15"/>
  <c r="O44" i="15"/>
  <c r="J44" i="15"/>
  <c r="G44" i="15"/>
  <c r="O176" i="15"/>
  <c r="J176" i="15"/>
  <c r="G176" i="15"/>
  <c r="O75" i="15"/>
  <c r="J75" i="15"/>
  <c r="G75" i="15"/>
  <c r="O157" i="15"/>
  <c r="J157" i="15"/>
  <c r="G157" i="15"/>
  <c r="O181" i="15"/>
  <c r="J181" i="15"/>
  <c r="G181" i="15"/>
  <c r="O146" i="15"/>
  <c r="J146" i="15"/>
  <c r="G146" i="15"/>
  <c r="E146" i="15" s="1"/>
  <c r="O98" i="15"/>
  <c r="J98" i="15"/>
  <c r="G98" i="15"/>
  <c r="E98" i="15" s="1"/>
  <c r="O71" i="15"/>
  <c r="J71" i="15"/>
  <c r="G71" i="15"/>
  <c r="O52" i="15"/>
  <c r="J52" i="15"/>
  <c r="G52" i="15"/>
  <c r="O199" i="15"/>
  <c r="J199" i="15"/>
  <c r="G199" i="15"/>
  <c r="O197" i="15"/>
  <c r="J197" i="15"/>
  <c r="G197" i="15"/>
  <c r="O21" i="15"/>
  <c r="J21" i="15"/>
  <c r="G21" i="15"/>
  <c r="O164" i="15"/>
  <c r="J164" i="15"/>
  <c r="G164" i="15"/>
  <c r="O143" i="15"/>
  <c r="J143" i="15"/>
  <c r="G143" i="15"/>
  <c r="O156" i="15"/>
  <c r="J156" i="15"/>
  <c r="G156" i="15"/>
  <c r="E156" i="15" s="1"/>
  <c r="O167" i="15"/>
  <c r="J167" i="15"/>
  <c r="G167" i="15"/>
  <c r="O189" i="15"/>
  <c r="J189" i="15"/>
  <c r="G189" i="15"/>
  <c r="O68" i="15"/>
  <c r="J68" i="15"/>
  <c r="G68" i="15"/>
  <c r="O88" i="15"/>
  <c r="J88" i="15"/>
  <c r="G88" i="15"/>
  <c r="O92" i="15"/>
  <c r="J92" i="15"/>
  <c r="G92" i="15"/>
  <c r="O129" i="15"/>
  <c r="J129" i="15"/>
  <c r="G129" i="15"/>
  <c r="O93" i="15"/>
  <c r="J93" i="15"/>
  <c r="G93" i="15"/>
  <c r="E93" i="15" s="1"/>
  <c r="O104" i="15"/>
  <c r="J104" i="15"/>
  <c r="G104" i="15"/>
  <c r="E104" i="15" s="1"/>
  <c r="O134" i="15"/>
  <c r="J134" i="15"/>
  <c r="G134" i="15"/>
  <c r="O172" i="15"/>
  <c r="J172" i="15"/>
  <c r="G172" i="15"/>
  <c r="O139" i="15"/>
  <c r="J139" i="15"/>
  <c r="G139" i="15"/>
  <c r="O20" i="15"/>
  <c r="J20" i="15"/>
  <c r="G20" i="15"/>
  <c r="O47" i="15"/>
  <c r="J47" i="15"/>
  <c r="G47" i="15"/>
  <c r="O74" i="15"/>
  <c r="J74" i="15"/>
  <c r="G74" i="15"/>
  <c r="O159" i="15"/>
  <c r="J159" i="15"/>
  <c r="G159" i="15"/>
  <c r="E159" i="15" s="1"/>
  <c r="O58" i="15"/>
  <c r="J58" i="15"/>
  <c r="G58" i="15"/>
  <c r="E58" i="15" s="1"/>
  <c r="O100" i="15"/>
  <c r="J100" i="15"/>
  <c r="G100" i="15"/>
  <c r="O108" i="15"/>
  <c r="J108" i="15"/>
  <c r="G108" i="15"/>
  <c r="O30" i="15"/>
  <c r="J30" i="15"/>
  <c r="G30" i="15"/>
  <c r="O6" i="15"/>
  <c r="J6" i="15"/>
  <c r="G6" i="15"/>
  <c r="O76" i="15"/>
  <c r="J76" i="15"/>
  <c r="G76" i="15"/>
  <c r="O55" i="15"/>
  <c r="J55" i="15"/>
  <c r="G55" i="15"/>
  <c r="O90" i="15"/>
  <c r="J90" i="15"/>
  <c r="G90" i="15"/>
  <c r="E90" i="15" s="1"/>
  <c r="O175" i="15"/>
  <c r="J175" i="15"/>
  <c r="G175" i="15"/>
  <c r="E175" i="15" s="1"/>
  <c r="O61" i="15"/>
  <c r="J61" i="15"/>
  <c r="G61" i="15"/>
  <c r="O116" i="15"/>
  <c r="J116" i="15"/>
  <c r="G116" i="15"/>
  <c r="O79" i="15"/>
  <c r="J79" i="15"/>
  <c r="G79" i="15"/>
  <c r="O191" i="15"/>
  <c r="J191" i="15"/>
  <c r="G191" i="15"/>
  <c r="AB190" i="14"/>
  <c r="X190" i="14"/>
  <c r="U190" i="14"/>
  <c r="E190" i="14" s="1"/>
  <c r="AB181" i="14"/>
  <c r="X181" i="14"/>
  <c r="U181" i="14"/>
  <c r="E181" i="14"/>
  <c r="AB157" i="14"/>
  <c r="X157" i="14"/>
  <c r="U157" i="14"/>
  <c r="E157" i="14" s="1"/>
  <c r="AB50" i="14"/>
  <c r="X50" i="14"/>
  <c r="U50" i="14"/>
  <c r="E50" i="14" s="1"/>
  <c r="AB113" i="14"/>
  <c r="X113" i="14"/>
  <c r="U113" i="14"/>
  <c r="AB139" i="14"/>
  <c r="X139" i="14"/>
  <c r="U139" i="14"/>
  <c r="E139" i="14" s="1"/>
  <c r="AB51" i="14"/>
  <c r="X51" i="14"/>
  <c r="U51" i="14"/>
  <c r="E51" i="14" s="1"/>
  <c r="AB144" i="14"/>
  <c r="X144" i="14"/>
  <c r="U144" i="14"/>
  <c r="E144" i="14" s="1"/>
  <c r="AB169" i="14"/>
  <c r="X169" i="14"/>
  <c r="U169" i="14"/>
  <c r="E169" i="14" s="1"/>
  <c r="AB134" i="14"/>
  <c r="X134" i="14"/>
  <c r="U134" i="14"/>
  <c r="AB25" i="14"/>
  <c r="X25" i="14"/>
  <c r="U25" i="14"/>
  <c r="E25" i="14" s="1"/>
  <c r="AB178" i="14"/>
  <c r="X178" i="14"/>
  <c r="U178" i="14"/>
  <c r="E178" i="14" s="1"/>
  <c r="AB132" i="14"/>
  <c r="X132" i="14"/>
  <c r="U132" i="14"/>
  <c r="AB184" i="14"/>
  <c r="X184" i="14"/>
  <c r="U184" i="14"/>
  <c r="AB73" i="14"/>
  <c r="X73" i="14"/>
  <c r="U73" i="14"/>
  <c r="E73" i="14" s="1"/>
  <c r="AB125" i="14"/>
  <c r="X125" i="14"/>
  <c r="U125" i="14"/>
  <c r="E125" i="14"/>
  <c r="AB114" i="14"/>
  <c r="X114" i="14"/>
  <c r="U114" i="14"/>
  <c r="AB167" i="14"/>
  <c r="X167" i="14"/>
  <c r="U167" i="14"/>
  <c r="E167" i="14" s="1"/>
  <c r="AB119" i="14"/>
  <c r="X119" i="14"/>
  <c r="U119" i="14"/>
  <c r="AB180" i="14"/>
  <c r="X180" i="14"/>
  <c r="U180" i="14"/>
  <c r="AB28" i="14"/>
  <c r="X28" i="14"/>
  <c r="U28" i="14"/>
  <c r="AB102" i="14"/>
  <c r="X102" i="14"/>
  <c r="U102" i="14"/>
  <c r="E102" i="14"/>
  <c r="AB160" i="14"/>
  <c r="X160" i="14"/>
  <c r="U160" i="14"/>
  <c r="AB54" i="14"/>
  <c r="X54" i="14"/>
  <c r="U54" i="14"/>
  <c r="E54" i="14"/>
  <c r="AB27" i="14"/>
  <c r="X27" i="14"/>
  <c r="U27" i="14"/>
  <c r="AB128" i="14"/>
  <c r="X128" i="14"/>
  <c r="U128" i="14"/>
  <c r="AB79" i="14"/>
  <c r="X79" i="14"/>
  <c r="U79" i="14"/>
  <c r="E79" i="14" s="1"/>
  <c r="AB96" i="14"/>
  <c r="X96" i="14"/>
  <c r="U96" i="14"/>
  <c r="AB191" i="14"/>
  <c r="X191" i="14"/>
  <c r="U191" i="14"/>
  <c r="E191" i="14" s="1"/>
  <c r="AB137" i="14"/>
  <c r="X137" i="14"/>
  <c r="U137" i="14"/>
  <c r="AB89" i="14"/>
  <c r="X89" i="14"/>
  <c r="U89" i="14"/>
  <c r="AB115" i="14"/>
  <c r="X115" i="14"/>
  <c r="U115" i="14"/>
  <c r="E115" i="14"/>
  <c r="AB67" i="14"/>
  <c r="X67" i="14"/>
  <c r="U67" i="14"/>
  <c r="AB46" i="14"/>
  <c r="X46" i="14"/>
  <c r="U46" i="14"/>
  <c r="E46" i="14"/>
  <c r="AB83" i="14"/>
  <c r="X83" i="14"/>
  <c r="U83" i="14"/>
  <c r="AB170" i="14"/>
  <c r="X170" i="14"/>
  <c r="U170" i="14"/>
  <c r="AB201" i="14"/>
  <c r="X201" i="14"/>
  <c r="U201" i="14"/>
  <c r="AB131" i="14"/>
  <c r="X131" i="14"/>
  <c r="U131" i="14"/>
  <c r="E131" i="14" s="1"/>
  <c r="AB171" i="14"/>
  <c r="X171" i="14"/>
  <c r="U171" i="14"/>
  <c r="E171" i="14" s="1"/>
  <c r="AB21" i="14"/>
  <c r="X21" i="14"/>
  <c r="U21" i="14"/>
  <c r="E21" i="14" s="1"/>
  <c r="AB18" i="14"/>
  <c r="X18" i="14"/>
  <c r="U18" i="14"/>
  <c r="E18" i="14" s="1"/>
  <c r="AB5" i="14"/>
  <c r="X5" i="14"/>
  <c r="U5" i="14"/>
  <c r="AB182" i="14"/>
  <c r="X182" i="14"/>
  <c r="U182" i="14"/>
  <c r="AB75" i="14"/>
  <c r="X75" i="14"/>
  <c r="U75" i="14"/>
  <c r="E75" i="14" s="1"/>
  <c r="AB23" i="14"/>
  <c r="X23" i="14"/>
  <c r="U23" i="14"/>
  <c r="AB142" i="14"/>
  <c r="X142" i="14"/>
  <c r="U142" i="14"/>
  <c r="AB104" i="14"/>
  <c r="X104" i="14"/>
  <c r="U104" i="14"/>
  <c r="E104" i="14" s="1"/>
  <c r="AB34" i="14"/>
  <c r="X34" i="14"/>
  <c r="U34" i="14"/>
  <c r="E34" i="14" s="1"/>
  <c r="AB35" i="14"/>
  <c r="X35" i="14"/>
  <c r="U35" i="14"/>
  <c r="AB150" i="14"/>
  <c r="X150" i="14"/>
  <c r="U150" i="14"/>
  <c r="E150" i="14" s="1"/>
  <c r="AB126" i="14"/>
  <c r="X126" i="14"/>
  <c r="U126" i="14"/>
  <c r="AB183" i="14"/>
  <c r="X183" i="14"/>
  <c r="U183" i="14"/>
  <c r="AB14" i="14"/>
  <c r="X14" i="14"/>
  <c r="U14" i="14"/>
  <c r="AB24" i="14"/>
  <c r="X24" i="14"/>
  <c r="U24" i="14"/>
  <c r="E24" i="14" s="1"/>
  <c r="AB87" i="14"/>
  <c r="X87" i="14"/>
  <c r="U87" i="14"/>
  <c r="AB38" i="14"/>
  <c r="X38" i="14"/>
  <c r="U38" i="14"/>
  <c r="E38" i="14"/>
  <c r="AB65" i="14"/>
  <c r="X65" i="14"/>
  <c r="U65" i="14"/>
  <c r="E65" i="14" s="1"/>
  <c r="AB41" i="14"/>
  <c r="X41" i="14"/>
  <c r="U41" i="14"/>
  <c r="AB152" i="14"/>
  <c r="X152" i="14"/>
  <c r="U152" i="14"/>
  <c r="AB151" i="14"/>
  <c r="X151" i="14"/>
  <c r="U151" i="14"/>
  <c r="AB61" i="14"/>
  <c r="X61" i="14"/>
  <c r="U61" i="14"/>
  <c r="E61" i="14" s="1"/>
  <c r="AB76" i="14"/>
  <c r="X76" i="14"/>
  <c r="U76" i="14"/>
  <c r="AB147" i="14"/>
  <c r="X147" i="14"/>
  <c r="U147" i="14"/>
  <c r="AB175" i="14"/>
  <c r="X175" i="14"/>
  <c r="U175" i="14"/>
  <c r="E175" i="14" s="1"/>
  <c r="AB10" i="14"/>
  <c r="X10" i="14"/>
  <c r="U10" i="14"/>
  <c r="AB47" i="14"/>
  <c r="X47" i="14"/>
  <c r="U47" i="14"/>
  <c r="E47" i="14"/>
  <c r="AB30" i="14"/>
  <c r="X30" i="14"/>
  <c r="U30" i="14"/>
  <c r="AB133" i="14"/>
  <c r="X133" i="14"/>
  <c r="U133" i="14"/>
  <c r="AB124" i="14"/>
  <c r="X124" i="14"/>
  <c r="U124" i="14"/>
  <c r="AB92" i="14"/>
  <c r="X92" i="14"/>
  <c r="U92" i="14"/>
  <c r="E92" i="14" s="1"/>
  <c r="AB72" i="14"/>
  <c r="X72" i="14"/>
  <c r="U72" i="14"/>
  <c r="E72" i="14" s="1"/>
  <c r="AB49" i="14"/>
  <c r="X49" i="14"/>
  <c r="U49" i="14"/>
  <c r="E49" i="14" s="1"/>
  <c r="AB127" i="14"/>
  <c r="X127" i="14"/>
  <c r="U127" i="14"/>
  <c r="E127" i="14" s="1"/>
  <c r="AB187" i="14"/>
  <c r="X187" i="14"/>
  <c r="U187" i="14"/>
  <c r="AB188" i="14"/>
  <c r="X188" i="14"/>
  <c r="U188" i="14"/>
  <c r="AB98" i="14"/>
  <c r="X98" i="14"/>
  <c r="U98" i="14"/>
  <c r="E98" i="14" s="1"/>
  <c r="AB163" i="14"/>
  <c r="X163" i="14"/>
  <c r="U163" i="14"/>
  <c r="E163" i="14" s="1"/>
  <c r="AB91" i="14"/>
  <c r="X91" i="14"/>
  <c r="U91" i="14"/>
  <c r="AB26" i="14"/>
  <c r="X26" i="14"/>
  <c r="U26" i="14"/>
  <c r="AB97" i="14"/>
  <c r="X97" i="14"/>
  <c r="U97" i="14"/>
  <c r="E97" i="14" s="1"/>
  <c r="AB88" i="14"/>
  <c r="X88" i="14"/>
  <c r="U88" i="14"/>
  <c r="AB107" i="14"/>
  <c r="X107" i="14"/>
  <c r="U107" i="14"/>
  <c r="E107" i="14" s="1"/>
  <c r="AB177" i="14"/>
  <c r="X177" i="14"/>
  <c r="U177" i="14"/>
  <c r="AB71" i="14"/>
  <c r="X71" i="14"/>
  <c r="U71" i="14"/>
  <c r="AB173" i="14"/>
  <c r="X173" i="14"/>
  <c r="U173" i="14"/>
  <c r="AB117" i="14"/>
  <c r="X117" i="14"/>
  <c r="U117" i="14"/>
  <c r="E117" i="14" s="1"/>
  <c r="AB189" i="14"/>
  <c r="X189" i="14"/>
  <c r="U189" i="14"/>
  <c r="AB7" i="14"/>
  <c r="X7" i="14"/>
  <c r="U7" i="14"/>
  <c r="E7" i="14"/>
  <c r="AB164" i="14"/>
  <c r="X164" i="14"/>
  <c r="U164" i="14"/>
  <c r="E164" i="14" s="1"/>
  <c r="AB16" i="14"/>
  <c r="X16" i="14"/>
  <c r="U16" i="14"/>
  <c r="AB56" i="14"/>
  <c r="X56" i="14"/>
  <c r="U56" i="14"/>
  <c r="AB166" i="14"/>
  <c r="X166" i="14"/>
  <c r="E166" i="14" s="1"/>
  <c r="U166" i="14"/>
  <c r="AB149" i="14"/>
  <c r="X149" i="14"/>
  <c r="U149" i="14"/>
  <c r="E149" i="14" s="1"/>
  <c r="AB17" i="14"/>
  <c r="X17" i="14"/>
  <c r="U17" i="14"/>
  <c r="AB37" i="14"/>
  <c r="X37" i="14"/>
  <c r="U37" i="14"/>
  <c r="AB158" i="14"/>
  <c r="X158" i="14"/>
  <c r="U158" i="14"/>
  <c r="E158" i="14" s="1"/>
  <c r="AB15" i="14"/>
  <c r="X15" i="14"/>
  <c r="U15" i="14"/>
  <c r="AB159" i="14"/>
  <c r="X159" i="14"/>
  <c r="U159" i="14"/>
  <c r="E159" i="14"/>
  <c r="AB174" i="14"/>
  <c r="X174" i="14"/>
  <c r="U174" i="14"/>
  <c r="AB200" i="14"/>
  <c r="X200" i="14"/>
  <c r="U200" i="14"/>
  <c r="AB111" i="14"/>
  <c r="X111" i="14"/>
  <c r="U111" i="14"/>
  <c r="AB118" i="14"/>
  <c r="X118" i="14"/>
  <c r="U118" i="14"/>
  <c r="E118" i="14" s="1"/>
  <c r="AB57" i="14"/>
  <c r="X57" i="14"/>
  <c r="U57" i="14"/>
  <c r="E57" i="14" s="1"/>
  <c r="AB81" i="14"/>
  <c r="X81" i="14"/>
  <c r="U81" i="14"/>
  <c r="E81" i="14" s="1"/>
  <c r="AB52" i="14"/>
  <c r="X52" i="14"/>
  <c r="U52" i="14"/>
  <c r="E52" i="14" s="1"/>
  <c r="AB29" i="14"/>
  <c r="X29" i="14"/>
  <c r="U29" i="14"/>
  <c r="AB20" i="14"/>
  <c r="X20" i="14"/>
  <c r="U20" i="14"/>
  <c r="AB63" i="14"/>
  <c r="X63" i="14"/>
  <c r="U63" i="14"/>
  <c r="AB198" i="14"/>
  <c r="X198" i="14"/>
  <c r="U198" i="14"/>
  <c r="E198" i="14" s="1"/>
  <c r="AB161" i="14"/>
  <c r="X161" i="14"/>
  <c r="U161" i="14"/>
  <c r="AB116" i="14"/>
  <c r="X116" i="14"/>
  <c r="U116" i="14"/>
  <c r="AB69" i="14"/>
  <c r="X69" i="14"/>
  <c r="U69" i="14"/>
  <c r="E69" i="14" s="1"/>
  <c r="AB31" i="14"/>
  <c r="X31" i="14"/>
  <c r="U31" i="14"/>
  <c r="AB48" i="14"/>
  <c r="X48" i="14"/>
  <c r="U48" i="14"/>
  <c r="E48" i="14" s="1"/>
  <c r="AB9" i="14"/>
  <c r="X9" i="14"/>
  <c r="U9" i="14"/>
  <c r="AB62" i="14"/>
  <c r="X62" i="14"/>
  <c r="U62" i="14"/>
  <c r="AB33" i="14"/>
  <c r="X33" i="14"/>
  <c r="U33" i="14"/>
  <c r="AB148" i="14"/>
  <c r="X148" i="14"/>
  <c r="U148" i="14"/>
  <c r="E148" i="14" s="1"/>
  <c r="AB122" i="14"/>
  <c r="X122" i="14"/>
  <c r="U122" i="14"/>
  <c r="AB19" i="14"/>
  <c r="X19" i="14"/>
  <c r="U19" i="14"/>
  <c r="E19" i="14"/>
  <c r="AB153" i="14"/>
  <c r="X153" i="14"/>
  <c r="U153" i="14"/>
  <c r="E153" i="14" s="1"/>
  <c r="AB85" i="14"/>
  <c r="X85" i="14"/>
  <c r="U85" i="14"/>
  <c r="AB86" i="14"/>
  <c r="X86" i="14"/>
  <c r="U86" i="14"/>
  <c r="AB12" i="14"/>
  <c r="X12" i="14"/>
  <c r="E12" i="14" s="1"/>
  <c r="U12" i="14"/>
  <c r="AB64" i="14"/>
  <c r="X64" i="14"/>
  <c r="U64" i="14"/>
  <c r="E64" i="14" s="1"/>
  <c r="AB156" i="14"/>
  <c r="X156" i="14"/>
  <c r="U156" i="14"/>
  <c r="AB185" i="14"/>
  <c r="X185" i="14"/>
  <c r="U185" i="14"/>
  <c r="AB176" i="14"/>
  <c r="X176" i="14"/>
  <c r="U176" i="14"/>
  <c r="E176" i="14" s="1"/>
  <c r="AB162" i="14"/>
  <c r="X162" i="14"/>
  <c r="U162" i="14"/>
  <c r="AB110" i="14"/>
  <c r="X110" i="14"/>
  <c r="U110" i="14"/>
  <c r="E110" i="14"/>
  <c r="AB103" i="14"/>
  <c r="X103" i="14"/>
  <c r="U103" i="14"/>
  <c r="AB74" i="14"/>
  <c r="X74" i="14"/>
  <c r="U74" i="14"/>
  <c r="AB165" i="14"/>
  <c r="X165" i="14"/>
  <c r="U165" i="14"/>
  <c r="AB84" i="14"/>
  <c r="X84" i="14"/>
  <c r="U84" i="14"/>
  <c r="E84" i="14" s="1"/>
  <c r="AB143" i="14"/>
  <c r="X143" i="14"/>
  <c r="U143" i="14"/>
  <c r="E143" i="14" s="1"/>
  <c r="AB154" i="14"/>
  <c r="X154" i="14"/>
  <c r="U154" i="14"/>
  <c r="E154" i="14" s="1"/>
  <c r="AB199" i="14"/>
  <c r="X199" i="14"/>
  <c r="U199" i="14"/>
  <c r="E199" i="14" s="1"/>
  <c r="AB77" i="14"/>
  <c r="X77" i="14"/>
  <c r="U77" i="14"/>
  <c r="AB70" i="14"/>
  <c r="X70" i="14"/>
  <c r="U70" i="14"/>
  <c r="AB168" i="14"/>
  <c r="X168" i="14"/>
  <c r="U168" i="14"/>
  <c r="AB108" i="14"/>
  <c r="X108" i="14"/>
  <c r="U108" i="14"/>
  <c r="E108" i="14" s="1"/>
  <c r="AB197" i="14"/>
  <c r="X197" i="14"/>
  <c r="U197" i="14"/>
  <c r="AB141" i="14"/>
  <c r="X141" i="14"/>
  <c r="U141" i="14"/>
  <c r="AB145" i="14"/>
  <c r="X145" i="14"/>
  <c r="U145" i="14"/>
  <c r="E145" i="14" s="1"/>
  <c r="AB192" i="14"/>
  <c r="X192" i="14"/>
  <c r="U192" i="14"/>
  <c r="AB44" i="14"/>
  <c r="X44" i="14"/>
  <c r="U44" i="14"/>
  <c r="E44" i="14" s="1"/>
  <c r="AB90" i="14"/>
  <c r="X90" i="14"/>
  <c r="U90" i="14"/>
  <c r="AB68" i="14"/>
  <c r="X68" i="14"/>
  <c r="U68" i="14"/>
  <c r="AB135" i="14"/>
  <c r="X135" i="14"/>
  <c r="U135" i="14"/>
  <c r="AB94" i="14"/>
  <c r="X94" i="14"/>
  <c r="U94" i="14"/>
  <c r="E94" i="14" s="1"/>
  <c r="AB130" i="14"/>
  <c r="X130" i="14"/>
  <c r="U130" i="14"/>
  <c r="AB53" i="14"/>
  <c r="X53" i="14"/>
  <c r="U53" i="14"/>
  <c r="E53" i="14"/>
  <c r="AB60" i="14"/>
  <c r="X60" i="14"/>
  <c r="U60" i="14"/>
  <c r="E60" i="14" s="1"/>
  <c r="AB8" i="14"/>
  <c r="X8" i="14"/>
  <c r="U8" i="14"/>
  <c r="AB138" i="14"/>
  <c r="X138" i="14"/>
  <c r="U138" i="14"/>
  <c r="AB39" i="14"/>
  <c r="X39" i="14"/>
  <c r="E39" i="14" s="1"/>
  <c r="U39" i="14"/>
  <c r="AB172" i="14"/>
  <c r="X172" i="14"/>
  <c r="U172" i="14"/>
  <c r="E172" i="14" s="1"/>
  <c r="AB100" i="14"/>
  <c r="X100" i="14"/>
  <c r="U100" i="14"/>
  <c r="AB196" i="14"/>
  <c r="X196" i="14"/>
  <c r="U196" i="14"/>
  <c r="AB194" i="14"/>
  <c r="X194" i="14"/>
  <c r="U194" i="14"/>
  <c r="E194" i="14" s="1"/>
  <c r="AB106" i="14"/>
  <c r="X106" i="14"/>
  <c r="U106" i="14"/>
  <c r="AB45" i="14"/>
  <c r="X45" i="14"/>
  <c r="U45" i="14"/>
  <c r="E45" i="14"/>
  <c r="AB13" i="14"/>
  <c r="X13" i="14"/>
  <c r="U13" i="14"/>
  <c r="AB105" i="14"/>
  <c r="X105" i="14"/>
  <c r="U105" i="14"/>
  <c r="AB186" i="14"/>
  <c r="X186" i="14"/>
  <c r="U186" i="14"/>
  <c r="AB202" i="14"/>
  <c r="X202" i="14"/>
  <c r="U202" i="14"/>
  <c r="E202" i="14" s="1"/>
  <c r="AB109" i="14"/>
  <c r="X109" i="14"/>
  <c r="U109" i="14"/>
  <c r="E109" i="14" s="1"/>
  <c r="AB179" i="14"/>
  <c r="X179" i="14"/>
  <c r="U179" i="14"/>
  <c r="E179" i="14" s="1"/>
  <c r="AB40" i="14"/>
  <c r="X40" i="14"/>
  <c r="U40" i="14"/>
  <c r="E40" i="14" s="1"/>
  <c r="AB120" i="14"/>
  <c r="X120" i="14"/>
  <c r="U120" i="14"/>
  <c r="AB140" i="14"/>
  <c r="X140" i="14"/>
  <c r="U140" i="14"/>
  <c r="E140" i="14" s="1"/>
  <c r="AB121" i="14"/>
  <c r="X121" i="14"/>
  <c r="U121" i="14"/>
  <c r="AB32" i="14"/>
  <c r="X32" i="14"/>
  <c r="U32" i="14"/>
  <c r="E32" i="14" s="1"/>
  <c r="AB6" i="14"/>
  <c r="X6" i="14"/>
  <c r="U6" i="14"/>
  <c r="E6" i="14" s="1"/>
  <c r="AB155" i="14"/>
  <c r="X155" i="14"/>
  <c r="U155" i="14"/>
  <c r="E155" i="14" s="1"/>
  <c r="AB193" i="14"/>
  <c r="X193" i="14"/>
  <c r="U193" i="14"/>
  <c r="E193" i="14" s="1"/>
  <c r="AB43" i="14"/>
  <c r="E43" i="14" s="1"/>
  <c r="X43" i="14"/>
  <c r="U43" i="14"/>
  <c r="AB95" i="14"/>
  <c r="X95" i="14"/>
  <c r="U95" i="14"/>
  <c r="AB78" i="14"/>
  <c r="X78" i="14"/>
  <c r="U78" i="14"/>
  <c r="E78" i="14" s="1"/>
  <c r="AB123" i="14"/>
  <c r="X123" i="14"/>
  <c r="U123" i="14"/>
  <c r="AB129" i="14"/>
  <c r="X129" i="14"/>
  <c r="U129" i="14"/>
  <c r="E129" i="14" s="1"/>
  <c r="AB93" i="14"/>
  <c r="X93" i="14"/>
  <c r="U93" i="14"/>
  <c r="AB136" i="14"/>
  <c r="X136" i="14"/>
  <c r="U136" i="14"/>
  <c r="E136" i="14"/>
  <c r="AB99" i="14"/>
  <c r="X99" i="14"/>
  <c r="U99" i="14"/>
  <c r="E99" i="14" s="1"/>
  <c r="AB101" i="14"/>
  <c r="E101" i="14" s="1"/>
  <c r="X101" i="14"/>
  <c r="U101" i="14"/>
  <c r="AB66" i="14"/>
  <c r="X66" i="14"/>
  <c r="U66" i="14"/>
  <c r="AB59" i="14"/>
  <c r="X59" i="14"/>
  <c r="U59" i="14"/>
  <c r="E59" i="14" s="1"/>
  <c r="AB58" i="14"/>
  <c r="X58" i="14"/>
  <c r="U58" i="14"/>
  <c r="AB42" i="14"/>
  <c r="X42" i="14"/>
  <c r="U42" i="14"/>
  <c r="E42" i="14" s="1"/>
  <c r="AB80" i="14"/>
  <c r="X80" i="14"/>
  <c r="U80" i="14"/>
  <c r="E80" i="14" s="1"/>
  <c r="AB55" i="14"/>
  <c r="X55" i="14"/>
  <c r="U55" i="14"/>
  <c r="E55" i="14" s="1"/>
  <c r="AB112" i="14"/>
  <c r="X112" i="14"/>
  <c r="U112" i="14"/>
  <c r="E112" i="14" s="1"/>
  <c r="AB36" i="14"/>
  <c r="E36" i="14" s="1"/>
  <c r="X36" i="14"/>
  <c r="U36" i="14"/>
  <c r="AB195" i="14"/>
  <c r="X195" i="14"/>
  <c r="U195" i="14"/>
  <c r="AB22" i="14"/>
  <c r="X22" i="14"/>
  <c r="U22" i="14"/>
  <c r="E22" i="14" s="1"/>
  <c r="AB82" i="14"/>
  <c r="X82" i="14"/>
  <c r="U82" i="14"/>
  <c r="AB11" i="14"/>
  <c r="X11" i="14"/>
  <c r="U11" i="14"/>
  <c r="E11" i="14" s="1"/>
  <c r="AB146" i="14"/>
  <c r="X146" i="14"/>
  <c r="U146" i="14"/>
  <c r="E146" i="14" s="1"/>
  <c r="T202" i="13"/>
  <c r="N202" i="13"/>
  <c r="E202" i="13" s="1"/>
  <c r="T201" i="13"/>
  <c r="N201" i="13"/>
  <c r="E201" i="13" s="1"/>
  <c r="T200" i="13"/>
  <c r="N200" i="13"/>
  <c r="E200" i="13" s="1"/>
  <c r="T199" i="13"/>
  <c r="N199" i="13"/>
  <c r="T198" i="13"/>
  <c r="N198" i="13"/>
  <c r="E198" i="13" s="1"/>
  <c r="T197" i="13"/>
  <c r="E197" i="13" s="1"/>
  <c r="N197" i="13"/>
  <c r="T196" i="13"/>
  <c r="N196" i="13"/>
  <c r="E196" i="13" s="1"/>
  <c r="T195" i="13"/>
  <c r="N195" i="13"/>
  <c r="E195" i="13" s="1"/>
  <c r="T194" i="13"/>
  <c r="N194" i="13"/>
  <c r="E194" i="13" s="1"/>
  <c r="T193" i="13"/>
  <c r="N193" i="13"/>
  <c r="E193" i="13" s="1"/>
  <c r="T192" i="13"/>
  <c r="N192" i="13"/>
  <c r="T191" i="13"/>
  <c r="N191" i="13"/>
  <c r="E191" i="13" s="1"/>
  <c r="T190" i="13"/>
  <c r="N190" i="13"/>
  <c r="E190" i="13" s="1"/>
  <c r="T189" i="13"/>
  <c r="N189" i="13"/>
  <c r="E189" i="13" s="1"/>
  <c r="T188" i="13"/>
  <c r="N188" i="13"/>
  <c r="E188" i="13" s="1"/>
  <c r="T187" i="13"/>
  <c r="N187" i="13"/>
  <c r="T186" i="13"/>
  <c r="N186" i="13"/>
  <c r="E186" i="13" s="1"/>
  <c r="T185" i="13"/>
  <c r="N185" i="13"/>
  <c r="T184" i="13"/>
  <c r="N184" i="13"/>
  <c r="T183" i="13"/>
  <c r="N183" i="13"/>
  <c r="E183" i="13" s="1"/>
  <c r="T182" i="13"/>
  <c r="N182" i="13"/>
  <c r="E182" i="13" s="1"/>
  <c r="T181" i="13"/>
  <c r="N181" i="13"/>
  <c r="E181" i="13" s="1"/>
  <c r="T180" i="13"/>
  <c r="N180" i="13"/>
  <c r="E180" i="13"/>
  <c r="T179" i="13"/>
  <c r="N179" i="13"/>
  <c r="T178" i="13"/>
  <c r="N178" i="13"/>
  <c r="E178" i="13" s="1"/>
  <c r="T177" i="13"/>
  <c r="N177" i="13"/>
  <c r="E177" i="13" s="1"/>
  <c r="T176" i="13"/>
  <c r="N176" i="13"/>
  <c r="E176" i="13" s="1"/>
  <c r="T175" i="13"/>
  <c r="N175" i="13"/>
  <c r="T174" i="13"/>
  <c r="N174" i="13"/>
  <c r="E174" i="13" s="1"/>
  <c r="T173" i="13"/>
  <c r="N173" i="13"/>
  <c r="E173" i="13"/>
  <c r="T172" i="13"/>
  <c r="N172" i="13"/>
  <c r="T171" i="13"/>
  <c r="N171" i="13"/>
  <c r="E171" i="13" s="1"/>
  <c r="T170" i="13"/>
  <c r="N170" i="13"/>
  <c r="E170" i="13" s="1"/>
  <c r="T169" i="13"/>
  <c r="N169" i="13"/>
  <c r="E169" i="13" s="1"/>
  <c r="T168" i="13"/>
  <c r="N168" i="13"/>
  <c r="T167" i="13"/>
  <c r="N167" i="13"/>
  <c r="E167" i="13" s="1"/>
  <c r="T166" i="13"/>
  <c r="N166" i="13"/>
  <c r="E166" i="13" s="1"/>
  <c r="T165" i="13"/>
  <c r="N165" i="13"/>
  <c r="E165" i="13" s="1"/>
  <c r="T164" i="13"/>
  <c r="N164" i="13"/>
  <c r="E164" i="13" s="1"/>
  <c r="T163" i="13"/>
  <c r="N163" i="13"/>
  <c r="E163" i="13" s="1"/>
  <c r="T162" i="13"/>
  <c r="N162" i="13"/>
  <c r="E162" i="13" s="1"/>
  <c r="T161" i="13"/>
  <c r="N161" i="13"/>
  <c r="T160" i="13"/>
  <c r="N160" i="13"/>
  <c r="E160" i="13" s="1"/>
  <c r="T159" i="13"/>
  <c r="N159" i="13"/>
  <c r="E159" i="13" s="1"/>
  <c r="T158" i="13"/>
  <c r="N158" i="13"/>
  <c r="E158" i="13"/>
  <c r="T157" i="13"/>
  <c r="N157" i="13"/>
  <c r="E157" i="13"/>
  <c r="T156" i="13"/>
  <c r="N156" i="13"/>
  <c r="E156" i="13" s="1"/>
  <c r="T155" i="13"/>
  <c r="N155" i="13"/>
  <c r="E155" i="13" s="1"/>
  <c r="T154" i="13"/>
  <c r="N154" i="13"/>
  <c r="T153" i="13"/>
  <c r="N153" i="13"/>
  <c r="E153" i="13" s="1"/>
  <c r="T152" i="13"/>
  <c r="N152" i="13"/>
  <c r="E152" i="13" s="1"/>
  <c r="T151" i="13"/>
  <c r="N151" i="13"/>
  <c r="E151" i="13" s="1"/>
  <c r="T150" i="13"/>
  <c r="N150" i="13"/>
  <c r="E150" i="13" s="1"/>
  <c r="T149" i="13"/>
  <c r="E149" i="13" s="1"/>
  <c r="N149" i="13"/>
  <c r="T148" i="13"/>
  <c r="N148" i="13"/>
  <c r="E148" i="13" s="1"/>
  <c r="T147" i="13"/>
  <c r="N147" i="13"/>
  <c r="T146" i="13"/>
  <c r="N146" i="13"/>
  <c r="E146" i="13" s="1"/>
  <c r="T145" i="13"/>
  <c r="N145" i="13"/>
  <c r="E145" i="13" s="1"/>
  <c r="T144" i="13"/>
  <c r="N144" i="13"/>
  <c r="E144" i="13" s="1"/>
  <c r="T143" i="13"/>
  <c r="N143" i="13"/>
  <c r="T142" i="13"/>
  <c r="N142" i="13"/>
  <c r="E142" i="13" s="1"/>
  <c r="T141" i="13"/>
  <c r="N141" i="13"/>
  <c r="E141" i="13"/>
  <c r="T140" i="13"/>
  <c r="N140" i="13"/>
  <c r="T139" i="13"/>
  <c r="N139" i="13"/>
  <c r="E139" i="13" s="1"/>
  <c r="T138" i="13"/>
  <c r="N138" i="13"/>
  <c r="E138" i="13" s="1"/>
  <c r="T137" i="13"/>
  <c r="N137" i="13"/>
  <c r="E137" i="13" s="1"/>
  <c r="T136" i="13"/>
  <c r="N136" i="13"/>
  <c r="T135" i="13"/>
  <c r="N135" i="13"/>
  <c r="E135" i="13" s="1"/>
  <c r="T134" i="13"/>
  <c r="N134" i="13"/>
  <c r="E134" i="13" s="1"/>
  <c r="T133" i="13"/>
  <c r="N133" i="13"/>
  <c r="E133" i="13" s="1"/>
  <c r="T132" i="13"/>
  <c r="N132" i="13"/>
  <c r="E132" i="13" s="1"/>
  <c r="T131" i="13"/>
  <c r="N131" i="13"/>
  <c r="E131" i="13" s="1"/>
  <c r="T130" i="13"/>
  <c r="N130" i="13"/>
  <c r="E130" i="13" s="1"/>
  <c r="T129" i="13"/>
  <c r="N129" i="13"/>
  <c r="T128" i="13"/>
  <c r="N128" i="13"/>
  <c r="E128" i="13" s="1"/>
  <c r="T127" i="13"/>
  <c r="N127" i="13"/>
  <c r="E127" i="13" s="1"/>
  <c r="T126" i="13"/>
  <c r="N126" i="13"/>
  <c r="E126" i="13"/>
  <c r="T125" i="13"/>
  <c r="N125" i="13"/>
  <c r="E125" i="13"/>
  <c r="T124" i="13"/>
  <c r="N124" i="13"/>
  <c r="E124" i="13" s="1"/>
  <c r="T123" i="13"/>
  <c r="N123" i="13"/>
  <c r="E123" i="13" s="1"/>
  <c r="T122" i="13"/>
  <c r="N122" i="13"/>
  <c r="T121" i="13"/>
  <c r="N121" i="13"/>
  <c r="E121" i="13" s="1"/>
  <c r="T120" i="13"/>
  <c r="N120" i="13"/>
  <c r="E120" i="13" s="1"/>
  <c r="T119" i="13"/>
  <c r="N119" i="13"/>
  <c r="T118" i="13"/>
  <c r="N118" i="13"/>
  <c r="E118" i="13" s="1"/>
  <c r="T117" i="13"/>
  <c r="E117" i="13" s="1"/>
  <c r="N117" i="13"/>
  <c r="T116" i="13"/>
  <c r="N116" i="13"/>
  <c r="E116" i="13" s="1"/>
  <c r="T115" i="13"/>
  <c r="N115" i="13"/>
  <c r="T114" i="13"/>
  <c r="N114" i="13"/>
  <c r="E114" i="13" s="1"/>
  <c r="T113" i="13"/>
  <c r="N113" i="13"/>
  <c r="E113" i="13" s="1"/>
  <c r="T112" i="13"/>
  <c r="N112" i="13"/>
  <c r="E112" i="13" s="1"/>
  <c r="T111" i="13"/>
  <c r="E111" i="13" s="1"/>
  <c r="N111" i="13"/>
  <c r="T110" i="13"/>
  <c r="N110" i="13"/>
  <c r="E110" i="13" s="1"/>
  <c r="T109" i="13"/>
  <c r="N109" i="13"/>
  <c r="E109" i="13"/>
  <c r="T108" i="13"/>
  <c r="N108" i="13"/>
  <c r="T107" i="13"/>
  <c r="N107" i="13"/>
  <c r="E107" i="13" s="1"/>
  <c r="T106" i="13"/>
  <c r="N106" i="13"/>
  <c r="E106" i="13" s="1"/>
  <c r="T105" i="13"/>
  <c r="N105" i="13"/>
  <c r="E105" i="13" s="1"/>
  <c r="T104" i="13"/>
  <c r="N104" i="13"/>
  <c r="T103" i="13"/>
  <c r="N103" i="13"/>
  <c r="T102" i="13"/>
  <c r="N102" i="13"/>
  <c r="E102" i="13" s="1"/>
  <c r="T101" i="13"/>
  <c r="N101" i="13"/>
  <c r="E101" i="13" s="1"/>
  <c r="T100" i="13"/>
  <c r="N100" i="13"/>
  <c r="E100" i="13" s="1"/>
  <c r="T99" i="13"/>
  <c r="N99" i="13"/>
  <c r="E99" i="13" s="1"/>
  <c r="T98" i="13"/>
  <c r="N98" i="13"/>
  <c r="E98" i="13" s="1"/>
  <c r="T97" i="13"/>
  <c r="N97" i="13"/>
  <c r="T96" i="13"/>
  <c r="N96" i="13"/>
  <c r="E96" i="13" s="1"/>
  <c r="T95" i="13"/>
  <c r="N95" i="13"/>
  <c r="T94" i="13"/>
  <c r="N94" i="13"/>
  <c r="E94" i="13"/>
  <c r="T93" i="13"/>
  <c r="N93" i="13"/>
  <c r="E93" i="13"/>
  <c r="T92" i="13"/>
  <c r="N92" i="13"/>
  <c r="E92" i="13" s="1"/>
  <c r="T91" i="13"/>
  <c r="N91" i="13"/>
  <c r="E91" i="13" s="1"/>
  <c r="T90" i="13"/>
  <c r="N90" i="13"/>
  <c r="T89" i="13"/>
  <c r="N89" i="13"/>
  <c r="E89" i="13" s="1"/>
  <c r="T88" i="13"/>
  <c r="N88" i="13"/>
  <c r="E88" i="13" s="1"/>
  <c r="T87" i="13"/>
  <c r="N87" i="13"/>
  <c r="T86" i="13"/>
  <c r="N86" i="13"/>
  <c r="E86" i="13" s="1"/>
  <c r="T85" i="13"/>
  <c r="E85" i="13" s="1"/>
  <c r="N85" i="13"/>
  <c r="T84" i="13"/>
  <c r="N84" i="13"/>
  <c r="E84" i="13" s="1"/>
  <c r="T83" i="13"/>
  <c r="N83" i="13"/>
  <c r="T82" i="13"/>
  <c r="N82" i="13"/>
  <c r="E82" i="13" s="1"/>
  <c r="T81" i="13"/>
  <c r="N81" i="13"/>
  <c r="E81" i="13" s="1"/>
  <c r="T80" i="13"/>
  <c r="N80" i="13"/>
  <c r="E80" i="13" s="1"/>
  <c r="T79" i="13"/>
  <c r="E79" i="13" s="1"/>
  <c r="N79" i="13"/>
  <c r="T78" i="13"/>
  <c r="N78" i="13"/>
  <c r="E78" i="13" s="1"/>
  <c r="T77" i="13"/>
  <c r="N77" i="13"/>
  <c r="E77" i="13"/>
  <c r="T76" i="13"/>
  <c r="N76" i="13"/>
  <c r="T75" i="13"/>
  <c r="N75" i="13"/>
  <c r="E75" i="13" s="1"/>
  <c r="T74" i="13"/>
  <c r="N74" i="13"/>
  <c r="E74" i="13" s="1"/>
  <c r="T73" i="13"/>
  <c r="N73" i="13"/>
  <c r="E73" i="13" s="1"/>
  <c r="T72" i="13"/>
  <c r="N72" i="13"/>
  <c r="T71" i="13"/>
  <c r="N71" i="13"/>
  <c r="T70" i="13"/>
  <c r="N70" i="13"/>
  <c r="E70" i="13" s="1"/>
  <c r="T69" i="13"/>
  <c r="N69" i="13"/>
  <c r="E69" i="13" s="1"/>
  <c r="T68" i="13"/>
  <c r="N68" i="13"/>
  <c r="E68" i="13" s="1"/>
  <c r="T67" i="13"/>
  <c r="N67" i="13"/>
  <c r="E67" i="13" s="1"/>
  <c r="T66" i="13"/>
  <c r="N66" i="13"/>
  <c r="E66" i="13" s="1"/>
  <c r="T65" i="13"/>
  <c r="N65" i="13"/>
  <c r="T64" i="13"/>
  <c r="N64" i="13"/>
  <c r="E64" i="13" s="1"/>
  <c r="T63" i="13"/>
  <c r="N63" i="13"/>
  <c r="T62" i="13"/>
  <c r="N62" i="13"/>
  <c r="E62" i="13"/>
  <c r="T61" i="13"/>
  <c r="N61" i="13"/>
  <c r="E61" i="13"/>
  <c r="T60" i="13"/>
  <c r="N60" i="13"/>
  <c r="E60" i="13" s="1"/>
  <c r="T59" i="13"/>
  <c r="N59" i="13"/>
  <c r="E59" i="13" s="1"/>
  <c r="T58" i="13"/>
  <c r="N58" i="13"/>
  <c r="T57" i="13"/>
  <c r="N57" i="13"/>
  <c r="E57" i="13" s="1"/>
  <c r="T56" i="13"/>
  <c r="N56" i="13"/>
  <c r="E56" i="13" s="1"/>
  <c r="T55" i="13"/>
  <c r="N55" i="13"/>
  <c r="T54" i="13"/>
  <c r="N54" i="13"/>
  <c r="E54" i="13" s="1"/>
  <c r="T53" i="13"/>
  <c r="E53" i="13" s="1"/>
  <c r="N53" i="13"/>
  <c r="T52" i="13"/>
  <c r="N52" i="13"/>
  <c r="E52" i="13" s="1"/>
  <c r="T51" i="13"/>
  <c r="N51" i="13"/>
  <c r="T50" i="13"/>
  <c r="N50" i="13"/>
  <c r="E50" i="13" s="1"/>
  <c r="T49" i="13"/>
  <c r="N49" i="13"/>
  <c r="E49" i="13" s="1"/>
  <c r="T48" i="13"/>
  <c r="N48" i="13"/>
  <c r="E48" i="13" s="1"/>
  <c r="T47" i="13"/>
  <c r="N47" i="13"/>
  <c r="E47" i="13" s="1"/>
  <c r="T46" i="13"/>
  <c r="E46" i="13" s="1"/>
  <c r="N46" i="13"/>
  <c r="T45" i="13"/>
  <c r="N45" i="13"/>
  <c r="E45" i="13"/>
  <c r="T44" i="13"/>
  <c r="N44" i="13"/>
  <c r="T43" i="13"/>
  <c r="N43" i="13"/>
  <c r="T42" i="13"/>
  <c r="N42" i="13"/>
  <c r="T41" i="13"/>
  <c r="N41" i="13"/>
  <c r="E41" i="13" s="1"/>
  <c r="T40" i="13"/>
  <c r="N40" i="13"/>
  <c r="T39" i="13"/>
  <c r="E39" i="13" s="1"/>
  <c r="N39" i="13"/>
  <c r="T38" i="13"/>
  <c r="N38" i="13"/>
  <c r="E38" i="13"/>
  <c r="T37" i="13"/>
  <c r="N37" i="13"/>
  <c r="E37" i="13"/>
  <c r="T36" i="13"/>
  <c r="N36" i="13"/>
  <c r="E36" i="13" s="1"/>
  <c r="T35" i="13"/>
  <c r="N35" i="13"/>
  <c r="E35" i="13" s="1"/>
  <c r="T34" i="13"/>
  <c r="N34" i="13"/>
  <c r="T33" i="13"/>
  <c r="N33" i="13"/>
  <c r="E33" i="13" s="1"/>
  <c r="T32" i="13"/>
  <c r="N32" i="13"/>
  <c r="E32" i="13" s="1"/>
  <c r="T31" i="13"/>
  <c r="N31" i="13"/>
  <c r="E31" i="13"/>
  <c r="T30" i="13"/>
  <c r="N30" i="13"/>
  <c r="E30" i="13"/>
  <c r="T29" i="13"/>
  <c r="N29" i="13"/>
  <c r="E29" i="13" s="1"/>
  <c r="T28" i="13"/>
  <c r="N28" i="13"/>
  <c r="E28" i="13" s="1"/>
  <c r="T27" i="13"/>
  <c r="N27" i="13"/>
  <c r="T26" i="13"/>
  <c r="N26" i="13"/>
  <c r="T25" i="13"/>
  <c r="N25" i="13"/>
  <c r="T24" i="13"/>
  <c r="N24" i="13"/>
  <c r="E24" i="13" s="1"/>
  <c r="T23" i="13"/>
  <c r="N23" i="13"/>
  <c r="E23" i="13"/>
  <c r="T22" i="13"/>
  <c r="N22" i="13"/>
  <c r="E22" i="13" s="1"/>
  <c r="T21" i="13"/>
  <c r="N21" i="13"/>
  <c r="E21" i="13" s="1"/>
  <c r="T20" i="13"/>
  <c r="N20" i="13"/>
  <c r="E20" i="13" s="1"/>
  <c r="T19" i="13"/>
  <c r="N19" i="13"/>
  <c r="E19" i="13" s="1"/>
  <c r="T18" i="13"/>
  <c r="N18" i="13"/>
  <c r="E18" i="13" s="1"/>
  <c r="T17" i="13"/>
  <c r="N17" i="13"/>
  <c r="T16" i="13"/>
  <c r="N16" i="13"/>
  <c r="E16" i="13" s="1"/>
  <c r="T15" i="13"/>
  <c r="N15" i="13"/>
  <c r="E15" i="13" s="1"/>
  <c r="T14" i="13"/>
  <c r="N14" i="13"/>
  <c r="E14" i="13" s="1"/>
  <c r="T13" i="13"/>
  <c r="N13" i="13"/>
  <c r="E13" i="13" s="1"/>
  <c r="T12" i="13"/>
  <c r="N12" i="13"/>
  <c r="T11" i="13"/>
  <c r="N11" i="13"/>
  <c r="E11" i="13" s="1"/>
  <c r="T10" i="13"/>
  <c r="N10" i="13"/>
  <c r="T9" i="13"/>
  <c r="N9" i="13"/>
  <c r="T8" i="13"/>
  <c r="N8" i="13"/>
  <c r="T7" i="13"/>
  <c r="N7" i="13"/>
  <c r="E7" i="13" s="1"/>
  <c r="T6" i="13"/>
  <c r="N6" i="13"/>
  <c r="E6" i="13" s="1"/>
  <c r="T5" i="13"/>
  <c r="N5" i="13"/>
  <c r="E5" i="13"/>
  <c r="AL107" i="12"/>
  <c r="AL108" i="12"/>
  <c r="AW164" i="12"/>
  <c r="I164" i="12" s="1"/>
  <c r="AS164" i="12"/>
  <c r="AP164" i="12"/>
  <c r="AI164" i="12"/>
  <c r="AB164" i="12"/>
  <c r="AL164" i="12" s="1"/>
  <c r="V164" i="12"/>
  <c r="Z164" i="12" s="1"/>
  <c r="U164" i="12"/>
  <c r="O164" i="12"/>
  <c r="N164" i="12"/>
  <c r="AW176" i="12"/>
  <c r="AS176" i="12"/>
  <c r="AP176" i="12"/>
  <c r="I176" i="12" s="1"/>
  <c r="AI176" i="12"/>
  <c r="AB176" i="12"/>
  <c r="AL176" i="12" s="1"/>
  <c r="V176" i="12"/>
  <c r="Z176" i="12" s="1"/>
  <c r="U176" i="12"/>
  <c r="O176" i="12"/>
  <c r="N176" i="12"/>
  <c r="AW177" i="12"/>
  <c r="AS177" i="12"/>
  <c r="AP177" i="12"/>
  <c r="AI177" i="12"/>
  <c r="AL177" i="12" s="1"/>
  <c r="AB177" i="12"/>
  <c r="V177" i="12"/>
  <c r="Z177" i="12" s="1"/>
  <c r="U177" i="12"/>
  <c r="O177" i="12"/>
  <c r="N177" i="12"/>
  <c r="AW84" i="12"/>
  <c r="AS84" i="12"/>
  <c r="AP84" i="12"/>
  <c r="AI84" i="12"/>
  <c r="AB84" i="12"/>
  <c r="AL84" i="12" s="1"/>
  <c r="Z84" i="12"/>
  <c r="V84" i="12"/>
  <c r="O84" i="12"/>
  <c r="U84" i="12" s="1"/>
  <c r="N84" i="12"/>
  <c r="AW116" i="12"/>
  <c r="AS116" i="12"/>
  <c r="AP116" i="12"/>
  <c r="I116" i="12" s="1"/>
  <c r="AI116" i="12"/>
  <c r="AB116" i="12"/>
  <c r="V116" i="12"/>
  <c r="Z116" i="12" s="1"/>
  <c r="U116" i="12"/>
  <c r="O116" i="12"/>
  <c r="N116" i="12"/>
  <c r="AW163" i="12"/>
  <c r="AS163" i="12"/>
  <c r="AP163" i="12"/>
  <c r="AI163" i="12"/>
  <c r="AB163" i="12"/>
  <c r="AL163" i="12" s="1"/>
  <c r="Z163" i="12"/>
  <c r="O163" i="12"/>
  <c r="U163" i="12" s="1"/>
  <c r="N163" i="12"/>
  <c r="AW100" i="12"/>
  <c r="AS100" i="12"/>
  <c r="AP100" i="12"/>
  <c r="AI100" i="12"/>
  <c r="AB100" i="12"/>
  <c r="AL100" i="12" s="1"/>
  <c r="V100" i="12"/>
  <c r="Z100" i="12" s="1"/>
  <c r="O100" i="12"/>
  <c r="U100" i="12" s="1"/>
  <c r="N100" i="12"/>
  <c r="I100" i="12"/>
  <c r="AW61" i="12"/>
  <c r="AS61" i="12"/>
  <c r="AP61" i="12"/>
  <c r="AL61" i="12"/>
  <c r="AI61" i="12"/>
  <c r="V61" i="12"/>
  <c r="Z61" i="12" s="1"/>
  <c r="H61" i="12" s="1"/>
  <c r="U61" i="12"/>
  <c r="O61" i="12"/>
  <c r="N61" i="12"/>
  <c r="AW17" i="12"/>
  <c r="AS17" i="12"/>
  <c r="AP17" i="12"/>
  <c r="AI17" i="12"/>
  <c r="AB17" i="12"/>
  <c r="AL17" i="12" s="1"/>
  <c r="Z17" i="12"/>
  <c r="V17" i="12"/>
  <c r="O17" i="12"/>
  <c r="U17" i="12" s="1"/>
  <c r="N17" i="12"/>
  <c r="AW23" i="12"/>
  <c r="AS23" i="12"/>
  <c r="AP23" i="12"/>
  <c r="I23" i="12" s="1"/>
  <c r="AI23" i="12"/>
  <c r="AL23" i="12" s="1"/>
  <c r="AB23" i="12"/>
  <c r="V23" i="12"/>
  <c r="Z23" i="12" s="1"/>
  <c r="U23" i="12"/>
  <c r="O23" i="12"/>
  <c r="N23" i="12"/>
  <c r="AW8" i="12"/>
  <c r="AS8" i="12"/>
  <c r="AP8" i="12"/>
  <c r="AI8" i="12"/>
  <c r="AB8" i="12"/>
  <c r="Z8" i="12"/>
  <c r="V8" i="12"/>
  <c r="O8" i="12"/>
  <c r="U8" i="12" s="1"/>
  <c r="N8" i="12"/>
  <c r="AW86" i="12"/>
  <c r="AS86" i="12"/>
  <c r="AP86" i="12"/>
  <c r="I86" i="12" s="1"/>
  <c r="AI86" i="12"/>
  <c r="AB86" i="12"/>
  <c r="V86" i="12"/>
  <c r="Z86" i="12" s="1"/>
  <c r="U86" i="12"/>
  <c r="O86" i="12"/>
  <c r="N86" i="12"/>
  <c r="AW181" i="12"/>
  <c r="AS181" i="12"/>
  <c r="AP181" i="12"/>
  <c r="AI181" i="12"/>
  <c r="AB181" i="12"/>
  <c r="AL181" i="12" s="1"/>
  <c r="Z181" i="12"/>
  <c r="V181" i="12"/>
  <c r="O181" i="12"/>
  <c r="U181" i="12" s="1"/>
  <c r="N181" i="12"/>
  <c r="AW131" i="12"/>
  <c r="AS131" i="12"/>
  <c r="AP131" i="12"/>
  <c r="I131" i="12" s="1"/>
  <c r="AI131" i="12"/>
  <c r="AL131" i="12" s="1"/>
  <c r="Z131" i="12"/>
  <c r="O131" i="12"/>
  <c r="U131" i="12" s="1"/>
  <c r="N131" i="12"/>
  <c r="AW102" i="12"/>
  <c r="AS102" i="12"/>
  <c r="AP102" i="12"/>
  <c r="I102" i="12" s="1"/>
  <c r="AI102" i="12"/>
  <c r="AL102" i="12" s="1"/>
  <c r="AB102" i="12"/>
  <c r="V102" i="12"/>
  <c r="Z102" i="12" s="1"/>
  <c r="U102" i="12"/>
  <c r="O102" i="12"/>
  <c r="N102" i="12"/>
  <c r="AW73" i="12"/>
  <c r="AS73" i="12"/>
  <c r="AP73" i="12"/>
  <c r="AI73" i="12"/>
  <c r="AB73" i="12"/>
  <c r="AL73" i="12" s="1"/>
  <c r="Z73" i="12"/>
  <c r="V73" i="12"/>
  <c r="O73" i="12"/>
  <c r="U73" i="12" s="1"/>
  <c r="N73" i="12"/>
  <c r="AW88" i="12"/>
  <c r="AS88" i="12"/>
  <c r="AP88" i="12"/>
  <c r="I88" i="12" s="1"/>
  <c r="AI88" i="12"/>
  <c r="AL88" i="12" s="1"/>
  <c r="AB88" i="12"/>
  <c r="V88" i="12"/>
  <c r="Z88" i="12" s="1"/>
  <c r="U88" i="12"/>
  <c r="O88" i="12"/>
  <c r="N88" i="12"/>
  <c r="AW63" i="12"/>
  <c r="AS63" i="12"/>
  <c r="AP63" i="12"/>
  <c r="AI63" i="12"/>
  <c r="AB63" i="12"/>
  <c r="AL63" i="12" s="1"/>
  <c r="Z63" i="12"/>
  <c r="V63" i="12"/>
  <c r="O63" i="12"/>
  <c r="U63" i="12" s="1"/>
  <c r="N63" i="12"/>
  <c r="AW122" i="12"/>
  <c r="AS122" i="12"/>
  <c r="AP122" i="12"/>
  <c r="I122" i="12" s="1"/>
  <c r="AI122" i="12"/>
  <c r="AL122" i="12" s="1"/>
  <c r="Z122" i="12"/>
  <c r="O122" i="12"/>
  <c r="U122" i="12" s="1"/>
  <c r="N122" i="12"/>
  <c r="AW162" i="12"/>
  <c r="AS162" i="12"/>
  <c r="AP162" i="12"/>
  <c r="I162" i="12" s="1"/>
  <c r="AI162" i="12"/>
  <c r="AL162" i="12" s="1"/>
  <c r="AB162" i="12"/>
  <c r="V162" i="12"/>
  <c r="Z162" i="12" s="1"/>
  <c r="U162" i="12"/>
  <c r="O162" i="12"/>
  <c r="N162" i="12"/>
  <c r="AW160" i="12"/>
  <c r="AS160" i="12"/>
  <c r="I160" i="12" s="1"/>
  <c r="AP160" i="12"/>
  <c r="AI160" i="12"/>
  <c r="AL160" i="12" s="1"/>
  <c r="V160" i="12"/>
  <c r="Z160" i="12" s="1"/>
  <c r="O160" i="12"/>
  <c r="U160" i="12" s="1"/>
  <c r="N160" i="12"/>
  <c r="AW69" i="12"/>
  <c r="AS69" i="12"/>
  <c r="AP69" i="12"/>
  <c r="AI69" i="12"/>
  <c r="AB69" i="12"/>
  <c r="AL69" i="12" s="1"/>
  <c r="V69" i="12"/>
  <c r="Z69" i="12" s="1"/>
  <c r="O69" i="12"/>
  <c r="U69" i="12" s="1"/>
  <c r="N69" i="12"/>
  <c r="AW169" i="12"/>
  <c r="AS169" i="12"/>
  <c r="AP169" i="12"/>
  <c r="AI169" i="12"/>
  <c r="AL169" i="12" s="1"/>
  <c r="AB169" i="12"/>
  <c r="V169" i="12"/>
  <c r="Z169" i="12" s="1"/>
  <c r="O169" i="12"/>
  <c r="U169" i="12" s="1"/>
  <c r="N169" i="12"/>
  <c r="AW134" i="12"/>
  <c r="AS134" i="12"/>
  <c r="AP134" i="12"/>
  <c r="I134" i="12" s="1"/>
  <c r="AL134" i="12"/>
  <c r="AI134" i="12"/>
  <c r="AB134" i="12"/>
  <c r="V134" i="12"/>
  <c r="Z134" i="12" s="1"/>
  <c r="O134" i="12"/>
  <c r="U134" i="12" s="1"/>
  <c r="N134" i="12"/>
  <c r="AW32" i="12"/>
  <c r="AS32" i="12"/>
  <c r="I32" i="12" s="1"/>
  <c r="AP32" i="12"/>
  <c r="AI32" i="12"/>
  <c r="AL32" i="12" s="1"/>
  <c r="Z32" i="12"/>
  <c r="O32" i="12"/>
  <c r="U32" i="12" s="1"/>
  <c r="N32" i="12"/>
  <c r="AW137" i="12"/>
  <c r="AS137" i="12"/>
  <c r="AP137" i="12"/>
  <c r="AI137" i="12"/>
  <c r="AB137" i="12"/>
  <c r="AL137" i="12" s="1"/>
  <c r="V137" i="12"/>
  <c r="Z137" i="12" s="1"/>
  <c r="O137" i="12"/>
  <c r="U137" i="12" s="1"/>
  <c r="N137" i="12"/>
  <c r="AW7" i="12"/>
  <c r="AS7" i="12"/>
  <c r="AP7" i="12"/>
  <c r="I7" i="12" s="1"/>
  <c r="AL7" i="12"/>
  <c r="AI7" i="12"/>
  <c r="AB7" i="12"/>
  <c r="V7" i="12"/>
  <c r="Z7" i="12" s="1"/>
  <c r="O7" i="12"/>
  <c r="U7" i="12" s="1"/>
  <c r="N7" i="12"/>
  <c r="AW14" i="12"/>
  <c r="AS14" i="12"/>
  <c r="I14" i="12" s="1"/>
  <c r="AP14" i="12"/>
  <c r="AI14" i="12"/>
  <c r="AB14" i="12"/>
  <c r="AL14" i="12" s="1"/>
  <c r="V14" i="12"/>
  <c r="Z14" i="12" s="1"/>
  <c r="O14" i="12"/>
  <c r="U14" i="12" s="1"/>
  <c r="N14" i="12"/>
  <c r="AW101" i="12"/>
  <c r="AS101" i="12"/>
  <c r="AP101" i="12"/>
  <c r="AI101" i="12"/>
  <c r="AB101" i="12"/>
  <c r="AL101" i="12" s="1"/>
  <c r="V101" i="12"/>
  <c r="Z101" i="12" s="1"/>
  <c r="O101" i="12"/>
  <c r="U101" i="12" s="1"/>
  <c r="N101" i="12"/>
  <c r="AW156" i="12"/>
  <c r="AS156" i="12"/>
  <c r="AP156" i="12"/>
  <c r="AI156" i="12"/>
  <c r="AL156" i="12" s="1"/>
  <c r="AB156" i="12"/>
  <c r="V156" i="12"/>
  <c r="Z156" i="12" s="1"/>
  <c r="O156" i="12"/>
  <c r="U156" i="12" s="1"/>
  <c r="N156" i="12"/>
  <c r="AW81" i="12"/>
  <c r="AS81" i="12"/>
  <c r="AP81" i="12"/>
  <c r="AL81" i="12"/>
  <c r="AI81" i="12"/>
  <c r="V81" i="12"/>
  <c r="Z81" i="12" s="1"/>
  <c r="U81" i="12"/>
  <c r="O81" i="12"/>
  <c r="N81" i="12"/>
  <c r="AW105" i="12"/>
  <c r="AS105" i="12"/>
  <c r="AP105" i="12"/>
  <c r="AI105" i="12"/>
  <c r="AL105" i="12" s="1"/>
  <c r="V105" i="12"/>
  <c r="Z105" i="12" s="1"/>
  <c r="O105" i="12"/>
  <c r="U105" i="12" s="1"/>
  <c r="N105" i="12"/>
  <c r="AW55" i="12"/>
  <c r="AS55" i="12"/>
  <c r="AP55" i="12"/>
  <c r="AL55" i="12"/>
  <c r="AI55" i="12"/>
  <c r="V55" i="12"/>
  <c r="Z55" i="12" s="1"/>
  <c r="U55" i="12"/>
  <c r="O55" i="12"/>
  <c r="N55" i="12"/>
  <c r="AW140" i="12"/>
  <c r="AS140" i="12"/>
  <c r="AP140" i="12"/>
  <c r="AI140" i="12"/>
  <c r="AB140" i="12"/>
  <c r="Z140" i="12"/>
  <c r="V140" i="12"/>
  <c r="O140" i="12"/>
  <c r="U140" i="12" s="1"/>
  <c r="N140" i="12"/>
  <c r="AW22" i="12"/>
  <c r="AS22" i="12"/>
  <c r="AP22" i="12"/>
  <c r="AI22" i="12"/>
  <c r="AB22" i="12"/>
  <c r="AL22" i="12" s="1"/>
  <c r="Z22" i="12"/>
  <c r="V22" i="12"/>
  <c r="O22" i="12"/>
  <c r="U22" i="12" s="1"/>
  <c r="N22" i="12"/>
  <c r="AW202" i="12"/>
  <c r="AS202" i="12"/>
  <c r="AP202" i="12"/>
  <c r="AI202" i="12"/>
  <c r="AL202" i="12" s="1"/>
  <c r="V202" i="12"/>
  <c r="Z202" i="12" s="1"/>
  <c r="O202" i="12"/>
  <c r="U202" i="12" s="1"/>
  <c r="N202" i="12"/>
  <c r="AW114" i="12"/>
  <c r="I114" i="12" s="1"/>
  <c r="AS114" i="12"/>
  <c r="AP114" i="12"/>
  <c r="AI114" i="12"/>
  <c r="AL114" i="12" s="1"/>
  <c r="AB114" i="12"/>
  <c r="V114" i="12"/>
  <c r="Z114" i="12" s="1"/>
  <c r="O114" i="12"/>
  <c r="U114" i="12" s="1"/>
  <c r="N114" i="12"/>
  <c r="AW189" i="12"/>
  <c r="AS189" i="12"/>
  <c r="AP189" i="12"/>
  <c r="I189" i="12" s="1"/>
  <c r="AI189" i="12"/>
  <c r="AB189" i="12"/>
  <c r="V189" i="12"/>
  <c r="Z189" i="12" s="1"/>
  <c r="O189" i="12"/>
  <c r="U189" i="12" s="1"/>
  <c r="N189" i="12"/>
  <c r="AW184" i="12"/>
  <c r="AS184" i="12"/>
  <c r="I184" i="12" s="1"/>
  <c r="AP184" i="12"/>
  <c r="AI184" i="12"/>
  <c r="AB184" i="12"/>
  <c r="AL184" i="12" s="1"/>
  <c r="Z184" i="12"/>
  <c r="U184" i="12"/>
  <c r="O184" i="12"/>
  <c r="N184" i="12"/>
  <c r="AW47" i="12"/>
  <c r="AS47" i="12"/>
  <c r="AP47" i="12"/>
  <c r="AI47" i="12"/>
  <c r="AB47" i="12"/>
  <c r="Z47" i="12"/>
  <c r="V47" i="12"/>
  <c r="O47" i="12"/>
  <c r="U47" i="12" s="1"/>
  <c r="N47" i="12"/>
  <c r="AW49" i="12"/>
  <c r="AS49" i="12"/>
  <c r="AP49" i="12"/>
  <c r="I49" i="12" s="1"/>
  <c r="AI49" i="12"/>
  <c r="AL49" i="12" s="1"/>
  <c r="AB49" i="12"/>
  <c r="V49" i="12"/>
  <c r="Z49" i="12" s="1"/>
  <c r="H49" i="12" s="1"/>
  <c r="G49" i="12" s="1"/>
  <c r="U49" i="12"/>
  <c r="O49" i="12"/>
  <c r="N49" i="12"/>
  <c r="AW5" i="12"/>
  <c r="AS5" i="12"/>
  <c r="AP5" i="12"/>
  <c r="I5" i="12" s="1"/>
  <c r="AI5" i="12"/>
  <c r="AB5" i="12"/>
  <c r="V5" i="12"/>
  <c r="Z5" i="12" s="1"/>
  <c r="U5" i="12"/>
  <c r="O5" i="12"/>
  <c r="N5" i="12"/>
  <c r="AW190" i="12"/>
  <c r="AS190" i="12"/>
  <c r="AP190" i="12"/>
  <c r="AI190" i="12"/>
  <c r="AB190" i="12"/>
  <c r="AL190" i="12" s="1"/>
  <c r="Z190" i="12"/>
  <c r="V190" i="12"/>
  <c r="O190" i="12"/>
  <c r="U190" i="12" s="1"/>
  <c r="N190" i="12"/>
  <c r="AW66" i="12"/>
  <c r="AS66" i="12"/>
  <c r="AP66" i="12"/>
  <c r="AI66" i="12"/>
  <c r="AL66" i="12" s="1"/>
  <c r="AB66" i="12"/>
  <c r="V66" i="12"/>
  <c r="Z66" i="12" s="1"/>
  <c r="U66" i="12"/>
  <c r="O66" i="12"/>
  <c r="N66" i="12"/>
  <c r="AW89" i="12"/>
  <c r="AS89" i="12"/>
  <c r="AP89" i="12"/>
  <c r="AI89" i="12"/>
  <c r="AB89" i="12"/>
  <c r="Z89" i="12"/>
  <c r="V89" i="12"/>
  <c r="O89" i="12"/>
  <c r="U89" i="12" s="1"/>
  <c r="N89" i="12"/>
  <c r="AW144" i="12"/>
  <c r="AS144" i="12"/>
  <c r="AP144" i="12"/>
  <c r="I144" i="12" s="1"/>
  <c r="AI144" i="12"/>
  <c r="AB144" i="12"/>
  <c r="V144" i="12"/>
  <c r="Z144" i="12" s="1"/>
  <c r="U144" i="12"/>
  <c r="O144" i="12"/>
  <c r="N144" i="12"/>
  <c r="AW34" i="12"/>
  <c r="AS34" i="12"/>
  <c r="AP34" i="12"/>
  <c r="AI34" i="12"/>
  <c r="AB34" i="12"/>
  <c r="AL34" i="12" s="1"/>
  <c r="Z34" i="12"/>
  <c r="V34" i="12"/>
  <c r="O34" i="12"/>
  <c r="U34" i="12" s="1"/>
  <c r="N34" i="12"/>
  <c r="AW173" i="12"/>
  <c r="AS173" i="12"/>
  <c r="AP173" i="12"/>
  <c r="AI173" i="12"/>
  <c r="AL173" i="12" s="1"/>
  <c r="AB173" i="12"/>
  <c r="V173" i="12"/>
  <c r="Z173" i="12" s="1"/>
  <c r="U173" i="12"/>
  <c r="O173" i="12"/>
  <c r="N173" i="12"/>
  <c r="AW35" i="12"/>
  <c r="AS35" i="12"/>
  <c r="AP35" i="12"/>
  <c r="AI35" i="12"/>
  <c r="AL35" i="12" s="1"/>
  <c r="Z35" i="12"/>
  <c r="U35" i="12"/>
  <c r="H35" i="12" s="1"/>
  <c r="O35" i="12"/>
  <c r="N35" i="12"/>
  <c r="AW151" i="12"/>
  <c r="AS151" i="12"/>
  <c r="AP151" i="12"/>
  <c r="AI151" i="12"/>
  <c r="AB151" i="12"/>
  <c r="AL151" i="12" s="1"/>
  <c r="Z151" i="12"/>
  <c r="O151" i="12"/>
  <c r="U151" i="12" s="1"/>
  <c r="N151" i="12"/>
  <c r="AW180" i="12"/>
  <c r="AS180" i="12"/>
  <c r="AP180" i="12"/>
  <c r="AI180" i="12"/>
  <c r="AB180" i="12"/>
  <c r="AL180" i="12" s="1"/>
  <c r="V180" i="12"/>
  <c r="Z180" i="12" s="1"/>
  <c r="O180" i="12"/>
  <c r="U180" i="12" s="1"/>
  <c r="N180" i="12"/>
  <c r="I180" i="12"/>
  <c r="AW58" i="12"/>
  <c r="AS58" i="12"/>
  <c r="AP58" i="12"/>
  <c r="I58" i="12" s="1"/>
  <c r="AI58" i="12"/>
  <c r="AB58" i="12"/>
  <c r="V58" i="12"/>
  <c r="Z58" i="12" s="1"/>
  <c r="O58" i="12"/>
  <c r="U58" i="12" s="1"/>
  <c r="N58" i="12"/>
  <c r="AW65" i="12"/>
  <c r="AS65" i="12"/>
  <c r="AP65" i="12"/>
  <c r="AI65" i="12"/>
  <c r="AB65" i="12"/>
  <c r="V65" i="12"/>
  <c r="Z65" i="12" s="1"/>
  <c r="O65" i="12"/>
  <c r="U65" i="12" s="1"/>
  <c r="N65" i="12"/>
  <c r="AW40" i="12"/>
  <c r="AS40" i="12"/>
  <c r="AP40" i="12"/>
  <c r="AI40" i="12"/>
  <c r="AB40" i="12"/>
  <c r="AL40" i="12" s="1"/>
  <c r="V40" i="12"/>
  <c r="Z40" i="12" s="1"/>
  <c r="O40" i="12"/>
  <c r="U40" i="12" s="1"/>
  <c r="N40" i="12"/>
  <c r="AW27" i="12"/>
  <c r="AS27" i="12"/>
  <c r="AP27" i="12"/>
  <c r="AI27" i="12"/>
  <c r="AB27" i="12"/>
  <c r="AL27" i="12" s="1"/>
  <c r="V27" i="12"/>
  <c r="Z27" i="12" s="1"/>
  <c r="O27" i="12"/>
  <c r="U27" i="12" s="1"/>
  <c r="N27" i="12"/>
  <c r="I27" i="12"/>
  <c r="AW53" i="12"/>
  <c r="AS53" i="12"/>
  <c r="AP53" i="12"/>
  <c r="AI53" i="12"/>
  <c r="AB53" i="12"/>
  <c r="V53" i="12"/>
  <c r="Z53" i="12" s="1"/>
  <c r="O53" i="12"/>
  <c r="U53" i="12" s="1"/>
  <c r="N53" i="12"/>
  <c r="I53" i="12"/>
  <c r="AW136" i="12"/>
  <c r="AS136" i="12"/>
  <c r="AP136" i="12"/>
  <c r="AI136" i="12"/>
  <c r="AB136" i="12"/>
  <c r="V136" i="12"/>
  <c r="Z136" i="12" s="1"/>
  <c r="O136" i="12"/>
  <c r="U136" i="12" s="1"/>
  <c r="N136" i="12"/>
  <c r="AW117" i="12"/>
  <c r="AS117" i="12"/>
  <c r="AP117" i="12"/>
  <c r="AI117" i="12"/>
  <c r="AB117" i="12"/>
  <c r="AL117" i="12" s="1"/>
  <c r="V117" i="12"/>
  <c r="Z117" i="12" s="1"/>
  <c r="O117" i="12"/>
  <c r="U117" i="12" s="1"/>
  <c r="N117" i="12"/>
  <c r="AW126" i="12"/>
  <c r="AS126" i="12"/>
  <c r="AP126" i="12"/>
  <c r="AI126" i="12"/>
  <c r="AB126" i="12"/>
  <c r="AL126" i="12" s="1"/>
  <c r="V126" i="12"/>
  <c r="Z126" i="12" s="1"/>
  <c r="O126" i="12"/>
  <c r="U126" i="12" s="1"/>
  <c r="N126" i="12"/>
  <c r="I126" i="12"/>
  <c r="AW186" i="12"/>
  <c r="AS186" i="12"/>
  <c r="AP186" i="12"/>
  <c r="I186" i="12" s="1"/>
  <c r="AI186" i="12"/>
  <c r="AB186" i="12"/>
  <c r="V186" i="12"/>
  <c r="Z186" i="12" s="1"/>
  <c r="O186" i="12"/>
  <c r="U186" i="12" s="1"/>
  <c r="N186" i="12"/>
  <c r="AW70" i="12"/>
  <c r="AS70" i="12"/>
  <c r="AP70" i="12"/>
  <c r="AI70" i="12"/>
  <c r="AB70" i="12"/>
  <c r="V70" i="12"/>
  <c r="Z70" i="12" s="1"/>
  <c r="O70" i="12"/>
  <c r="U70" i="12" s="1"/>
  <c r="N70" i="12"/>
  <c r="AW141" i="12"/>
  <c r="AS141" i="12"/>
  <c r="AP141" i="12"/>
  <c r="AL141" i="12"/>
  <c r="AI141" i="12"/>
  <c r="V141" i="12"/>
  <c r="Z141" i="12" s="1"/>
  <c r="U141" i="12"/>
  <c r="O141" i="12"/>
  <c r="N141" i="12"/>
  <c r="AW74" i="12"/>
  <c r="AS74" i="12"/>
  <c r="AP74" i="12"/>
  <c r="AI74" i="12"/>
  <c r="AL74" i="12" s="1"/>
  <c r="Z74" i="12"/>
  <c r="U74" i="12"/>
  <c r="O74" i="12"/>
  <c r="N74" i="12"/>
  <c r="AW147" i="12"/>
  <c r="AS147" i="12"/>
  <c r="AP147" i="12"/>
  <c r="AI147" i="12"/>
  <c r="AB147" i="12"/>
  <c r="AL147" i="12" s="1"/>
  <c r="Z147" i="12"/>
  <c r="V147" i="12"/>
  <c r="O147" i="12"/>
  <c r="U147" i="12" s="1"/>
  <c r="N147" i="12"/>
  <c r="AW54" i="12"/>
  <c r="AS54" i="12"/>
  <c r="AP54" i="12"/>
  <c r="I54" i="12" s="1"/>
  <c r="AI54" i="12"/>
  <c r="AL54" i="12" s="1"/>
  <c r="AB54" i="12"/>
  <c r="V54" i="12"/>
  <c r="Z54" i="12" s="1"/>
  <c r="U54" i="12"/>
  <c r="O54" i="12"/>
  <c r="N54" i="12"/>
  <c r="AW24" i="12"/>
  <c r="I24" i="12" s="1"/>
  <c r="AS24" i="12"/>
  <c r="AP24" i="12"/>
  <c r="AI24" i="12"/>
  <c r="AL24" i="12" s="1"/>
  <c r="V24" i="12"/>
  <c r="Z24" i="12" s="1"/>
  <c r="O24" i="12"/>
  <c r="U24" i="12" s="1"/>
  <c r="N24" i="12"/>
  <c r="AW83" i="12"/>
  <c r="AS83" i="12"/>
  <c r="AP83" i="12"/>
  <c r="AI83" i="12"/>
  <c r="AL83" i="12" s="1"/>
  <c r="Z83" i="12"/>
  <c r="V83" i="12"/>
  <c r="O83" i="12"/>
  <c r="U83" i="12" s="1"/>
  <c r="N83" i="12"/>
  <c r="AW159" i="12"/>
  <c r="AS159" i="12"/>
  <c r="AP159" i="12"/>
  <c r="I159" i="12" s="1"/>
  <c r="AI159" i="12"/>
  <c r="AL159" i="12" s="1"/>
  <c r="AB159" i="12"/>
  <c r="V159" i="12"/>
  <c r="Z159" i="12" s="1"/>
  <c r="U159" i="12"/>
  <c r="O159" i="12"/>
  <c r="N159" i="12"/>
  <c r="AW195" i="12"/>
  <c r="AS195" i="12"/>
  <c r="AP195" i="12"/>
  <c r="AI195" i="12"/>
  <c r="AB195" i="12"/>
  <c r="Z195" i="12"/>
  <c r="V195" i="12"/>
  <c r="O195" i="12"/>
  <c r="U195" i="12" s="1"/>
  <c r="N195" i="12"/>
  <c r="AW142" i="12"/>
  <c r="AS142" i="12"/>
  <c r="AP142" i="12"/>
  <c r="AI142" i="12"/>
  <c r="AL142" i="12" s="1"/>
  <c r="V142" i="12"/>
  <c r="Z142" i="12" s="1"/>
  <c r="O142" i="12"/>
  <c r="U142" i="12" s="1"/>
  <c r="N142" i="12"/>
  <c r="AW41" i="12"/>
  <c r="AS41" i="12"/>
  <c r="AP41" i="12"/>
  <c r="AL41" i="12"/>
  <c r="AI41" i="12"/>
  <c r="AB41" i="12"/>
  <c r="V41" i="12"/>
  <c r="Z41" i="12" s="1"/>
  <c r="O41" i="12"/>
  <c r="U41" i="12" s="1"/>
  <c r="N41" i="12"/>
  <c r="AW6" i="12"/>
  <c r="AS6" i="12"/>
  <c r="AP6" i="12"/>
  <c r="I6" i="12" s="1"/>
  <c r="AI6" i="12"/>
  <c r="AB6" i="12"/>
  <c r="AL6" i="12" s="1"/>
  <c r="V6" i="12"/>
  <c r="Z6" i="12" s="1"/>
  <c r="O6" i="12"/>
  <c r="U6" i="12" s="1"/>
  <c r="N6" i="12"/>
  <c r="AW158" i="12"/>
  <c r="AS158" i="12"/>
  <c r="AP158" i="12"/>
  <c r="AI158" i="12"/>
  <c r="AB158" i="12"/>
  <c r="AL158" i="12" s="1"/>
  <c r="V158" i="12"/>
  <c r="Z158" i="12" s="1"/>
  <c r="O158" i="12"/>
  <c r="U158" i="12" s="1"/>
  <c r="N158" i="12"/>
  <c r="I158" i="12"/>
  <c r="AW97" i="12"/>
  <c r="AS97" i="12"/>
  <c r="AP97" i="12"/>
  <c r="AI97" i="12"/>
  <c r="AB97" i="12"/>
  <c r="Z97" i="12"/>
  <c r="O97" i="12"/>
  <c r="U97" i="12" s="1"/>
  <c r="N97" i="12"/>
  <c r="AW143" i="12"/>
  <c r="AS143" i="12"/>
  <c r="AP143" i="12"/>
  <c r="I143" i="12" s="1"/>
  <c r="AI143" i="12"/>
  <c r="AL143" i="12" s="1"/>
  <c r="AB143" i="12"/>
  <c r="V143" i="12"/>
  <c r="Z143" i="12" s="1"/>
  <c r="U143" i="12"/>
  <c r="O143" i="12"/>
  <c r="N143" i="12"/>
  <c r="AW153" i="12"/>
  <c r="AS153" i="12"/>
  <c r="AP153" i="12"/>
  <c r="AI153" i="12"/>
  <c r="AB153" i="12"/>
  <c r="Z153" i="12"/>
  <c r="V153" i="12"/>
  <c r="O153" i="12"/>
  <c r="U153" i="12" s="1"/>
  <c r="N153" i="12"/>
  <c r="AW191" i="12"/>
  <c r="AS191" i="12"/>
  <c r="AP191" i="12"/>
  <c r="AI191" i="12"/>
  <c r="AB191" i="12"/>
  <c r="AL191" i="12" s="1"/>
  <c r="Z191" i="12"/>
  <c r="V191" i="12"/>
  <c r="O191" i="12"/>
  <c r="U191" i="12" s="1"/>
  <c r="N191" i="12"/>
  <c r="AW110" i="12"/>
  <c r="AS110" i="12"/>
  <c r="AP110" i="12"/>
  <c r="AI110" i="12"/>
  <c r="AB110" i="12"/>
  <c r="V110" i="12"/>
  <c r="Z110" i="12" s="1"/>
  <c r="U110" i="12"/>
  <c r="O110" i="12"/>
  <c r="N110" i="12"/>
  <c r="AW92" i="12"/>
  <c r="AS92" i="12"/>
  <c r="AP92" i="12"/>
  <c r="AI92" i="12"/>
  <c r="AB92" i="12"/>
  <c r="Z92" i="12"/>
  <c r="V92" i="12"/>
  <c r="O92" i="12"/>
  <c r="U92" i="12" s="1"/>
  <c r="N92" i="12"/>
  <c r="AW132" i="12"/>
  <c r="AS132" i="12"/>
  <c r="AP132" i="12"/>
  <c r="AI132" i="12"/>
  <c r="AL132" i="12" s="1"/>
  <c r="AB132" i="12"/>
  <c r="V132" i="12"/>
  <c r="Z132" i="12" s="1"/>
  <c r="U132" i="12"/>
  <c r="O132" i="12"/>
  <c r="N132" i="12"/>
  <c r="AW9" i="12"/>
  <c r="AS9" i="12"/>
  <c r="AP9" i="12"/>
  <c r="AI9" i="12"/>
  <c r="AB9" i="12"/>
  <c r="AL9" i="12" s="1"/>
  <c r="Z9" i="12"/>
  <c r="V9" i="12"/>
  <c r="O9" i="12"/>
  <c r="U9" i="12" s="1"/>
  <c r="N9" i="12"/>
  <c r="AW108" i="12"/>
  <c r="AS108" i="12"/>
  <c r="AP108" i="12"/>
  <c r="I108" i="12" s="1"/>
  <c r="AI108" i="12"/>
  <c r="AB108" i="12"/>
  <c r="V108" i="12"/>
  <c r="Z108" i="12" s="1"/>
  <c r="U108" i="12"/>
  <c r="O108" i="12"/>
  <c r="N108" i="12"/>
  <c r="AW167" i="12"/>
  <c r="AS167" i="12"/>
  <c r="AP167" i="12"/>
  <c r="AI167" i="12"/>
  <c r="AL167" i="12" s="1"/>
  <c r="Z167" i="12"/>
  <c r="U167" i="12"/>
  <c r="H167" i="12" s="1"/>
  <c r="O167" i="12"/>
  <c r="N167" i="12"/>
  <c r="AW90" i="12"/>
  <c r="AS90" i="12"/>
  <c r="AP90" i="12"/>
  <c r="AI90" i="12"/>
  <c r="AB90" i="12"/>
  <c r="AL90" i="12" s="1"/>
  <c r="Z90" i="12"/>
  <c r="V90" i="12"/>
  <c r="O90" i="12"/>
  <c r="U90" i="12" s="1"/>
  <c r="N90" i="12"/>
  <c r="AW72" i="12"/>
  <c r="AS72" i="12"/>
  <c r="AP72" i="12"/>
  <c r="I72" i="12" s="1"/>
  <c r="AI72" i="12"/>
  <c r="AB72" i="12"/>
  <c r="V72" i="12"/>
  <c r="Z72" i="12" s="1"/>
  <c r="U72" i="12"/>
  <c r="O72" i="12"/>
  <c r="N72" i="12"/>
  <c r="AW161" i="12"/>
  <c r="AS161" i="12"/>
  <c r="AP161" i="12"/>
  <c r="AI161" i="12"/>
  <c r="AB161" i="12"/>
  <c r="Z161" i="12"/>
  <c r="V161" i="12"/>
  <c r="O161" i="12"/>
  <c r="U161" i="12" s="1"/>
  <c r="N161" i="12"/>
  <c r="AW130" i="12"/>
  <c r="AS130" i="12"/>
  <c r="I130" i="12" s="1"/>
  <c r="AP130" i="12"/>
  <c r="AI130" i="12"/>
  <c r="AB130" i="12"/>
  <c r="AL130" i="12" s="1"/>
  <c r="Z130" i="12"/>
  <c r="O130" i="12"/>
  <c r="U130" i="12" s="1"/>
  <c r="N130" i="12"/>
  <c r="AW33" i="12"/>
  <c r="AS33" i="12"/>
  <c r="AP33" i="12"/>
  <c r="AI33" i="12"/>
  <c r="AB33" i="12"/>
  <c r="AL33" i="12" s="1"/>
  <c r="V33" i="12"/>
  <c r="Z33" i="12" s="1"/>
  <c r="O33" i="12"/>
  <c r="U33" i="12" s="1"/>
  <c r="N33" i="12"/>
  <c r="AW188" i="12"/>
  <c r="I188" i="12" s="1"/>
  <c r="AS188" i="12"/>
  <c r="AP188" i="12"/>
  <c r="AI188" i="12"/>
  <c r="AL188" i="12" s="1"/>
  <c r="AB188" i="12"/>
  <c r="V188" i="12"/>
  <c r="Z188" i="12" s="1"/>
  <c r="O188" i="12"/>
  <c r="U188" i="12" s="1"/>
  <c r="N188" i="12"/>
  <c r="AW80" i="12"/>
  <c r="AS80" i="12"/>
  <c r="AP80" i="12"/>
  <c r="I80" i="12" s="1"/>
  <c r="AI80" i="12"/>
  <c r="AB80" i="12"/>
  <c r="AL80" i="12" s="1"/>
  <c r="V80" i="12"/>
  <c r="Z80" i="12" s="1"/>
  <c r="O80" i="12"/>
  <c r="U80" i="12" s="1"/>
  <c r="N80" i="12"/>
  <c r="AW62" i="12"/>
  <c r="AS62" i="12"/>
  <c r="AP62" i="12"/>
  <c r="AI62" i="12"/>
  <c r="AB62" i="12"/>
  <c r="AL62" i="12" s="1"/>
  <c r="V62" i="12"/>
  <c r="Z62" i="12" s="1"/>
  <c r="O62" i="12"/>
  <c r="U62" i="12" s="1"/>
  <c r="N62" i="12"/>
  <c r="I62" i="12"/>
  <c r="AW200" i="12"/>
  <c r="AS200" i="12"/>
  <c r="AP200" i="12"/>
  <c r="AI200" i="12"/>
  <c r="AB200" i="12"/>
  <c r="V200" i="12"/>
  <c r="Z200" i="12" s="1"/>
  <c r="O200" i="12"/>
  <c r="U200" i="12" s="1"/>
  <c r="N200" i="12"/>
  <c r="AW196" i="12"/>
  <c r="AS196" i="12"/>
  <c r="AP196" i="12"/>
  <c r="I196" i="12" s="1"/>
  <c r="AL196" i="12"/>
  <c r="AI196" i="12"/>
  <c r="AB196" i="12"/>
  <c r="V196" i="12"/>
  <c r="Z196" i="12" s="1"/>
  <c r="O196" i="12"/>
  <c r="U196" i="12" s="1"/>
  <c r="N196" i="12"/>
  <c r="AW25" i="12"/>
  <c r="AS25" i="12"/>
  <c r="I25" i="12" s="1"/>
  <c r="AP25" i="12"/>
  <c r="AI25" i="12"/>
  <c r="AB25" i="12"/>
  <c r="AL25" i="12" s="1"/>
  <c r="Z25" i="12"/>
  <c r="O25" i="12"/>
  <c r="U25" i="12" s="1"/>
  <c r="N25" i="12"/>
  <c r="AW16" i="12"/>
  <c r="AS16" i="12"/>
  <c r="AP16" i="12"/>
  <c r="AI16" i="12"/>
  <c r="AB16" i="12"/>
  <c r="V16" i="12"/>
  <c r="Z16" i="12" s="1"/>
  <c r="O16" i="12"/>
  <c r="U16" i="12" s="1"/>
  <c r="N16" i="12"/>
  <c r="AW48" i="12"/>
  <c r="AS48" i="12"/>
  <c r="AP48" i="12"/>
  <c r="I48" i="12" s="1"/>
  <c r="AI48" i="12"/>
  <c r="AB48" i="12"/>
  <c r="V48" i="12"/>
  <c r="Z48" i="12" s="1"/>
  <c r="O48" i="12"/>
  <c r="U48" i="12" s="1"/>
  <c r="N48" i="12"/>
  <c r="AW19" i="12"/>
  <c r="AS19" i="12"/>
  <c r="AP19" i="12"/>
  <c r="I19" i="12" s="1"/>
  <c r="AL19" i="12"/>
  <c r="AI19" i="12"/>
  <c r="Z19" i="12"/>
  <c r="U19" i="12"/>
  <c r="O19" i="12"/>
  <c r="N19" i="12"/>
  <c r="AW121" i="12"/>
  <c r="AS121" i="12"/>
  <c r="AP121" i="12"/>
  <c r="AI121" i="12"/>
  <c r="AB121" i="12"/>
  <c r="V121" i="12"/>
  <c r="Z121" i="12" s="1"/>
  <c r="U121" i="12"/>
  <c r="O121" i="12"/>
  <c r="N121" i="12"/>
  <c r="AW185" i="12"/>
  <c r="AS185" i="12"/>
  <c r="AP185" i="12"/>
  <c r="AI185" i="12"/>
  <c r="AL185" i="12" s="1"/>
  <c r="V185" i="12"/>
  <c r="Z185" i="12" s="1"/>
  <c r="U185" i="12"/>
  <c r="O185" i="12"/>
  <c r="N185" i="12"/>
  <c r="I185" i="12"/>
  <c r="AW157" i="12"/>
  <c r="AS157" i="12"/>
  <c r="AP157" i="12"/>
  <c r="AL157" i="12"/>
  <c r="AI157" i="12"/>
  <c r="V157" i="12"/>
  <c r="Z157" i="12" s="1"/>
  <c r="U157" i="12"/>
  <c r="O157" i="12"/>
  <c r="N157" i="12"/>
  <c r="AW112" i="12"/>
  <c r="AS112" i="12"/>
  <c r="AP112" i="12"/>
  <c r="AI112" i="12"/>
  <c r="AB112" i="12"/>
  <c r="AL112" i="12" s="1"/>
  <c r="V112" i="12"/>
  <c r="Z112" i="12" s="1"/>
  <c r="U112" i="12"/>
  <c r="O112" i="12"/>
  <c r="N112" i="12"/>
  <c r="AW51" i="12"/>
  <c r="AS51" i="12"/>
  <c r="AP51" i="12"/>
  <c r="AI51" i="12"/>
  <c r="AB51" i="12"/>
  <c r="AL51" i="12" s="1"/>
  <c r="Z51" i="12"/>
  <c r="V51" i="12"/>
  <c r="O51" i="12"/>
  <c r="U51" i="12" s="1"/>
  <c r="N51" i="12"/>
  <c r="AW166" i="12"/>
  <c r="AS166" i="12"/>
  <c r="AP166" i="12"/>
  <c r="AI166" i="12"/>
  <c r="AL166" i="12" s="1"/>
  <c r="AB166" i="12"/>
  <c r="V166" i="12"/>
  <c r="Z166" i="12" s="1"/>
  <c r="O166" i="12"/>
  <c r="U166" i="12" s="1"/>
  <c r="N166" i="12"/>
  <c r="AW127" i="12"/>
  <c r="AS127" i="12"/>
  <c r="AP127" i="12"/>
  <c r="I127" i="12" s="1"/>
  <c r="AI127" i="12"/>
  <c r="AL127" i="12" s="1"/>
  <c r="AB127" i="12"/>
  <c r="V127" i="12"/>
  <c r="Z127" i="12" s="1"/>
  <c r="U127" i="12"/>
  <c r="O127" i="12"/>
  <c r="N127" i="12"/>
  <c r="AW57" i="12"/>
  <c r="AS57" i="12"/>
  <c r="AP57" i="12"/>
  <c r="AI57" i="12"/>
  <c r="AB57" i="12"/>
  <c r="AL57" i="12" s="1"/>
  <c r="V57" i="12"/>
  <c r="Z57" i="12" s="1"/>
  <c r="O57" i="12"/>
  <c r="U57" i="12" s="1"/>
  <c r="N57" i="12"/>
  <c r="AW96" i="12"/>
  <c r="AS96" i="12"/>
  <c r="AP96" i="12"/>
  <c r="I96" i="12" s="1"/>
  <c r="AI96" i="12"/>
  <c r="AL96" i="12" s="1"/>
  <c r="Z96" i="12"/>
  <c r="O96" i="12"/>
  <c r="U96" i="12" s="1"/>
  <c r="N96" i="12"/>
  <c r="AW15" i="12"/>
  <c r="I15" i="12" s="1"/>
  <c r="AS15" i="12"/>
  <c r="AP15" i="12"/>
  <c r="AI15" i="12"/>
  <c r="AB15" i="12"/>
  <c r="Z15" i="12"/>
  <c r="V15" i="12"/>
  <c r="O15" i="12"/>
  <c r="U15" i="12" s="1"/>
  <c r="N15" i="12"/>
  <c r="AW175" i="12"/>
  <c r="AS175" i="12"/>
  <c r="AP175" i="12"/>
  <c r="I175" i="12" s="1"/>
  <c r="AI175" i="12"/>
  <c r="AB175" i="12"/>
  <c r="V175" i="12"/>
  <c r="Z175" i="12" s="1"/>
  <c r="U175" i="12"/>
  <c r="O175" i="12"/>
  <c r="N175" i="12"/>
  <c r="AW150" i="12"/>
  <c r="AS150" i="12"/>
  <c r="AP150" i="12"/>
  <c r="AI150" i="12"/>
  <c r="AB150" i="12"/>
  <c r="AL150" i="12" s="1"/>
  <c r="Z150" i="12"/>
  <c r="U150" i="12"/>
  <c r="O150" i="12"/>
  <c r="N150" i="12"/>
  <c r="AW154" i="12"/>
  <c r="I154" i="12" s="1"/>
  <c r="AS154" i="12"/>
  <c r="AP154" i="12"/>
  <c r="AI154" i="12"/>
  <c r="AL154" i="12" s="1"/>
  <c r="AB154" i="12"/>
  <c r="V154" i="12"/>
  <c r="Z154" i="12" s="1"/>
  <c r="O154" i="12"/>
  <c r="U154" i="12" s="1"/>
  <c r="N154" i="12"/>
  <c r="AW79" i="12"/>
  <c r="AS79" i="12"/>
  <c r="AP79" i="12"/>
  <c r="I79" i="12" s="1"/>
  <c r="AI79" i="12"/>
  <c r="AB79" i="12"/>
  <c r="V79" i="12"/>
  <c r="Z79" i="12" s="1"/>
  <c r="O79" i="12"/>
  <c r="U79" i="12" s="1"/>
  <c r="N79" i="12"/>
  <c r="AW87" i="12"/>
  <c r="AS87" i="12"/>
  <c r="AP87" i="12"/>
  <c r="AI87" i="12"/>
  <c r="AB87" i="12"/>
  <c r="AL87" i="12" s="1"/>
  <c r="Z87" i="12"/>
  <c r="V87" i="12"/>
  <c r="O87" i="12"/>
  <c r="U87" i="12" s="1"/>
  <c r="N87" i="12"/>
  <c r="AW13" i="12"/>
  <c r="AS13" i="12"/>
  <c r="AP13" i="12"/>
  <c r="I13" i="12" s="1"/>
  <c r="AI13" i="12"/>
  <c r="AB13" i="12"/>
  <c r="V13" i="12"/>
  <c r="Z13" i="12" s="1"/>
  <c r="U13" i="12"/>
  <c r="O13" i="12"/>
  <c r="N13" i="12"/>
  <c r="AW91" i="12"/>
  <c r="AS91" i="12"/>
  <c r="AP91" i="12"/>
  <c r="AI91" i="12"/>
  <c r="AL91" i="12" s="1"/>
  <c r="Z91" i="12"/>
  <c r="V91" i="12"/>
  <c r="O91" i="12"/>
  <c r="U91" i="12" s="1"/>
  <c r="H91" i="12" s="1"/>
  <c r="N91" i="12"/>
  <c r="AW45" i="12"/>
  <c r="AS45" i="12"/>
  <c r="AP45" i="12"/>
  <c r="AL45" i="12"/>
  <c r="AI45" i="12"/>
  <c r="AB45" i="12"/>
  <c r="V45" i="12"/>
  <c r="Z45" i="12" s="1"/>
  <c r="U45" i="12"/>
  <c r="O45" i="12"/>
  <c r="N45" i="12"/>
  <c r="AW42" i="12"/>
  <c r="AS42" i="12"/>
  <c r="AP42" i="12"/>
  <c r="AI42" i="12"/>
  <c r="AB42" i="12"/>
  <c r="AL42" i="12" s="1"/>
  <c r="V42" i="12"/>
  <c r="Z42" i="12" s="1"/>
  <c r="O42" i="12"/>
  <c r="U42" i="12" s="1"/>
  <c r="N42" i="12"/>
  <c r="AW36" i="12"/>
  <c r="AS36" i="12"/>
  <c r="AP36" i="12"/>
  <c r="I36" i="12" s="1"/>
  <c r="AI36" i="12"/>
  <c r="AB36" i="12"/>
  <c r="V36" i="12"/>
  <c r="Z36" i="12" s="1"/>
  <c r="O36" i="12"/>
  <c r="U36" i="12" s="1"/>
  <c r="N36" i="12"/>
  <c r="AW109" i="12"/>
  <c r="AS109" i="12"/>
  <c r="I109" i="12" s="1"/>
  <c r="AP109" i="12"/>
  <c r="AI109" i="12"/>
  <c r="AB109" i="12"/>
  <c r="Z109" i="12"/>
  <c r="V109" i="12"/>
  <c r="O109" i="12"/>
  <c r="U109" i="12" s="1"/>
  <c r="N109" i="12"/>
  <c r="AW94" i="12"/>
  <c r="AS94" i="12"/>
  <c r="AP94" i="12"/>
  <c r="AL94" i="12"/>
  <c r="AI94" i="12"/>
  <c r="AB94" i="12"/>
  <c r="V94" i="12"/>
  <c r="Z94" i="12" s="1"/>
  <c r="U94" i="12"/>
  <c r="O94" i="12"/>
  <c r="N94" i="12"/>
  <c r="AW115" i="12"/>
  <c r="AS115" i="12"/>
  <c r="AP115" i="12"/>
  <c r="AI115" i="12"/>
  <c r="AB115" i="12"/>
  <c r="AL115" i="12" s="1"/>
  <c r="V115" i="12"/>
  <c r="Z115" i="12" s="1"/>
  <c r="O115" i="12"/>
  <c r="U115" i="12" s="1"/>
  <c r="N115" i="12"/>
  <c r="AW120" i="12"/>
  <c r="AS120" i="12"/>
  <c r="AP120" i="12"/>
  <c r="AI120" i="12"/>
  <c r="AB120" i="12"/>
  <c r="V120" i="12"/>
  <c r="Z120" i="12" s="1"/>
  <c r="O120" i="12"/>
  <c r="U120" i="12" s="1"/>
  <c r="N120" i="12"/>
  <c r="AW31" i="12"/>
  <c r="AS31" i="12"/>
  <c r="AP31" i="12"/>
  <c r="AI31" i="12"/>
  <c r="AB31" i="12"/>
  <c r="Z31" i="12"/>
  <c r="V31" i="12"/>
  <c r="O31" i="12"/>
  <c r="U31" i="12" s="1"/>
  <c r="N31" i="12"/>
  <c r="AW46" i="12"/>
  <c r="AS46" i="12"/>
  <c r="AP46" i="12"/>
  <c r="AL46" i="12"/>
  <c r="AI46" i="12"/>
  <c r="AB46" i="12"/>
  <c r="V46" i="12"/>
  <c r="Z46" i="12" s="1"/>
  <c r="U46" i="12"/>
  <c r="O46" i="12"/>
  <c r="N46" i="12"/>
  <c r="AW10" i="12"/>
  <c r="AS10" i="12"/>
  <c r="AP10" i="12"/>
  <c r="AI10" i="12"/>
  <c r="AB10" i="12"/>
  <c r="AL10" i="12" s="1"/>
  <c r="Z10" i="12"/>
  <c r="O10" i="12"/>
  <c r="U10" i="12" s="1"/>
  <c r="N10" i="12"/>
  <c r="I10" i="12"/>
  <c r="AW145" i="12"/>
  <c r="AS145" i="12"/>
  <c r="AP145" i="12"/>
  <c r="AI145" i="12"/>
  <c r="AB145" i="12"/>
  <c r="V145" i="12"/>
  <c r="Z145" i="12" s="1"/>
  <c r="U145" i="12"/>
  <c r="O145" i="12"/>
  <c r="N145" i="12"/>
  <c r="I145" i="12"/>
  <c r="AW192" i="12"/>
  <c r="AS192" i="12"/>
  <c r="AP192" i="12"/>
  <c r="AI192" i="12"/>
  <c r="AB192" i="12"/>
  <c r="AL192" i="12" s="1"/>
  <c r="V192" i="12"/>
  <c r="Z192" i="12" s="1"/>
  <c r="O192" i="12"/>
  <c r="U192" i="12" s="1"/>
  <c r="N192" i="12"/>
  <c r="AW107" i="12"/>
  <c r="I107" i="12" s="1"/>
  <c r="AS107" i="12"/>
  <c r="AP107" i="12"/>
  <c r="AI107" i="12"/>
  <c r="AB107" i="12"/>
  <c r="V107" i="12"/>
  <c r="Z107" i="12" s="1"/>
  <c r="O107" i="12"/>
  <c r="U107" i="12" s="1"/>
  <c r="N107" i="12"/>
  <c r="AW187" i="12"/>
  <c r="AS187" i="12"/>
  <c r="AP187" i="12"/>
  <c r="AL187" i="12"/>
  <c r="AI187" i="12"/>
  <c r="V187" i="12"/>
  <c r="Z187" i="12" s="1"/>
  <c r="O187" i="12"/>
  <c r="U187" i="12" s="1"/>
  <c r="N187" i="12"/>
  <c r="AW183" i="12"/>
  <c r="AS183" i="12"/>
  <c r="AP183" i="12"/>
  <c r="AI183" i="12"/>
  <c r="AL183" i="12" s="1"/>
  <c r="V183" i="12"/>
  <c r="Z183" i="12" s="1"/>
  <c r="O183" i="12"/>
  <c r="U183" i="12" s="1"/>
  <c r="N183" i="12"/>
  <c r="AW149" i="12"/>
  <c r="AS149" i="12"/>
  <c r="AP149" i="12"/>
  <c r="I149" i="12" s="1"/>
  <c r="AI149" i="12"/>
  <c r="AB149" i="12"/>
  <c r="AL149" i="12" s="1"/>
  <c r="V149" i="12"/>
  <c r="Z149" i="12" s="1"/>
  <c r="O149" i="12"/>
  <c r="U149" i="12" s="1"/>
  <c r="N149" i="12"/>
  <c r="AW85" i="12"/>
  <c r="AS85" i="12"/>
  <c r="AP85" i="12"/>
  <c r="AI85" i="12"/>
  <c r="AL85" i="12" s="1"/>
  <c r="Z85" i="12"/>
  <c r="V85" i="12"/>
  <c r="O85" i="12"/>
  <c r="U85" i="12" s="1"/>
  <c r="N85" i="12"/>
  <c r="AW39" i="12"/>
  <c r="AS39" i="12"/>
  <c r="AP39" i="12"/>
  <c r="AI39" i="12"/>
  <c r="AL39" i="12" s="1"/>
  <c r="AB39" i="12"/>
  <c r="V39" i="12"/>
  <c r="Z39" i="12" s="1"/>
  <c r="U39" i="12"/>
  <c r="O39" i="12"/>
  <c r="N39" i="12"/>
  <c r="AW148" i="12"/>
  <c r="AS148" i="12"/>
  <c r="AP148" i="12"/>
  <c r="AI148" i="12"/>
  <c r="AB148" i="12"/>
  <c r="AL148" i="12" s="1"/>
  <c r="Z148" i="12"/>
  <c r="V148" i="12"/>
  <c r="U148" i="12"/>
  <c r="O148" i="12"/>
  <c r="N148" i="12"/>
  <c r="AW12" i="12"/>
  <c r="AS12" i="12"/>
  <c r="AP12" i="12"/>
  <c r="I12" i="12" s="1"/>
  <c r="AI12" i="12"/>
  <c r="AB12" i="12"/>
  <c r="V12" i="12"/>
  <c r="Z12" i="12" s="1"/>
  <c r="U12" i="12"/>
  <c r="O12" i="12"/>
  <c r="N12" i="12"/>
  <c r="AW95" i="12"/>
  <c r="AS95" i="12"/>
  <c r="AP95" i="12"/>
  <c r="AI95" i="12"/>
  <c r="AB95" i="12"/>
  <c r="AL95" i="12" s="1"/>
  <c r="Z95" i="12"/>
  <c r="V95" i="12"/>
  <c r="O95" i="12"/>
  <c r="U95" i="12" s="1"/>
  <c r="N95" i="12"/>
  <c r="AW172" i="12"/>
  <c r="AS172" i="12"/>
  <c r="AP172" i="12"/>
  <c r="AI172" i="12"/>
  <c r="AL172" i="12" s="1"/>
  <c r="V172" i="12"/>
  <c r="Z172" i="12" s="1"/>
  <c r="O172" i="12"/>
  <c r="U172" i="12" s="1"/>
  <c r="N172" i="12"/>
  <c r="AW123" i="12"/>
  <c r="AS123" i="12"/>
  <c r="I123" i="12" s="1"/>
  <c r="AP123" i="12"/>
  <c r="AI123" i="12"/>
  <c r="AL123" i="12" s="1"/>
  <c r="V123" i="12"/>
  <c r="Z123" i="12" s="1"/>
  <c r="H123" i="12" s="1"/>
  <c r="G123" i="12" s="1"/>
  <c r="U123" i="12"/>
  <c r="O123" i="12"/>
  <c r="N123" i="12"/>
  <c r="AW18" i="12"/>
  <c r="AS18" i="12"/>
  <c r="AP18" i="12"/>
  <c r="I18" i="12" s="1"/>
  <c r="AI18" i="12"/>
  <c r="AB18" i="12"/>
  <c r="V18" i="12"/>
  <c r="Z18" i="12" s="1"/>
  <c r="O18" i="12"/>
  <c r="U18" i="12" s="1"/>
  <c r="N18" i="12"/>
  <c r="AW20" i="12"/>
  <c r="AS20" i="12"/>
  <c r="AP20" i="12"/>
  <c r="AI20" i="12"/>
  <c r="AL20" i="12" s="1"/>
  <c r="AB20" i="12"/>
  <c r="V20" i="12"/>
  <c r="Z20" i="12" s="1"/>
  <c r="U20" i="12"/>
  <c r="O20" i="12"/>
  <c r="N20" i="12"/>
  <c r="AW135" i="12"/>
  <c r="AS135" i="12"/>
  <c r="AP135" i="12"/>
  <c r="AI135" i="12"/>
  <c r="AL135" i="12" s="1"/>
  <c r="AB135" i="12"/>
  <c r="V135" i="12"/>
  <c r="Z135" i="12" s="1"/>
  <c r="U135" i="12"/>
  <c r="O135" i="12"/>
  <c r="N135" i="12"/>
  <c r="AW193" i="12"/>
  <c r="AS193" i="12"/>
  <c r="AP193" i="12"/>
  <c r="AI193" i="12"/>
  <c r="AB193" i="12"/>
  <c r="AL193" i="12" s="1"/>
  <c r="V193" i="12"/>
  <c r="Z193" i="12" s="1"/>
  <c r="U193" i="12"/>
  <c r="O193" i="12"/>
  <c r="N193" i="12"/>
  <c r="H193" i="12"/>
  <c r="AW138" i="12"/>
  <c r="AS138" i="12"/>
  <c r="AP138" i="12"/>
  <c r="I138" i="12" s="1"/>
  <c r="AI138" i="12"/>
  <c r="AB138" i="12"/>
  <c r="V138" i="12"/>
  <c r="Z138" i="12" s="1"/>
  <c r="O138" i="12"/>
  <c r="U138" i="12" s="1"/>
  <c r="N138" i="12"/>
  <c r="AW37" i="12"/>
  <c r="AS37" i="12"/>
  <c r="AP37" i="12"/>
  <c r="AI37" i="12"/>
  <c r="AL37" i="12" s="1"/>
  <c r="V37" i="12"/>
  <c r="Z37" i="12" s="1"/>
  <c r="O37" i="12"/>
  <c r="U37" i="12" s="1"/>
  <c r="N37" i="12"/>
  <c r="AW179" i="12"/>
  <c r="AS179" i="12"/>
  <c r="AP179" i="12"/>
  <c r="I179" i="12" s="1"/>
  <c r="AL179" i="12"/>
  <c r="AI179" i="12"/>
  <c r="AB179" i="12"/>
  <c r="V179" i="12"/>
  <c r="Z179" i="12" s="1"/>
  <c r="O179" i="12"/>
  <c r="U179" i="12" s="1"/>
  <c r="N179" i="12"/>
  <c r="AW146" i="12"/>
  <c r="I146" i="12" s="1"/>
  <c r="AS146" i="12"/>
  <c r="AP146" i="12"/>
  <c r="AI146" i="12"/>
  <c r="AB146" i="12"/>
  <c r="AL146" i="12" s="1"/>
  <c r="Z146" i="12"/>
  <c r="V146" i="12"/>
  <c r="O146" i="12"/>
  <c r="U146" i="12" s="1"/>
  <c r="N146" i="12"/>
  <c r="AW118" i="12"/>
  <c r="AS118" i="12"/>
  <c r="AP118" i="12"/>
  <c r="I118" i="12" s="1"/>
  <c r="AI118" i="12"/>
  <c r="AB118" i="12"/>
  <c r="V118" i="12"/>
  <c r="Z118" i="12" s="1"/>
  <c r="U118" i="12"/>
  <c r="O118" i="12"/>
  <c r="N118" i="12"/>
  <c r="AW82" i="12"/>
  <c r="AS82" i="12"/>
  <c r="AP82" i="12"/>
  <c r="AI82" i="12"/>
  <c r="AB82" i="12"/>
  <c r="AL82" i="12" s="1"/>
  <c r="V82" i="12"/>
  <c r="Z82" i="12" s="1"/>
  <c r="O82" i="12"/>
  <c r="U82" i="12" s="1"/>
  <c r="N82" i="12"/>
  <c r="AW113" i="12"/>
  <c r="AS113" i="12"/>
  <c r="I113" i="12" s="1"/>
  <c r="AP113" i="12"/>
  <c r="AI113" i="12"/>
  <c r="AB113" i="12"/>
  <c r="AL113" i="12" s="1"/>
  <c r="V113" i="12"/>
  <c r="Z113" i="12" s="1"/>
  <c r="O113" i="12"/>
  <c r="U113" i="12" s="1"/>
  <c r="N113" i="12"/>
  <c r="AW106" i="12"/>
  <c r="AS106" i="12"/>
  <c r="AP106" i="12"/>
  <c r="I106" i="12" s="1"/>
  <c r="AL106" i="12"/>
  <c r="AI106" i="12"/>
  <c r="AB106" i="12"/>
  <c r="V106" i="12"/>
  <c r="Z106" i="12" s="1"/>
  <c r="O106" i="12"/>
  <c r="U106" i="12" s="1"/>
  <c r="N106" i="12"/>
  <c r="AW111" i="12"/>
  <c r="I111" i="12" s="1"/>
  <c r="AS111" i="12"/>
  <c r="AP111" i="12"/>
  <c r="AI111" i="12"/>
  <c r="AL111" i="12" s="1"/>
  <c r="Z111" i="12"/>
  <c r="V111" i="12"/>
  <c r="U111" i="12"/>
  <c r="H111" i="12" s="1"/>
  <c r="G111" i="12" s="1"/>
  <c r="O111" i="12"/>
  <c r="N111" i="12"/>
  <c r="AW171" i="12"/>
  <c r="AS171" i="12"/>
  <c r="AP171" i="12"/>
  <c r="I171" i="12" s="1"/>
  <c r="AL171" i="12"/>
  <c r="AI171" i="12"/>
  <c r="V171" i="12"/>
  <c r="Z171" i="12" s="1"/>
  <c r="O171" i="12"/>
  <c r="U171" i="12" s="1"/>
  <c r="N171" i="12"/>
  <c r="AW11" i="12"/>
  <c r="AS11" i="12"/>
  <c r="AP11" i="12"/>
  <c r="AL11" i="12"/>
  <c r="AI11" i="12"/>
  <c r="Z11" i="12"/>
  <c r="V11" i="12"/>
  <c r="O11" i="12"/>
  <c r="U11" i="12" s="1"/>
  <c r="N11" i="12"/>
  <c r="AW44" i="12"/>
  <c r="AS44" i="12"/>
  <c r="I44" i="12" s="1"/>
  <c r="AP44" i="12"/>
  <c r="AI44" i="12"/>
  <c r="AB44" i="12"/>
  <c r="Z44" i="12"/>
  <c r="V44" i="12"/>
  <c r="O44" i="12"/>
  <c r="U44" i="12" s="1"/>
  <c r="N44" i="12"/>
  <c r="AW43" i="12"/>
  <c r="AS43" i="12"/>
  <c r="AP43" i="12"/>
  <c r="I43" i="12" s="1"/>
  <c r="AL43" i="12"/>
  <c r="AI43" i="12"/>
  <c r="AB43" i="12"/>
  <c r="V43" i="12"/>
  <c r="Z43" i="12" s="1"/>
  <c r="U43" i="12"/>
  <c r="O43" i="12"/>
  <c r="N43" i="12"/>
  <c r="AW103" i="12"/>
  <c r="AS103" i="12"/>
  <c r="AP103" i="12"/>
  <c r="AI103" i="12"/>
  <c r="AB103" i="12"/>
  <c r="V103" i="12"/>
  <c r="Z103" i="12" s="1"/>
  <c r="O103" i="12"/>
  <c r="U103" i="12" s="1"/>
  <c r="N103" i="12"/>
  <c r="AW52" i="12"/>
  <c r="AS52" i="12"/>
  <c r="AP52" i="12"/>
  <c r="AI52" i="12"/>
  <c r="AB52" i="12"/>
  <c r="V52" i="12"/>
  <c r="Z52" i="12" s="1"/>
  <c r="O52" i="12"/>
  <c r="U52" i="12" s="1"/>
  <c r="N52" i="12"/>
  <c r="AW152" i="12"/>
  <c r="AS152" i="12"/>
  <c r="AP152" i="12"/>
  <c r="AI152" i="12"/>
  <c r="AB152" i="12"/>
  <c r="Z152" i="12"/>
  <c r="V152" i="12"/>
  <c r="O152" i="12"/>
  <c r="U152" i="12" s="1"/>
  <c r="N152" i="12"/>
  <c r="AW75" i="12"/>
  <c r="AS75" i="12"/>
  <c r="AP75" i="12"/>
  <c r="I75" i="12" s="1"/>
  <c r="AL75" i="12"/>
  <c r="AI75" i="12"/>
  <c r="AB75" i="12"/>
  <c r="V75" i="12"/>
  <c r="Z75" i="12" s="1"/>
  <c r="U75" i="12"/>
  <c r="O75" i="12"/>
  <c r="N75" i="12"/>
  <c r="AW170" i="12"/>
  <c r="AS170" i="12"/>
  <c r="AP170" i="12"/>
  <c r="AI170" i="12"/>
  <c r="AB170" i="12"/>
  <c r="AL170" i="12" s="1"/>
  <c r="V170" i="12"/>
  <c r="Z170" i="12" s="1"/>
  <c r="O170" i="12"/>
  <c r="U170" i="12" s="1"/>
  <c r="N170" i="12"/>
  <c r="AW199" i="12"/>
  <c r="AS199" i="12"/>
  <c r="AP199" i="12"/>
  <c r="I199" i="12" s="1"/>
  <c r="AI199" i="12"/>
  <c r="AB199" i="12"/>
  <c r="V199" i="12"/>
  <c r="Z199" i="12" s="1"/>
  <c r="O199" i="12"/>
  <c r="U199" i="12" s="1"/>
  <c r="N199" i="12"/>
  <c r="AW178" i="12"/>
  <c r="AS178" i="12"/>
  <c r="I178" i="12" s="1"/>
  <c r="AP178" i="12"/>
  <c r="AI178" i="12"/>
  <c r="AL178" i="12" s="1"/>
  <c r="V178" i="12"/>
  <c r="Z178" i="12" s="1"/>
  <c r="O178" i="12"/>
  <c r="U178" i="12" s="1"/>
  <c r="N178" i="12"/>
  <c r="AW93" i="12"/>
  <c r="AS93" i="12"/>
  <c r="AP93" i="12"/>
  <c r="I93" i="12" s="1"/>
  <c r="AI93" i="12"/>
  <c r="AB93" i="12"/>
  <c r="AL93" i="12" s="1"/>
  <c r="V93" i="12"/>
  <c r="Z93" i="12" s="1"/>
  <c r="O93" i="12"/>
  <c r="U93" i="12" s="1"/>
  <c r="N93" i="12"/>
  <c r="AW56" i="12"/>
  <c r="AS56" i="12"/>
  <c r="AP56" i="12"/>
  <c r="AI56" i="12"/>
  <c r="AL56" i="12" s="1"/>
  <c r="AB56" i="12"/>
  <c r="V56" i="12"/>
  <c r="Z56" i="12" s="1"/>
  <c r="O56" i="12"/>
  <c r="U56" i="12" s="1"/>
  <c r="N56" i="12"/>
  <c r="AW60" i="12"/>
  <c r="AS60" i="12"/>
  <c r="AP60" i="12"/>
  <c r="AI60" i="12"/>
  <c r="AB60" i="12"/>
  <c r="V60" i="12"/>
  <c r="Z60" i="12" s="1"/>
  <c r="U60" i="12"/>
  <c r="O60" i="12"/>
  <c r="N60" i="12"/>
  <c r="I60" i="12"/>
  <c r="AW198" i="12"/>
  <c r="AS198" i="12"/>
  <c r="AP198" i="12"/>
  <c r="AI198" i="12"/>
  <c r="AB198" i="12"/>
  <c r="AL198" i="12" s="1"/>
  <c r="V198" i="12"/>
  <c r="Z198" i="12" s="1"/>
  <c r="O198" i="12"/>
  <c r="U198" i="12" s="1"/>
  <c r="N198" i="12"/>
  <c r="AW197" i="12"/>
  <c r="AS197" i="12"/>
  <c r="AP197" i="12"/>
  <c r="AI197" i="12"/>
  <c r="AL197" i="12" s="1"/>
  <c r="V197" i="12"/>
  <c r="Z197" i="12" s="1"/>
  <c r="O197" i="12"/>
  <c r="U197" i="12" s="1"/>
  <c r="N197" i="12"/>
  <c r="H197" i="12" s="1"/>
  <c r="AW21" i="12"/>
  <c r="AS21" i="12"/>
  <c r="AP21" i="12"/>
  <c r="AI21" i="12"/>
  <c r="AB21" i="12"/>
  <c r="V21" i="12"/>
  <c r="Z21" i="12" s="1"/>
  <c r="O21" i="12"/>
  <c r="U21" i="12" s="1"/>
  <c r="N21" i="12"/>
  <c r="AW168" i="12"/>
  <c r="AS168" i="12"/>
  <c r="AP168" i="12"/>
  <c r="AI168" i="12"/>
  <c r="AL168" i="12" s="1"/>
  <c r="AB168" i="12"/>
  <c r="Z168" i="12"/>
  <c r="V168" i="12"/>
  <c r="O168" i="12"/>
  <c r="U168" i="12" s="1"/>
  <c r="H168" i="12" s="1"/>
  <c r="N168" i="12"/>
  <c r="AW139" i="12"/>
  <c r="AS139" i="12"/>
  <c r="AP139" i="12"/>
  <c r="AI139" i="12"/>
  <c r="AB139" i="12"/>
  <c r="Z139" i="12"/>
  <c r="V139" i="12"/>
  <c r="O139" i="12"/>
  <c r="U139" i="12" s="1"/>
  <c r="N139" i="12"/>
  <c r="AW128" i="12"/>
  <c r="AS128" i="12"/>
  <c r="AP128" i="12"/>
  <c r="I128" i="12" s="1"/>
  <c r="AI128" i="12"/>
  <c r="AB128" i="12"/>
  <c r="V128" i="12"/>
  <c r="Z128" i="12" s="1"/>
  <c r="U128" i="12"/>
  <c r="O128" i="12"/>
  <c r="N128" i="12"/>
  <c r="AW201" i="12"/>
  <c r="AS201" i="12"/>
  <c r="AP201" i="12"/>
  <c r="I201" i="12" s="1"/>
  <c r="AI201" i="12"/>
  <c r="AL201" i="12" s="1"/>
  <c r="V201" i="12"/>
  <c r="Z201" i="12" s="1"/>
  <c r="U201" i="12"/>
  <c r="O201" i="12"/>
  <c r="N201" i="12"/>
  <c r="AW182" i="12"/>
  <c r="AS182" i="12"/>
  <c r="AP182" i="12"/>
  <c r="AI182" i="12"/>
  <c r="AB182" i="12"/>
  <c r="AL182" i="12" s="1"/>
  <c r="V182" i="12"/>
  <c r="Z182" i="12" s="1"/>
  <c r="O182" i="12"/>
  <c r="U182" i="12" s="1"/>
  <c r="N182" i="12"/>
  <c r="H182" i="12" s="1"/>
  <c r="AW64" i="12"/>
  <c r="AS64" i="12"/>
  <c r="AP64" i="12"/>
  <c r="AI64" i="12"/>
  <c r="AL64" i="12" s="1"/>
  <c r="AB64" i="12"/>
  <c r="V64" i="12"/>
  <c r="Z64" i="12" s="1"/>
  <c r="O64" i="12"/>
  <c r="U64" i="12" s="1"/>
  <c r="N64" i="12"/>
  <c r="I64" i="12"/>
  <c r="AW68" i="12"/>
  <c r="AS68" i="12"/>
  <c r="AP68" i="12"/>
  <c r="I68" i="12" s="1"/>
  <c r="AI68" i="12"/>
  <c r="AB68" i="12"/>
  <c r="AL68" i="12" s="1"/>
  <c r="Z68" i="12"/>
  <c r="V68" i="12"/>
  <c r="O68" i="12"/>
  <c r="U68" i="12" s="1"/>
  <c r="N68" i="12"/>
  <c r="AW78" i="12"/>
  <c r="AS78" i="12"/>
  <c r="AP78" i="12"/>
  <c r="AL78" i="12"/>
  <c r="AI78" i="12"/>
  <c r="AB78" i="12"/>
  <c r="V78" i="12"/>
  <c r="Z78" i="12" s="1"/>
  <c r="U78" i="12"/>
  <c r="O78" i="12"/>
  <c r="N78" i="12"/>
  <c r="I78" i="12"/>
  <c r="AW133" i="12"/>
  <c r="AS133" i="12"/>
  <c r="AP133" i="12"/>
  <c r="AI133" i="12"/>
  <c r="AB133" i="12"/>
  <c r="V133" i="12"/>
  <c r="Z133" i="12" s="1"/>
  <c r="O133" i="12"/>
  <c r="U133" i="12" s="1"/>
  <c r="N133" i="12"/>
  <c r="AW125" i="12"/>
  <c r="AS125" i="12"/>
  <c r="AP125" i="12"/>
  <c r="AI125" i="12"/>
  <c r="AB125" i="12"/>
  <c r="Z125" i="12"/>
  <c r="V125" i="12"/>
  <c r="O125" i="12"/>
  <c r="U125" i="12" s="1"/>
  <c r="N125" i="12"/>
  <c r="AW129" i="12"/>
  <c r="AS129" i="12"/>
  <c r="AP129" i="12"/>
  <c r="AI129" i="12"/>
  <c r="AB129" i="12"/>
  <c r="V129" i="12"/>
  <c r="Z129" i="12" s="1"/>
  <c r="O129" i="12"/>
  <c r="U129" i="12" s="1"/>
  <c r="N129" i="12"/>
  <c r="AW124" i="12"/>
  <c r="AS124" i="12"/>
  <c r="AP124" i="12"/>
  <c r="AI124" i="12"/>
  <c r="AB124" i="12"/>
  <c r="AL124" i="12" s="1"/>
  <c r="V124" i="12"/>
  <c r="Z124" i="12" s="1"/>
  <c r="U124" i="12"/>
  <c r="O124" i="12"/>
  <c r="N124" i="12"/>
  <c r="AW174" i="12"/>
  <c r="AS174" i="12"/>
  <c r="AP174" i="12"/>
  <c r="AI174" i="12"/>
  <c r="AB174" i="12"/>
  <c r="V174" i="12"/>
  <c r="Z174" i="12" s="1"/>
  <c r="O174" i="12"/>
  <c r="U174" i="12" s="1"/>
  <c r="N174" i="12"/>
  <c r="AW119" i="12"/>
  <c r="AS119" i="12"/>
  <c r="AP119" i="12"/>
  <c r="AI119" i="12"/>
  <c r="AL119" i="12" s="1"/>
  <c r="AB119" i="12"/>
  <c r="Z119" i="12"/>
  <c r="V119" i="12"/>
  <c r="O119" i="12"/>
  <c r="U119" i="12" s="1"/>
  <c r="N119" i="12"/>
  <c r="AW28" i="12"/>
  <c r="AS28" i="12"/>
  <c r="AP28" i="12"/>
  <c r="AI28" i="12"/>
  <c r="AB28" i="12"/>
  <c r="AL28" i="12" s="1"/>
  <c r="H28" i="12" s="1"/>
  <c r="V28" i="12"/>
  <c r="Z28" i="12" s="1"/>
  <c r="U28" i="12"/>
  <c r="O28" i="12"/>
  <c r="N28" i="12"/>
  <c r="AW59" i="12"/>
  <c r="AS59" i="12"/>
  <c r="AP59" i="12"/>
  <c r="AI59" i="12"/>
  <c r="AB59" i="12"/>
  <c r="AL59" i="12" s="1"/>
  <c r="Z59" i="12"/>
  <c r="V59" i="12"/>
  <c r="O59" i="12"/>
  <c r="U59" i="12" s="1"/>
  <c r="N59" i="12"/>
  <c r="AW50" i="12"/>
  <c r="AS50" i="12"/>
  <c r="AP50" i="12"/>
  <c r="I50" i="12" s="1"/>
  <c r="AI50" i="12"/>
  <c r="AL50" i="12" s="1"/>
  <c r="V50" i="12"/>
  <c r="Z50" i="12" s="1"/>
  <c r="O50" i="12"/>
  <c r="U50" i="12" s="1"/>
  <c r="N50" i="12"/>
  <c r="AW155" i="12"/>
  <c r="AS155" i="12"/>
  <c r="AP155" i="12"/>
  <c r="AI155" i="12"/>
  <c r="AB155" i="12"/>
  <c r="V155" i="12"/>
  <c r="Z155" i="12" s="1"/>
  <c r="U155" i="12"/>
  <c r="O155" i="12"/>
  <c r="N155" i="12"/>
  <c r="AW38" i="12"/>
  <c r="AS38" i="12"/>
  <c r="AP38" i="12"/>
  <c r="AI38" i="12"/>
  <c r="AB38" i="12"/>
  <c r="Z38" i="12"/>
  <c r="V38" i="12"/>
  <c r="O38" i="12"/>
  <c r="U38" i="12" s="1"/>
  <c r="N38" i="12"/>
  <c r="AW71" i="12"/>
  <c r="AS71" i="12"/>
  <c r="AP71" i="12"/>
  <c r="AI71" i="12"/>
  <c r="AL71" i="12" s="1"/>
  <c r="AB71" i="12"/>
  <c r="Z71" i="12"/>
  <c r="U71" i="12"/>
  <c r="O71" i="12"/>
  <c r="N71" i="12"/>
  <c r="AW76" i="12"/>
  <c r="AS76" i="12"/>
  <c r="AP76" i="12"/>
  <c r="AI76" i="12"/>
  <c r="AB76" i="12"/>
  <c r="AL76" i="12" s="1"/>
  <c r="Z76" i="12"/>
  <c r="V76" i="12"/>
  <c r="O76" i="12"/>
  <c r="U76" i="12" s="1"/>
  <c r="N76" i="12"/>
  <c r="AW26" i="12"/>
  <c r="AS26" i="12"/>
  <c r="AP26" i="12"/>
  <c r="AI26" i="12"/>
  <c r="AB26" i="12"/>
  <c r="V26" i="12"/>
  <c r="Z26" i="12" s="1"/>
  <c r="O26" i="12"/>
  <c r="U26" i="12" s="1"/>
  <c r="N26" i="12"/>
  <c r="AW30" i="12"/>
  <c r="AS30" i="12"/>
  <c r="AP30" i="12"/>
  <c r="AI30" i="12"/>
  <c r="AB30" i="12"/>
  <c r="AL30" i="12" s="1"/>
  <c r="V30" i="12"/>
  <c r="Z30" i="12" s="1"/>
  <c r="U30" i="12"/>
  <c r="O30" i="12"/>
  <c r="N30" i="12"/>
  <c r="I30" i="12"/>
  <c r="AW98" i="12"/>
  <c r="AS98" i="12"/>
  <c r="AP98" i="12"/>
  <c r="I98" i="12" s="1"/>
  <c r="AI98" i="12"/>
  <c r="AB98" i="12"/>
  <c r="AL98" i="12" s="1"/>
  <c r="V98" i="12"/>
  <c r="Z98" i="12" s="1"/>
  <c r="O98" i="12"/>
  <c r="U98" i="12" s="1"/>
  <c r="N98" i="12"/>
  <c r="AW67" i="12"/>
  <c r="AS67" i="12"/>
  <c r="AP67" i="12"/>
  <c r="I67" i="12" s="1"/>
  <c r="AI67" i="12"/>
  <c r="AL67" i="12" s="1"/>
  <c r="AB67" i="12"/>
  <c r="V67" i="12"/>
  <c r="Z67" i="12" s="1"/>
  <c r="O67" i="12"/>
  <c r="U67" i="12" s="1"/>
  <c r="N67" i="12"/>
  <c r="AW77" i="12"/>
  <c r="I77" i="12" s="1"/>
  <c r="AS77" i="12"/>
  <c r="AP77" i="12"/>
  <c r="AI77" i="12"/>
  <c r="AB77" i="12"/>
  <c r="AL77" i="12" s="1"/>
  <c r="Z77" i="12"/>
  <c r="V77" i="12"/>
  <c r="O77" i="12"/>
  <c r="U77" i="12" s="1"/>
  <c r="N77" i="12"/>
  <c r="H77" i="12" s="1"/>
  <c r="AW165" i="12"/>
  <c r="I165" i="12" s="1"/>
  <c r="AS165" i="12"/>
  <c r="AP165" i="12"/>
  <c r="AI165" i="12"/>
  <c r="AB165" i="12"/>
  <c r="V165" i="12"/>
  <c r="Z165" i="12" s="1"/>
  <c r="U165" i="12"/>
  <c r="O165" i="12"/>
  <c r="N165" i="12"/>
  <c r="AW29" i="12"/>
  <c r="AS29" i="12"/>
  <c r="AP29" i="12"/>
  <c r="AI29" i="12"/>
  <c r="AL29" i="12" s="1"/>
  <c r="Z29" i="12"/>
  <c r="O29" i="12"/>
  <c r="U29" i="12" s="1"/>
  <c r="H29" i="12" s="1"/>
  <c r="N29" i="12"/>
  <c r="AW104" i="12"/>
  <c r="AS104" i="12"/>
  <c r="AP104" i="12"/>
  <c r="I104" i="12" s="1"/>
  <c r="AI104" i="12"/>
  <c r="AB104" i="12"/>
  <c r="V104" i="12"/>
  <c r="Z104" i="12" s="1"/>
  <c r="O104" i="12"/>
  <c r="U104" i="12" s="1"/>
  <c r="N104" i="12"/>
  <c r="AW99" i="12"/>
  <c r="AS99" i="12"/>
  <c r="AP99" i="12"/>
  <c r="AI99" i="12"/>
  <c r="AB99" i="12"/>
  <c r="AL99" i="12" s="1"/>
  <c r="V99" i="12"/>
  <c r="Z99" i="12" s="1"/>
  <c r="U99" i="12"/>
  <c r="O99" i="12"/>
  <c r="N99" i="12"/>
  <c r="AW194" i="12"/>
  <c r="AS194" i="12"/>
  <c r="AP194" i="12"/>
  <c r="AI194" i="12"/>
  <c r="AB194" i="12"/>
  <c r="V194" i="12"/>
  <c r="Z194" i="12" s="1"/>
  <c r="O194" i="12"/>
  <c r="U194" i="12" s="1"/>
  <c r="N194" i="12"/>
  <c r="L180" i="11"/>
  <c r="E180" i="11" s="1"/>
  <c r="L179" i="11"/>
  <c r="E179" i="11" s="1"/>
  <c r="L152" i="11"/>
  <c r="E152" i="11" s="1"/>
  <c r="L124" i="11"/>
  <c r="E124" i="11" s="1"/>
  <c r="L121" i="11"/>
  <c r="E121" i="11" s="1"/>
  <c r="L165" i="11"/>
  <c r="E165" i="11" s="1"/>
  <c r="L98" i="11"/>
  <c r="E98" i="11" s="1"/>
  <c r="L49" i="11"/>
  <c r="E49" i="11" s="1"/>
  <c r="L29" i="11"/>
  <c r="E29" i="11" s="1"/>
  <c r="L13" i="11"/>
  <c r="E13" i="11" s="1"/>
  <c r="L28" i="11"/>
  <c r="E28" i="11"/>
  <c r="L102" i="11"/>
  <c r="E102" i="11" s="1"/>
  <c r="L188" i="11"/>
  <c r="E188" i="11" s="1"/>
  <c r="L117" i="11"/>
  <c r="E117" i="11" s="1"/>
  <c r="L119" i="11"/>
  <c r="E119" i="11" s="1"/>
  <c r="L64" i="11"/>
  <c r="E64" i="11" s="1"/>
  <c r="L99" i="11"/>
  <c r="E99" i="11" s="1"/>
  <c r="L84" i="11"/>
  <c r="E84" i="11" s="1"/>
  <c r="L83" i="11"/>
  <c r="E83" i="11" s="1"/>
  <c r="L187" i="11"/>
  <c r="E187" i="11" s="1"/>
  <c r="L134" i="11"/>
  <c r="E134" i="11" s="1"/>
  <c r="L100" i="11"/>
  <c r="E100" i="11" s="1"/>
  <c r="L178" i="11"/>
  <c r="E178" i="11" s="1"/>
  <c r="L128" i="11"/>
  <c r="E128" i="11" s="1"/>
  <c r="L33" i="11"/>
  <c r="E33" i="11" s="1"/>
  <c r="L107" i="11"/>
  <c r="E107" i="11" s="1"/>
  <c r="L11" i="11"/>
  <c r="E11" i="11"/>
  <c r="L63" i="11"/>
  <c r="E63" i="11" s="1"/>
  <c r="L123" i="11"/>
  <c r="E123" i="11" s="1"/>
  <c r="L153" i="11"/>
  <c r="E153" i="11" s="1"/>
  <c r="L81" i="11"/>
  <c r="E81" i="11"/>
  <c r="L95" i="11"/>
  <c r="E95" i="11" s="1"/>
  <c r="L78" i="11"/>
  <c r="E78" i="11" s="1"/>
  <c r="L130" i="11"/>
  <c r="E130" i="11" s="1"/>
  <c r="L16" i="11"/>
  <c r="E16" i="11" s="1"/>
  <c r="L201" i="11"/>
  <c r="E201" i="11" s="1"/>
  <c r="L139" i="11"/>
  <c r="E139" i="11" s="1"/>
  <c r="L177" i="11"/>
  <c r="E177" i="11" s="1"/>
  <c r="L169" i="11"/>
  <c r="E169" i="11" s="1"/>
  <c r="L40" i="11"/>
  <c r="E40" i="11" s="1"/>
  <c r="L44" i="11"/>
  <c r="E44" i="11" s="1"/>
  <c r="L25" i="11"/>
  <c r="E25" i="11" s="1"/>
  <c r="L195" i="11"/>
  <c r="E195" i="11"/>
  <c r="L87" i="11"/>
  <c r="E87" i="11" s="1"/>
  <c r="L71" i="11"/>
  <c r="E71" i="11" s="1"/>
  <c r="L151" i="11"/>
  <c r="E151" i="11" s="1"/>
  <c r="L75" i="11"/>
  <c r="E75" i="11" s="1"/>
  <c r="L145" i="11"/>
  <c r="E145" i="11" s="1"/>
  <c r="L7" i="11"/>
  <c r="E7" i="11" s="1"/>
  <c r="L93" i="11"/>
  <c r="E93" i="11" s="1"/>
  <c r="L167" i="11"/>
  <c r="E167" i="11" s="1"/>
  <c r="L67" i="11"/>
  <c r="E67" i="11" s="1"/>
  <c r="L112" i="11"/>
  <c r="E112" i="11" s="1"/>
  <c r="L9" i="11"/>
  <c r="E9" i="11" s="1"/>
  <c r="L39" i="11"/>
  <c r="E39" i="11" s="1"/>
  <c r="L88" i="11"/>
  <c r="E88" i="11" s="1"/>
  <c r="L129" i="11"/>
  <c r="E129" i="11" s="1"/>
  <c r="L113" i="11"/>
  <c r="E113" i="11" s="1"/>
  <c r="L72" i="11"/>
  <c r="E72" i="11"/>
  <c r="L197" i="11"/>
  <c r="E197" i="11" s="1"/>
  <c r="L101" i="11"/>
  <c r="E101" i="11" s="1"/>
  <c r="L147" i="11"/>
  <c r="E147" i="11" s="1"/>
  <c r="L114" i="11"/>
  <c r="E114" i="11"/>
  <c r="L156" i="11"/>
  <c r="E156" i="11" s="1"/>
  <c r="L65" i="11"/>
  <c r="E65" i="11" s="1"/>
  <c r="L38" i="11"/>
  <c r="E38" i="11" s="1"/>
  <c r="L69" i="11"/>
  <c r="E69" i="11" s="1"/>
  <c r="L176" i="11"/>
  <c r="E176" i="11" s="1"/>
  <c r="L198" i="11"/>
  <c r="E198" i="11" s="1"/>
  <c r="L137" i="11"/>
  <c r="E137" i="11" s="1"/>
  <c r="L24" i="11"/>
  <c r="E24" i="11" s="1"/>
  <c r="L27" i="11"/>
  <c r="E27" i="11" s="1"/>
  <c r="L140" i="11"/>
  <c r="E140" i="11" s="1"/>
  <c r="L133" i="11"/>
  <c r="E133" i="11" s="1"/>
  <c r="L161" i="11"/>
  <c r="E161" i="11"/>
  <c r="L159" i="11"/>
  <c r="E159" i="11" s="1"/>
  <c r="L183" i="11"/>
  <c r="E183" i="11" s="1"/>
  <c r="L106" i="11"/>
  <c r="E106" i="11" s="1"/>
  <c r="L58" i="11"/>
  <c r="E58" i="11" s="1"/>
  <c r="L135" i="11"/>
  <c r="E135" i="11" s="1"/>
  <c r="L6" i="11"/>
  <c r="E6" i="11" s="1"/>
  <c r="L103" i="11"/>
  <c r="E103" i="11" s="1"/>
  <c r="L132" i="11"/>
  <c r="E132" i="11" s="1"/>
  <c r="L80" i="11"/>
  <c r="E80" i="11" s="1"/>
  <c r="L62" i="11"/>
  <c r="E62" i="11" s="1"/>
  <c r="L168" i="11"/>
  <c r="E168" i="11" s="1"/>
  <c r="L143" i="11"/>
  <c r="E143" i="11" s="1"/>
  <c r="L5" i="11"/>
  <c r="E5" i="11" s="1"/>
  <c r="L171" i="11"/>
  <c r="E171" i="11" s="1"/>
  <c r="L118" i="11"/>
  <c r="E118" i="11" s="1"/>
  <c r="L82" i="11"/>
  <c r="E82" i="11" s="1"/>
  <c r="L190" i="11"/>
  <c r="E190" i="11" s="1"/>
  <c r="L194" i="11"/>
  <c r="E194" i="11" s="1"/>
  <c r="L20" i="11"/>
  <c r="E20" i="11" s="1"/>
  <c r="L30" i="11"/>
  <c r="E30" i="11"/>
  <c r="L43" i="11"/>
  <c r="E43" i="11" s="1"/>
  <c r="L8" i="11"/>
  <c r="E8" i="11" s="1"/>
  <c r="L109" i="11"/>
  <c r="E109" i="11" s="1"/>
  <c r="L192" i="11"/>
  <c r="E192" i="11" s="1"/>
  <c r="L166" i="11"/>
  <c r="E166" i="11" s="1"/>
  <c r="L91" i="11"/>
  <c r="E91" i="11" s="1"/>
  <c r="L56" i="11"/>
  <c r="E56" i="11" s="1"/>
  <c r="L148" i="11"/>
  <c r="E148" i="11" s="1"/>
  <c r="L68" i="11"/>
  <c r="E68" i="11" s="1"/>
  <c r="L41" i="11"/>
  <c r="E41" i="11" s="1"/>
  <c r="L110" i="11"/>
  <c r="E110" i="11" s="1"/>
  <c r="L36" i="11"/>
  <c r="E36" i="11" s="1"/>
  <c r="L136" i="11"/>
  <c r="E136" i="11" s="1"/>
  <c r="L163" i="11"/>
  <c r="E163" i="11" s="1"/>
  <c r="L173" i="11"/>
  <c r="E173" i="11" s="1"/>
  <c r="L55" i="11"/>
  <c r="E55" i="11" s="1"/>
  <c r="L73" i="11"/>
  <c r="E73" i="11" s="1"/>
  <c r="L45" i="11"/>
  <c r="E45" i="11" s="1"/>
  <c r="L122" i="11"/>
  <c r="E122" i="11" s="1"/>
  <c r="L26" i="11"/>
  <c r="E26" i="11" s="1"/>
  <c r="L15" i="11"/>
  <c r="E15" i="11" s="1"/>
  <c r="L66" i="11"/>
  <c r="E66" i="11" s="1"/>
  <c r="L89" i="11"/>
  <c r="E89" i="11" s="1"/>
  <c r="L74" i="11"/>
  <c r="E74" i="11" s="1"/>
  <c r="L149" i="11"/>
  <c r="E149" i="11" s="1"/>
  <c r="L144" i="11"/>
  <c r="E144" i="11" s="1"/>
  <c r="L17" i="11"/>
  <c r="E17" i="11" s="1"/>
  <c r="L59" i="11"/>
  <c r="E59" i="11" s="1"/>
  <c r="L50" i="11"/>
  <c r="E50" i="11" s="1"/>
  <c r="L120" i="11"/>
  <c r="E120" i="11" s="1"/>
  <c r="L181" i="11"/>
  <c r="E181" i="11" s="1"/>
  <c r="L125" i="11"/>
  <c r="E125" i="11" s="1"/>
  <c r="L186" i="11"/>
  <c r="E186" i="11" s="1"/>
  <c r="L182" i="11"/>
  <c r="E182" i="11" s="1"/>
  <c r="L138" i="11"/>
  <c r="E138" i="11" s="1"/>
  <c r="L94" i="11"/>
  <c r="E94" i="11" s="1"/>
  <c r="L14" i="11"/>
  <c r="E14" i="11" s="1"/>
  <c r="L162" i="11"/>
  <c r="E162" i="11" s="1"/>
  <c r="L22" i="11"/>
  <c r="E22" i="11" s="1"/>
  <c r="L86" i="11"/>
  <c r="E86" i="11" s="1"/>
  <c r="L157" i="11"/>
  <c r="E157" i="11" s="1"/>
  <c r="L141" i="11"/>
  <c r="E141" i="11" s="1"/>
  <c r="L19" i="11"/>
  <c r="E19" i="11" s="1"/>
  <c r="L12" i="11"/>
  <c r="E12" i="11" s="1"/>
  <c r="L116" i="11"/>
  <c r="E116" i="11" s="1"/>
  <c r="L189" i="11"/>
  <c r="E189" i="11" s="1"/>
  <c r="L150" i="11"/>
  <c r="E150" i="11" s="1"/>
  <c r="L18" i="11"/>
  <c r="E18" i="11" s="1"/>
  <c r="L185" i="11"/>
  <c r="E185" i="11" s="1"/>
  <c r="L160" i="11"/>
  <c r="E160" i="11" s="1"/>
  <c r="L108" i="11"/>
  <c r="E108" i="11" s="1"/>
  <c r="L77" i="11"/>
  <c r="E77" i="11" s="1"/>
  <c r="L97" i="11"/>
  <c r="E97" i="11" s="1"/>
  <c r="L111" i="11"/>
  <c r="E111" i="11" s="1"/>
  <c r="L96" i="11"/>
  <c r="E96" i="11" s="1"/>
  <c r="L155" i="11"/>
  <c r="E155" i="11" s="1"/>
  <c r="L34" i="11"/>
  <c r="E34" i="11" s="1"/>
  <c r="L52" i="11"/>
  <c r="E52" i="11" s="1"/>
  <c r="L32" i="11"/>
  <c r="E32" i="11" s="1"/>
  <c r="L104" i="11"/>
  <c r="E104" i="11" s="1"/>
  <c r="L57" i="11"/>
  <c r="E57" i="11" s="1"/>
  <c r="L170" i="11"/>
  <c r="E170" i="11" s="1"/>
  <c r="L42" i="11"/>
  <c r="E42" i="11" s="1"/>
  <c r="L175" i="11"/>
  <c r="E175" i="11" s="1"/>
  <c r="L196" i="11"/>
  <c r="E196" i="11" s="1"/>
  <c r="L154" i="11"/>
  <c r="E154" i="11" s="1"/>
  <c r="L90" i="11"/>
  <c r="E90" i="11" s="1"/>
  <c r="L70" i="11"/>
  <c r="E70" i="11" s="1"/>
  <c r="L46" i="11"/>
  <c r="E46" i="11" s="1"/>
  <c r="L199" i="11"/>
  <c r="E199" i="11" s="1"/>
  <c r="L200" i="11"/>
  <c r="E200" i="11" s="1"/>
  <c r="L47" i="11"/>
  <c r="E47" i="11" s="1"/>
  <c r="L172" i="11"/>
  <c r="E172" i="11" s="1"/>
  <c r="L146" i="11"/>
  <c r="E146" i="11" s="1"/>
  <c r="L127" i="11"/>
  <c r="E127" i="11" s="1"/>
  <c r="L191" i="11"/>
  <c r="E191" i="11" s="1"/>
  <c r="L193" i="11"/>
  <c r="E193" i="11" s="1"/>
  <c r="L76" i="11"/>
  <c r="E76" i="11" s="1"/>
  <c r="L10" i="11"/>
  <c r="E10" i="11" s="1"/>
  <c r="L79" i="11"/>
  <c r="E79" i="11" s="1"/>
  <c r="L142" i="11"/>
  <c r="E142" i="11" s="1"/>
  <c r="L61" i="11"/>
  <c r="E61" i="11" s="1"/>
  <c r="L131" i="11"/>
  <c r="E131" i="11" s="1"/>
  <c r="L126" i="11"/>
  <c r="E126" i="11" s="1"/>
  <c r="L184" i="11"/>
  <c r="E184" i="11" s="1"/>
  <c r="L105" i="11"/>
  <c r="E105" i="11" s="1"/>
  <c r="L35" i="11"/>
  <c r="E35" i="11" s="1"/>
  <c r="L23" i="11"/>
  <c r="E23" i="11" s="1"/>
  <c r="L54" i="11"/>
  <c r="E54" i="11" s="1"/>
  <c r="L158" i="11"/>
  <c r="E158" i="11" s="1"/>
  <c r="L31" i="11"/>
  <c r="E31" i="11" s="1"/>
  <c r="L60" i="11"/>
  <c r="E60" i="11" s="1"/>
  <c r="L92" i="11"/>
  <c r="E92" i="11" s="1"/>
  <c r="L21" i="11"/>
  <c r="E21" i="11" s="1"/>
  <c r="L37" i="11"/>
  <c r="E37" i="11" s="1"/>
  <c r="L51" i="11"/>
  <c r="E51" i="11" s="1"/>
  <c r="L48" i="11"/>
  <c r="E48" i="11" s="1"/>
  <c r="L53" i="11"/>
  <c r="E53" i="11" s="1"/>
  <c r="L174" i="11"/>
  <c r="E174" i="11" s="1"/>
  <c r="L4" i="11"/>
  <c r="E4" i="11" s="1"/>
  <c r="L115" i="11"/>
  <c r="E115" i="11" s="1"/>
  <c r="L85" i="11"/>
  <c r="E85" i="11" s="1"/>
  <c r="L164" i="11"/>
  <c r="E164" i="11" s="1"/>
  <c r="E79" i="15" l="1"/>
  <c r="E30" i="15"/>
  <c r="E139" i="15"/>
  <c r="E68" i="15"/>
  <c r="E164" i="15"/>
  <c r="E145" i="15"/>
  <c r="E151" i="15"/>
  <c r="E160" i="15"/>
  <c r="E119" i="15"/>
  <c r="E76" i="15"/>
  <c r="E47" i="15"/>
  <c r="E92" i="15"/>
  <c r="E21" i="15"/>
  <c r="E157" i="15"/>
  <c r="E193" i="15"/>
  <c r="E27" i="15"/>
  <c r="E62" i="15"/>
  <c r="E147" i="15"/>
  <c r="E81" i="15"/>
  <c r="E73" i="15"/>
  <c r="E170" i="15"/>
  <c r="E54" i="15"/>
  <c r="E106" i="15"/>
  <c r="E57" i="15"/>
  <c r="E24" i="15"/>
  <c r="E72" i="15"/>
  <c r="E33" i="15"/>
  <c r="E48" i="15"/>
  <c r="E169" i="15"/>
  <c r="E96" i="15"/>
  <c r="E165" i="15"/>
  <c r="E110" i="15"/>
  <c r="E86" i="15"/>
  <c r="E116" i="15"/>
  <c r="E108" i="15"/>
  <c r="E172" i="15"/>
  <c r="E189" i="15"/>
  <c r="E70" i="15"/>
  <c r="E140" i="15"/>
  <c r="E191" i="15"/>
  <c r="E6" i="15"/>
  <c r="E20" i="15"/>
  <c r="E88" i="15"/>
  <c r="E61" i="15"/>
  <c r="E100" i="15"/>
  <c r="E134" i="15"/>
  <c r="E167" i="15"/>
  <c r="E49" i="15"/>
  <c r="E194" i="15"/>
  <c r="E55" i="15"/>
  <c r="E74" i="15"/>
  <c r="E129" i="15"/>
  <c r="E199" i="15"/>
  <c r="E176" i="15"/>
  <c r="E133" i="15"/>
  <c r="E187" i="15"/>
  <c r="E171" i="15"/>
  <c r="E154" i="15"/>
  <c r="E18" i="15"/>
  <c r="E137" i="15"/>
  <c r="E114" i="15"/>
  <c r="E186" i="15"/>
  <c r="E67" i="15"/>
  <c r="E178" i="15"/>
  <c r="E201" i="15"/>
  <c r="E120" i="15"/>
  <c r="E63" i="15"/>
  <c r="E59" i="15"/>
  <c r="E115" i="15"/>
  <c r="E143" i="15"/>
  <c r="E52" i="15"/>
  <c r="E44" i="15"/>
  <c r="E85" i="15"/>
  <c r="E112" i="15"/>
  <c r="E23" i="15"/>
  <c r="E15" i="15"/>
  <c r="E36" i="15"/>
  <c r="E80" i="15"/>
  <c r="E149" i="15"/>
  <c r="E182" i="15"/>
  <c r="E95" i="15"/>
  <c r="E144" i="15"/>
  <c r="E180" i="15"/>
  <c r="E168" i="15"/>
  <c r="E51" i="15"/>
  <c r="E50" i="15"/>
  <c r="E200" i="15"/>
  <c r="E8" i="15"/>
  <c r="E150" i="15"/>
  <c r="E65" i="15"/>
  <c r="E53" i="15"/>
  <c r="E197" i="15"/>
  <c r="E75" i="15"/>
  <c r="E113" i="15"/>
  <c r="E99" i="15"/>
  <c r="E31" i="15"/>
  <c r="E173" i="15"/>
  <c r="E153" i="15"/>
  <c r="E117" i="15"/>
  <c r="E40" i="15"/>
  <c r="E7" i="15"/>
  <c r="E195" i="15"/>
  <c r="E130" i="15"/>
  <c r="E141" i="15"/>
  <c r="E102" i="15"/>
  <c r="E77" i="15"/>
  <c r="E177" i="15"/>
  <c r="E198" i="15"/>
  <c r="E188" i="15"/>
  <c r="E78" i="15"/>
  <c r="E142" i="15"/>
  <c r="E162" i="15"/>
  <c r="E71" i="15"/>
  <c r="E101" i="15"/>
  <c r="E109" i="15"/>
  <c r="E5" i="15"/>
  <c r="E64" i="15"/>
  <c r="E45" i="15"/>
  <c r="E25" i="15"/>
  <c r="E22" i="15"/>
  <c r="E183" i="15"/>
  <c r="E87" i="15"/>
  <c r="E161" i="15"/>
  <c r="E138" i="15"/>
  <c r="E91" i="15"/>
  <c r="E123" i="15"/>
  <c r="E163" i="15"/>
  <c r="E196" i="15"/>
  <c r="E26" i="15"/>
  <c r="E181" i="15"/>
  <c r="E13" i="15"/>
  <c r="E185" i="15"/>
  <c r="E190" i="15"/>
  <c r="E179" i="15"/>
  <c r="E121" i="15"/>
  <c r="E69" i="15"/>
  <c r="E94" i="15"/>
  <c r="E38" i="15"/>
  <c r="E32" i="15"/>
  <c r="E84" i="15"/>
  <c r="E11" i="15"/>
  <c r="E192" i="15"/>
  <c r="E34" i="15"/>
  <c r="E152" i="15"/>
  <c r="E35" i="15"/>
  <c r="E122" i="15"/>
  <c r="E132" i="15"/>
  <c r="E43" i="15"/>
  <c r="E60" i="15"/>
  <c r="E66" i="14"/>
  <c r="E120" i="14"/>
  <c r="E100" i="14"/>
  <c r="E68" i="14"/>
  <c r="E77" i="14"/>
  <c r="E156" i="14"/>
  <c r="E62" i="14"/>
  <c r="E29" i="14"/>
  <c r="E17" i="14"/>
  <c r="E71" i="14"/>
  <c r="E187" i="14"/>
  <c r="E76" i="14"/>
  <c r="E183" i="14"/>
  <c r="E5" i="14"/>
  <c r="E137" i="14"/>
  <c r="E180" i="14"/>
  <c r="E134" i="14"/>
  <c r="E113" i="14"/>
  <c r="E58" i="14"/>
  <c r="E121" i="14"/>
  <c r="E141" i="14"/>
  <c r="E116" i="14"/>
  <c r="E26" i="14"/>
  <c r="E168" i="14"/>
  <c r="E63" i="14"/>
  <c r="E195" i="14"/>
  <c r="E95" i="14"/>
  <c r="E105" i="14"/>
  <c r="E8" i="14"/>
  <c r="E197" i="14"/>
  <c r="E74" i="14"/>
  <c r="E85" i="14"/>
  <c r="E161" i="14"/>
  <c r="E200" i="14"/>
  <c r="E16" i="14"/>
  <c r="E91" i="14"/>
  <c r="E133" i="14"/>
  <c r="E41" i="14"/>
  <c r="E142" i="14"/>
  <c r="E170" i="14"/>
  <c r="E128" i="14"/>
  <c r="E184" i="14"/>
  <c r="E82" i="14"/>
  <c r="E123" i="14"/>
  <c r="E196" i="14"/>
  <c r="E185" i="14"/>
  <c r="E37" i="14"/>
  <c r="E147" i="14"/>
  <c r="E182" i="14"/>
  <c r="E89" i="14"/>
  <c r="E93" i="14"/>
  <c r="E130" i="14"/>
  <c r="E122" i="14"/>
  <c r="E189" i="14"/>
  <c r="E151" i="14"/>
  <c r="E87" i="14"/>
  <c r="E96" i="14"/>
  <c r="E160" i="14"/>
  <c r="E23" i="14"/>
  <c r="E27" i="14"/>
  <c r="E132" i="14"/>
  <c r="E138" i="14"/>
  <c r="E70" i="14"/>
  <c r="E86" i="14"/>
  <c r="E20" i="14"/>
  <c r="E56" i="14"/>
  <c r="E188" i="14"/>
  <c r="E152" i="14"/>
  <c r="E106" i="14"/>
  <c r="E192" i="14"/>
  <c r="E162" i="14"/>
  <c r="E31" i="14"/>
  <c r="E15" i="14"/>
  <c r="E88" i="14"/>
  <c r="E10" i="14"/>
  <c r="E35" i="14"/>
  <c r="E67" i="14"/>
  <c r="E114" i="14"/>
  <c r="E13" i="14"/>
  <c r="E90" i="14"/>
  <c r="E103" i="14"/>
  <c r="E9" i="14"/>
  <c r="E174" i="14"/>
  <c r="E177" i="14"/>
  <c r="E30" i="14"/>
  <c r="E126" i="14"/>
  <c r="E83" i="14"/>
  <c r="E119" i="14"/>
  <c r="E186" i="14"/>
  <c r="E135" i="14"/>
  <c r="E165" i="14"/>
  <c r="E33" i="14"/>
  <c r="E111" i="14"/>
  <c r="E173" i="14"/>
  <c r="E124" i="14"/>
  <c r="E14" i="14"/>
  <c r="E201" i="14"/>
  <c r="E28" i="14"/>
  <c r="E17" i="13"/>
  <c r="E34" i="13"/>
  <c r="E51" i="13"/>
  <c r="E58" i="13"/>
  <c r="E65" i="13"/>
  <c r="E72" i="13"/>
  <c r="E76" i="13"/>
  <c r="E83" i="13"/>
  <c r="E90" i="13"/>
  <c r="E97" i="13"/>
  <c r="E104" i="13"/>
  <c r="E108" i="13"/>
  <c r="E115" i="13"/>
  <c r="E122" i="13"/>
  <c r="E129" i="13"/>
  <c r="E136" i="13"/>
  <c r="E140" i="13"/>
  <c r="E143" i="13"/>
  <c r="E147" i="13"/>
  <c r="E154" i="13"/>
  <c r="E161" i="13"/>
  <c r="E168" i="13"/>
  <c r="E172" i="13"/>
  <c r="E175" i="13"/>
  <c r="E179" i="13"/>
  <c r="E192" i="13"/>
  <c r="E199" i="13"/>
  <c r="E8" i="13"/>
  <c r="E12" i="13"/>
  <c r="E25" i="13"/>
  <c r="E42" i="13"/>
  <c r="E55" i="13"/>
  <c r="E87" i="13"/>
  <c r="E119" i="13"/>
  <c r="E187" i="13"/>
  <c r="E9" i="13"/>
  <c r="E26" i="13"/>
  <c r="E43" i="13"/>
  <c r="E63" i="13"/>
  <c r="E95" i="13"/>
  <c r="E184" i="13"/>
  <c r="E10" i="13"/>
  <c r="E27" i="13"/>
  <c r="E40" i="13"/>
  <c r="E44" i="13"/>
  <c r="E71" i="13"/>
  <c r="E103" i="13"/>
  <c r="E185" i="13"/>
  <c r="G77" i="12"/>
  <c r="I71" i="12"/>
  <c r="I125" i="12"/>
  <c r="H42" i="12"/>
  <c r="H25" i="12"/>
  <c r="G25" i="12" s="1"/>
  <c r="H76" i="12"/>
  <c r="G76" i="12" s="1"/>
  <c r="I59" i="12"/>
  <c r="I37" i="12"/>
  <c r="I120" i="12"/>
  <c r="H198" i="12"/>
  <c r="I31" i="12"/>
  <c r="H131" i="12"/>
  <c r="G131" i="12" s="1"/>
  <c r="AL194" i="12"/>
  <c r="I26" i="12"/>
  <c r="H115" i="12"/>
  <c r="H87" i="12"/>
  <c r="H157" i="12"/>
  <c r="I76" i="12"/>
  <c r="AL38" i="12"/>
  <c r="H38" i="12" s="1"/>
  <c r="AL139" i="12"/>
  <c r="H170" i="12"/>
  <c r="H75" i="12"/>
  <c r="G75" i="12" s="1"/>
  <c r="I20" i="12"/>
  <c r="H34" i="12"/>
  <c r="H190" i="12"/>
  <c r="H81" i="12"/>
  <c r="G81" i="12" s="1"/>
  <c r="H159" i="12"/>
  <c r="G159" i="12" s="1"/>
  <c r="H141" i="12"/>
  <c r="G141" i="12" s="1"/>
  <c r="I141" i="12"/>
  <c r="I70" i="12"/>
  <c r="I40" i="12"/>
  <c r="I65" i="12"/>
  <c r="H184" i="12"/>
  <c r="H55" i="12"/>
  <c r="G55" i="12" s="1"/>
  <c r="I55" i="12"/>
  <c r="I105" i="12"/>
  <c r="I91" i="12"/>
  <c r="G91" i="12" s="1"/>
  <c r="H154" i="12"/>
  <c r="G154" i="12" s="1"/>
  <c r="AL15" i="12"/>
  <c r="H51" i="12"/>
  <c r="H112" i="12"/>
  <c r="AL161" i="12"/>
  <c r="H161" i="12" s="1"/>
  <c r="I194" i="12"/>
  <c r="AL155" i="12"/>
  <c r="I28" i="12"/>
  <c r="H64" i="12"/>
  <c r="G64" i="12" s="1"/>
  <c r="AL152" i="12"/>
  <c r="H152" i="12" s="1"/>
  <c r="AL44" i="12"/>
  <c r="H44" i="12" s="1"/>
  <c r="G44" i="12" s="1"/>
  <c r="I115" i="12"/>
  <c r="I42" i="12"/>
  <c r="AL79" i="12"/>
  <c r="I57" i="12"/>
  <c r="I157" i="12"/>
  <c r="I200" i="12"/>
  <c r="AL72" i="12"/>
  <c r="I97" i="12"/>
  <c r="AL136" i="12"/>
  <c r="H40" i="12"/>
  <c r="G40" i="12" s="1"/>
  <c r="AL89" i="12"/>
  <c r="H89" i="12" s="1"/>
  <c r="G89" i="12" s="1"/>
  <c r="I81" i="12"/>
  <c r="I61" i="12"/>
  <c r="H177" i="12"/>
  <c r="G177" i="12" s="1"/>
  <c r="I177" i="12"/>
  <c r="AL104" i="12"/>
  <c r="AL165" i="12"/>
  <c r="H165" i="12" s="1"/>
  <c r="G165" i="12" s="1"/>
  <c r="AL26" i="12"/>
  <c r="H26" i="12" s="1"/>
  <c r="G26" i="12" s="1"/>
  <c r="I155" i="12"/>
  <c r="I119" i="12"/>
  <c r="AL129" i="12"/>
  <c r="H139" i="12"/>
  <c r="I139" i="12"/>
  <c r="I56" i="12"/>
  <c r="AL52" i="12"/>
  <c r="H52" i="12" s="1"/>
  <c r="G52" i="12" s="1"/>
  <c r="H11" i="12"/>
  <c r="AL118" i="12"/>
  <c r="H118" i="12" s="1"/>
  <c r="G118" i="12" s="1"/>
  <c r="I193" i="12"/>
  <c r="G193" i="12" s="1"/>
  <c r="I95" i="12"/>
  <c r="I85" i="12"/>
  <c r="H127" i="12"/>
  <c r="G127" i="12" s="1"/>
  <c r="I121" i="12"/>
  <c r="AL16" i="12"/>
  <c r="H16" i="12" s="1"/>
  <c r="G16" i="12" s="1"/>
  <c r="I9" i="12"/>
  <c r="I191" i="12"/>
  <c r="I83" i="12"/>
  <c r="H74" i="12"/>
  <c r="AL53" i="12"/>
  <c r="I35" i="12"/>
  <c r="G35" i="12" s="1"/>
  <c r="I89" i="12"/>
  <c r="I202" i="12"/>
  <c r="I22" i="12"/>
  <c r="I156" i="12"/>
  <c r="I101" i="12"/>
  <c r="I169" i="12"/>
  <c r="I69" i="12"/>
  <c r="H73" i="12"/>
  <c r="I8" i="12"/>
  <c r="AL116" i="12"/>
  <c r="H116" i="12" s="1"/>
  <c r="G116" i="12" s="1"/>
  <c r="H132" i="12"/>
  <c r="H63" i="12"/>
  <c r="I29" i="12"/>
  <c r="G29" i="12" s="1"/>
  <c r="I168" i="12"/>
  <c r="G168" i="12" s="1"/>
  <c r="I21" i="12"/>
  <c r="I52" i="12"/>
  <c r="I11" i="12"/>
  <c r="H85" i="12"/>
  <c r="I187" i="12"/>
  <c r="H46" i="12"/>
  <c r="G46" i="12" s="1"/>
  <c r="I46" i="12"/>
  <c r="H94" i="12"/>
  <c r="I94" i="12"/>
  <c r="H45" i="12"/>
  <c r="I45" i="12"/>
  <c r="I87" i="12"/>
  <c r="H185" i="12"/>
  <c r="G185" i="12" s="1"/>
  <c r="I16" i="12"/>
  <c r="I132" i="12"/>
  <c r="AL153" i="12"/>
  <c r="H153" i="12" s="1"/>
  <c r="G153" i="12" s="1"/>
  <c r="AL195" i="12"/>
  <c r="H195" i="12" s="1"/>
  <c r="I117" i="12"/>
  <c r="I136" i="12"/>
  <c r="H180" i="12"/>
  <c r="G180" i="12" s="1"/>
  <c r="I151" i="12"/>
  <c r="I173" i="12"/>
  <c r="I66" i="12"/>
  <c r="AL47" i="12"/>
  <c r="AL140" i="12"/>
  <c r="H140" i="12" s="1"/>
  <c r="G140" i="12" s="1"/>
  <c r="H162" i="12"/>
  <c r="I163" i="12"/>
  <c r="H84" i="12"/>
  <c r="I99" i="12"/>
  <c r="I124" i="12"/>
  <c r="AL125" i="12"/>
  <c r="H125" i="12" s="1"/>
  <c r="G125" i="12" s="1"/>
  <c r="I129" i="12"/>
  <c r="I133" i="12"/>
  <c r="H68" i="12"/>
  <c r="G68" i="12" s="1"/>
  <c r="AL128" i="12"/>
  <c r="H128" i="12" s="1"/>
  <c r="G128" i="12" s="1"/>
  <c r="AL60" i="12"/>
  <c r="I170" i="12"/>
  <c r="H135" i="12"/>
  <c r="I135" i="12"/>
  <c r="H172" i="12"/>
  <c r="H95" i="12"/>
  <c r="G95" i="12" s="1"/>
  <c r="I192" i="12"/>
  <c r="AL145" i="12"/>
  <c r="H10" i="12"/>
  <c r="G10" i="12" s="1"/>
  <c r="AL31" i="12"/>
  <c r="AL120" i="12"/>
  <c r="H120" i="12" s="1"/>
  <c r="G120" i="12" s="1"/>
  <c r="AL109" i="12"/>
  <c r="H109" i="12" s="1"/>
  <c r="G109" i="12" s="1"/>
  <c r="AL36" i="12"/>
  <c r="H36" i="12" s="1"/>
  <c r="G36" i="12" s="1"/>
  <c r="AL13" i="12"/>
  <c r="H96" i="12"/>
  <c r="H19" i="12"/>
  <c r="G19" i="12" s="1"/>
  <c r="H80" i="12"/>
  <c r="G80" i="12" s="1"/>
  <c r="I90" i="12"/>
  <c r="AL92" i="12"/>
  <c r="I153" i="12"/>
  <c r="H158" i="12"/>
  <c r="G158" i="12" s="1"/>
  <c r="H6" i="12"/>
  <c r="G6" i="12" s="1"/>
  <c r="I41" i="12"/>
  <c r="I142" i="12"/>
  <c r="I195" i="12"/>
  <c r="I74" i="12"/>
  <c r="AL70" i="12"/>
  <c r="H70" i="12" s="1"/>
  <c r="G70" i="12" s="1"/>
  <c r="AL65" i="12"/>
  <c r="H173" i="12"/>
  <c r="I47" i="12"/>
  <c r="AL189" i="12"/>
  <c r="I140" i="12"/>
  <c r="H101" i="12"/>
  <c r="G101" i="12" s="1"/>
  <c r="H69" i="12"/>
  <c r="G69" i="12" s="1"/>
  <c r="I63" i="12"/>
  <c r="H23" i="12"/>
  <c r="G23" i="12" s="1"/>
  <c r="H163" i="12"/>
  <c r="G163" i="12" s="1"/>
  <c r="I197" i="12"/>
  <c r="G197" i="12" s="1"/>
  <c r="AL18" i="12"/>
  <c r="H18" i="12" s="1"/>
  <c r="G18" i="12" s="1"/>
  <c r="H148" i="12"/>
  <c r="G148" i="12" s="1"/>
  <c r="I148" i="12"/>
  <c r="H183" i="12"/>
  <c r="G183" i="12" s="1"/>
  <c r="H187" i="12"/>
  <c r="I150" i="12"/>
  <c r="H57" i="12"/>
  <c r="G57" i="12" s="1"/>
  <c r="H166" i="12"/>
  <c r="AL200" i="12"/>
  <c r="H200" i="12" s="1"/>
  <c r="G200" i="12" s="1"/>
  <c r="I33" i="12"/>
  <c r="I167" i="12"/>
  <c r="I92" i="12"/>
  <c r="AL110" i="12"/>
  <c r="H110" i="12" s="1"/>
  <c r="G110" i="12" s="1"/>
  <c r="AL97" i="12"/>
  <c r="H97" i="12" s="1"/>
  <c r="G97" i="12" s="1"/>
  <c r="AL186" i="12"/>
  <c r="AL58" i="12"/>
  <c r="H58" i="12" s="1"/>
  <c r="G58" i="12" s="1"/>
  <c r="AL144" i="12"/>
  <c r="I190" i="12"/>
  <c r="AL5" i="12"/>
  <c r="H47" i="12"/>
  <c r="G47" i="12" s="1"/>
  <c r="I137" i="12"/>
  <c r="I181" i="12"/>
  <c r="AL86" i="12"/>
  <c r="I84" i="12"/>
  <c r="H67" i="12"/>
  <c r="G67" i="12" s="1"/>
  <c r="H98" i="12"/>
  <c r="G98" i="12" s="1"/>
  <c r="H119" i="12"/>
  <c r="G119" i="12" s="1"/>
  <c r="H194" i="12"/>
  <c r="G194" i="12" s="1"/>
  <c r="H30" i="12"/>
  <c r="G30" i="12" s="1"/>
  <c r="H71" i="12"/>
  <c r="G71" i="12" s="1"/>
  <c r="H99" i="12"/>
  <c r="G99" i="12" s="1"/>
  <c r="H104" i="12"/>
  <c r="G104" i="12" s="1"/>
  <c r="H155" i="12"/>
  <c r="G155" i="12" s="1"/>
  <c r="G28" i="12"/>
  <c r="I38" i="12"/>
  <c r="AL174" i="12"/>
  <c r="H174" i="12" s="1"/>
  <c r="I182" i="12"/>
  <c r="G182" i="12" s="1"/>
  <c r="H178" i="12"/>
  <c r="G178" i="12" s="1"/>
  <c r="AL103" i="12"/>
  <c r="H103" i="12" s="1"/>
  <c r="H179" i="12"/>
  <c r="G179" i="12" s="1"/>
  <c r="H37" i="12"/>
  <c r="G37" i="12" s="1"/>
  <c r="H20" i="12"/>
  <c r="G20" i="12" s="1"/>
  <c r="I172" i="12"/>
  <c r="G172" i="12" s="1"/>
  <c r="AL12" i="12"/>
  <c r="H12" i="12" s="1"/>
  <c r="G12" i="12" s="1"/>
  <c r="I39" i="12"/>
  <c r="H145" i="12"/>
  <c r="G145" i="12" s="1"/>
  <c r="H31" i="12"/>
  <c r="G31" i="12" s="1"/>
  <c r="H79" i="12"/>
  <c r="G79" i="12" s="1"/>
  <c r="G157" i="12"/>
  <c r="H50" i="12"/>
  <c r="G50" i="12" s="1"/>
  <c r="I174" i="12"/>
  <c r="I198" i="12"/>
  <c r="G198" i="12" s="1"/>
  <c r="I103" i="12"/>
  <c r="H39" i="12"/>
  <c r="I183" i="12"/>
  <c r="G85" i="12"/>
  <c r="AL21" i="12"/>
  <c r="H21" i="12" s="1"/>
  <c r="G21" i="12" s="1"/>
  <c r="H56" i="12"/>
  <c r="G56" i="12" s="1"/>
  <c r="AL199" i="12"/>
  <c r="H199" i="12" s="1"/>
  <c r="G199" i="12" s="1"/>
  <c r="H106" i="12"/>
  <c r="G106" i="12" s="1"/>
  <c r="I82" i="12"/>
  <c r="AL138" i="12"/>
  <c r="H138" i="12" s="1"/>
  <c r="G138" i="12" s="1"/>
  <c r="H59" i="12"/>
  <c r="G59" i="12" s="1"/>
  <c r="H129" i="12"/>
  <c r="G129" i="12" s="1"/>
  <c r="H201" i="12"/>
  <c r="G201" i="12" s="1"/>
  <c r="H43" i="12"/>
  <c r="G43" i="12" s="1"/>
  <c r="H146" i="12"/>
  <c r="G146" i="12" s="1"/>
  <c r="H149" i="12"/>
  <c r="G149" i="12" s="1"/>
  <c r="G187" i="12"/>
  <c r="H78" i="12"/>
  <c r="G78" i="12" s="1"/>
  <c r="H15" i="12"/>
  <c r="G15" i="12" s="1"/>
  <c r="G139" i="12"/>
  <c r="H124" i="12"/>
  <c r="G124" i="12" s="1"/>
  <c r="AL133" i="12"/>
  <c r="H133" i="12" s="1"/>
  <c r="G133" i="12" s="1"/>
  <c r="H60" i="12"/>
  <c r="G60" i="12" s="1"/>
  <c r="H93" i="12"/>
  <c r="G93" i="12" s="1"/>
  <c r="I152" i="12"/>
  <c r="H171" i="12"/>
  <c r="G171" i="12" s="1"/>
  <c r="H113" i="12"/>
  <c r="G113" i="12" s="1"/>
  <c r="H82" i="12"/>
  <c r="H107" i="12"/>
  <c r="G107" i="12" s="1"/>
  <c r="H192" i="12"/>
  <c r="G192" i="12" s="1"/>
  <c r="G96" i="12"/>
  <c r="I166" i="12"/>
  <c r="G166" i="12" s="1"/>
  <c r="AL121" i="12"/>
  <c r="H121" i="12" s="1"/>
  <c r="G121" i="12" s="1"/>
  <c r="H191" i="12"/>
  <c r="G191" i="12" s="1"/>
  <c r="H53" i="12"/>
  <c r="G53" i="12" s="1"/>
  <c r="H27" i="12"/>
  <c r="G27" i="12" s="1"/>
  <c r="H22" i="12"/>
  <c r="G22" i="12" s="1"/>
  <c r="H134" i="12"/>
  <c r="G134" i="12" s="1"/>
  <c r="H169" i="12"/>
  <c r="G169" i="12" s="1"/>
  <c r="I73" i="12"/>
  <c r="G73" i="12" s="1"/>
  <c r="AL8" i="12"/>
  <c r="H8" i="12" s="1"/>
  <c r="G8" i="12" s="1"/>
  <c r="H33" i="12"/>
  <c r="G33" i="12" s="1"/>
  <c r="H90" i="12"/>
  <c r="G90" i="12" s="1"/>
  <c r="G167" i="12"/>
  <c r="H92" i="12"/>
  <c r="G92" i="12" s="1"/>
  <c r="H41" i="12"/>
  <c r="G41" i="12" s="1"/>
  <c r="H54" i="12"/>
  <c r="G54" i="12" s="1"/>
  <c r="G184" i="12"/>
  <c r="H14" i="12"/>
  <c r="G14" i="12" s="1"/>
  <c r="G162" i="12"/>
  <c r="H13" i="12"/>
  <c r="G13" i="12" s="1"/>
  <c r="I51" i="12"/>
  <c r="G51" i="12" s="1"/>
  <c r="H62" i="12"/>
  <c r="G62" i="12" s="1"/>
  <c r="I161" i="12"/>
  <c r="H108" i="12"/>
  <c r="G108" i="12" s="1"/>
  <c r="I110" i="12"/>
  <c r="H143" i="12"/>
  <c r="G143" i="12" s="1"/>
  <c r="I147" i="12"/>
  <c r="H186" i="12"/>
  <c r="G186" i="12" s="1"/>
  <c r="H126" i="12"/>
  <c r="G126" i="12" s="1"/>
  <c r="H65" i="12"/>
  <c r="G65" i="12" s="1"/>
  <c r="H160" i="12"/>
  <c r="G160" i="12" s="1"/>
  <c r="H130" i="12"/>
  <c r="G130" i="12" s="1"/>
  <c r="H142" i="12"/>
  <c r="G142" i="12" s="1"/>
  <c r="H24" i="12"/>
  <c r="G24" i="12" s="1"/>
  <c r="H147" i="12"/>
  <c r="G147" i="12" s="1"/>
  <c r="H117" i="12"/>
  <c r="G117" i="12" s="1"/>
  <c r="H144" i="12"/>
  <c r="G144" i="12" s="1"/>
  <c r="H7" i="12"/>
  <c r="G7" i="12" s="1"/>
  <c r="H137" i="12"/>
  <c r="G137" i="12" s="1"/>
  <c r="H122" i="12"/>
  <c r="G122" i="12" s="1"/>
  <c r="H86" i="12"/>
  <c r="G86" i="12" s="1"/>
  <c r="H5" i="12"/>
  <c r="G5" i="12" s="1"/>
  <c r="H189" i="12"/>
  <c r="G189" i="12" s="1"/>
  <c r="G61" i="12"/>
  <c r="H100" i="12"/>
  <c r="G100" i="12" s="1"/>
  <c r="H176" i="12"/>
  <c r="G176" i="12" s="1"/>
  <c r="H196" i="12"/>
  <c r="G196" i="12" s="1"/>
  <c r="H72" i="12"/>
  <c r="G72" i="12" s="1"/>
  <c r="H136" i="12"/>
  <c r="G136" i="12" s="1"/>
  <c r="H151" i="12"/>
  <c r="G151" i="12" s="1"/>
  <c r="G173" i="12"/>
  <c r="H114" i="12"/>
  <c r="G114" i="12" s="1"/>
  <c r="H105" i="12"/>
  <c r="G105" i="12" s="1"/>
  <c r="H181" i="12"/>
  <c r="I17" i="12"/>
  <c r="H164" i="12"/>
  <c r="G164" i="12" s="1"/>
  <c r="H150" i="12"/>
  <c r="G150" i="12" s="1"/>
  <c r="AL175" i="12"/>
  <c r="H175" i="12" s="1"/>
  <c r="G175" i="12" s="1"/>
  <c r="I112" i="12"/>
  <c r="G112" i="12" s="1"/>
  <c r="AL48" i="12"/>
  <c r="H48" i="12" s="1"/>
  <c r="G48" i="12" s="1"/>
  <c r="H188" i="12"/>
  <c r="G188" i="12" s="1"/>
  <c r="H9" i="12"/>
  <c r="G9" i="12" s="1"/>
  <c r="H83" i="12"/>
  <c r="G83" i="12" s="1"/>
  <c r="I34" i="12"/>
  <c r="G34" i="12" s="1"/>
  <c r="H66" i="12"/>
  <c r="G66" i="12" s="1"/>
  <c r="H202" i="12"/>
  <c r="G202" i="12" s="1"/>
  <c r="H156" i="12"/>
  <c r="G156" i="12" s="1"/>
  <c r="H32" i="12"/>
  <c r="G32" i="12" s="1"/>
  <c r="H88" i="12"/>
  <c r="G88" i="12" s="1"/>
  <c r="H102" i="12"/>
  <c r="G102" i="12" s="1"/>
  <c r="H17" i="12"/>
  <c r="G17" i="12" s="1"/>
  <c r="G181" i="12" l="1"/>
  <c r="G103" i="12"/>
  <c r="G132" i="12"/>
  <c r="G87" i="12"/>
  <c r="G195" i="12"/>
  <c r="G45" i="12"/>
  <c r="G11" i="12"/>
  <c r="G170" i="12"/>
  <c r="G115" i="12"/>
  <c r="G161" i="12"/>
  <c r="G174" i="12"/>
  <c r="G38" i="12"/>
  <c r="G135" i="12"/>
  <c r="G94" i="12"/>
  <c r="G190" i="12"/>
  <c r="G74" i="12"/>
  <c r="G152" i="12"/>
  <c r="G84" i="12"/>
  <c r="G63" i="12"/>
  <c r="G42" i="12"/>
  <c r="G39" i="12"/>
  <c r="G82" i="12"/>
  <c r="E161" i="10" l="1"/>
  <c r="J161" i="10" s="1"/>
  <c r="E135" i="10"/>
  <c r="J135" i="10" s="1"/>
  <c r="E189" i="10"/>
  <c r="J189" i="10" s="1"/>
  <c r="E150" i="10"/>
  <c r="J150" i="10" s="1"/>
  <c r="E192" i="10"/>
  <c r="J192" i="10" s="1"/>
  <c r="E44" i="10"/>
  <c r="J44" i="10" s="1"/>
  <c r="E116" i="10"/>
  <c r="J116" i="10" s="1"/>
  <c r="E53" i="10"/>
  <c r="J53" i="10" s="1"/>
  <c r="E160" i="10"/>
  <c r="J160" i="10" s="1"/>
  <c r="E64" i="10"/>
  <c r="J64" i="10" s="1"/>
  <c r="E110" i="10"/>
  <c r="J110" i="10" s="1"/>
  <c r="E111" i="10"/>
  <c r="J111" i="10" s="1"/>
  <c r="E171" i="10"/>
  <c r="J171" i="10" s="1"/>
  <c r="E43" i="10"/>
  <c r="J43" i="10" s="1"/>
  <c r="E134" i="10"/>
  <c r="J134" i="10" s="1"/>
  <c r="J168" i="10"/>
  <c r="E168" i="10"/>
  <c r="E108" i="10"/>
  <c r="J108" i="10" s="1"/>
  <c r="E88" i="10"/>
  <c r="J88" i="10" s="1"/>
  <c r="E42" i="10"/>
  <c r="J42" i="10" s="1"/>
  <c r="J133" i="10"/>
  <c r="E133" i="10"/>
  <c r="E102" i="10"/>
  <c r="J102" i="10" s="1"/>
  <c r="E136" i="10"/>
  <c r="J136" i="10" s="1"/>
  <c r="E124" i="10"/>
  <c r="J124" i="10" s="1"/>
  <c r="J149" i="10"/>
  <c r="E149" i="10"/>
  <c r="E41" i="10"/>
  <c r="J41" i="10" s="1"/>
  <c r="E198" i="10"/>
  <c r="J198" i="10" s="1"/>
  <c r="E40" i="10"/>
  <c r="J40" i="10" s="1"/>
  <c r="E39" i="10"/>
  <c r="J39" i="10" s="1"/>
  <c r="E38" i="10"/>
  <c r="J38" i="10" s="1"/>
  <c r="E179" i="10"/>
  <c r="J179" i="10" s="1"/>
  <c r="E37" i="10"/>
  <c r="J37" i="10" s="1"/>
  <c r="J36" i="10"/>
  <c r="E36" i="10"/>
  <c r="E35" i="10"/>
  <c r="J35" i="10" s="1"/>
  <c r="E148" i="10"/>
  <c r="J148" i="10" s="1"/>
  <c r="E46" i="10"/>
  <c r="J46" i="10" s="1"/>
  <c r="E183" i="10"/>
  <c r="J183" i="10" s="1"/>
  <c r="E141" i="10"/>
  <c r="J141" i="10" s="1"/>
  <c r="E175" i="10"/>
  <c r="J175" i="10" s="1"/>
  <c r="E34" i="10"/>
  <c r="J34" i="10" s="1"/>
  <c r="E33" i="10"/>
  <c r="J33" i="10" s="1"/>
  <c r="E69" i="10"/>
  <c r="J69" i="10" s="1"/>
  <c r="E73" i="10"/>
  <c r="J73" i="10" s="1"/>
  <c r="E91" i="10"/>
  <c r="J91" i="10" s="1"/>
  <c r="E32" i="10"/>
  <c r="J32" i="10" s="1"/>
  <c r="E87" i="10"/>
  <c r="J87" i="10" s="1"/>
  <c r="E123" i="10"/>
  <c r="J123" i="10" s="1"/>
  <c r="E182" i="10"/>
  <c r="J182" i="10" s="1"/>
  <c r="J101" i="10"/>
  <c r="E101" i="10"/>
  <c r="E31" i="10"/>
  <c r="J31" i="10" s="1"/>
  <c r="E30" i="10"/>
  <c r="J30" i="10" s="1"/>
  <c r="E147" i="10"/>
  <c r="J147" i="10" s="1"/>
  <c r="J194" i="10"/>
  <c r="E194" i="10"/>
  <c r="E68" i="10"/>
  <c r="J68" i="10" s="1"/>
  <c r="E56" i="10"/>
  <c r="J56" i="10" s="1"/>
  <c r="E86" i="10"/>
  <c r="J86" i="10" s="1"/>
  <c r="J72" i="10"/>
  <c r="E72" i="10"/>
  <c r="E178" i="10"/>
  <c r="J178" i="10" s="1"/>
  <c r="E104" i="10"/>
  <c r="J104" i="10" s="1"/>
  <c r="E85" i="10"/>
  <c r="J85" i="10" s="1"/>
  <c r="E146" i="10"/>
  <c r="J146" i="10" s="1"/>
  <c r="E29" i="10"/>
  <c r="J29" i="10" s="1"/>
  <c r="E181" i="10"/>
  <c r="J181" i="10" s="1"/>
  <c r="E28" i="10"/>
  <c r="J28" i="10" s="1"/>
  <c r="J188" i="10"/>
  <c r="E188" i="10"/>
  <c r="E90" i="10"/>
  <c r="J90" i="10" s="1"/>
  <c r="E27" i="10"/>
  <c r="J27" i="10" s="1"/>
  <c r="E84" i="10"/>
  <c r="J84" i="10" s="1"/>
  <c r="E155" i="10"/>
  <c r="J155" i="10" s="1"/>
  <c r="E118" i="10"/>
  <c r="J118" i="10" s="1"/>
  <c r="E163" i="10"/>
  <c r="J163" i="10" s="1"/>
  <c r="E26" i="10"/>
  <c r="J26" i="10" s="1"/>
  <c r="J63" i="10"/>
  <c r="E63" i="10"/>
  <c r="E140" i="10"/>
  <c r="J140" i="10" s="1"/>
  <c r="E25" i="10"/>
  <c r="J25" i="10" s="1"/>
  <c r="E62" i="10"/>
  <c r="J62" i="10" s="1"/>
  <c r="E197" i="10"/>
  <c r="J197" i="10" s="1"/>
  <c r="E159" i="10"/>
  <c r="J159" i="10" s="1"/>
  <c r="E132" i="10"/>
  <c r="J132" i="10" s="1"/>
  <c r="E67" i="10"/>
  <c r="J67" i="10" s="1"/>
  <c r="J83" i="10"/>
  <c r="E83" i="10"/>
  <c r="E24" i="10"/>
  <c r="J24" i="10" s="1"/>
  <c r="E100" i="10"/>
  <c r="J100" i="10" s="1"/>
  <c r="E23" i="10"/>
  <c r="J23" i="10" s="1"/>
  <c r="J170" i="10"/>
  <c r="E170" i="10"/>
  <c r="E82" i="10"/>
  <c r="J82" i="10" s="1"/>
  <c r="E99" i="10"/>
  <c r="J99" i="10" s="1"/>
  <c r="E22" i="10"/>
  <c r="J22" i="10" s="1"/>
  <c r="J52" i="10"/>
  <c r="E52" i="10"/>
  <c r="E193" i="10"/>
  <c r="J193" i="10" s="1"/>
  <c r="E89" i="10"/>
  <c r="J89" i="10" s="1"/>
  <c r="E126" i="10"/>
  <c r="J126" i="10" s="1"/>
  <c r="E109" i="10"/>
  <c r="J109" i="10" s="1"/>
  <c r="E152" i="10"/>
  <c r="J152" i="10" s="1"/>
  <c r="E21" i="10"/>
  <c r="J21" i="10" s="1"/>
  <c r="E20" i="10"/>
  <c r="J20" i="10" s="1"/>
  <c r="J19" i="10"/>
  <c r="E19" i="10"/>
  <c r="E187" i="10"/>
  <c r="J187" i="10" s="1"/>
  <c r="E115" i="10"/>
  <c r="J115" i="10" s="1"/>
  <c r="E98" i="10"/>
  <c r="J98" i="10" s="1"/>
  <c r="E131" i="10"/>
  <c r="J131" i="10" s="1"/>
  <c r="E18" i="10"/>
  <c r="J18" i="10" s="1"/>
  <c r="E81" i="10"/>
  <c r="J81" i="10" s="1"/>
  <c r="E122" i="10"/>
  <c r="J122" i="10" s="1"/>
  <c r="J121" i="10"/>
  <c r="E121" i="10"/>
  <c r="E45" i="10"/>
  <c r="J45" i="10" s="1"/>
  <c r="E74" i="10"/>
  <c r="J74" i="10" s="1"/>
  <c r="E196" i="10"/>
  <c r="J196" i="10" s="1"/>
  <c r="E17" i="10"/>
  <c r="J17" i="10" s="1"/>
  <c r="E167" i="10"/>
  <c r="J167" i="10" s="1"/>
  <c r="E145" i="10"/>
  <c r="J145" i="10" s="1"/>
  <c r="E103" i="10"/>
  <c r="J103" i="10" s="1"/>
  <c r="J16" i="10"/>
  <c r="E16" i="10"/>
  <c r="E130" i="10"/>
  <c r="J130" i="10" s="1"/>
  <c r="E71" i="10"/>
  <c r="J71" i="10" s="1"/>
  <c r="E166" i="10"/>
  <c r="J166" i="10" s="1"/>
  <c r="E15" i="10"/>
  <c r="J15" i="10" s="1"/>
  <c r="E180" i="10"/>
  <c r="J180" i="10" s="1"/>
  <c r="E191" i="10"/>
  <c r="J191" i="10" s="1"/>
  <c r="E174" i="10"/>
  <c r="J174" i="10" s="1"/>
  <c r="J151" i="10"/>
  <c r="E151" i="10"/>
  <c r="E14" i="10"/>
  <c r="J14" i="10" s="1"/>
  <c r="E70" i="10"/>
  <c r="J70" i="10" s="1"/>
  <c r="E129" i="10"/>
  <c r="J129" i="10" s="1"/>
  <c r="E114" i="10"/>
  <c r="J114" i="10" s="1"/>
  <c r="E80" i="10"/>
  <c r="J80" i="10" s="1"/>
  <c r="E61" i="10"/>
  <c r="J61" i="10" s="1"/>
  <c r="E158" i="10"/>
  <c r="J158" i="10" s="1"/>
  <c r="J107" i="10"/>
  <c r="E107" i="10"/>
  <c r="E13" i="10"/>
  <c r="J13" i="10" s="1"/>
  <c r="E97" i="10"/>
  <c r="J97" i="10" s="1"/>
  <c r="E96" i="10"/>
  <c r="J96" i="10" s="1"/>
  <c r="E55" i="10"/>
  <c r="J55" i="10" s="1"/>
  <c r="E120" i="10"/>
  <c r="J120" i="10" s="1"/>
  <c r="E51" i="10"/>
  <c r="J51" i="10" s="1"/>
  <c r="E95" i="10"/>
  <c r="J95" i="10" s="1"/>
  <c r="J79" i="10"/>
  <c r="E79" i="10"/>
  <c r="E12" i="10"/>
  <c r="J12" i="10" s="1"/>
  <c r="E66" i="10"/>
  <c r="J66" i="10" s="1"/>
  <c r="E177" i="10"/>
  <c r="J177" i="10" s="1"/>
  <c r="E138" i="10"/>
  <c r="J138" i="10" s="1"/>
  <c r="E11" i="10"/>
  <c r="J11" i="10" s="1"/>
  <c r="E165" i="10"/>
  <c r="J165" i="10" s="1"/>
  <c r="E137" i="10"/>
  <c r="J137" i="10" s="1"/>
  <c r="J164" i="10"/>
  <c r="E164" i="10"/>
  <c r="E186" i="10"/>
  <c r="J186" i="10" s="1"/>
  <c r="E113" i="10"/>
  <c r="J113" i="10" s="1"/>
  <c r="E119" i="10"/>
  <c r="J119" i="10" s="1"/>
  <c r="E10" i="10"/>
  <c r="J10" i="10" s="1"/>
  <c r="E106" i="10"/>
  <c r="J106" i="10" s="1"/>
  <c r="E60" i="10"/>
  <c r="J60" i="10" s="1"/>
  <c r="E78" i="10"/>
  <c r="J78" i="10" s="1"/>
  <c r="J65" i="10"/>
  <c r="E65" i="10"/>
  <c r="E144" i="10"/>
  <c r="J144" i="10" s="1"/>
  <c r="E50" i="10"/>
  <c r="J50" i="10" s="1"/>
  <c r="E128" i="10"/>
  <c r="J128" i="10" s="1"/>
  <c r="E9" i="10"/>
  <c r="J9" i="10" s="1"/>
  <c r="E143" i="10"/>
  <c r="J143" i="10" s="1"/>
  <c r="E176" i="10"/>
  <c r="J176" i="10" s="1"/>
  <c r="E77" i="10"/>
  <c r="J77" i="10" s="1"/>
  <c r="J157" i="10"/>
  <c r="E157" i="10"/>
  <c r="E190" i="10"/>
  <c r="J190" i="10" s="1"/>
  <c r="E94" i="10"/>
  <c r="J94" i="10" s="1"/>
  <c r="E173" i="10"/>
  <c r="J173" i="10" s="1"/>
  <c r="E154" i="10"/>
  <c r="J154" i="10" s="1"/>
  <c r="E59" i="10"/>
  <c r="J59" i="10" s="1"/>
  <c r="E169" i="10"/>
  <c r="J169" i="10" s="1"/>
  <c r="E142" i="10"/>
  <c r="J142" i="10" s="1"/>
  <c r="J8" i="10"/>
  <c r="E8" i="10"/>
  <c r="E185" i="10"/>
  <c r="J185" i="10" s="1"/>
  <c r="E172" i="10"/>
  <c r="J172" i="10" s="1"/>
  <c r="E76" i="10"/>
  <c r="J76" i="10" s="1"/>
  <c r="E58" i="10"/>
  <c r="J58" i="10" s="1"/>
  <c r="E153" i="10"/>
  <c r="J153" i="10" s="1"/>
  <c r="E49" i="10"/>
  <c r="J49" i="10" s="1"/>
  <c r="E54" i="10"/>
  <c r="J54" i="10" s="1"/>
  <c r="J112" i="10"/>
  <c r="E112" i="10"/>
  <c r="E7" i="10"/>
  <c r="J7" i="10" s="1"/>
  <c r="E105" i="10"/>
  <c r="J105" i="10" s="1"/>
  <c r="E93" i="10"/>
  <c r="J93" i="10" s="1"/>
  <c r="E57" i="10"/>
  <c r="J57" i="10" s="1"/>
  <c r="E156" i="10"/>
  <c r="J156" i="10" s="1"/>
  <c r="E6" i="10"/>
  <c r="J6" i="10" s="1"/>
  <c r="E184" i="10"/>
  <c r="J184" i="10" s="1"/>
  <c r="J125" i="10"/>
  <c r="E125" i="10"/>
  <c r="E75" i="10"/>
  <c r="J75" i="10" s="1"/>
  <c r="E162" i="10"/>
  <c r="J162" i="10" s="1"/>
  <c r="E48" i="10"/>
  <c r="J48" i="10" s="1"/>
  <c r="E5" i="10"/>
  <c r="J5" i="10" s="1"/>
  <c r="E92" i="10"/>
  <c r="J92" i="10" s="1"/>
  <c r="E117" i="10"/>
  <c r="J117" i="10" s="1"/>
  <c r="E4" i="10"/>
  <c r="J4" i="10" s="1"/>
  <c r="J139" i="10"/>
  <c r="E139" i="10"/>
  <c r="E3" i="10"/>
  <c r="J3" i="10" s="1"/>
  <c r="E127" i="10"/>
  <c r="J127" i="10" s="1"/>
  <c r="E47" i="10"/>
  <c r="J47" i="10" s="1"/>
  <c r="E195" i="10"/>
  <c r="J195" i="10" s="1"/>
  <c r="E201" i="9"/>
  <c r="E167" i="9"/>
  <c r="E141" i="9"/>
  <c r="E198" i="9"/>
  <c r="E79" i="9"/>
  <c r="E153" i="9"/>
  <c r="E93" i="9"/>
  <c r="E135" i="9"/>
  <c r="E15" i="9"/>
  <c r="E37" i="9"/>
  <c r="E33" i="9"/>
  <c r="E176" i="9"/>
  <c r="E58" i="9"/>
  <c r="E187" i="9"/>
  <c r="E111" i="9"/>
  <c r="E184" i="9"/>
  <c r="E131" i="9"/>
  <c r="E103" i="9"/>
  <c r="E90" i="9"/>
  <c r="E125" i="9"/>
  <c r="E144" i="9"/>
  <c r="E119" i="9"/>
  <c r="E54" i="9"/>
  <c r="E148" i="9"/>
  <c r="E158" i="9"/>
  <c r="E23" i="9"/>
  <c r="E197" i="9"/>
  <c r="E16" i="9"/>
  <c r="E10" i="9"/>
  <c r="E99" i="9"/>
  <c r="E199" i="9"/>
  <c r="E108" i="9"/>
  <c r="E75" i="9"/>
  <c r="E83" i="9"/>
  <c r="E129" i="9"/>
  <c r="E14" i="9"/>
  <c r="E194" i="9"/>
  <c r="E38" i="9"/>
  <c r="E190" i="9"/>
  <c r="E137" i="9"/>
  <c r="E17" i="9"/>
  <c r="E56" i="9"/>
  <c r="E48" i="9"/>
  <c r="E166" i="9"/>
  <c r="E73" i="9"/>
  <c r="E62" i="9"/>
  <c r="E130" i="9"/>
  <c r="E182" i="9"/>
  <c r="E85" i="9"/>
  <c r="E41" i="9"/>
  <c r="E91" i="9"/>
  <c r="E96" i="9"/>
  <c r="E143" i="9"/>
  <c r="E55" i="9"/>
  <c r="E180" i="9"/>
  <c r="E28" i="9"/>
  <c r="E69" i="9"/>
  <c r="E138" i="9"/>
  <c r="E106" i="9"/>
  <c r="E151" i="9"/>
  <c r="E154" i="9"/>
  <c r="E117" i="9"/>
  <c r="E200" i="9"/>
  <c r="E89" i="9"/>
  <c r="E178" i="9"/>
  <c r="E173" i="9"/>
  <c r="E6" i="9"/>
  <c r="E57" i="9"/>
  <c r="E164" i="9"/>
  <c r="E113" i="9"/>
  <c r="E195" i="9"/>
  <c r="E20" i="9"/>
  <c r="E13" i="9"/>
  <c r="E40" i="9"/>
  <c r="E88" i="9"/>
  <c r="E100" i="9"/>
  <c r="E193" i="9"/>
  <c r="E101" i="9"/>
  <c r="E127" i="9"/>
  <c r="E36" i="9"/>
  <c r="E60" i="9"/>
  <c r="E44" i="9"/>
  <c r="E59" i="9"/>
  <c r="E87" i="9"/>
  <c r="E68" i="9"/>
  <c r="E92" i="9"/>
  <c r="E192" i="9"/>
  <c r="E76" i="9"/>
  <c r="E26" i="9"/>
  <c r="E142" i="9"/>
  <c r="E123" i="9"/>
  <c r="E145" i="9"/>
  <c r="E152" i="9"/>
  <c r="E120" i="9"/>
  <c r="E64" i="9"/>
  <c r="E11" i="9"/>
  <c r="E39" i="9"/>
  <c r="E31" i="9"/>
  <c r="E191" i="9"/>
  <c r="E139" i="9"/>
  <c r="E104" i="9"/>
  <c r="E185" i="9"/>
  <c r="E35" i="9"/>
  <c r="E170" i="9"/>
  <c r="E107" i="9"/>
  <c r="E183" i="9"/>
  <c r="E61" i="9"/>
  <c r="E45" i="9"/>
  <c r="E181" i="9"/>
  <c r="E114" i="9"/>
  <c r="E147" i="9"/>
  <c r="E98" i="9"/>
  <c r="E109" i="9"/>
  <c r="E47" i="9"/>
  <c r="E110" i="9"/>
  <c r="E46" i="9"/>
  <c r="E51" i="9"/>
  <c r="E19" i="9"/>
  <c r="E196" i="9"/>
  <c r="E189" i="9"/>
  <c r="E157" i="9"/>
  <c r="E105" i="9"/>
  <c r="E12" i="9"/>
  <c r="E66" i="9"/>
  <c r="E53" i="9"/>
  <c r="E126" i="9"/>
  <c r="E160" i="9"/>
  <c r="E112" i="9"/>
  <c r="E115" i="9"/>
  <c r="E171" i="9"/>
  <c r="E169" i="9"/>
  <c r="E102" i="9"/>
  <c r="E29" i="9"/>
  <c r="E116" i="9"/>
  <c r="E9" i="9"/>
  <c r="E81" i="9"/>
  <c r="E155" i="9"/>
  <c r="E122" i="9"/>
  <c r="E21" i="9"/>
  <c r="E7" i="9"/>
  <c r="E78" i="9"/>
  <c r="E177" i="9"/>
  <c r="E163" i="9"/>
  <c r="E8" i="9"/>
  <c r="E188" i="9"/>
  <c r="E156" i="9"/>
  <c r="E161" i="9"/>
  <c r="E186" i="9"/>
  <c r="E74" i="9"/>
  <c r="E128" i="9"/>
  <c r="E133" i="9"/>
  <c r="E149" i="9"/>
  <c r="E4" i="9"/>
  <c r="E27" i="9"/>
  <c r="E42" i="9"/>
  <c r="E52" i="9"/>
  <c r="E22" i="9"/>
  <c r="E118" i="9"/>
  <c r="E25" i="9"/>
  <c r="E162" i="9"/>
  <c r="E165" i="9"/>
  <c r="E175" i="9"/>
  <c r="E49" i="9"/>
  <c r="E136" i="9"/>
  <c r="E43" i="9"/>
  <c r="E174" i="9"/>
  <c r="E172" i="9"/>
  <c r="E30" i="9"/>
  <c r="E159" i="9"/>
  <c r="E124" i="9"/>
  <c r="E63" i="9"/>
  <c r="E168" i="9"/>
  <c r="E121" i="9"/>
  <c r="E65" i="9"/>
  <c r="E146" i="9"/>
  <c r="E50" i="9"/>
  <c r="E77" i="9"/>
  <c r="E80" i="9"/>
  <c r="E86" i="9"/>
  <c r="E72" i="9"/>
  <c r="E67" i="9"/>
  <c r="E97" i="9"/>
  <c r="E5" i="9"/>
  <c r="E95" i="9"/>
  <c r="E71" i="9"/>
  <c r="E179" i="9"/>
  <c r="E150" i="9"/>
  <c r="E94" i="9"/>
  <c r="E134" i="9"/>
  <c r="E18" i="9"/>
  <c r="E24" i="9"/>
  <c r="E82" i="9"/>
  <c r="E34" i="9"/>
  <c r="E84" i="9"/>
  <c r="E132" i="9"/>
  <c r="E32" i="9"/>
  <c r="E140" i="9"/>
  <c r="E70" i="9"/>
  <c r="AH64" i="1" l="1"/>
  <c r="AA113" i="1" l="1"/>
  <c r="AA189" i="1" l="1"/>
  <c r="AA164" i="1"/>
  <c r="AA201" i="1"/>
  <c r="AA73" i="1"/>
  <c r="AA192" i="1"/>
  <c r="AA127" i="1"/>
  <c r="AA103" i="1"/>
  <c r="AA50" i="1"/>
  <c r="AA35" i="1"/>
  <c r="AA28" i="1"/>
  <c r="AA48" i="1"/>
  <c r="AA117" i="1"/>
  <c r="AA169" i="1"/>
  <c r="AA97" i="1"/>
  <c r="AA159" i="1"/>
  <c r="AA93" i="1"/>
  <c r="AA114" i="1"/>
  <c r="AA104" i="1"/>
  <c r="AA86" i="1"/>
  <c r="AA155" i="1"/>
  <c r="AA142" i="1"/>
  <c r="AA78" i="1"/>
  <c r="AA140" i="1"/>
  <c r="AA151" i="1"/>
  <c r="AA15" i="1"/>
  <c r="AA194" i="1"/>
  <c r="AA7" i="1"/>
  <c r="AA10" i="1"/>
  <c r="AA130" i="1"/>
  <c r="AA202" i="1"/>
  <c r="AA87" i="1"/>
  <c r="AA84" i="1"/>
  <c r="AA67" i="1"/>
  <c r="AA132" i="1"/>
  <c r="AA34" i="1"/>
  <c r="AA204" i="1"/>
  <c r="AA122" i="1"/>
  <c r="AA198" i="1"/>
  <c r="AA160" i="1"/>
  <c r="AA37" i="1"/>
  <c r="AA44" i="1"/>
  <c r="AA16" i="1"/>
  <c r="AA179" i="1"/>
  <c r="AA61" i="1"/>
  <c r="AA70" i="1"/>
  <c r="AA138" i="1"/>
  <c r="AA65" i="1"/>
  <c r="AA145" i="1"/>
  <c r="AA43" i="1"/>
  <c r="AA80" i="1"/>
  <c r="AA133" i="1"/>
  <c r="AA120" i="1"/>
  <c r="AA52" i="1"/>
  <c r="AA51" i="1"/>
  <c r="AA40" i="1"/>
  <c r="AA45" i="1"/>
  <c r="AA121" i="1"/>
  <c r="AA108" i="1"/>
  <c r="AA105" i="1"/>
  <c r="AA172" i="1"/>
  <c r="AA77" i="1"/>
  <c r="AA197" i="1"/>
  <c r="AA66" i="1"/>
  <c r="AA177" i="1"/>
  <c r="AA58" i="1"/>
  <c r="AA13" i="1"/>
  <c r="AA74" i="1"/>
  <c r="AA182" i="1"/>
  <c r="AA183" i="1"/>
  <c r="AA161" i="1"/>
  <c r="AA26" i="1"/>
  <c r="AA12" i="1"/>
  <c r="AA139" i="1"/>
  <c r="AA124" i="1"/>
  <c r="AA123" i="1"/>
  <c r="AA188" i="1"/>
  <c r="AA186" i="1"/>
  <c r="AA98" i="1"/>
  <c r="AA76" i="1"/>
  <c r="AA95" i="1"/>
  <c r="AA21" i="1"/>
  <c r="AA91" i="1"/>
  <c r="AA125" i="1"/>
  <c r="AA111" i="1"/>
  <c r="AA62" i="1"/>
  <c r="AA165" i="1"/>
  <c r="AA99" i="1"/>
  <c r="AA41" i="1"/>
  <c r="AA187" i="1"/>
  <c r="AA112" i="1"/>
  <c r="AA56" i="1"/>
  <c r="AA168" i="1"/>
  <c r="AA180" i="1"/>
  <c r="AA38" i="1"/>
  <c r="AA17" i="1"/>
  <c r="AA36" i="1"/>
  <c r="AA22" i="1"/>
  <c r="AA167" i="1"/>
  <c r="AA181" i="1"/>
  <c r="AA149" i="1"/>
  <c r="AA171" i="1"/>
  <c r="AA42" i="1"/>
  <c r="AA158" i="1"/>
  <c r="AA131" i="1"/>
  <c r="AA75" i="1"/>
  <c r="AA72" i="1"/>
  <c r="AA18" i="1"/>
  <c r="AA199" i="1"/>
  <c r="AA126" i="1"/>
  <c r="AA154" i="1"/>
  <c r="AA83" i="1"/>
  <c r="AA81" i="1"/>
  <c r="AA23" i="1"/>
  <c r="AA119" i="1"/>
  <c r="AA39" i="1"/>
  <c r="AA47" i="1"/>
  <c r="AA9" i="1"/>
  <c r="AA166" i="1"/>
  <c r="AA153" i="1"/>
  <c r="AA109" i="1"/>
  <c r="AA115" i="1"/>
  <c r="AA24" i="1"/>
  <c r="AA54" i="1"/>
  <c r="AA31" i="1"/>
  <c r="AA148" i="1"/>
  <c r="AA195" i="1"/>
  <c r="AA106" i="1"/>
  <c r="AA178" i="1"/>
  <c r="AA170" i="1"/>
  <c r="AA137" i="1"/>
  <c r="AA88" i="1"/>
  <c r="AA59" i="1"/>
  <c r="AA144" i="1"/>
  <c r="AA14" i="1"/>
  <c r="AA82" i="1"/>
  <c r="AA143" i="1"/>
  <c r="AA136" i="1"/>
  <c r="AA33" i="1"/>
  <c r="AA11" i="1"/>
  <c r="AA90" i="1"/>
  <c r="AA185" i="1"/>
  <c r="AA150" i="1"/>
  <c r="AA25" i="1"/>
  <c r="AA203" i="1"/>
  <c r="AA174" i="1"/>
  <c r="AA135" i="1"/>
  <c r="AA141" i="1"/>
  <c r="AA134" i="1"/>
  <c r="AA102" i="1"/>
  <c r="AA92" i="1"/>
  <c r="AA157" i="1"/>
  <c r="AA8" i="1"/>
  <c r="AA30" i="1"/>
  <c r="AA46" i="1"/>
  <c r="AA156" i="1"/>
  <c r="AA49" i="1"/>
  <c r="AA147" i="1"/>
  <c r="AA60" i="1"/>
  <c r="AA175" i="1"/>
  <c r="AA191" i="1"/>
  <c r="AA162" i="1"/>
  <c r="AA118" i="1"/>
  <c r="AA64" i="1"/>
  <c r="AA57" i="1"/>
  <c r="AA193" i="1"/>
  <c r="AA196" i="1"/>
  <c r="AA29" i="1"/>
  <c r="AA176" i="1"/>
  <c r="AA129" i="1"/>
  <c r="AA94" i="1"/>
  <c r="AA190" i="1"/>
  <c r="AA173" i="1"/>
  <c r="AA55" i="1"/>
  <c r="AA53" i="1"/>
  <c r="AA107" i="1"/>
  <c r="AA101" i="1"/>
  <c r="AA89" i="1"/>
  <c r="AA163" i="1"/>
  <c r="AA100" i="1"/>
  <c r="AA146" i="1"/>
  <c r="AA128" i="1"/>
  <c r="AA20" i="1"/>
  <c r="AA116" i="1"/>
  <c r="AA63" i="1"/>
  <c r="AA152" i="1"/>
  <c r="AA71" i="1"/>
  <c r="AA79" i="1"/>
  <c r="AA110" i="1"/>
  <c r="AA27" i="1"/>
  <c r="AA19" i="1"/>
  <c r="AA85" i="1"/>
  <c r="AA96" i="1"/>
  <c r="AA68" i="1"/>
  <c r="AA184" i="1"/>
  <c r="AA32" i="1"/>
  <c r="AA69" i="1"/>
  <c r="AA200" i="1"/>
  <c r="AZ21" i="1" l="1"/>
  <c r="AH160" i="1" l="1"/>
  <c r="AH172" i="1"/>
  <c r="AH124" i="1"/>
  <c r="AH99" i="1"/>
  <c r="AH97" i="1"/>
  <c r="AH126" i="1"/>
  <c r="AH86" i="1"/>
  <c r="AH90" i="1"/>
  <c r="AH127" i="1"/>
  <c r="AH125" i="1"/>
  <c r="AH80" i="1"/>
  <c r="AH66" i="1"/>
  <c r="AH26" i="1"/>
  <c r="AH19" i="1"/>
  <c r="AH116" i="1"/>
  <c r="AH120" i="1"/>
  <c r="AH117" i="1"/>
  <c r="AH89" i="1"/>
  <c r="AH91" i="1"/>
  <c r="AH85" i="1"/>
  <c r="AH76" i="1"/>
  <c r="AH72" i="1"/>
  <c r="AH59" i="1"/>
  <c r="AH110" i="1"/>
  <c r="AH43" i="1"/>
  <c r="AH74" i="1"/>
  <c r="AH54" i="1"/>
  <c r="AH55" i="1"/>
  <c r="AH82" i="1"/>
  <c r="AH70" i="1"/>
  <c r="AH49" i="1"/>
  <c r="AH69" i="1"/>
  <c r="AH45" i="1"/>
  <c r="AH52" i="1"/>
  <c r="AH41" i="1"/>
  <c r="AH37" i="1"/>
  <c r="AH39" i="1"/>
  <c r="AH44" i="1"/>
  <c r="AH34" i="1"/>
  <c r="AH40" i="1"/>
  <c r="AH32" i="1"/>
  <c r="AH46" i="1"/>
  <c r="AH27" i="1"/>
  <c r="AH36" i="1"/>
  <c r="AH42" i="1"/>
  <c r="AH30" i="1"/>
  <c r="AH33" i="1"/>
  <c r="AH24" i="1"/>
  <c r="AH21" i="1"/>
  <c r="AH28" i="1"/>
  <c r="AH22" i="1"/>
  <c r="AH20" i="1"/>
  <c r="AH14" i="1"/>
  <c r="AH12" i="1"/>
  <c r="AH25" i="1"/>
  <c r="AH9" i="1"/>
  <c r="AH11" i="1"/>
  <c r="AH13" i="1"/>
  <c r="AH8" i="1"/>
  <c r="AH10" i="1"/>
  <c r="AH17" i="1"/>
  <c r="AH7" i="1"/>
  <c r="AH199" i="1"/>
  <c r="AH201" i="1"/>
  <c r="AH200" i="1"/>
  <c r="AH194" i="1"/>
  <c r="AH197" i="1"/>
  <c r="AH159" i="1"/>
  <c r="AH171" i="1"/>
  <c r="AH153" i="1"/>
  <c r="AH166" i="1"/>
  <c r="AH151" i="1"/>
  <c r="AH188" i="1"/>
  <c r="AH158" i="1"/>
  <c r="AH139" i="1"/>
  <c r="AH177" i="1"/>
  <c r="AH112" i="1"/>
  <c r="AH132" i="1"/>
  <c r="AH142" i="1"/>
  <c r="AH131" i="1"/>
  <c r="AH152" i="1"/>
  <c r="AH129" i="1"/>
  <c r="AH95" i="1"/>
  <c r="AH93" i="1"/>
  <c r="AH75" i="1"/>
  <c r="AH100" i="1"/>
  <c r="AH83" i="1"/>
  <c r="AH103" i="1"/>
  <c r="AH115" i="1"/>
  <c r="AH73" i="1"/>
  <c r="AH78" i="1"/>
  <c r="AH109" i="1"/>
  <c r="AH121" i="1"/>
  <c r="AH56" i="1"/>
  <c r="AH53" i="1"/>
  <c r="AH81" i="1"/>
  <c r="AH38" i="1"/>
  <c r="AH71" i="1"/>
  <c r="AH65" i="1"/>
  <c r="AH58" i="1"/>
  <c r="AH51" i="1"/>
  <c r="AH47" i="1"/>
  <c r="AH48" i="1"/>
  <c r="AH31" i="1"/>
  <c r="AH18" i="1"/>
  <c r="AH23" i="1"/>
  <c r="AH15" i="1"/>
  <c r="AH16" i="1"/>
  <c r="AH192" i="1"/>
  <c r="AH195" i="1"/>
  <c r="AH156" i="1"/>
  <c r="AH163" i="1"/>
  <c r="AH161" i="1"/>
  <c r="AH134" i="1"/>
  <c r="AH130" i="1"/>
  <c r="AH96" i="1"/>
  <c r="AH88" i="1"/>
  <c r="AH128" i="1"/>
  <c r="AH135" i="1"/>
  <c r="AH148" i="1"/>
  <c r="AH92" i="1"/>
  <c r="AH107" i="1"/>
  <c r="AH84" i="1"/>
  <c r="AH87" i="1"/>
  <c r="AH106" i="1"/>
  <c r="AH118" i="1"/>
  <c r="AH104" i="1"/>
  <c r="AH137" i="1"/>
  <c r="AH119" i="1"/>
  <c r="AH63" i="1"/>
  <c r="AH79" i="1"/>
  <c r="AH68" i="1"/>
  <c r="AH67" i="1"/>
  <c r="AH111" i="1"/>
  <c r="AH108" i="1"/>
  <c r="AH60" i="1"/>
  <c r="AH105" i="1"/>
  <c r="AH102" i="1"/>
  <c r="AH77" i="1"/>
  <c r="AH57" i="1"/>
  <c r="AH50" i="1"/>
  <c r="AH29" i="1"/>
  <c r="AH35" i="1"/>
  <c r="AH203" i="1"/>
  <c r="AH202" i="1"/>
  <c r="AH204" i="1"/>
  <c r="AH198" i="1"/>
  <c r="AH189" i="1"/>
  <c r="AH196" i="1"/>
  <c r="AH174" i="1"/>
  <c r="AH167" i="1"/>
  <c r="AH184" i="1"/>
  <c r="AH178" i="1"/>
  <c r="AH193" i="1"/>
  <c r="AH191" i="1"/>
  <c r="AH185" i="1"/>
  <c r="AH190" i="1"/>
  <c r="AH175" i="1"/>
  <c r="AH162" i="1"/>
  <c r="AH181" i="1"/>
  <c r="AH145" i="1"/>
  <c r="AH183" i="1"/>
  <c r="AH186" i="1"/>
  <c r="AH176" i="1"/>
  <c r="AH179" i="1"/>
  <c r="AH182" i="1"/>
  <c r="AH180" i="1"/>
  <c r="AH157" i="1"/>
  <c r="AH187" i="1"/>
  <c r="AH165" i="1"/>
  <c r="AH150" i="1"/>
  <c r="AH173" i="1"/>
  <c r="AH114" i="1"/>
  <c r="AH136" i="1"/>
  <c r="AH169" i="1"/>
  <c r="AH149" i="1"/>
  <c r="AH141" i="1"/>
  <c r="AH170" i="1"/>
  <c r="AH144" i="1"/>
  <c r="AH123" i="1"/>
  <c r="AH155" i="1"/>
  <c r="AH113" i="1"/>
  <c r="AH168" i="1"/>
  <c r="AH138" i="1"/>
  <c r="AH122" i="1"/>
  <c r="AH164" i="1"/>
  <c r="AH154" i="1"/>
  <c r="AH147" i="1"/>
  <c r="AH143" i="1"/>
  <c r="AH61" i="1"/>
  <c r="AH94" i="1"/>
  <c r="AH146" i="1"/>
  <c r="AH101" i="1"/>
  <c r="AH133" i="1"/>
  <c r="AH98" i="1"/>
  <c r="AH140" i="1"/>
  <c r="AH62" i="1"/>
  <c r="V10" i="1" l="1"/>
  <c r="BL188" i="1" l="1"/>
  <c r="BL194" i="1"/>
  <c r="BL111" i="1"/>
  <c r="BL120" i="1"/>
  <c r="BL177" i="1"/>
  <c r="BL201" i="1"/>
  <c r="BL166" i="1"/>
  <c r="BL202" i="1"/>
  <c r="BL118" i="1"/>
  <c r="BL204" i="1"/>
  <c r="BL191" i="1"/>
  <c r="BL107" i="1"/>
  <c r="BL182" i="1"/>
  <c r="BL192" i="1"/>
  <c r="BL187" i="1"/>
  <c r="BL200" i="1"/>
  <c r="BL152" i="1"/>
  <c r="BL176" i="1"/>
  <c r="BL185" i="1"/>
  <c r="BL134" i="1"/>
  <c r="BL198" i="1"/>
  <c r="BL190" i="1"/>
  <c r="BL195" i="1"/>
  <c r="BL167" i="1"/>
  <c r="BL153" i="1"/>
  <c r="BL121" i="1"/>
  <c r="BL154" i="1"/>
  <c r="BL119" i="1"/>
  <c r="BL148" i="1"/>
  <c r="BL115" i="1"/>
  <c r="BL173" i="1"/>
  <c r="BL137" i="1"/>
  <c r="BL169" i="1"/>
  <c r="BL122" i="1"/>
  <c r="BL196" i="1"/>
  <c r="BL171" i="1"/>
  <c r="BL109" i="1"/>
  <c r="BL47" i="1"/>
  <c r="BL186" i="1"/>
  <c r="BL117" i="1"/>
  <c r="BL193" i="1"/>
  <c r="BL141" i="1"/>
  <c r="BL104" i="1"/>
  <c r="BL35" i="1"/>
  <c r="BL64" i="1"/>
  <c r="BL93" i="1"/>
  <c r="BL183" i="1"/>
  <c r="BL180" i="1"/>
  <c r="BL128" i="1"/>
  <c r="BL139" i="1"/>
  <c r="BL170" i="1"/>
  <c r="BL108" i="1"/>
  <c r="BL184" i="1"/>
  <c r="BL172" i="1"/>
  <c r="BL135" i="1"/>
  <c r="BL132" i="1"/>
  <c r="BL189" i="1"/>
  <c r="BL140" i="1"/>
  <c r="BL161" i="1"/>
  <c r="BL57" i="1"/>
  <c r="BL163" i="1"/>
  <c r="BL144" i="1"/>
  <c r="BL147" i="1"/>
  <c r="BL78" i="1"/>
  <c r="BL146" i="1"/>
  <c r="BL164" i="1"/>
  <c r="BL102" i="1"/>
  <c r="BL98" i="1"/>
  <c r="BL168" i="1"/>
  <c r="BL113" i="1"/>
  <c r="BL59" i="1"/>
  <c r="BL110" i="1"/>
  <c r="BL156" i="1"/>
  <c r="BL83" i="1"/>
  <c r="BL133" i="1"/>
  <c r="BL155" i="1"/>
  <c r="BL181" i="1"/>
  <c r="BL150" i="1"/>
  <c r="BL138" i="1"/>
  <c r="BL131" i="1"/>
  <c r="BL82" i="1"/>
  <c r="BL116" i="1"/>
  <c r="BL175" i="1"/>
  <c r="BL33" i="1"/>
  <c r="BL199" i="1"/>
  <c r="BL96" i="1"/>
  <c r="BL65" i="1"/>
  <c r="BL14" i="1"/>
  <c r="BL70" i="1"/>
  <c r="BL106" i="1"/>
  <c r="BL103" i="1"/>
  <c r="BL46" i="1"/>
  <c r="BL179" i="1"/>
  <c r="BL60" i="1"/>
  <c r="BL71" i="1"/>
  <c r="BL91" i="1"/>
  <c r="BL151" i="1"/>
  <c r="BL114" i="1"/>
  <c r="BL165" i="1"/>
  <c r="BL203" i="1"/>
  <c r="BL56" i="1"/>
  <c r="BL28" i="1"/>
  <c r="BL89" i="1"/>
  <c r="BL76" i="1"/>
  <c r="BL81" i="1"/>
  <c r="BL54" i="1"/>
  <c r="BL39" i="1"/>
  <c r="BL34" i="1"/>
  <c r="BL105" i="1"/>
  <c r="BL30" i="1"/>
  <c r="BL136" i="1"/>
  <c r="BL62" i="1"/>
  <c r="BL45" i="1"/>
  <c r="BL48" i="1"/>
  <c r="BL52" i="1"/>
  <c r="BL85" i="1"/>
  <c r="BL74" i="1"/>
  <c r="BL101" i="1"/>
  <c r="BL129" i="1"/>
  <c r="BL12" i="1"/>
  <c r="BL123" i="1"/>
  <c r="BL77" i="1"/>
  <c r="BL174" i="1"/>
  <c r="BL73" i="1"/>
  <c r="BL44" i="1"/>
  <c r="BL79" i="1"/>
  <c r="BL159" i="1"/>
  <c r="BL72" i="1"/>
  <c r="BL149" i="1"/>
  <c r="BL162" i="1"/>
  <c r="BL142" i="1"/>
  <c r="BL40" i="1"/>
  <c r="BL27" i="1"/>
  <c r="BL158" i="1"/>
  <c r="BL55" i="1"/>
  <c r="BL75" i="1"/>
  <c r="BL51" i="1"/>
  <c r="BL29" i="1"/>
  <c r="BL13" i="1"/>
  <c r="BL49" i="1"/>
  <c r="BL157" i="1"/>
  <c r="BL20" i="1"/>
  <c r="BL42" i="1"/>
  <c r="BL130" i="1"/>
  <c r="BL84" i="1"/>
  <c r="BL67" i="1"/>
  <c r="BL87" i="1"/>
  <c r="BL41" i="1"/>
  <c r="BL178" i="1"/>
  <c r="BL10" i="1"/>
  <c r="BL143" i="1"/>
  <c r="BL145" i="1"/>
  <c r="BL69" i="1"/>
  <c r="BL95" i="1"/>
  <c r="BL68" i="1"/>
  <c r="BL37" i="1"/>
  <c r="BL58" i="1"/>
  <c r="BL18" i="1"/>
  <c r="BL38" i="1"/>
  <c r="BL112" i="1"/>
  <c r="BL9" i="1"/>
  <c r="BL92" i="1"/>
  <c r="BL31" i="1"/>
  <c r="BL90" i="1"/>
  <c r="BL50" i="1"/>
  <c r="BL16" i="1"/>
  <c r="BL88" i="1"/>
  <c r="BL66" i="1"/>
  <c r="BL8" i="1"/>
  <c r="BL19" i="1"/>
  <c r="BL36" i="1"/>
  <c r="BL61" i="1"/>
  <c r="BL94" i="1"/>
  <c r="BL53" i="1"/>
  <c r="BL7" i="1"/>
  <c r="BL63" i="1"/>
  <c r="BL160" i="1"/>
  <c r="BL126" i="1"/>
  <c r="BL80" i="1"/>
  <c r="BL15" i="1"/>
  <c r="BL26" i="1"/>
  <c r="BL100" i="1"/>
  <c r="BL25" i="1"/>
  <c r="BL23" i="1"/>
  <c r="BL24" i="1"/>
  <c r="BL32" i="1"/>
  <c r="BL86" i="1"/>
  <c r="BL11" i="1"/>
  <c r="BL17" i="1"/>
  <c r="BL22" i="1"/>
  <c r="BL99" i="1"/>
  <c r="BL125" i="1"/>
  <c r="BL43" i="1"/>
  <c r="BL124" i="1"/>
  <c r="BL21" i="1"/>
  <c r="BL127" i="1"/>
  <c r="BL97" i="1"/>
  <c r="BL197" i="1"/>
  <c r="N194" i="1" l="1"/>
  <c r="N199" i="1"/>
  <c r="N203" i="1"/>
  <c r="N156" i="1"/>
  <c r="N21" i="1"/>
  <c r="M38" i="1"/>
  <c r="N38" i="1" s="1"/>
  <c r="M55" i="1"/>
  <c r="N55" i="1" s="1"/>
  <c r="M64" i="1"/>
  <c r="N64" i="1" s="1"/>
  <c r="M71" i="1"/>
  <c r="N71" i="1" s="1"/>
  <c r="M53" i="1"/>
  <c r="N53" i="1" s="1"/>
  <c r="M77" i="1"/>
  <c r="N77" i="1" s="1"/>
  <c r="M22" i="1"/>
  <c r="N22" i="1" s="1"/>
  <c r="M58" i="1"/>
  <c r="N58" i="1" s="1"/>
  <c r="M7" i="1"/>
  <c r="N7" i="1" s="1"/>
  <c r="M134" i="1"/>
  <c r="N134" i="1" s="1"/>
  <c r="M146" i="1"/>
  <c r="N146" i="1" s="1"/>
  <c r="M88" i="1"/>
  <c r="N88" i="1" s="1"/>
  <c r="M31" i="1"/>
  <c r="N31" i="1" s="1"/>
  <c r="M78" i="1"/>
  <c r="N78" i="1" s="1"/>
  <c r="M200" i="1"/>
  <c r="N200" i="1" s="1"/>
  <c r="M48" i="1"/>
  <c r="N48" i="1" s="1"/>
  <c r="M157" i="1"/>
  <c r="N157" i="1" s="1"/>
  <c r="M67" i="1"/>
  <c r="N67" i="1" s="1"/>
  <c r="M60" i="1"/>
  <c r="N60" i="1" s="1"/>
  <c r="M112" i="1"/>
  <c r="N112" i="1" s="1"/>
  <c r="M81" i="1"/>
  <c r="N81" i="1" s="1"/>
  <c r="M15" i="1"/>
  <c r="N15" i="1" s="1"/>
  <c r="M63" i="1"/>
  <c r="N63" i="1" s="1"/>
  <c r="M23" i="1"/>
  <c r="N23" i="1" s="1"/>
  <c r="M65" i="1"/>
  <c r="N65" i="1" s="1"/>
  <c r="M56" i="1"/>
  <c r="N56" i="1" s="1"/>
  <c r="M61" i="1"/>
  <c r="N61" i="1" s="1"/>
  <c r="M136" i="1"/>
  <c r="N136" i="1" s="1"/>
  <c r="M51" i="1"/>
  <c r="N51" i="1" s="1"/>
  <c r="M193" i="1"/>
  <c r="N193" i="1" s="1"/>
  <c r="M79" i="1"/>
  <c r="N79" i="1" s="1"/>
  <c r="M90" i="1"/>
  <c r="N90" i="1" s="1"/>
  <c r="M174" i="1"/>
  <c r="N174" i="1" s="1"/>
  <c r="M129" i="1"/>
  <c r="N129" i="1" s="1"/>
  <c r="M109" i="1"/>
  <c r="N109" i="1" s="1"/>
  <c r="M167" i="1"/>
  <c r="N167" i="1" s="1"/>
  <c r="M104" i="1"/>
  <c r="N104" i="1" s="1"/>
  <c r="M175" i="1"/>
  <c r="N175" i="1" s="1"/>
  <c r="M73" i="1"/>
  <c r="N73" i="1" s="1"/>
  <c r="M196" i="1"/>
  <c r="N196" i="1" s="1"/>
  <c r="M18" i="1"/>
  <c r="N18" i="1" s="1"/>
  <c r="M98" i="1"/>
  <c r="N98" i="1" s="1"/>
  <c r="M135" i="1"/>
  <c r="N135" i="1" s="1"/>
  <c r="M183" i="1"/>
  <c r="N183" i="1" s="1"/>
  <c r="M47" i="1"/>
  <c r="N47" i="1" s="1"/>
  <c r="M75" i="1"/>
  <c r="N75" i="1" s="1"/>
  <c r="N43" i="1"/>
  <c r="M87" i="1"/>
  <c r="N87" i="1" s="1"/>
  <c r="M11" i="1"/>
  <c r="N11" i="1" s="1"/>
  <c r="M16" i="1"/>
  <c r="N16" i="1" s="1"/>
  <c r="M94" i="1"/>
  <c r="N94" i="1" s="1"/>
  <c r="M33" i="1"/>
  <c r="N33" i="1" s="1"/>
  <c r="M8" i="1"/>
  <c r="N8" i="1" s="1"/>
  <c r="M172" i="1"/>
  <c r="N172" i="1" s="1"/>
  <c r="M41" i="1"/>
  <c r="N41" i="1" s="1"/>
  <c r="M84" i="1"/>
  <c r="N84" i="1" s="1"/>
  <c r="M147" i="1"/>
  <c r="N147" i="1" s="1"/>
  <c r="M46" i="1"/>
  <c r="N46" i="1" s="1"/>
  <c r="M69" i="1"/>
  <c r="N69" i="1" s="1"/>
  <c r="M160" i="1"/>
  <c r="N160" i="1" s="1"/>
  <c r="M128" i="1"/>
  <c r="N128" i="1" s="1"/>
  <c r="M166" i="1"/>
  <c r="N166" i="1" s="1"/>
  <c r="M140" i="1"/>
  <c r="N140" i="1" s="1"/>
  <c r="M29" i="1"/>
  <c r="N29" i="1" s="1"/>
  <c r="M92" i="1"/>
  <c r="N92" i="1" s="1"/>
  <c r="M32" i="1"/>
  <c r="N32" i="1" s="1"/>
  <c r="M9" i="1"/>
  <c r="N9" i="1" s="1"/>
  <c r="M40" i="1"/>
  <c r="N40" i="1" s="1"/>
  <c r="M17" i="1"/>
  <c r="N17" i="1" s="1"/>
  <c r="M39" i="1"/>
  <c r="N39" i="1" s="1"/>
  <c r="M138" i="1"/>
  <c r="N138" i="1" s="1"/>
  <c r="M59" i="1"/>
  <c r="N59" i="1" s="1"/>
  <c r="M34" i="1"/>
  <c r="N34" i="1" s="1"/>
  <c r="M106" i="1"/>
  <c r="N106" i="1" s="1"/>
  <c r="M150" i="1"/>
  <c r="N150" i="1" s="1"/>
  <c r="M121" i="1"/>
  <c r="N121" i="1" s="1"/>
  <c r="M155" i="1"/>
  <c r="N155" i="1" s="1"/>
  <c r="M13" i="1"/>
  <c r="N13" i="1" s="1"/>
  <c r="M19" i="1"/>
  <c r="N19" i="1" s="1"/>
  <c r="M187" i="1"/>
  <c r="N187" i="1" s="1"/>
  <c r="M10" i="1"/>
  <c r="N10" i="1" s="1"/>
  <c r="M85" i="1"/>
  <c r="N85" i="1" s="1"/>
  <c r="M125" i="1"/>
  <c r="N125" i="1" s="1"/>
  <c r="M169" i="1"/>
  <c r="N169" i="1" s="1"/>
  <c r="M68" i="1"/>
  <c r="N68" i="1" s="1"/>
  <c r="M142" i="1"/>
  <c r="N142" i="1" s="1"/>
  <c r="M137" i="1"/>
  <c r="N137" i="1" s="1"/>
  <c r="M108" i="1"/>
  <c r="N108" i="1" s="1"/>
  <c r="M165" i="1"/>
  <c r="N165" i="1" s="1"/>
  <c r="M173" i="1"/>
  <c r="N173" i="1" s="1"/>
  <c r="M35" i="1"/>
  <c r="N35" i="1" s="1"/>
  <c r="M26" i="1"/>
  <c r="N26" i="1" s="1"/>
  <c r="M14" i="1"/>
  <c r="N14" i="1" s="1"/>
  <c r="M178" i="1"/>
  <c r="N178" i="1" s="1"/>
  <c r="M37" i="1"/>
  <c r="N37" i="1" s="1"/>
  <c r="M127" i="1"/>
  <c r="N127" i="1" s="1"/>
  <c r="M20" i="1"/>
  <c r="N20" i="1" s="1"/>
  <c r="M99" i="1"/>
  <c r="N99" i="1" s="1"/>
  <c r="M80" i="1"/>
  <c r="N80" i="1" s="1"/>
  <c r="M123" i="1"/>
  <c r="N123" i="1" s="1"/>
  <c r="M124" i="1"/>
  <c r="N124" i="1" s="1"/>
  <c r="M176" i="1"/>
  <c r="N176" i="1" s="1"/>
  <c r="M115" i="1"/>
  <c r="N115" i="1" s="1"/>
  <c r="M12" i="1"/>
  <c r="N12" i="1" s="1"/>
  <c r="M28" i="1"/>
  <c r="N28" i="1" s="1"/>
  <c r="M122" i="1"/>
  <c r="N122" i="1" s="1"/>
  <c r="M72" i="1"/>
  <c r="N72" i="1" s="1"/>
  <c r="M100" i="1"/>
  <c r="N100" i="1" s="1"/>
  <c r="M27" i="1"/>
  <c r="N27" i="1" s="1"/>
  <c r="M126" i="1"/>
  <c r="N126" i="1" s="1"/>
  <c r="M151" i="1"/>
  <c r="N151" i="1" s="1"/>
  <c r="M198" i="1"/>
  <c r="N198" i="1" s="1"/>
  <c r="M105" i="1"/>
  <c r="N105" i="1" s="1"/>
  <c r="M139" i="1"/>
  <c r="N139" i="1" s="1"/>
  <c r="M111" i="1"/>
  <c r="N111" i="1" s="1"/>
  <c r="M89" i="1"/>
  <c r="N89" i="1" s="1"/>
  <c r="M102" i="1"/>
  <c r="N102" i="1" s="1"/>
  <c r="M82" i="1"/>
  <c r="N82" i="1" s="1"/>
  <c r="M66" i="1"/>
  <c r="N66" i="1" s="1"/>
  <c r="M162" i="1"/>
  <c r="N162" i="1" s="1"/>
  <c r="M62" i="1"/>
  <c r="N62" i="1" s="1"/>
  <c r="M97" i="1"/>
  <c r="N97" i="1" s="1"/>
  <c r="M148" i="1"/>
  <c r="N148" i="1" s="1"/>
  <c r="M163" i="1"/>
  <c r="N163" i="1" s="1"/>
  <c r="M101" i="1"/>
  <c r="N101" i="1" s="1"/>
  <c r="M154" i="1"/>
  <c r="N154" i="1" s="1"/>
  <c r="M49" i="1"/>
  <c r="N49" i="1" s="1"/>
  <c r="M161" i="1"/>
  <c r="N161" i="1" s="1"/>
  <c r="M149" i="1"/>
  <c r="N149" i="1" s="1"/>
  <c r="M86" i="1"/>
  <c r="N86" i="1" s="1"/>
  <c r="M113" i="1"/>
  <c r="N113" i="1" s="1"/>
  <c r="M76" i="1"/>
  <c r="N76" i="1" s="1"/>
  <c r="M24" i="1"/>
  <c r="N24" i="1" s="1"/>
  <c r="M107" i="1"/>
  <c r="N107" i="1" s="1"/>
  <c r="M186" i="1"/>
  <c r="N186" i="1" s="1"/>
  <c r="M57" i="1"/>
  <c r="N57" i="1" s="1"/>
  <c r="M119" i="1"/>
  <c r="N119" i="1" s="1"/>
  <c r="M50" i="1"/>
  <c r="N50" i="1" s="1"/>
  <c r="M44" i="1"/>
  <c r="N44" i="1" s="1"/>
  <c r="M74" i="1"/>
  <c r="N74" i="1" s="1"/>
  <c r="M30" i="1"/>
  <c r="N30" i="1" s="1"/>
  <c r="M42" i="1"/>
  <c r="N42" i="1" s="1"/>
  <c r="M114" i="1"/>
  <c r="N114" i="1" s="1"/>
  <c r="M170" i="1"/>
  <c r="N170" i="1" s="1"/>
  <c r="M159" i="1"/>
  <c r="N159" i="1" s="1"/>
  <c r="M36" i="1"/>
  <c r="N36" i="1" s="1"/>
  <c r="M118" i="1"/>
  <c r="N118" i="1" s="1"/>
  <c r="M70" i="1"/>
  <c r="N70" i="1" s="1"/>
  <c r="M110" i="1"/>
  <c r="N110" i="1" s="1"/>
  <c r="M45" i="1"/>
  <c r="N45" i="1" s="1"/>
  <c r="M180" i="1"/>
  <c r="N180" i="1" s="1"/>
  <c r="M152" i="1"/>
  <c r="N152" i="1" s="1"/>
  <c r="M133" i="1"/>
  <c r="N133" i="1" s="1"/>
  <c r="M25" i="1"/>
  <c r="N25" i="1" s="1"/>
  <c r="M116" i="1"/>
  <c r="N116" i="1" s="1"/>
  <c r="M181" i="1"/>
  <c r="N181" i="1" s="1"/>
  <c r="M52" i="1"/>
  <c r="N52" i="1" s="1"/>
  <c r="M120" i="1"/>
  <c r="N120" i="1" s="1"/>
  <c r="M54" i="1"/>
  <c r="N54" i="1" s="1"/>
  <c r="M95" i="1"/>
  <c r="N95" i="1" s="1"/>
  <c r="M131" i="1"/>
  <c r="N131" i="1" s="1"/>
  <c r="M103" i="1"/>
  <c r="N103" i="1" s="1"/>
  <c r="M143" i="1"/>
  <c r="N143" i="1" s="1"/>
  <c r="M83" i="1"/>
  <c r="N83" i="1" s="1"/>
  <c r="M91" i="1"/>
  <c r="N91" i="1" s="1"/>
  <c r="M117" i="1"/>
  <c r="N117" i="1" s="1"/>
  <c r="M145" i="1"/>
  <c r="N145" i="1" s="1"/>
  <c r="M191" i="1"/>
  <c r="N191" i="1" s="1"/>
  <c r="M132" i="1"/>
  <c r="N132" i="1" s="1"/>
  <c r="M164" i="1"/>
  <c r="N164" i="1" s="1"/>
  <c r="M197" i="1"/>
  <c r="N197" i="1" s="1"/>
  <c r="M177" i="1"/>
  <c r="N177" i="1" s="1"/>
  <c r="M158" i="1"/>
  <c r="N158" i="1" s="1"/>
  <c r="M141" i="1"/>
  <c r="N141" i="1" s="1"/>
  <c r="M190" i="1"/>
  <c r="N190" i="1" s="1"/>
  <c r="M184" i="1"/>
  <c r="N184" i="1" s="1"/>
  <c r="M188" i="1"/>
  <c r="N188" i="1" s="1"/>
  <c r="M182" i="1"/>
  <c r="N182" i="1" s="1"/>
  <c r="M144" i="1"/>
  <c r="N144" i="1" s="1"/>
  <c r="M168" i="1"/>
  <c r="N168" i="1" s="1"/>
  <c r="M179" i="1"/>
  <c r="N179" i="1" s="1"/>
  <c r="M185" i="1"/>
  <c r="N185" i="1" s="1"/>
  <c r="M195" i="1"/>
  <c r="N195" i="1" s="1"/>
  <c r="M201" i="1"/>
  <c r="N201" i="1" s="1"/>
  <c r="M130" i="1"/>
  <c r="N130" i="1" s="1"/>
  <c r="M153" i="1"/>
  <c r="N153" i="1" s="1"/>
  <c r="M93" i="1"/>
  <c r="N93" i="1" s="1"/>
  <c r="M204" i="1"/>
  <c r="N204" i="1" s="1"/>
  <c r="M96" i="1"/>
  <c r="N96" i="1" s="1"/>
  <c r="M171" i="1"/>
  <c r="N171" i="1" s="1"/>
  <c r="M202" i="1"/>
  <c r="N202" i="1" s="1"/>
  <c r="M189" i="1"/>
  <c r="N189" i="1" s="1"/>
  <c r="M192" i="1"/>
  <c r="N192" i="1" s="1"/>
  <c r="AV43" i="7" l="1"/>
  <c r="AV239" i="7"/>
  <c r="AV238" i="7"/>
  <c r="AV237" i="7"/>
  <c r="AV236" i="7"/>
  <c r="AV235" i="7"/>
  <c r="AV234" i="7"/>
  <c r="AV233" i="7"/>
  <c r="AV232" i="7"/>
  <c r="AV231" i="7"/>
  <c r="AV230" i="7"/>
  <c r="AV229" i="7"/>
  <c r="AV228" i="7"/>
  <c r="AV227" i="7"/>
  <c r="AV226" i="7"/>
  <c r="AV225" i="7"/>
  <c r="AV224" i="7"/>
  <c r="AV223" i="7"/>
  <c r="AV222" i="7"/>
  <c r="AV221" i="7"/>
  <c r="AV220" i="7"/>
  <c r="AV219" i="7"/>
  <c r="AV218" i="7"/>
  <c r="AV217" i="7"/>
  <c r="AV216" i="7"/>
  <c r="AV215" i="7"/>
  <c r="AV214" i="7"/>
  <c r="AV213" i="7"/>
  <c r="AV212" i="7"/>
  <c r="AV211" i="7"/>
  <c r="AV210" i="7"/>
  <c r="AV209" i="7"/>
  <c r="AV208" i="7"/>
  <c r="AV207" i="7"/>
  <c r="AV206" i="7"/>
  <c r="AV205" i="7"/>
  <c r="AV204" i="7"/>
  <c r="AV203" i="7"/>
  <c r="AV202" i="7"/>
  <c r="AV201" i="7"/>
  <c r="AV200" i="7"/>
  <c r="AV199" i="7"/>
  <c r="AV198" i="7"/>
  <c r="AV197" i="7"/>
  <c r="AV196" i="7"/>
  <c r="AV195" i="7"/>
  <c r="AV194" i="7"/>
  <c r="AV193" i="7"/>
  <c r="AV192" i="7"/>
  <c r="AV191" i="7"/>
  <c r="AV190" i="7"/>
  <c r="AV189" i="7"/>
  <c r="AV188" i="7"/>
  <c r="AV187" i="7"/>
  <c r="AV186" i="7"/>
  <c r="AV185" i="7"/>
  <c r="AV184" i="7"/>
  <c r="AV183" i="7"/>
  <c r="AV182" i="7"/>
  <c r="AV181" i="7"/>
  <c r="AV180" i="7"/>
  <c r="AV179" i="7"/>
  <c r="AV178" i="7"/>
  <c r="AV177" i="7"/>
  <c r="AV176" i="7"/>
  <c r="AV175" i="7"/>
  <c r="AV174" i="7"/>
  <c r="AV173" i="7"/>
  <c r="AV172" i="7"/>
  <c r="AV171" i="7"/>
  <c r="AV170" i="7"/>
  <c r="AV169" i="7"/>
  <c r="AV168" i="7"/>
  <c r="AV167" i="7"/>
  <c r="AV166" i="7"/>
  <c r="AV165" i="7"/>
  <c r="AV164" i="7"/>
  <c r="AV163" i="7"/>
  <c r="AV162" i="7"/>
  <c r="AV161" i="7"/>
  <c r="AV160" i="7"/>
  <c r="AV159" i="7"/>
  <c r="AV158" i="7"/>
  <c r="AV157" i="7"/>
  <c r="AV156" i="7"/>
  <c r="AV155" i="7"/>
  <c r="AV154" i="7"/>
  <c r="AV153" i="7"/>
  <c r="AV152" i="7"/>
  <c r="AV151" i="7"/>
  <c r="AV150" i="7"/>
  <c r="AV149" i="7"/>
  <c r="AV148" i="7"/>
  <c r="AV147" i="7"/>
  <c r="AV146" i="7"/>
  <c r="AV145" i="7"/>
  <c r="AV144" i="7"/>
  <c r="AV143" i="7"/>
  <c r="AV142" i="7"/>
  <c r="AV141" i="7"/>
  <c r="AV140" i="7"/>
  <c r="AV139" i="7"/>
  <c r="AV138" i="7"/>
  <c r="AV137" i="7"/>
  <c r="AV136" i="7"/>
  <c r="AV135" i="7"/>
  <c r="AV134" i="7"/>
  <c r="AV133" i="7"/>
  <c r="AV132" i="7"/>
  <c r="AV131" i="7"/>
  <c r="AV130" i="7"/>
  <c r="AV129" i="7"/>
  <c r="AV128" i="7"/>
  <c r="AV127" i="7"/>
  <c r="AV126" i="7"/>
  <c r="AV125" i="7"/>
  <c r="AV124" i="7"/>
  <c r="AV123" i="7"/>
  <c r="AV122" i="7"/>
  <c r="AV121" i="7"/>
  <c r="AV120" i="7"/>
  <c r="AV119" i="7"/>
  <c r="AV118" i="7"/>
  <c r="AV117" i="7"/>
  <c r="AV116" i="7"/>
  <c r="AV115" i="7"/>
  <c r="AV114" i="7"/>
  <c r="AV113" i="7"/>
  <c r="AV112" i="7"/>
  <c r="AV111" i="7"/>
  <c r="AV110" i="7"/>
  <c r="AV109" i="7"/>
  <c r="AV108" i="7"/>
  <c r="AV107" i="7"/>
  <c r="AV106" i="7"/>
  <c r="AV105" i="7"/>
  <c r="AV104" i="7"/>
  <c r="AV103" i="7"/>
  <c r="AV102" i="7"/>
  <c r="AV101" i="7"/>
  <c r="AV100" i="7"/>
  <c r="AV99" i="7"/>
  <c r="AV98" i="7"/>
  <c r="AV97" i="7"/>
  <c r="AV96" i="7"/>
  <c r="AV95" i="7"/>
  <c r="AV94" i="7"/>
  <c r="AV93" i="7"/>
  <c r="AV92" i="7"/>
  <c r="AV91" i="7"/>
  <c r="AV90" i="7"/>
  <c r="AV89" i="7"/>
  <c r="AV88" i="7"/>
  <c r="AV87" i="7"/>
  <c r="AV86" i="7"/>
  <c r="AV85" i="7"/>
  <c r="AV84" i="7"/>
  <c r="AV83" i="7"/>
  <c r="AV82" i="7"/>
  <c r="AV81" i="7"/>
  <c r="AV80" i="7"/>
  <c r="AV79" i="7"/>
  <c r="AV78" i="7"/>
  <c r="AV77" i="7"/>
  <c r="AV76" i="7"/>
  <c r="AV75" i="7"/>
  <c r="AV74" i="7"/>
  <c r="AV73" i="7"/>
  <c r="AV72" i="7"/>
  <c r="AV71" i="7"/>
  <c r="AV70" i="7"/>
  <c r="AV69" i="7"/>
  <c r="AV68" i="7"/>
  <c r="AV67" i="7"/>
  <c r="AV66" i="7"/>
  <c r="AV65" i="7"/>
  <c r="AV64" i="7"/>
  <c r="AV63" i="7"/>
  <c r="AV62" i="7"/>
  <c r="AV61" i="7"/>
  <c r="AV60" i="7"/>
  <c r="AV59" i="7"/>
  <c r="AV58" i="7"/>
  <c r="AV57" i="7"/>
  <c r="AV56" i="7"/>
  <c r="AV55" i="7"/>
  <c r="AV54" i="7"/>
  <c r="AV53" i="7"/>
  <c r="AV52" i="7"/>
  <c r="AV51" i="7"/>
  <c r="AV50" i="7"/>
  <c r="AV49" i="7"/>
  <c r="AV48" i="7"/>
  <c r="AV47" i="7"/>
  <c r="AV46" i="7"/>
  <c r="AV45" i="7"/>
  <c r="AV44" i="7"/>
  <c r="AV42" i="7"/>
  <c r="AV41" i="7"/>
  <c r="AV40" i="7"/>
  <c r="AV39" i="7"/>
  <c r="AV38" i="7"/>
  <c r="AV37" i="7"/>
  <c r="AV36" i="7"/>
  <c r="AV35" i="7"/>
  <c r="AV34" i="7"/>
  <c r="AV33" i="7"/>
  <c r="AV32" i="7"/>
  <c r="AV31" i="7"/>
  <c r="AV30" i="7"/>
  <c r="AV29" i="7"/>
  <c r="AV28" i="7"/>
  <c r="AV27" i="7"/>
  <c r="AV26" i="7"/>
  <c r="AV25" i="7"/>
  <c r="AV24" i="7"/>
  <c r="AV23" i="7"/>
  <c r="AV22" i="7"/>
  <c r="AV21" i="7"/>
  <c r="AV20" i="7"/>
  <c r="AV19" i="7"/>
  <c r="AV18" i="7"/>
  <c r="AV17" i="7"/>
  <c r="AV16" i="7"/>
  <c r="AV15" i="7"/>
  <c r="AV14" i="7"/>
  <c r="AV13" i="7"/>
  <c r="AV12" i="7"/>
  <c r="AV11" i="7"/>
  <c r="AV10" i="7"/>
  <c r="AV9" i="7"/>
  <c r="AV8" i="7"/>
  <c r="AV7" i="7"/>
  <c r="AV6" i="7"/>
  <c r="AV5" i="7"/>
  <c r="AV4" i="7"/>
  <c r="AV3" i="7"/>
  <c r="AV2" i="7"/>
  <c r="BR248" i="5"/>
  <c r="BR134" i="5"/>
  <c r="BR61" i="5"/>
  <c r="BR87" i="5"/>
  <c r="BR234" i="5"/>
  <c r="BR220" i="5"/>
  <c r="BR190" i="5"/>
  <c r="BR125" i="5"/>
  <c r="BR16" i="5"/>
  <c r="BR2" i="5"/>
  <c r="BR32" i="5"/>
  <c r="BR38" i="5"/>
  <c r="BR203" i="5"/>
  <c r="BR156" i="5"/>
  <c r="BR137" i="5"/>
  <c r="BR45" i="5"/>
  <c r="BR136" i="5"/>
  <c r="BR127" i="5"/>
  <c r="BR164" i="5"/>
  <c r="BR216" i="5"/>
  <c r="BR202" i="5"/>
  <c r="BR40" i="5"/>
  <c r="BR132" i="5"/>
  <c r="BR31" i="5"/>
  <c r="BR88" i="5"/>
  <c r="BR126" i="5"/>
  <c r="BR86" i="5"/>
  <c r="BR232" i="5"/>
  <c r="BR140" i="5"/>
  <c r="BR68" i="5"/>
  <c r="BR78" i="5"/>
  <c r="BR196" i="5"/>
  <c r="BR89" i="5"/>
  <c r="BR112" i="5"/>
  <c r="BR225" i="5"/>
  <c r="BR188" i="5"/>
  <c r="BR44" i="5"/>
  <c r="BR246" i="5"/>
  <c r="BR222" i="5"/>
  <c r="BR240" i="5"/>
  <c r="BR146" i="5"/>
  <c r="BR124" i="5"/>
  <c r="BR224" i="5"/>
  <c r="BR23" i="5"/>
  <c r="BR3" i="5"/>
  <c r="BR85" i="5"/>
  <c r="BR243" i="5"/>
  <c r="BR98" i="5"/>
  <c r="BR176" i="5"/>
  <c r="BR193" i="5"/>
  <c r="BR183" i="5"/>
  <c r="BR35" i="5"/>
  <c r="BR214" i="5"/>
  <c r="BR213" i="5"/>
  <c r="BR215" i="5"/>
  <c r="BR221" i="5"/>
  <c r="BR157" i="5"/>
  <c r="BR99" i="5"/>
  <c r="BR160" i="5"/>
  <c r="BR191" i="5"/>
  <c r="BR247" i="5"/>
  <c r="BR173" i="5"/>
  <c r="BR231" i="5"/>
  <c r="BR111" i="5"/>
  <c r="BR4" i="5"/>
  <c r="BR46" i="5"/>
  <c r="BR143" i="5"/>
  <c r="BR91" i="5"/>
  <c r="BR97" i="5"/>
  <c r="BR48" i="5"/>
  <c r="BR54" i="5"/>
  <c r="BR34" i="5"/>
  <c r="BR81" i="5"/>
  <c r="BR226" i="5"/>
  <c r="BR172" i="5"/>
  <c r="BR142" i="5"/>
  <c r="BR117" i="5"/>
  <c r="BR163" i="5"/>
  <c r="BR189" i="5"/>
  <c r="BR165" i="5"/>
  <c r="BR18" i="5"/>
  <c r="BR8" i="5"/>
  <c r="BR118" i="5"/>
  <c r="BR133" i="5"/>
  <c r="BR155" i="5"/>
  <c r="BR205" i="5"/>
  <c r="BR206" i="5"/>
  <c r="BR148" i="5"/>
  <c r="BR100" i="5"/>
  <c r="BR149" i="5"/>
  <c r="BR158" i="5"/>
  <c r="BR33" i="5"/>
  <c r="BR67" i="5"/>
  <c r="BR179" i="5"/>
  <c r="BR109" i="5"/>
  <c r="BR25" i="5"/>
  <c r="BR107" i="5"/>
  <c r="BR239" i="5"/>
  <c r="BR63" i="5"/>
  <c r="BR159" i="5"/>
  <c r="BR103" i="5"/>
  <c r="BR57" i="5"/>
  <c r="BR22" i="5"/>
  <c r="BR84" i="5"/>
  <c r="BR228" i="5"/>
  <c r="BR204" i="5"/>
  <c r="BR64" i="5"/>
  <c r="BR74" i="5"/>
  <c r="BR131" i="5"/>
  <c r="BR128" i="5"/>
  <c r="BR147" i="5"/>
  <c r="BR209" i="5"/>
  <c r="BR101" i="5"/>
  <c r="BR96" i="5"/>
  <c r="BR242" i="5"/>
  <c r="BR150" i="5"/>
  <c r="BR6" i="5"/>
  <c r="BR178" i="5"/>
  <c r="BR233" i="5"/>
  <c r="BR115" i="5"/>
  <c r="BR24" i="5"/>
  <c r="BR102" i="5"/>
  <c r="BR10" i="5"/>
  <c r="BR151" i="5"/>
  <c r="BR177" i="5"/>
  <c r="BR62" i="5"/>
  <c r="BR27" i="5"/>
  <c r="BR153" i="5"/>
  <c r="BR83" i="5"/>
  <c r="BR43" i="5"/>
  <c r="BR77" i="5"/>
  <c r="BR94" i="5"/>
  <c r="BR230" i="5"/>
  <c r="BR217" i="5"/>
  <c r="BR55" i="5"/>
  <c r="BR121" i="5"/>
  <c r="BR212" i="5"/>
  <c r="BR174" i="5"/>
  <c r="BR28" i="5"/>
  <c r="BR122" i="5"/>
  <c r="BR120" i="5"/>
  <c r="BR12" i="5"/>
  <c r="BR26" i="5"/>
  <c r="BR59" i="5"/>
  <c r="BR60" i="5"/>
  <c r="BR237" i="5"/>
  <c r="BR145" i="5"/>
  <c r="BR244" i="5"/>
  <c r="BR19" i="5"/>
  <c r="BR15" i="5"/>
  <c r="BR223" i="5"/>
  <c r="BR5" i="5"/>
  <c r="BR139" i="5"/>
  <c r="BR211" i="5"/>
  <c r="BR56" i="5"/>
  <c r="BR42" i="5"/>
  <c r="BR167" i="5"/>
  <c r="BR58" i="5"/>
  <c r="BR71" i="5"/>
  <c r="BR79" i="5"/>
  <c r="BR201" i="5"/>
  <c r="BR171" i="5"/>
  <c r="BR119" i="5"/>
  <c r="BR194" i="5"/>
  <c r="BR11" i="5"/>
  <c r="BR47" i="5"/>
  <c r="BR144" i="5"/>
  <c r="BR154" i="5"/>
  <c r="BR20" i="5"/>
  <c r="BR9" i="5"/>
  <c r="BR195" i="5"/>
  <c r="BR41" i="5"/>
  <c r="BR210" i="5"/>
  <c r="BR227" i="5"/>
  <c r="BR238" i="5"/>
  <c r="BR72" i="5"/>
  <c r="BR30" i="5"/>
  <c r="BR138" i="5"/>
  <c r="BR170" i="5"/>
  <c r="BR37" i="5"/>
  <c r="BR229" i="5"/>
  <c r="BR175" i="5"/>
  <c r="BR110" i="5"/>
  <c r="BR82" i="5"/>
  <c r="BR123" i="5"/>
  <c r="BR199" i="5"/>
  <c r="BR186" i="5"/>
  <c r="BR93" i="5"/>
  <c r="BR66" i="5"/>
  <c r="BR187" i="5"/>
  <c r="BR181" i="5"/>
  <c r="BR39" i="5"/>
  <c r="BR49" i="5"/>
  <c r="BR184" i="5"/>
  <c r="BR70" i="5"/>
  <c r="BR180" i="5"/>
  <c r="BR105" i="5"/>
  <c r="BR162" i="5"/>
  <c r="BR116" i="5"/>
  <c r="BR198" i="5"/>
  <c r="BR108" i="5"/>
  <c r="BR130" i="5"/>
  <c r="BR200" i="5"/>
  <c r="BR52" i="5"/>
  <c r="BR208" i="5"/>
  <c r="BR106" i="5"/>
  <c r="BR235" i="5"/>
  <c r="BR51" i="5"/>
  <c r="BR169" i="5"/>
  <c r="BR73" i="5"/>
  <c r="BR76" i="5"/>
  <c r="BR114" i="5"/>
  <c r="BR75" i="5"/>
  <c r="BR69" i="5"/>
  <c r="BR36" i="5"/>
  <c r="BR90" i="5"/>
  <c r="BR13" i="5"/>
  <c r="BR182" i="5"/>
  <c r="BR17" i="5"/>
  <c r="BR80" i="5"/>
  <c r="BR192" i="5"/>
  <c r="BR218" i="5"/>
  <c r="BR21" i="5"/>
  <c r="BR141" i="5"/>
  <c r="BR14" i="5"/>
  <c r="BR7" i="5"/>
  <c r="BR95" i="5"/>
  <c r="BR92" i="5"/>
  <c r="BR161" i="5"/>
  <c r="BR53" i="5"/>
  <c r="BR166" i="5"/>
  <c r="BR236" i="5"/>
  <c r="BR29" i="5"/>
  <c r="BR219" i="5"/>
  <c r="BR168" i="5"/>
  <c r="BR185" i="5"/>
  <c r="BR135" i="5"/>
  <c r="BR104" i="5"/>
  <c r="BR197" i="5"/>
  <c r="Q202" i="1"/>
  <c r="Q171" i="1"/>
  <c r="Q59" i="1"/>
  <c r="Q203" i="1"/>
  <c r="Q192" i="1"/>
  <c r="Q112" i="1"/>
  <c r="Q23" i="1"/>
  <c r="Q39" i="1"/>
  <c r="Q71" i="1"/>
  <c r="Q35" i="1"/>
  <c r="Q138" i="1"/>
  <c r="Q186" i="1"/>
  <c r="Q16" i="1"/>
  <c r="Q117" i="1"/>
  <c r="Q156" i="1"/>
  <c r="Q33" i="1"/>
  <c r="Q87" i="1"/>
  <c r="Q29" i="1"/>
  <c r="Q28" i="1"/>
  <c r="Q168" i="1"/>
  <c r="Q20" i="1"/>
  <c r="Q141" i="1"/>
  <c r="Q92" i="1"/>
  <c r="Q107" i="1"/>
  <c r="Q100" i="1"/>
  <c r="Q94" i="1"/>
  <c r="Q114" i="1"/>
  <c r="Q63" i="1"/>
  <c r="Q201" i="1"/>
  <c r="Q34" i="1"/>
  <c r="Q163" i="1"/>
  <c r="Q81" i="1"/>
  <c r="Q132" i="1"/>
  <c r="Q96" i="1"/>
  <c r="Q122" i="1"/>
  <c r="Q40" i="1"/>
  <c r="Q90" i="1"/>
  <c r="Q66" i="1"/>
  <c r="Q104" i="1"/>
  <c r="Q11" i="1"/>
  <c r="Q62" i="1"/>
  <c r="Q135" i="1"/>
  <c r="Q158" i="1"/>
  <c r="Q123" i="1"/>
  <c r="Q76" i="1"/>
  <c r="Q175" i="1"/>
  <c r="Q204" i="1"/>
  <c r="Q177" i="1"/>
  <c r="Q178" i="1"/>
  <c r="Q167" i="1"/>
  <c r="Q84" i="1"/>
  <c r="Q154" i="1"/>
  <c r="Q79" i="1"/>
  <c r="Q61" i="1"/>
  <c r="Q27" i="1"/>
  <c r="Q68" i="1"/>
  <c r="Q50" i="1"/>
  <c r="Q64" i="1"/>
  <c r="Q164" i="1"/>
  <c r="Q54" i="1"/>
  <c r="Q88" i="1"/>
  <c r="Q197" i="1"/>
  <c r="Q145" i="1"/>
  <c r="Q118" i="1"/>
  <c r="Q60" i="1"/>
  <c r="Q196" i="1"/>
  <c r="Q130" i="1"/>
  <c r="Q128" i="1"/>
  <c r="Q143" i="1"/>
  <c r="Q56" i="1"/>
  <c r="Q44" i="1"/>
  <c r="Q119" i="1"/>
  <c r="Q199" i="1"/>
  <c r="Q115" i="1"/>
  <c r="Q46" i="1"/>
  <c r="Q111" i="1"/>
  <c r="Q155" i="1"/>
  <c r="Q52" i="1"/>
  <c r="Q45" i="1"/>
  <c r="Q47" i="1"/>
  <c r="Q133" i="1"/>
  <c r="Q170" i="1"/>
  <c r="Q67" i="1"/>
  <c r="Q147" i="1"/>
  <c r="Q78" i="1"/>
  <c r="Q37" i="1"/>
  <c r="Q144" i="1"/>
  <c r="Q173" i="1"/>
  <c r="Q149" i="1"/>
  <c r="Q181" i="1"/>
  <c r="Q127" i="1"/>
  <c r="Q91" i="1"/>
  <c r="Q184" i="1"/>
  <c r="Q26" i="1"/>
  <c r="Q136" i="1"/>
  <c r="Q189" i="1"/>
  <c r="Q98" i="1"/>
  <c r="Q14" i="1"/>
  <c r="Q102" i="1"/>
  <c r="Q49" i="1"/>
  <c r="Q85" i="1"/>
  <c r="Q24" i="1"/>
  <c r="Q160" i="1"/>
  <c r="Q180" i="1"/>
  <c r="Q69" i="1"/>
  <c r="Q183" i="1"/>
  <c r="Q169" i="1"/>
  <c r="Q19" i="1"/>
  <c r="Q187" i="1"/>
  <c r="Q150" i="1"/>
  <c r="Q121" i="1"/>
  <c r="Q179" i="1"/>
  <c r="Q131" i="1"/>
  <c r="Q42" i="1"/>
  <c r="Q176" i="1"/>
  <c r="Q134" i="1"/>
  <c r="Q146" i="1"/>
  <c r="Q70" i="1"/>
  <c r="Q185" i="1"/>
  <c r="Q74" i="1"/>
  <c r="Q182" i="1"/>
  <c r="Q77" i="1"/>
  <c r="Q124" i="1"/>
  <c r="Q162" i="1"/>
  <c r="Q41" i="1"/>
  <c r="Q142" i="1"/>
  <c r="Q188" i="1"/>
  <c r="Q174" i="1"/>
  <c r="Q172" i="1"/>
  <c r="Q166" i="1"/>
  <c r="Q193" i="1"/>
  <c r="Q157" i="1"/>
  <c r="Q57" i="1"/>
  <c r="Q95" i="1"/>
  <c r="Q43" i="1"/>
  <c r="Q82" i="1"/>
  <c r="Q36" i="1"/>
  <c r="Q105" i="1"/>
  <c r="Q194" i="1"/>
  <c r="Q30" i="1"/>
  <c r="Q17" i="1"/>
  <c r="Q200" i="1"/>
  <c r="Q18" i="1"/>
  <c r="Q148" i="1"/>
  <c r="Q12" i="1"/>
  <c r="Q106" i="1"/>
  <c r="Q55" i="1"/>
  <c r="Q113" i="1"/>
  <c r="Q89" i="1"/>
  <c r="Q86" i="1"/>
  <c r="Q140" i="1"/>
  <c r="Q137" i="1"/>
  <c r="Q139" i="1"/>
  <c r="Q116" i="1"/>
  <c r="Q58" i="1"/>
  <c r="Q108" i="1"/>
  <c r="Q161" i="1"/>
  <c r="Q101" i="1"/>
  <c r="Q152" i="1"/>
  <c r="Q13" i="1"/>
  <c r="Q109" i="1"/>
  <c r="Q165" i="1"/>
  <c r="Q10" i="1"/>
  <c r="F10" i="1" s="1"/>
  <c r="Q125" i="1"/>
  <c r="Q65" i="1"/>
  <c r="Q195" i="1"/>
  <c r="Q7" i="1"/>
  <c r="Q25" i="1"/>
  <c r="Q48" i="1"/>
  <c r="Q126" i="1"/>
  <c r="Q103" i="1"/>
  <c r="Q110" i="1"/>
  <c r="Q153" i="1"/>
  <c r="Q9" i="1"/>
  <c r="Q83" i="1"/>
  <c r="Q190" i="1"/>
  <c r="Q93" i="1"/>
  <c r="Q198" i="1"/>
  <c r="Q72" i="1"/>
  <c r="Q191" i="1"/>
  <c r="Q73" i="1"/>
  <c r="Q80" i="1"/>
  <c r="Q8" i="1"/>
  <c r="Q32" i="1"/>
  <c r="Q120" i="1"/>
  <c r="Q159" i="1"/>
  <c r="Q129" i="1"/>
  <c r="Q31" i="1"/>
  <c r="Q15" i="1"/>
  <c r="Q97" i="1"/>
  <c r="Q151" i="1"/>
  <c r="Q51" i="1"/>
  <c r="Q99" i="1"/>
  <c r="Q75" i="1"/>
  <c r="Q22" i="1"/>
  <c r="Q21" i="1"/>
  <c r="Q53" i="1"/>
  <c r="Q38" i="1"/>
  <c r="V126" i="1" l="1"/>
  <c r="F126" i="1" s="1"/>
  <c r="V23" i="1"/>
  <c r="F23" i="1" s="1"/>
  <c r="V169" i="1"/>
  <c r="F169" i="1" s="1"/>
  <c r="V155" i="1"/>
  <c r="F155" i="1" s="1"/>
  <c r="V204" i="1"/>
  <c r="F204" i="1" s="1"/>
  <c r="V198" i="1"/>
  <c r="F198" i="1" s="1"/>
  <c r="V179" i="1"/>
  <c r="F179" i="1" s="1"/>
  <c r="V133" i="1"/>
  <c r="F133" i="1" s="1"/>
  <c r="V183" i="1"/>
  <c r="F183" i="1" s="1"/>
  <c r="V186" i="1"/>
  <c r="F186" i="1" s="1"/>
  <c r="V168" i="1"/>
  <c r="F168" i="1" s="1"/>
  <c r="V180" i="1"/>
  <c r="F180" i="1" s="1"/>
  <c r="V181" i="1"/>
  <c r="F181" i="1" s="1"/>
  <c r="V178" i="1"/>
  <c r="F178" i="1" s="1"/>
  <c r="V143" i="1"/>
  <c r="F143" i="1" s="1"/>
  <c r="V185" i="1"/>
  <c r="F185" i="1" s="1"/>
  <c r="V203" i="1"/>
  <c r="F203" i="1" s="1"/>
  <c r="V191" i="1"/>
  <c r="F191" i="1" s="1"/>
  <c r="V193" i="1"/>
  <c r="F193" i="1" s="1"/>
  <c r="V196" i="1"/>
  <c r="F196" i="1" s="1"/>
  <c r="V190" i="1"/>
  <c r="F190" i="1" s="1"/>
  <c r="V173" i="1"/>
  <c r="F173" i="1" s="1"/>
  <c r="V201" i="1"/>
  <c r="F201" i="1" s="1"/>
  <c r="V194" i="1"/>
  <c r="F194" i="1" s="1"/>
  <c r="V202" i="1"/>
  <c r="F202" i="1" s="1"/>
  <c r="V199" i="1"/>
  <c r="F199" i="1" s="1"/>
  <c r="V200" i="1"/>
  <c r="F200" i="1" s="1"/>
  <c r="V189" i="1"/>
  <c r="F189" i="1" s="1"/>
  <c r="V164" i="1"/>
  <c r="F164" i="1" s="1"/>
  <c r="V140" i="1"/>
  <c r="F140" i="1" s="1"/>
  <c r="V138" i="1"/>
  <c r="F138" i="1" s="1"/>
  <c r="V145" i="1"/>
  <c r="F145" i="1" s="1"/>
  <c r="V182" i="1"/>
  <c r="F182" i="1" s="1"/>
  <c r="V123" i="1"/>
  <c r="F123" i="1" s="1"/>
  <c r="V165" i="1"/>
  <c r="F165" i="1" s="1"/>
  <c r="V187" i="1"/>
  <c r="F187" i="1" s="1"/>
  <c r="V149" i="1"/>
  <c r="F149" i="1" s="1"/>
  <c r="V154" i="1"/>
  <c r="F154" i="1" s="1"/>
  <c r="V170" i="1"/>
  <c r="F170" i="1" s="1"/>
  <c r="V144" i="1"/>
  <c r="F144" i="1" s="1"/>
  <c r="V150" i="1"/>
  <c r="F150" i="1" s="1"/>
  <c r="V157" i="1"/>
  <c r="F157" i="1" s="1"/>
  <c r="V147" i="1"/>
  <c r="F147" i="1" s="1"/>
  <c r="V175" i="1"/>
  <c r="F175" i="1" s="1"/>
  <c r="V162" i="1"/>
  <c r="F162" i="1" s="1"/>
  <c r="V176" i="1"/>
  <c r="F176" i="1" s="1"/>
  <c r="V146" i="1"/>
  <c r="F146" i="1" s="1"/>
  <c r="V184" i="1"/>
  <c r="F184" i="1" s="1"/>
  <c r="V127" i="1"/>
  <c r="F127" i="1" s="1"/>
  <c r="V160" i="1"/>
  <c r="F160" i="1" s="1"/>
  <c r="V172" i="1"/>
  <c r="F172" i="1" s="1"/>
  <c r="V125" i="1"/>
  <c r="F125" i="1" s="1"/>
  <c r="V114" i="1"/>
  <c r="F114" i="1" s="1"/>
  <c r="V197" i="1"/>
  <c r="F197" i="1" s="1"/>
  <c r="V98" i="1"/>
  <c r="F98" i="1" s="1"/>
  <c r="V171" i="1"/>
  <c r="F171" i="1" s="1"/>
  <c r="V81" i="1"/>
  <c r="F81" i="1" s="1"/>
  <c r="V141" i="1"/>
  <c r="F141" i="1" s="1"/>
  <c r="V192" i="1"/>
  <c r="F192" i="1" s="1"/>
  <c r="V161" i="1"/>
  <c r="F161" i="1" s="1"/>
  <c r="V148" i="1"/>
  <c r="F148" i="1" s="1"/>
  <c r="V195" i="1"/>
  <c r="F195" i="1" s="1"/>
  <c r="V163" i="1"/>
  <c r="F163" i="1" s="1"/>
  <c r="V73" i="1"/>
  <c r="F73" i="1" s="1"/>
  <c r="V142" i="1"/>
  <c r="F142" i="1" s="1"/>
  <c r="V121" i="1"/>
  <c r="F121" i="1" s="1"/>
  <c r="V188" i="1"/>
  <c r="F188" i="1" s="1"/>
  <c r="V158" i="1"/>
  <c r="F158" i="1" s="1"/>
  <c r="V129" i="1"/>
  <c r="F129" i="1" s="1"/>
  <c r="V103" i="1"/>
  <c r="F103" i="1" s="1"/>
  <c r="V151" i="1"/>
  <c r="F151" i="1" s="1"/>
  <c r="V132" i="1"/>
  <c r="F132" i="1" s="1"/>
  <c r="V177" i="1"/>
  <c r="F177" i="1" s="1"/>
  <c r="V139" i="1"/>
  <c r="F139" i="1" s="1"/>
  <c r="V131" i="1"/>
  <c r="F131" i="1" s="1"/>
  <c r="V115" i="1"/>
  <c r="F115" i="1" s="1"/>
  <c r="V100" i="1"/>
  <c r="F100" i="1" s="1"/>
  <c r="V152" i="1"/>
  <c r="F152" i="1" s="1"/>
  <c r="V122" i="1"/>
  <c r="F122" i="1" s="1"/>
  <c r="V62" i="1"/>
  <c r="F62" i="1" s="1"/>
  <c r="V136" i="1"/>
  <c r="F136" i="1" s="1"/>
  <c r="V174" i="1"/>
  <c r="F174" i="1" s="1"/>
  <c r="V94" i="1"/>
  <c r="F94" i="1" s="1"/>
  <c r="V101" i="1"/>
  <c r="F101" i="1" s="1"/>
  <c r="V97" i="1"/>
  <c r="F97" i="1" s="1"/>
  <c r="V86" i="1"/>
  <c r="F86" i="1" s="1"/>
  <c r="V80" i="1"/>
  <c r="F80" i="1" s="1"/>
  <c r="V99" i="1"/>
  <c r="F99" i="1" s="1"/>
  <c r="V90" i="1"/>
  <c r="F90" i="1" s="1"/>
  <c r="V93" i="1"/>
  <c r="F93" i="1" s="1"/>
  <c r="V167" i="1"/>
  <c r="F167" i="1" s="1"/>
  <c r="V166" i="1"/>
  <c r="F166" i="1" s="1"/>
  <c r="V153" i="1"/>
  <c r="F153" i="1" s="1"/>
  <c r="V82" i="1"/>
  <c r="F82" i="1" s="1"/>
  <c r="V110" i="1"/>
  <c r="F110" i="1" s="1"/>
  <c r="V85" i="1"/>
  <c r="F85" i="1" s="1"/>
  <c r="V113" i="1"/>
  <c r="F113" i="1" s="1"/>
  <c r="V130" i="1"/>
  <c r="F130" i="1" s="1"/>
  <c r="V87" i="1"/>
  <c r="F87" i="1" s="1"/>
  <c r="V84" i="1"/>
  <c r="F84" i="1" s="1"/>
  <c r="V108" i="1"/>
  <c r="F108" i="1" s="1"/>
  <c r="V105" i="1"/>
  <c r="F105" i="1" s="1"/>
  <c r="V111" i="1"/>
  <c r="F111" i="1" s="1"/>
  <c r="V119" i="1"/>
  <c r="F119" i="1" s="1"/>
  <c r="V137" i="1"/>
  <c r="F137" i="1" s="1"/>
  <c r="V88" i="1"/>
  <c r="F88" i="1" s="1"/>
  <c r="V135" i="1"/>
  <c r="F135" i="1" s="1"/>
  <c r="V134" i="1"/>
  <c r="F134" i="1" s="1"/>
  <c r="V102" i="1"/>
  <c r="F102" i="1" s="1"/>
  <c r="V92" i="1"/>
  <c r="F92" i="1" s="1"/>
  <c r="V156" i="1"/>
  <c r="F156" i="1" s="1"/>
  <c r="V118" i="1"/>
  <c r="F118" i="1" s="1"/>
  <c r="V107" i="1"/>
  <c r="F107" i="1" s="1"/>
  <c r="V128" i="1"/>
  <c r="F128" i="1" s="1"/>
  <c r="V96" i="1"/>
  <c r="F96" i="1" s="1"/>
  <c r="V117" i="1"/>
  <c r="F117" i="1" s="1"/>
  <c r="V70" i="1"/>
  <c r="F70" i="1" s="1"/>
  <c r="V74" i="1"/>
  <c r="F74" i="1" s="1"/>
  <c r="V76" i="1"/>
  <c r="F76" i="1" s="1"/>
  <c r="V91" i="1"/>
  <c r="F91" i="1" s="1"/>
  <c r="V72" i="1"/>
  <c r="F72" i="1" s="1"/>
  <c r="V89" i="1"/>
  <c r="F89" i="1" s="1"/>
  <c r="V116" i="1"/>
  <c r="F116" i="1" s="1"/>
  <c r="V69" i="1"/>
  <c r="F69" i="1" s="1"/>
  <c r="V78" i="1"/>
  <c r="F78" i="1" s="1"/>
  <c r="V95" i="1"/>
  <c r="F95" i="1" s="1"/>
  <c r="V56" i="1"/>
  <c r="F56" i="1" s="1"/>
  <c r="V109" i="1"/>
  <c r="F109" i="1" s="1"/>
  <c r="V64" i="1"/>
  <c r="F64" i="1" s="1"/>
  <c r="V159" i="1"/>
  <c r="F159" i="1" s="1"/>
  <c r="V112" i="1"/>
  <c r="F112" i="1" s="1"/>
  <c r="V83" i="1"/>
  <c r="F83" i="1" s="1"/>
  <c r="V61" i="1"/>
  <c r="F61" i="1" s="1"/>
  <c r="V66" i="1"/>
  <c r="F66" i="1" s="1"/>
  <c r="V124" i="1"/>
  <c r="F124" i="1" s="1"/>
  <c r="V48" i="1"/>
  <c r="F48" i="1" s="1"/>
  <c r="V65" i="1"/>
  <c r="F65" i="1" s="1"/>
  <c r="V51" i="1"/>
  <c r="F51" i="1" s="1"/>
  <c r="V58" i="1"/>
  <c r="F58" i="1" s="1"/>
  <c r="V75" i="1"/>
  <c r="F75" i="1" s="1"/>
  <c r="V47" i="1"/>
  <c r="F47" i="1" s="1"/>
  <c r="V71" i="1"/>
  <c r="F71" i="1" s="1"/>
  <c r="V50" i="1"/>
  <c r="F50" i="1" s="1"/>
  <c r="V104" i="1"/>
  <c r="F104" i="1" s="1"/>
  <c r="V67" i="1"/>
  <c r="F67" i="1" s="1"/>
  <c r="V77" i="1"/>
  <c r="F77" i="1" s="1"/>
  <c r="V106" i="1"/>
  <c r="F106" i="1" s="1"/>
  <c r="V60" i="1"/>
  <c r="F60" i="1" s="1"/>
  <c r="V57" i="1"/>
  <c r="F57" i="1" s="1"/>
  <c r="V63" i="1"/>
  <c r="F63" i="1" s="1"/>
  <c r="V79" i="1"/>
  <c r="F79" i="1" s="1"/>
  <c r="V68" i="1"/>
  <c r="F68" i="1" s="1"/>
  <c r="V35" i="1"/>
  <c r="F35" i="1" s="1"/>
  <c r="V28" i="1"/>
  <c r="F28" i="1" s="1"/>
  <c r="V7" i="1"/>
  <c r="F7" i="1" s="1"/>
  <c r="V34" i="1"/>
  <c r="F34" i="1" s="1"/>
  <c r="V37" i="1"/>
  <c r="F37" i="1" s="1"/>
  <c r="V44" i="1"/>
  <c r="F44" i="1" s="1"/>
  <c r="V43" i="1"/>
  <c r="F43" i="1" s="1"/>
  <c r="V120" i="1"/>
  <c r="F120" i="1" s="1"/>
  <c r="V52" i="1"/>
  <c r="F52" i="1" s="1"/>
  <c r="V40" i="1"/>
  <c r="F40" i="1" s="1"/>
  <c r="V45" i="1"/>
  <c r="F45" i="1" s="1"/>
  <c r="V13" i="1"/>
  <c r="F13" i="1" s="1"/>
  <c r="V12" i="1"/>
  <c r="F12" i="1" s="1"/>
  <c r="V21" i="1"/>
  <c r="F21" i="1" s="1"/>
  <c r="V41" i="1"/>
  <c r="F41" i="1" s="1"/>
  <c r="V17" i="1"/>
  <c r="F17" i="1" s="1"/>
  <c r="V36" i="1"/>
  <c r="F36" i="1" s="1"/>
  <c r="V22" i="1"/>
  <c r="F22" i="1" s="1"/>
  <c r="V42" i="1"/>
  <c r="F42" i="1" s="1"/>
  <c r="V39" i="1"/>
  <c r="F39" i="1" s="1"/>
  <c r="V9" i="1"/>
  <c r="F9" i="1" s="1"/>
  <c r="V24" i="1"/>
  <c r="F24" i="1" s="1"/>
  <c r="V54" i="1"/>
  <c r="F54" i="1" s="1"/>
  <c r="V59" i="1"/>
  <c r="F59" i="1" s="1"/>
  <c r="V14" i="1"/>
  <c r="F14" i="1" s="1"/>
  <c r="V33" i="1"/>
  <c r="F33" i="1" s="1"/>
  <c r="V11" i="1"/>
  <c r="F11" i="1" s="1"/>
  <c r="V25" i="1"/>
  <c r="F25" i="1" s="1"/>
  <c r="V8" i="1"/>
  <c r="F8" i="1" s="1"/>
  <c r="V30" i="1"/>
  <c r="F30" i="1" s="1"/>
  <c r="V46" i="1"/>
  <c r="F46" i="1" s="1"/>
  <c r="V49" i="1"/>
  <c r="F49" i="1" s="1"/>
  <c r="V29" i="1"/>
  <c r="F29" i="1" s="1"/>
  <c r="V55" i="1"/>
  <c r="F55" i="1" s="1"/>
  <c r="V20" i="1"/>
  <c r="F20" i="1" s="1"/>
  <c r="V27" i="1"/>
  <c r="F27" i="1" s="1"/>
  <c r="V32" i="1"/>
  <c r="F32" i="1" s="1"/>
  <c r="V15" i="1"/>
  <c r="F15" i="1" s="1"/>
  <c r="V16" i="1"/>
  <c r="F16" i="1" s="1"/>
  <c r="V38" i="1"/>
  <c r="F38" i="1" s="1"/>
  <c r="V18" i="1"/>
  <c r="F18" i="1" s="1"/>
  <c r="V31" i="1"/>
  <c r="F31" i="1" s="1"/>
  <c r="V53" i="1"/>
  <c r="F53" i="1" s="1"/>
  <c r="V26" i="1"/>
  <c r="F26" i="1" s="1"/>
  <c r="V19" i="1"/>
  <c r="F19" i="1" s="1"/>
  <c r="BF11" i="1" l="1"/>
  <c r="BF21" i="1"/>
  <c r="AX21" i="1"/>
  <c r="BB76" i="1" l="1"/>
  <c r="BB197" i="1"/>
  <c r="BB200" i="1"/>
  <c r="BB204" i="1"/>
  <c r="BB194" i="1"/>
  <c r="BB188" i="1"/>
  <c r="BB201" i="1"/>
  <c r="BB195" i="1"/>
  <c r="BB202" i="1"/>
  <c r="BB192" i="1"/>
  <c r="BB198" i="1"/>
  <c r="BB203" i="1"/>
  <c r="BB166" i="1"/>
  <c r="BB191" i="1"/>
  <c r="BB167" i="1"/>
  <c r="BB153" i="1"/>
  <c r="BB199" i="1"/>
  <c r="BB196" i="1"/>
  <c r="BB177" i="1"/>
  <c r="BB185" i="1"/>
  <c r="BB120" i="1"/>
  <c r="BB152" i="1"/>
  <c r="BB190" i="1"/>
  <c r="BB176" i="1"/>
  <c r="BB182" i="1"/>
  <c r="BB161" i="1"/>
  <c r="BB193" i="1"/>
  <c r="BB141" i="1"/>
  <c r="BB187" i="1"/>
  <c r="BB111" i="1"/>
  <c r="BB148" i="1"/>
  <c r="BB169" i="1"/>
  <c r="BB134" i="1"/>
  <c r="BB171" i="1"/>
  <c r="BB137" i="1"/>
  <c r="BB189" i="1"/>
  <c r="BB159" i="1"/>
  <c r="BB93" i="1"/>
  <c r="BB186" i="1"/>
  <c r="BB116" i="1"/>
  <c r="BB174" i="1"/>
  <c r="BB118" i="1"/>
  <c r="BB170" i="1"/>
  <c r="BB154" i="1"/>
  <c r="BB64" i="1"/>
  <c r="BB150" i="1"/>
  <c r="BB184" i="1"/>
  <c r="BB172" i="1"/>
  <c r="BB173" i="1"/>
  <c r="BB183" i="1"/>
  <c r="BB175" i="1"/>
  <c r="BB180" i="1"/>
  <c r="BB121" i="1"/>
  <c r="BB107" i="1"/>
  <c r="BB163" i="1"/>
  <c r="BB135" i="1"/>
  <c r="BB181" i="1"/>
  <c r="BB110" i="1"/>
  <c r="BB156" i="1"/>
  <c r="BB115" i="1"/>
  <c r="BB155" i="1"/>
  <c r="BB151" i="1"/>
  <c r="BB129" i="1"/>
  <c r="BB140" i="1"/>
  <c r="BB157" i="1"/>
  <c r="BB164" i="1"/>
  <c r="BB165" i="1"/>
  <c r="BB131" i="1"/>
  <c r="BB179" i="1"/>
  <c r="BB113" i="1"/>
  <c r="BB128" i="1"/>
  <c r="BB104" i="1"/>
  <c r="BB108" i="1"/>
  <c r="BB109" i="1"/>
  <c r="BB122" i="1"/>
  <c r="BB162" i="1"/>
  <c r="BB119" i="1"/>
  <c r="BB158" i="1"/>
  <c r="BB132" i="1"/>
  <c r="BB147" i="1"/>
  <c r="BB139" i="1"/>
  <c r="BB98" i="1"/>
  <c r="BB117" i="1"/>
  <c r="BB146" i="1"/>
  <c r="BB65" i="1"/>
  <c r="BB178" i="1"/>
  <c r="BB136" i="1"/>
  <c r="BB103" i="1"/>
  <c r="BB168" i="1"/>
  <c r="BB114" i="1"/>
  <c r="BB105" i="1"/>
  <c r="BB83" i="1"/>
  <c r="BB78" i="1"/>
  <c r="BB149" i="1"/>
  <c r="BB106" i="1"/>
  <c r="BB102" i="1"/>
  <c r="BB71" i="1"/>
  <c r="BB73" i="1"/>
  <c r="BB70" i="1"/>
  <c r="BB144" i="1"/>
  <c r="BB133" i="1"/>
  <c r="BB81" i="1"/>
  <c r="BB138" i="1"/>
  <c r="BB142" i="1"/>
  <c r="BB112" i="1"/>
  <c r="BB89" i="1"/>
  <c r="BB75" i="1"/>
  <c r="BB82" i="1"/>
  <c r="BB143" i="1"/>
  <c r="BB79" i="1"/>
  <c r="BB77" i="1"/>
  <c r="BB47" i="1"/>
  <c r="BB160" i="1"/>
  <c r="BB96" i="1"/>
  <c r="BB51" i="1"/>
  <c r="BB130" i="1"/>
  <c r="BB54" i="1"/>
  <c r="BB59" i="1"/>
  <c r="BB91" i="1"/>
  <c r="BB56" i="1"/>
  <c r="BB48" i="1"/>
  <c r="BB85" i="1"/>
  <c r="BB95" i="1"/>
  <c r="BB145" i="1"/>
  <c r="BB72" i="1"/>
  <c r="BB101" i="1"/>
  <c r="BB74" i="1"/>
  <c r="BB58" i="1"/>
  <c r="BB55" i="1"/>
  <c r="BB69" i="1"/>
  <c r="BB123" i="1"/>
  <c r="BB35" i="1"/>
  <c r="BB84" i="1"/>
  <c r="BB127" i="1"/>
  <c r="BB87" i="1"/>
  <c r="BB57" i="1"/>
  <c r="BB92" i="1"/>
  <c r="BB88" i="1"/>
  <c r="BB52" i="1"/>
  <c r="BB126" i="1"/>
  <c r="BB67" i="1"/>
  <c r="BB100" i="1"/>
  <c r="BB62" i="1"/>
  <c r="BB60" i="1"/>
  <c r="BB45" i="1"/>
  <c r="BB46" i="1"/>
  <c r="BB86" i="1"/>
  <c r="BB68" i="1"/>
  <c r="BB53" i="1"/>
  <c r="BB125" i="1"/>
  <c r="BB44" i="1"/>
  <c r="BB39" i="1"/>
  <c r="BB94" i="1"/>
  <c r="BB124" i="1"/>
  <c r="BB90" i="1"/>
  <c r="BB49" i="1"/>
  <c r="BB99" i="1"/>
  <c r="BB66" i="1"/>
  <c r="BB38" i="1"/>
  <c r="BB33" i="1"/>
  <c r="BB80" i="1"/>
  <c r="BB61" i="1"/>
  <c r="BB97" i="1"/>
  <c r="BB41" i="1"/>
  <c r="BB31" i="1"/>
  <c r="BB63" i="1"/>
  <c r="BB34" i="1"/>
  <c r="BB40" i="1"/>
  <c r="BB42" i="1"/>
  <c r="BB28" i="1"/>
  <c r="BB30" i="1"/>
  <c r="BB50" i="1"/>
  <c r="BB37" i="1"/>
  <c r="BB18" i="1"/>
  <c r="BB14" i="1"/>
  <c r="BB32" i="1"/>
  <c r="BB36" i="1"/>
  <c r="BB16" i="1"/>
  <c r="BB43" i="1"/>
  <c r="BB15" i="1"/>
  <c r="BB23" i="1"/>
  <c r="BB29" i="1"/>
  <c r="BB27" i="1"/>
  <c r="BB20" i="1"/>
  <c r="BB21" i="1"/>
  <c r="BB12" i="1"/>
  <c r="BB19" i="1"/>
  <c r="BB25" i="1"/>
  <c r="BB9" i="1"/>
  <c r="BB22" i="1"/>
  <c r="BB26" i="1"/>
  <c r="BB10" i="1"/>
  <c r="BB24" i="1"/>
  <c r="BB7" i="1"/>
  <c r="BB13" i="1"/>
  <c r="BB17" i="1"/>
  <c r="BB11" i="1"/>
  <c r="BB8" i="1"/>
  <c r="BW8" i="1" l="1"/>
  <c r="BW204" i="1"/>
  <c r="BW16" i="1"/>
  <c r="BW198" i="1"/>
  <c r="BW192" i="1"/>
  <c r="BW201" i="1"/>
  <c r="BW194" i="1"/>
  <c r="BW203" i="1"/>
  <c r="BW197" i="1"/>
  <c r="BW202" i="1"/>
  <c r="BW167" i="1"/>
  <c r="BW200" i="1"/>
  <c r="BW199" i="1"/>
  <c r="BW195" i="1"/>
  <c r="BW188" i="1"/>
  <c r="BW196" i="1"/>
  <c r="BW191" i="1"/>
  <c r="BW161" i="1"/>
  <c r="BW193" i="1"/>
  <c r="BW174" i="1"/>
  <c r="BW166" i="1"/>
  <c r="BW190" i="1"/>
  <c r="BW178" i="1"/>
  <c r="BW187" i="1"/>
  <c r="BW159" i="1"/>
  <c r="BW163" i="1"/>
  <c r="BW176" i="1"/>
  <c r="BW189" i="1"/>
  <c r="BW175" i="1"/>
  <c r="BW153" i="1"/>
  <c r="BW162" i="1"/>
  <c r="BW129" i="1"/>
  <c r="BW170" i="1"/>
  <c r="BW171" i="1"/>
  <c r="BW152" i="1"/>
  <c r="BW186" i="1"/>
  <c r="BW148" i="1"/>
  <c r="BW165" i="1"/>
  <c r="BW177" i="1"/>
  <c r="BW182" i="1"/>
  <c r="BW136" i="1"/>
  <c r="BW120" i="1"/>
  <c r="BW151" i="1"/>
  <c r="BW185" i="1"/>
  <c r="BW141" i="1"/>
  <c r="BW169" i="1"/>
  <c r="BW181" i="1"/>
  <c r="BW183" i="1"/>
  <c r="BW180" i="1"/>
  <c r="BW131" i="1"/>
  <c r="BW157" i="1"/>
  <c r="BW150" i="1"/>
  <c r="BW116" i="1"/>
  <c r="BW137" i="1"/>
  <c r="BW111" i="1"/>
  <c r="BW155" i="1"/>
  <c r="BW179" i="1"/>
  <c r="BW184" i="1"/>
  <c r="BW158" i="1"/>
  <c r="BW172" i="1"/>
  <c r="BW93" i="1"/>
  <c r="BW105" i="1"/>
  <c r="BW134" i="1"/>
  <c r="BW135" i="1"/>
  <c r="BW156" i="1"/>
  <c r="BW173" i="1"/>
  <c r="BW154" i="1"/>
  <c r="BW117" i="1"/>
  <c r="BW142" i="1"/>
  <c r="BW103" i="1"/>
  <c r="BW147" i="1"/>
  <c r="BW113" i="1"/>
  <c r="BW89" i="1"/>
  <c r="BW70" i="1"/>
  <c r="BW139" i="1"/>
  <c r="BW164" i="1"/>
  <c r="BW108" i="1"/>
  <c r="BW140" i="1"/>
  <c r="BW168" i="1"/>
  <c r="BW121" i="1"/>
  <c r="BW118" i="1"/>
  <c r="BW114" i="1"/>
  <c r="BW107" i="1"/>
  <c r="BW149" i="1"/>
  <c r="BW110" i="1"/>
  <c r="BW143" i="1"/>
  <c r="BW146" i="1"/>
  <c r="BW132" i="1"/>
  <c r="BW130" i="1"/>
  <c r="BW98" i="1"/>
  <c r="BW78" i="1"/>
  <c r="BW69" i="1"/>
  <c r="BW73" i="1"/>
  <c r="BW77" i="1"/>
  <c r="BW106" i="1"/>
  <c r="BW115" i="1"/>
  <c r="BW160" i="1"/>
  <c r="BW145" i="1"/>
  <c r="BW104" i="1"/>
  <c r="BW109" i="1"/>
  <c r="BW95" i="1"/>
  <c r="BW128" i="1"/>
  <c r="BW112" i="1"/>
  <c r="BW91" i="1"/>
  <c r="BW96" i="1"/>
  <c r="BW72" i="1"/>
  <c r="BW74" i="1"/>
  <c r="BW102" i="1"/>
  <c r="BW85" i="1"/>
  <c r="BW55" i="1"/>
  <c r="BW54" i="1"/>
  <c r="BW64" i="1"/>
  <c r="BW122" i="1"/>
  <c r="BW83" i="1"/>
  <c r="BW127" i="1"/>
  <c r="BW144" i="1"/>
  <c r="BW138" i="1"/>
  <c r="BW76" i="1"/>
  <c r="BW119" i="1"/>
  <c r="BW81" i="1"/>
  <c r="BW82" i="1"/>
  <c r="BW75" i="1"/>
  <c r="BW86" i="1"/>
  <c r="BW52" i="1"/>
  <c r="BW124" i="1"/>
  <c r="BW71" i="1"/>
  <c r="BW123" i="1"/>
  <c r="BW49" i="1"/>
  <c r="BW59" i="1"/>
  <c r="BW92" i="1"/>
  <c r="BW126" i="1"/>
  <c r="BW88" i="1"/>
  <c r="BW99" i="1"/>
  <c r="BW44" i="1"/>
  <c r="BW90" i="1"/>
  <c r="BW65" i="1"/>
  <c r="BW84" i="1"/>
  <c r="BW133" i="1"/>
  <c r="BW58" i="1"/>
  <c r="BW87" i="1"/>
  <c r="BW125" i="1"/>
  <c r="BW97" i="1"/>
  <c r="BW41" i="1"/>
  <c r="BW68" i="1"/>
  <c r="BW62" i="1"/>
  <c r="BW56" i="1"/>
  <c r="BW101" i="1"/>
  <c r="BW67" i="1"/>
  <c r="BW94" i="1"/>
  <c r="BW79" i="1"/>
  <c r="BW45" i="1"/>
  <c r="BW39" i="1"/>
  <c r="BW80" i="1"/>
  <c r="BW47" i="1"/>
  <c r="BW66" i="1"/>
  <c r="BW60" i="1"/>
  <c r="BW46" i="1"/>
  <c r="BW100" i="1"/>
  <c r="BW37" i="1"/>
  <c r="BW51" i="1"/>
  <c r="BW34" i="1"/>
  <c r="BW61" i="1"/>
  <c r="BW63" i="1"/>
  <c r="BW57" i="1"/>
  <c r="BW53" i="1"/>
  <c r="BW40" i="1"/>
  <c r="BW38" i="1"/>
  <c r="BW35" i="1"/>
  <c r="BW42" i="1"/>
  <c r="BW48" i="1"/>
  <c r="BW33" i="1"/>
  <c r="BW50" i="1"/>
  <c r="BW43" i="1"/>
  <c r="BW30" i="1"/>
  <c r="BW18" i="1"/>
  <c r="BW36" i="1"/>
  <c r="BW31" i="1"/>
  <c r="BW32" i="1"/>
  <c r="BW15" i="1"/>
  <c r="BW20" i="1"/>
  <c r="BW28" i="1"/>
  <c r="BW27" i="1"/>
  <c r="BW29" i="1"/>
  <c r="BW21" i="1"/>
  <c r="BW23" i="1"/>
  <c r="BW25" i="1"/>
  <c r="BW9" i="1"/>
  <c r="BW24" i="1"/>
  <c r="BW14" i="1"/>
  <c r="BW19" i="1"/>
  <c r="BW22" i="1"/>
  <c r="BW12" i="1"/>
  <c r="BW10" i="1"/>
  <c r="BW7" i="1"/>
  <c r="BW26" i="1"/>
  <c r="BW17" i="1"/>
  <c r="BW13" i="1"/>
  <c r="BW11" i="1"/>
  <c r="BY199" i="1"/>
  <c r="BY188" i="1"/>
  <c r="BY153" i="1"/>
  <c r="BY200" i="1"/>
  <c r="BY203" i="1"/>
  <c r="BY201" i="1"/>
  <c r="BY197" i="1"/>
  <c r="BY141" i="1"/>
  <c r="BY194" i="1"/>
  <c r="BY65" i="1"/>
  <c r="BY161" i="1"/>
  <c r="BY64" i="1"/>
  <c r="BY159" i="1"/>
  <c r="BY202" i="1"/>
  <c r="BY185" i="1"/>
  <c r="BY110" i="1"/>
  <c r="BY204" i="1"/>
  <c r="BY192" i="1"/>
  <c r="BY152" i="1"/>
  <c r="BY198" i="1"/>
  <c r="BY71" i="1"/>
  <c r="BY167" i="1"/>
  <c r="BY166" i="1"/>
  <c r="BY93" i="1"/>
  <c r="BY158" i="1"/>
  <c r="BY120" i="1"/>
  <c r="BY177" i="1"/>
  <c r="BY151" i="1"/>
  <c r="BY169" i="1"/>
  <c r="BY157" i="1"/>
  <c r="BY116" i="1"/>
  <c r="BY156" i="1"/>
  <c r="BY129" i="1"/>
  <c r="BY176" i="1"/>
  <c r="BY190" i="1"/>
  <c r="BY189" i="1"/>
  <c r="BY174" i="1"/>
  <c r="BY193" i="1"/>
  <c r="BY48" i="1"/>
  <c r="BY191" i="1"/>
  <c r="BY135" i="1"/>
  <c r="BY196" i="1"/>
  <c r="BY113" i="1"/>
  <c r="BY58" i="1"/>
  <c r="BY150" i="1"/>
  <c r="BY103" i="1"/>
  <c r="BY75" i="1"/>
  <c r="BY184" i="1"/>
  <c r="BY182" i="1"/>
  <c r="BY165" i="1"/>
  <c r="BY121" i="1"/>
  <c r="BY162" i="1"/>
  <c r="BY195" i="1"/>
  <c r="BY140" i="1"/>
  <c r="BY131" i="1"/>
  <c r="BY115" i="1"/>
  <c r="BY171" i="1"/>
  <c r="BY73" i="1"/>
  <c r="BY109" i="1"/>
  <c r="BY186" i="1"/>
  <c r="BY98" i="1"/>
  <c r="BY187" i="1"/>
  <c r="BY83" i="1"/>
  <c r="BY155" i="1"/>
  <c r="BY81" i="1"/>
  <c r="BY51" i="1"/>
  <c r="BY164" i="1"/>
  <c r="BY175" i="1"/>
  <c r="BY148" i="1"/>
  <c r="BY114" i="1"/>
  <c r="BY170" i="1"/>
  <c r="BY132" i="1"/>
  <c r="BY183" i="1"/>
  <c r="BY178" i="1"/>
  <c r="BY154" i="1"/>
  <c r="BY180" i="1"/>
  <c r="BY173" i="1"/>
  <c r="BY137" i="1"/>
  <c r="BY112" i="1"/>
  <c r="BY179" i="1"/>
  <c r="BY133" i="1"/>
  <c r="BY56" i="1"/>
  <c r="BY105" i="1"/>
  <c r="BY53" i="1"/>
  <c r="BY163" i="1"/>
  <c r="BY172" i="1"/>
  <c r="BY147" i="1"/>
  <c r="BY111" i="1"/>
  <c r="BY146" i="1"/>
  <c r="BY136" i="1"/>
  <c r="BY143" i="1"/>
  <c r="BY181" i="1"/>
  <c r="BY108" i="1"/>
  <c r="BY149" i="1"/>
  <c r="BY100" i="1"/>
  <c r="BY134" i="1"/>
  <c r="BY82" i="1"/>
  <c r="BY128" i="1"/>
  <c r="BY78" i="1"/>
  <c r="BY168" i="1"/>
  <c r="BY106" i="1"/>
  <c r="BY138" i="1"/>
  <c r="BY118" i="1"/>
  <c r="BY142" i="1"/>
  <c r="BY31" i="1"/>
  <c r="BY139" i="1"/>
  <c r="BY70" i="1"/>
  <c r="BY130" i="1"/>
  <c r="BY144" i="1"/>
  <c r="BY102" i="1"/>
  <c r="BY95" i="1"/>
  <c r="BY54" i="1"/>
  <c r="BY160" i="1"/>
  <c r="BY69" i="1"/>
  <c r="BY89" i="1"/>
  <c r="BY107" i="1"/>
  <c r="BY101" i="1"/>
  <c r="BY145" i="1"/>
  <c r="BY88" i="1"/>
  <c r="BY38" i="1"/>
  <c r="BY77" i="1"/>
  <c r="BY92" i="1"/>
  <c r="BY55" i="1"/>
  <c r="BY72" i="1"/>
  <c r="BY117" i="1"/>
  <c r="BY104" i="1"/>
  <c r="BY79" i="1"/>
  <c r="BY47" i="1"/>
  <c r="BY85" i="1"/>
  <c r="BY16" i="1"/>
  <c r="BY127" i="1"/>
  <c r="BY119" i="1"/>
  <c r="BY86" i="1"/>
  <c r="BY62" i="1"/>
  <c r="BY124" i="1"/>
  <c r="BY87" i="1"/>
  <c r="BY84" i="1"/>
  <c r="BY123" i="1"/>
  <c r="BY74" i="1"/>
  <c r="BY90" i="1"/>
  <c r="BY61" i="1"/>
  <c r="BY67" i="1"/>
  <c r="BY91" i="1"/>
  <c r="BY59" i="1"/>
  <c r="BY126" i="1"/>
  <c r="BY45" i="1"/>
  <c r="BY68" i="1"/>
  <c r="BY94" i="1"/>
  <c r="BY96" i="1"/>
  <c r="BY52" i="1"/>
  <c r="BY80" i="1"/>
  <c r="BY35" i="1"/>
  <c r="BY125" i="1"/>
  <c r="BY63" i="1"/>
  <c r="BY99" i="1"/>
  <c r="BY97" i="1"/>
  <c r="BY46" i="1"/>
  <c r="BY66" i="1"/>
  <c r="BY122" i="1"/>
  <c r="BY39" i="1"/>
  <c r="BY76" i="1"/>
  <c r="BY57" i="1"/>
  <c r="BY44" i="1"/>
  <c r="BY49" i="1"/>
  <c r="BY23" i="1"/>
  <c r="BY21" i="1"/>
  <c r="BY32" i="1"/>
  <c r="BY18" i="1"/>
  <c r="BY41" i="1"/>
  <c r="BY60" i="1"/>
  <c r="BY43" i="1"/>
  <c r="BY33" i="1"/>
  <c r="BY36" i="1"/>
  <c r="BY42" i="1"/>
  <c r="BY37" i="1"/>
  <c r="BY15" i="1"/>
  <c r="BY40" i="1"/>
  <c r="BY19" i="1"/>
  <c r="BY50" i="1"/>
  <c r="BY28" i="1"/>
  <c r="BY34" i="1"/>
  <c r="BY30" i="1"/>
  <c r="BY29" i="1"/>
  <c r="BY22" i="1"/>
  <c r="BY26" i="1"/>
  <c r="BY27" i="1"/>
  <c r="BY24" i="1"/>
  <c r="BY12" i="1"/>
  <c r="BY20" i="1"/>
  <c r="BY9" i="1"/>
  <c r="BY25" i="1"/>
  <c r="BY7" i="1"/>
  <c r="BY14" i="1"/>
  <c r="BY17" i="1"/>
  <c r="BY10" i="1"/>
  <c r="BY11" i="1"/>
  <c r="BY13" i="1"/>
  <c r="BY8" i="1"/>
  <c r="BP204" i="1"/>
  <c r="BP198" i="1"/>
  <c r="I198" i="1" s="1"/>
  <c r="BP192" i="1"/>
  <c r="BP201" i="1"/>
  <c r="BP194" i="1"/>
  <c r="BP203" i="1"/>
  <c r="BP197" i="1"/>
  <c r="BP202" i="1"/>
  <c r="BP167" i="1"/>
  <c r="BP200" i="1"/>
  <c r="I200" i="1" s="1"/>
  <c r="BP199" i="1"/>
  <c r="BP195" i="1"/>
  <c r="BP188" i="1"/>
  <c r="BP196" i="1"/>
  <c r="BP191" i="1"/>
  <c r="BP161" i="1"/>
  <c r="BP193" i="1"/>
  <c r="BP174" i="1"/>
  <c r="BP166" i="1"/>
  <c r="BP190" i="1"/>
  <c r="BP178" i="1"/>
  <c r="BP187" i="1"/>
  <c r="BP159" i="1"/>
  <c r="BP163" i="1"/>
  <c r="BP176" i="1"/>
  <c r="BP189" i="1"/>
  <c r="BP175" i="1"/>
  <c r="BP153" i="1"/>
  <c r="BP162" i="1"/>
  <c r="BP129" i="1"/>
  <c r="BP170" i="1"/>
  <c r="BP171" i="1"/>
  <c r="BP152" i="1"/>
  <c r="BP186" i="1"/>
  <c r="BP148" i="1"/>
  <c r="BP165" i="1"/>
  <c r="BP177" i="1"/>
  <c r="BP182" i="1"/>
  <c r="BP136" i="1"/>
  <c r="BP120" i="1"/>
  <c r="BP151" i="1"/>
  <c r="BP185" i="1"/>
  <c r="BP141" i="1"/>
  <c r="BP169" i="1"/>
  <c r="BP181" i="1"/>
  <c r="BP183" i="1"/>
  <c r="BP180" i="1"/>
  <c r="BP131" i="1"/>
  <c r="BP157" i="1"/>
  <c r="BP150" i="1"/>
  <c r="I150" i="1" s="1"/>
  <c r="BP116" i="1"/>
  <c r="BP137" i="1"/>
  <c r="BP111" i="1"/>
  <c r="BP155" i="1"/>
  <c r="BP179" i="1"/>
  <c r="BP184" i="1"/>
  <c r="BP158" i="1"/>
  <c r="BP172" i="1"/>
  <c r="BP93" i="1"/>
  <c r="BP105" i="1"/>
  <c r="BP134" i="1"/>
  <c r="BP135" i="1"/>
  <c r="BP156" i="1"/>
  <c r="BP173" i="1"/>
  <c r="BP154" i="1"/>
  <c r="BP117" i="1"/>
  <c r="BP142" i="1"/>
  <c r="BP103" i="1"/>
  <c r="BP147" i="1"/>
  <c r="BP113" i="1"/>
  <c r="BP89" i="1"/>
  <c r="BP70" i="1"/>
  <c r="BP139" i="1"/>
  <c r="BP164" i="1"/>
  <c r="BP108" i="1"/>
  <c r="BP140" i="1"/>
  <c r="BP168" i="1"/>
  <c r="BP121" i="1"/>
  <c r="BP118" i="1"/>
  <c r="BP114" i="1"/>
  <c r="BP107" i="1"/>
  <c r="BP149" i="1"/>
  <c r="BP110" i="1"/>
  <c r="BP143" i="1"/>
  <c r="BP146" i="1"/>
  <c r="BP132" i="1"/>
  <c r="BP130" i="1"/>
  <c r="BP98" i="1"/>
  <c r="I98" i="1" s="1"/>
  <c r="BP78" i="1"/>
  <c r="BP69" i="1"/>
  <c r="BP73" i="1"/>
  <c r="BP77" i="1"/>
  <c r="BP106" i="1"/>
  <c r="BP115" i="1"/>
  <c r="BP160" i="1"/>
  <c r="BP145" i="1"/>
  <c r="BP104" i="1"/>
  <c r="BP109" i="1"/>
  <c r="BP95" i="1"/>
  <c r="BP128" i="1"/>
  <c r="BP112" i="1"/>
  <c r="BP91" i="1"/>
  <c r="BP96" i="1"/>
  <c r="BP72" i="1"/>
  <c r="BP74" i="1"/>
  <c r="BP102" i="1"/>
  <c r="BP85" i="1"/>
  <c r="BP55" i="1"/>
  <c r="BP54" i="1"/>
  <c r="BP64" i="1"/>
  <c r="BP122" i="1"/>
  <c r="BP83" i="1"/>
  <c r="BP127" i="1"/>
  <c r="BP144" i="1"/>
  <c r="BP138" i="1"/>
  <c r="I138" i="1" s="1"/>
  <c r="BP76" i="1"/>
  <c r="BP119" i="1"/>
  <c r="BP81" i="1"/>
  <c r="BP82" i="1"/>
  <c r="BP75" i="1"/>
  <c r="BP86" i="1"/>
  <c r="BP52" i="1"/>
  <c r="BP124" i="1"/>
  <c r="BP71" i="1"/>
  <c r="BP123" i="1"/>
  <c r="BP49" i="1"/>
  <c r="BP59" i="1"/>
  <c r="BP92" i="1"/>
  <c r="BP126" i="1"/>
  <c r="BP88" i="1"/>
  <c r="BP99" i="1"/>
  <c r="BP44" i="1"/>
  <c r="BP90" i="1"/>
  <c r="BP65" i="1"/>
  <c r="BP84" i="1"/>
  <c r="BP133" i="1"/>
  <c r="BP58" i="1"/>
  <c r="BP87" i="1"/>
  <c r="BP125" i="1"/>
  <c r="BP97" i="1"/>
  <c r="BP41" i="1"/>
  <c r="BP68" i="1"/>
  <c r="BP62" i="1"/>
  <c r="BP56" i="1"/>
  <c r="BP101" i="1"/>
  <c r="BP67" i="1"/>
  <c r="BP94" i="1"/>
  <c r="BP79" i="1"/>
  <c r="BP45" i="1"/>
  <c r="BP39" i="1"/>
  <c r="BP80" i="1"/>
  <c r="BP47" i="1"/>
  <c r="BP66" i="1"/>
  <c r="BP60" i="1"/>
  <c r="BP46" i="1"/>
  <c r="BP100" i="1"/>
  <c r="BP37" i="1"/>
  <c r="BP51" i="1"/>
  <c r="BP34" i="1"/>
  <c r="BP61" i="1"/>
  <c r="BP63" i="1"/>
  <c r="BP57" i="1"/>
  <c r="BP53" i="1"/>
  <c r="I53" i="1" s="1"/>
  <c r="BP40" i="1"/>
  <c r="BP38" i="1"/>
  <c r="BP35" i="1"/>
  <c r="BP42" i="1"/>
  <c r="BP48" i="1"/>
  <c r="BP33" i="1"/>
  <c r="BP50" i="1"/>
  <c r="BP43" i="1"/>
  <c r="BP30" i="1"/>
  <c r="BP18" i="1"/>
  <c r="BP36" i="1"/>
  <c r="BP31" i="1"/>
  <c r="BP32" i="1"/>
  <c r="BP15" i="1"/>
  <c r="BP20" i="1"/>
  <c r="I20" i="1" s="1"/>
  <c r="BP28" i="1"/>
  <c r="BP27" i="1"/>
  <c r="BP29" i="1"/>
  <c r="BP21" i="1"/>
  <c r="BP23" i="1"/>
  <c r="BP25" i="1"/>
  <c r="BP9" i="1"/>
  <c r="BP24" i="1"/>
  <c r="BP14" i="1"/>
  <c r="I14" i="1" s="1"/>
  <c r="BP19" i="1"/>
  <c r="BP22" i="1"/>
  <c r="BP12" i="1"/>
  <c r="BP10" i="1"/>
  <c r="BP16" i="1"/>
  <c r="BP7" i="1"/>
  <c r="BP26" i="1"/>
  <c r="BP17" i="1"/>
  <c r="BP13" i="1"/>
  <c r="BP11" i="1"/>
  <c r="BP8" i="1"/>
  <c r="I165" i="1" l="1"/>
  <c r="I8" i="1"/>
  <c r="I19" i="1"/>
  <c r="I195" i="1"/>
  <c r="I166" i="1"/>
  <c r="I60" i="1"/>
  <c r="I92" i="1"/>
  <c r="I196" i="1"/>
  <c r="I51" i="1"/>
  <c r="I42" i="1"/>
  <c r="I85" i="1"/>
  <c r="I116" i="1"/>
  <c r="I107" i="1"/>
  <c r="I29" i="1"/>
  <c r="I175" i="1"/>
  <c r="I157" i="1"/>
  <c r="I25" i="1"/>
  <c r="I82" i="1"/>
  <c r="I106" i="1"/>
  <c r="I153" i="1"/>
  <c r="I83" i="1"/>
  <c r="I158" i="1"/>
  <c r="I17" i="1"/>
  <c r="I99" i="1"/>
  <c r="I76" i="1"/>
  <c r="I26" i="1"/>
  <c r="I66" i="1"/>
  <c r="I40" i="1"/>
  <c r="I65" i="1"/>
  <c r="I160" i="1"/>
  <c r="I87" i="1"/>
  <c r="I140" i="1"/>
  <c r="I159" i="1"/>
  <c r="I103" i="1"/>
  <c r="I38" i="1"/>
  <c r="I202" i="1"/>
  <c r="I78" i="1"/>
  <c r="I97" i="1"/>
  <c r="I127" i="1"/>
  <c r="I69" i="1"/>
  <c r="I27" i="1"/>
  <c r="I128" i="1"/>
  <c r="I55" i="1"/>
  <c r="I193" i="1"/>
  <c r="I147" i="1"/>
  <c r="I102" i="1"/>
  <c r="I185" i="1"/>
  <c r="I144" i="1"/>
  <c r="I148" i="1"/>
  <c r="I9" i="1"/>
  <c r="I126" i="1"/>
  <c r="I171" i="1"/>
  <c r="I180" i="1"/>
  <c r="I62" i="1"/>
  <c r="I186" i="1"/>
  <c r="I183" i="1"/>
  <c r="I77" i="1"/>
  <c r="I52" i="1"/>
  <c r="I70" i="1"/>
  <c r="I122" i="1"/>
  <c r="I130" i="1"/>
  <c r="I142" i="1"/>
  <c r="I169" i="1"/>
  <c r="I192" i="1"/>
  <c r="I113" i="1"/>
  <c r="I110" i="1"/>
  <c r="I146" i="1"/>
  <c r="I173" i="1"/>
  <c r="I57" i="1"/>
  <c r="I49" i="1"/>
  <c r="I134" i="1"/>
  <c r="I90" i="1"/>
  <c r="I59" i="1"/>
  <c r="I31" i="1"/>
  <c r="I47" i="1"/>
  <c r="I199" i="1"/>
  <c r="I149" i="1"/>
  <c r="I168" i="1"/>
  <c r="I111" i="1"/>
  <c r="I188" i="1"/>
  <c r="I182" i="1"/>
  <c r="I172" i="1"/>
  <c r="I120" i="1"/>
  <c r="I61" i="1"/>
  <c r="I204" i="1"/>
  <c r="I10" i="1"/>
  <c r="I155" i="1"/>
  <c r="I117" i="1"/>
  <c r="I73" i="1"/>
  <c r="I197" i="1"/>
  <c r="I32" i="1"/>
  <c r="I79" i="1"/>
  <c r="I100" i="1"/>
  <c r="I190" i="1"/>
  <c r="I64" i="1"/>
  <c r="I156" i="1"/>
  <c r="I141" i="1"/>
  <c r="I11" i="1"/>
  <c r="I88" i="1"/>
  <c r="I54" i="1"/>
  <c r="I39" i="1"/>
  <c r="I18" i="1"/>
  <c r="I181" i="1"/>
  <c r="I56" i="1"/>
  <c r="I125" i="1"/>
  <c r="I123" i="1"/>
  <c r="I74" i="1"/>
  <c r="I105" i="1"/>
  <c r="I133" i="1"/>
  <c r="I179" i="1"/>
  <c r="I34" i="1"/>
  <c r="I7" i="1"/>
  <c r="I86" i="1"/>
  <c r="I48" i="1"/>
  <c r="I201" i="1"/>
  <c r="I161" i="1"/>
  <c r="I184" i="1"/>
  <c r="I71" i="1"/>
  <c r="I163" i="1"/>
  <c r="I94" i="1"/>
  <c r="I118" i="1"/>
  <c r="I46" i="1"/>
  <c r="I135" i="1"/>
  <c r="I33" i="1"/>
  <c r="I137" i="1"/>
  <c r="I24" i="1"/>
  <c r="I119" i="1"/>
  <c r="I72" i="1"/>
  <c r="I167" i="1"/>
  <c r="I112" i="1"/>
  <c r="I91" i="1"/>
  <c r="I124" i="1"/>
  <c r="I13" i="1"/>
  <c r="I108" i="1"/>
  <c r="I80" i="1"/>
  <c r="I16" i="1"/>
  <c r="I132" i="1"/>
  <c r="I194" i="1"/>
  <c r="I104" i="1"/>
  <c r="I28" i="1"/>
  <c r="I164" i="1"/>
  <c r="I68" i="1"/>
  <c r="I152" i="1"/>
  <c r="I89" i="1"/>
  <c r="I129" i="1"/>
  <c r="I162" i="1"/>
  <c r="I30" i="1"/>
  <c r="I174" i="1"/>
  <c r="I136" i="1"/>
  <c r="I170" i="1"/>
  <c r="I115" i="1"/>
  <c r="I23" i="1"/>
  <c r="I75" i="1"/>
  <c r="I22" i="1"/>
  <c r="I187" i="1"/>
  <c r="I21" i="1"/>
  <c r="I139" i="1"/>
  <c r="I58" i="1"/>
  <c r="I121" i="1"/>
  <c r="I43" i="1"/>
  <c r="I44" i="1"/>
  <c r="I67" i="1"/>
  <c r="I15" i="1"/>
  <c r="I114" i="1"/>
  <c r="I35" i="1"/>
  <c r="I189" i="1"/>
  <c r="I154" i="1"/>
  <c r="I96" i="1"/>
  <c r="I63" i="1"/>
  <c r="I101" i="1"/>
  <c r="I176" i="1"/>
  <c r="I191" i="1"/>
  <c r="I203" i="1"/>
  <c r="I143" i="1"/>
  <c r="I178" i="1"/>
  <c r="I109" i="1"/>
  <c r="I81" i="1"/>
  <c r="I131" i="1"/>
  <c r="I36" i="1"/>
  <c r="I41" i="1"/>
  <c r="I95" i="1"/>
  <c r="I12" i="1"/>
  <c r="I177" i="1"/>
  <c r="I45" i="1"/>
  <c r="I145" i="1"/>
  <c r="I37" i="1"/>
  <c r="I84" i="1"/>
  <c r="I151" i="1"/>
  <c r="I93" i="1"/>
  <c r="I50" i="1"/>
  <c r="AS19" i="1"/>
  <c r="AS169" i="1"/>
  <c r="AS155" i="1"/>
  <c r="AS204" i="1"/>
  <c r="AS198" i="1"/>
  <c r="AS179" i="1"/>
  <c r="AS133" i="1"/>
  <c r="AS183" i="1"/>
  <c r="AS186" i="1"/>
  <c r="AS168" i="1"/>
  <c r="AS180" i="1"/>
  <c r="AS181" i="1"/>
  <c r="AS178" i="1"/>
  <c r="AS143" i="1"/>
  <c r="AS185" i="1"/>
  <c r="AS203" i="1"/>
  <c r="AS191" i="1"/>
  <c r="AS193" i="1"/>
  <c r="AS196" i="1"/>
  <c r="AS190" i="1"/>
  <c r="AS173" i="1"/>
  <c r="AS189" i="1"/>
  <c r="AS164" i="1"/>
  <c r="AS140" i="1"/>
  <c r="AS138" i="1"/>
  <c r="AS145" i="1"/>
  <c r="AS182" i="1"/>
  <c r="AS123" i="1"/>
  <c r="AS165" i="1"/>
  <c r="AS187" i="1"/>
  <c r="AS149" i="1"/>
  <c r="AS154" i="1"/>
  <c r="AS170" i="1"/>
  <c r="AS144" i="1"/>
  <c r="AS150" i="1"/>
  <c r="AS157" i="1"/>
  <c r="AS147" i="1"/>
  <c r="AS175" i="1"/>
  <c r="AS162" i="1"/>
  <c r="AS176" i="1"/>
  <c r="AS146" i="1"/>
  <c r="AS184" i="1"/>
  <c r="AS122" i="1"/>
  <c r="AS62" i="1"/>
  <c r="AS136" i="1"/>
  <c r="AS174" i="1"/>
  <c r="AS94" i="1"/>
  <c r="AS101" i="1"/>
  <c r="AS61" i="1"/>
  <c r="AS127" i="1"/>
  <c r="AS160" i="1"/>
  <c r="AS172" i="1"/>
  <c r="AS125" i="1"/>
  <c r="AS126" i="1"/>
  <c r="AS97" i="1"/>
  <c r="AS86" i="1"/>
  <c r="AS80" i="1"/>
  <c r="AS99" i="1"/>
  <c r="AS90" i="1"/>
  <c r="AS66" i="1"/>
  <c r="AS124" i="1"/>
  <c r="AS201" i="1"/>
  <c r="AS194" i="1"/>
  <c r="AS202" i="1"/>
  <c r="AS114" i="1"/>
  <c r="AS197" i="1"/>
  <c r="AS98" i="1"/>
  <c r="AS171" i="1"/>
  <c r="AS81" i="1"/>
  <c r="AS141" i="1"/>
  <c r="AS93" i="1"/>
  <c r="AS167" i="1"/>
  <c r="AS166" i="1"/>
  <c r="AS153" i="1"/>
  <c r="AS82" i="1"/>
  <c r="AS110" i="1"/>
  <c r="AS85" i="1"/>
  <c r="AS113" i="1"/>
  <c r="AS48" i="1"/>
  <c r="AS65" i="1"/>
  <c r="AS51" i="1"/>
  <c r="AS58" i="1"/>
  <c r="AS75" i="1"/>
  <c r="AS47" i="1"/>
  <c r="AS71" i="1"/>
  <c r="AS192" i="1"/>
  <c r="AS161" i="1"/>
  <c r="AS148" i="1"/>
  <c r="AS195" i="1"/>
  <c r="AS163" i="1"/>
  <c r="AS130" i="1"/>
  <c r="AS87" i="1"/>
  <c r="AS84" i="1"/>
  <c r="AS108" i="1"/>
  <c r="AS105" i="1"/>
  <c r="AS111" i="1"/>
  <c r="AS119" i="1"/>
  <c r="AS137" i="1"/>
  <c r="AS88" i="1"/>
  <c r="AS135" i="1"/>
  <c r="AS134" i="1"/>
  <c r="AS102" i="1"/>
  <c r="AS92" i="1"/>
  <c r="AS156" i="1"/>
  <c r="AS118" i="1"/>
  <c r="AS107" i="1"/>
  <c r="AS128" i="1"/>
  <c r="AS96" i="1"/>
  <c r="AS50" i="1"/>
  <c r="AS104" i="1"/>
  <c r="AS67" i="1"/>
  <c r="AS77" i="1"/>
  <c r="AS106" i="1"/>
  <c r="AS60" i="1"/>
  <c r="AS57" i="1"/>
  <c r="AS63" i="1"/>
  <c r="AS79" i="1"/>
  <c r="AS68" i="1"/>
  <c r="AS117" i="1"/>
  <c r="AS70" i="1"/>
  <c r="AS74" i="1"/>
  <c r="AS76" i="1"/>
  <c r="AS91" i="1"/>
  <c r="AS72" i="1"/>
  <c r="AS89" i="1"/>
  <c r="AS116" i="1"/>
  <c r="AS69" i="1"/>
  <c r="AS35" i="1"/>
  <c r="AS28" i="1"/>
  <c r="AS7" i="1"/>
  <c r="AS10" i="1"/>
  <c r="AS34" i="1"/>
  <c r="AS37" i="1"/>
  <c r="AS44" i="1"/>
  <c r="AS43" i="1"/>
  <c r="AS120" i="1"/>
  <c r="AS52" i="1"/>
  <c r="AS40" i="1"/>
  <c r="AS45" i="1"/>
  <c r="AS13" i="1"/>
  <c r="AS12" i="1"/>
  <c r="AS21" i="1"/>
  <c r="AS41" i="1"/>
  <c r="AS17" i="1"/>
  <c r="AS36" i="1"/>
  <c r="AS22" i="1"/>
  <c r="AS42" i="1"/>
  <c r="AS39" i="1"/>
  <c r="AS9" i="1"/>
  <c r="AS24" i="1"/>
  <c r="AS54" i="1"/>
  <c r="AS59" i="1"/>
  <c r="AS14" i="1"/>
  <c r="AS33" i="1"/>
  <c r="AS11" i="1"/>
  <c r="AS25" i="1"/>
  <c r="AS8" i="1"/>
  <c r="AS30" i="1"/>
  <c r="AS46" i="1"/>
  <c r="AS49" i="1"/>
  <c r="AS29" i="1"/>
  <c r="AS55" i="1"/>
  <c r="AS20" i="1"/>
  <c r="AS27" i="1"/>
  <c r="AS32" i="1"/>
  <c r="AS199" i="1"/>
  <c r="AS73" i="1"/>
  <c r="AS142" i="1"/>
  <c r="AS121" i="1"/>
  <c r="AS188" i="1"/>
  <c r="AS158" i="1"/>
  <c r="AS129" i="1"/>
  <c r="AS78" i="1"/>
  <c r="AS95" i="1"/>
  <c r="AS56" i="1"/>
  <c r="AS109" i="1"/>
  <c r="AS64" i="1"/>
  <c r="AS15" i="1"/>
  <c r="AS16" i="1"/>
  <c r="AS38" i="1"/>
  <c r="AS18" i="1"/>
  <c r="AS23" i="1"/>
  <c r="AS31" i="1"/>
  <c r="AS53" i="1"/>
  <c r="AS200" i="1"/>
  <c r="AS103" i="1"/>
  <c r="AS151" i="1"/>
  <c r="AS132" i="1"/>
  <c r="AS177" i="1"/>
  <c r="AS139" i="1"/>
  <c r="AS131" i="1"/>
  <c r="AS115" i="1"/>
  <c r="AS100" i="1"/>
  <c r="AS152" i="1"/>
  <c r="AS159" i="1"/>
  <c r="AS112" i="1"/>
  <c r="AS83" i="1"/>
  <c r="AS26" i="1"/>
  <c r="AX97" i="1" l="1"/>
  <c r="AX86" i="1"/>
  <c r="AX80" i="1"/>
  <c r="AX66" i="1"/>
  <c r="AX124" i="1"/>
  <c r="AX125" i="1"/>
  <c r="AX99" i="1"/>
  <c r="AX126" i="1"/>
  <c r="AX127" i="1"/>
  <c r="AX160" i="1"/>
  <c r="AX172" i="1"/>
  <c r="AX90" i="1"/>
  <c r="AX26" i="1"/>
  <c r="AX19" i="1"/>
  <c r="AX28" i="1"/>
  <c r="AX7" i="1"/>
  <c r="AX10" i="1"/>
  <c r="AX34" i="1"/>
  <c r="AX43" i="1"/>
  <c r="AX40" i="1"/>
  <c r="AX13" i="1"/>
  <c r="AX12" i="1"/>
  <c r="AX41" i="1"/>
  <c r="AX17" i="1"/>
  <c r="AX22" i="1"/>
  <c r="AX39" i="1"/>
  <c r="AX9" i="1"/>
  <c r="AX24" i="1"/>
  <c r="AX59" i="1"/>
  <c r="AX14" i="1"/>
  <c r="AX33" i="1"/>
  <c r="AX11" i="1"/>
  <c r="AX8" i="1"/>
  <c r="AX46" i="1"/>
  <c r="AX20" i="1"/>
  <c r="AX27" i="1"/>
  <c r="AX32" i="1"/>
  <c r="AX117" i="1"/>
  <c r="AX37" i="1"/>
  <c r="AX44" i="1"/>
  <c r="AX70" i="1"/>
  <c r="AX120" i="1"/>
  <c r="AX52" i="1"/>
  <c r="AX45" i="1"/>
  <c r="AX74" i="1"/>
  <c r="AX76" i="1"/>
  <c r="AX91" i="1"/>
  <c r="AX36" i="1"/>
  <c r="AX42" i="1"/>
  <c r="AX72" i="1"/>
  <c r="AX54" i="1"/>
  <c r="AX82" i="1"/>
  <c r="AX25" i="1"/>
  <c r="AX30" i="1"/>
  <c r="AX49" i="1"/>
  <c r="AX55" i="1"/>
  <c r="AX89" i="1"/>
  <c r="AX116" i="1"/>
  <c r="AX110" i="1"/>
  <c r="AX85" i="1"/>
  <c r="AX69" i="1"/>
  <c r="AX132" i="1"/>
  <c r="AX177" i="1"/>
  <c r="AX139" i="1"/>
  <c r="AX112" i="1"/>
  <c r="AX115" i="1"/>
  <c r="AX100" i="1"/>
  <c r="AX152" i="1"/>
  <c r="AX200" i="1"/>
  <c r="AX201" i="1"/>
  <c r="AX48" i="1"/>
  <c r="AX93" i="1"/>
  <c r="AX194" i="1"/>
  <c r="AX65" i="1"/>
  <c r="AX51" i="1"/>
  <c r="AX197" i="1"/>
  <c r="AX58" i="1"/>
  <c r="AX171" i="1"/>
  <c r="AX75" i="1"/>
  <c r="AX81" i="1"/>
  <c r="AX47" i="1"/>
  <c r="AX166" i="1"/>
  <c r="AX153" i="1"/>
  <c r="AX71" i="1"/>
  <c r="AX73" i="1"/>
  <c r="AX142" i="1"/>
  <c r="AX78" i="1"/>
  <c r="AX15" i="1"/>
  <c r="AX16" i="1"/>
  <c r="AX121" i="1"/>
  <c r="AX188" i="1"/>
  <c r="AX95" i="1"/>
  <c r="AX56" i="1"/>
  <c r="AX38" i="1"/>
  <c r="AX158" i="1"/>
  <c r="AX18" i="1"/>
  <c r="AX199" i="1"/>
  <c r="AX23" i="1"/>
  <c r="AX109" i="1"/>
  <c r="AX31" i="1"/>
  <c r="AX64" i="1"/>
  <c r="AX129" i="1"/>
  <c r="AX53" i="1"/>
  <c r="AX103" i="1"/>
  <c r="AX159" i="1"/>
  <c r="AX151" i="1"/>
  <c r="AX131" i="1"/>
  <c r="AX83" i="1"/>
  <c r="AX104" i="1"/>
  <c r="AX130" i="1"/>
  <c r="AX87" i="1"/>
  <c r="AX84" i="1"/>
  <c r="AX67" i="1"/>
  <c r="AX119" i="1"/>
  <c r="AX106" i="1"/>
  <c r="AX88" i="1"/>
  <c r="AX92" i="1"/>
  <c r="AX128" i="1"/>
  <c r="AX63" i="1"/>
  <c r="AX79" i="1"/>
  <c r="AX68" i="1"/>
  <c r="AX35" i="1"/>
  <c r="AX29" i="1"/>
  <c r="AX192" i="1"/>
  <c r="AX50" i="1"/>
  <c r="AX108" i="1"/>
  <c r="AX105" i="1"/>
  <c r="AX77" i="1"/>
  <c r="AX161" i="1"/>
  <c r="AX111" i="1"/>
  <c r="AX148" i="1"/>
  <c r="AX195" i="1"/>
  <c r="AX137" i="1"/>
  <c r="AX135" i="1"/>
  <c r="AX134" i="1"/>
  <c r="AX102" i="1"/>
  <c r="AX156" i="1"/>
  <c r="AX60" i="1"/>
  <c r="AX118" i="1"/>
  <c r="AX57" i="1"/>
  <c r="AX107" i="1"/>
  <c r="AX163" i="1"/>
  <c r="AX96" i="1"/>
  <c r="AX155" i="1"/>
  <c r="AX179" i="1"/>
  <c r="AX138" i="1"/>
  <c r="AX145" i="1"/>
  <c r="AX182" i="1"/>
  <c r="AX183" i="1"/>
  <c r="AX165" i="1"/>
  <c r="AX187" i="1"/>
  <c r="AX181" i="1"/>
  <c r="AX178" i="1"/>
  <c r="AX170" i="1"/>
  <c r="AX144" i="1"/>
  <c r="AX143" i="1"/>
  <c r="AX136" i="1"/>
  <c r="AX174" i="1"/>
  <c r="AX147" i="1"/>
  <c r="AX175" i="1"/>
  <c r="AX191" i="1"/>
  <c r="AX193" i="1"/>
  <c r="AX196" i="1"/>
  <c r="AX176" i="1"/>
  <c r="AX94" i="1"/>
  <c r="AX190" i="1"/>
  <c r="AX173" i="1"/>
  <c r="AX146" i="1"/>
  <c r="AX189" i="1"/>
  <c r="AX164" i="1"/>
  <c r="AX169" i="1"/>
  <c r="AX140" i="1"/>
  <c r="AX202" i="1"/>
  <c r="AX204" i="1"/>
  <c r="AX122" i="1"/>
  <c r="AX198" i="1"/>
  <c r="AX61" i="1"/>
  <c r="AX133" i="1"/>
  <c r="AX123" i="1"/>
  <c r="AX186" i="1"/>
  <c r="AX62" i="1"/>
  <c r="AX168" i="1"/>
  <c r="AX180" i="1"/>
  <c r="AX149" i="1"/>
  <c r="AX154" i="1"/>
  <c r="AX185" i="1"/>
  <c r="AX150" i="1"/>
  <c r="AX203" i="1"/>
  <c r="AX157" i="1"/>
  <c r="AX162" i="1"/>
  <c r="AX101" i="1"/>
  <c r="AX184" i="1"/>
  <c r="AX114" i="1"/>
  <c r="AX98" i="1"/>
  <c r="AX167" i="1"/>
  <c r="AX141" i="1"/>
  <c r="AX113" i="1"/>
  <c r="BF158" i="1" l="1"/>
  <c r="BF115" i="1"/>
  <c r="BF152" i="1"/>
  <c r="BF165" i="1"/>
  <c r="BF177" i="1"/>
  <c r="BF188" i="1"/>
  <c r="BF151" i="1"/>
  <c r="BF187" i="1"/>
  <c r="BF144" i="1"/>
  <c r="BF73" i="1"/>
  <c r="BF193" i="1"/>
  <c r="BF109" i="1"/>
  <c r="BF157" i="1"/>
  <c r="BF178" i="1"/>
  <c r="BF121" i="1"/>
  <c r="BF183" i="1"/>
  <c r="BF202" i="1"/>
  <c r="BF199" i="1"/>
  <c r="BF95" i="1"/>
  <c r="BF182" i="1"/>
  <c r="BF190" i="1"/>
  <c r="BF133" i="1"/>
  <c r="BF191" i="1"/>
  <c r="BF166" i="1"/>
  <c r="BF147" i="1"/>
  <c r="BF139" i="1"/>
  <c r="BF170" i="1"/>
  <c r="BF196" i="1"/>
  <c r="BF181" i="1"/>
  <c r="BF155" i="1"/>
  <c r="BF143" i="1"/>
  <c r="BF103" i="1"/>
  <c r="BF135" i="1"/>
  <c r="BF179" i="1"/>
  <c r="BF129" i="1"/>
  <c r="BF176" i="1"/>
  <c r="BF106" i="1"/>
  <c r="BF137" i="1"/>
  <c r="BF175" i="1"/>
  <c r="BF172" i="1"/>
  <c r="BF204" i="1"/>
  <c r="BF198" i="1"/>
  <c r="BF64" i="1"/>
  <c r="BF150" i="1"/>
  <c r="BF138" i="1"/>
  <c r="BF131" i="1"/>
  <c r="BF164" i="1"/>
  <c r="BF200" i="1"/>
  <c r="BF160" i="1"/>
  <c r="BF98" i="1"/>
  <c r="BF173" i="1"/>
  <c r="BF149" i="1"/>
  <c r="BF195" i="1"/>
  <c r="BF163" i="1"/>
  <c r="BF71" i="1"/>
  <c r="BF146" i="1"/>
  <c r="BF148" i="1"/>
  <c r="BF169" i="1"/>
  <c r="BF122" i="1"/>
  <c r="BF94" i="1"/>
  <c r="BF112" i="1"/>
  <c r="BF185" i="1"/>
  <c r="BF184" i="1"/>
  <c r="BF105" i="1"/>
  <c r="BF132" i="1"/>
  <c r="BF203" i="1"/>
  <c r="BF154" i="1"/>
  <c r="BF168" i="1"/>
  <c r="BF102" i="1"/>
  <c r="BF90" i="1"/>
  <c r="BF180" i="1"/>
  <c r="BF123" i="1"/>
  <c r="BF174" i="1"/>
  <c r="BF110" i="1"/>
  <c r="BF89" i="1"/>
  <c r="BF141" i="1"/>
  <c r="BF140" i="1"/>
  <c r="BF82" i="1"/>
  <c r="BF128" i="1"/>
  <c r="BF88" i="1"/>
  <c r="BF100" i="1"/>
  <c r="BF145" i="1"/>
  <c r="BF91" i="1"/>
  <c r="BF127" i="1"/>
  <c r="BF70" i="1"/>
  <c r="BF108" i="1"/>
  <c r="BF86" i="1"/>
  <c r="BF76" i="1"/>
  <c r="BF153" i="1"/>
  <c r="BF162" i="1"/>
  <c r="BF161" i="1"/>
  <c r="BF83" i="1"/>
  <c r="BF93" i="1"/>
  <c r="BF72" i="1"/>
  <c r="BF167" i="1"/>
  <c r="BF97" i="1"/>
  <c r="BF74" i="1"/>
  <c r="BF171" i="1"/>
  <c r="BF201" i="1"/>
  <c r="BF114" i="1"/>
  <c r="BF194" i="1"/>
  <c r="BF197" i="1"/>
  <c r="BF124" i="1"/>
  <c r="BF159" i="1"/>
  <c r="BF136" i="1"/>
  <c r="BF119" i="1"/>
  <c r="BF142" i="1"/>
  <c r="BF85" i="1"/>
  <c r="BF78" i="1"/>
  <c r="BF186" i="1"/>
  <c r="BF65" i="1"/>
  <c r="BF111" i="1"/>
  <c r="BF75" i="1"/>
  <c r="BF130" i="1"/>
  <c r="BF189" i="1"/>
  <c r="BF134" i="1"/>
  <c r="BF80" i="1"/>
  <c r="BF56" i="1"/>
  <c r="BF53" i="1"/>
  <c r="BF101" i="1"/>
  <c r="BF126" i="1"/>
  <c r="BF51" i="1"/>
  <c r="BF62" i="1"/>
  <c r="BF69" i="1"/>
  <c r="BF50" i="1"/>
  <c r="BF107" i="1"/>
  <c r="BF92" i="1"/>
  <c r="BF117" i="1"/>
  <c r="BF84" i="1"/>
  <c r="BF15" i="1"/>
  <c r="BF58" i="1"/>
  <c r="BF120" i="1"/>
  <c r="BF77" i="1"/>
  <c r="BF60" i="1"/>
  <c r="BF118" i="1"/>
  <c r="BF113" i="1"/>
  <c r="BF87" i="1"/>
  <c r="BF48" i="1"/>
  <c r="BF81" i="1"/>
  <c r="BF57" i="1"/>
  <c r="BF99" i="1"/>
  <c r="BF49" i="1"/>
  <c r="BF192" i="1"/>
  <c r="BF55" i="1"/>
  <c r="BF52" i="1"/>
  <c r="BF54" i="1"/>
  <c r="BF104" i="1"/>
  <c r="BF66" i="1"/>
  <c r="BF125" i="1"/>
  <c r="BF67" i="1"/>
  <c r="BF156" i="1"/>
  <c r="BF42" i="1"/>
  <c r="BF16" i="1"/>
  <c r="BF116" i="1"/>
  <c r="BF96" i="1"/>
  <c r="BF63" i="1"/>
  <c r="BF38" i="1"/>
  <c r="BF31" i="1"/>
  <c r="BF18" i="1"/>
  <c r="BF68" i="1"/>
  <c r="BF61" i="1"/>
  <c r="BF47" i="1"/>
  <c r="BF46" i="1"/>
  <c r="BF79" i="1"/>
  <c r="BF45" i="1"/>
  <c r="BF36" i="1"/>
  <c r="BF44" i="1"/>
  <c r="BF37" i="1"/>
  <c r="BF41" i="1"/>
  <c r="BF39" i="1"/>
  <c r="BF30" i="1"/>
  <c r="BF35" i="1"/>
  <c r="BF59" i="1"/>
  <c r="BF23" i="1"/>
  <c r="BF26" i="1"/>
  <c r="BF29" i="1"/>
  <c r="BF43" i="1"/>
  <c r="BF22" i="1"/>
  <c r="BF32" i="1"/>
  <c r="BF20" i="1"/>
  <c r="BF27" i="1"/>
  <c r="BF19" i="1"/>
  <c r="BF40" i="1"/>
  <c r="BF34" i="1"/>
  <c r="BF14" i="1"/>
  <c r="BF9" i="1"/>
  <c r="BF7" i="1"/>
  <c r="BF24" i="1"/>
  <c r="BF28" i="1"/>
  <c r="BF8" i="1"/>
  <c r="BF12" i="1"/>
  <c r="BF33" i="1"/>
  <c r="BF13" i="1"/>
  <c r="BF25" i="1"/>
  <c r="BF17" i="1"/>
  <c r="BF10" i="1"/>
  <c r="AZ189" i="1"/>
  <c r="H189" i="1" s="1"/>
  <c r="AZ164" i="1"/>
  <c r="AZ201" i="1"/>
  <c r="H201" i="1" s="1"/>
  <c r="AZ73" i="1"/>
  <c r="H73" i="1" s="1"/>
  <c r="AZ192" i="1"/>
  <c r="AZ127" i="1"/>
  <c r="AZ103" i="1"/>
  <c r="AZ50" i="1"/>
  <c r="AZ35" i="1"/>
  <c r="AZ28" i="1"/>
  <c r="H28" i="1" s="1"/>
  <c r="AZ48" i="1"/>
  <c r="H48" i="1" s="1"/>
  <c r="AZ117" i="1"/>
  <c r="H117" i="1" s="1"/>
  <c r="AZ169" i="1"/>
  <c r="H169" i="1" s="1"/>
  <c r="AZ97" i="1"/>
  <c r="AZ159" i="1"/>
  <c r="AZ93" i="1"/>
  <c r="AZ114" i="1"/>
  <c r="AZ104" i="1"/>
  <c r="H104" i="1" s="1"/>
  <c r="AZ86" i="1"/>
  <c r="H86" i="1" s="1"/>
  <c r="AZ155" i="1"/>
  <c r="H155" i="1" s="1"/>
  <c r="AZ142" i="1"/>
  <c r="H142" i="1" s="1"/>
  <c r="AZ78" i="1"/>
  <c r="AZ140" i="1"/>
  <c r="H140" i="1" s="1"/>
  <c r="AZ151" i="1"/>
  <c r="AZ15" i="1"/>
  <c r="H15" i="1" s="1"/>
  <c r="AZ194" i="1"/>
  <c r="H194" i="1" s="1"/>
  <c r="AZ7" i="1"/>
  <c r="H7" i="1" s="1"/>
  <c r="AZ10" i="1"/>
  <c r="H10" i="1" s="1"/>
  <c r="AZ130" i="1"/>
  <c r="H130" i="1" s="1"/>
  <c r="AZ202" i="1"/>
  <c r="H202" i="1" s="1"/>
  <c r="AZ87" i="1"/>
  <c r="H87" i="1" s="1"/>
  <c r="AZ84" i="1"/>
  <c r="H84" i="1" s="1"/>
  <c r="AZ67" i="1"/>
  <c r="AZ132" i="1"/>
  <c r="H132" i="1" s="1"/>
  <c r="AZ34" i="1"/>
  <c r="AZ204" i="1"/>
  <c r="H204" i="1" s="1"/>
  <c r="AZ122" i="1"/>
  <c r="H122" i="1" s="1"/>
  <c r="AZ198" i="1"/>
  <c r="H198" i="1" s="1"/>
  <c r="AZ160" i="1"/>
  <c r="H160" i="1" s="1"/>
  <c r="AZ37" i="1"/>
  <c r="AZ44" i="1"/>
  <c r="AZ16" i="1"/>
  <c r="H16" i="1" s="1"/>
  <c r="AZ179" i="1"/>
  <c r="H179" i="1" s="1"/>
  <c r="AZ61" i="1"/>
  <c r="H61" i="1" s="1"/>
  <c r="AZ70" i="1"/>
  <c r="H70" i="1" s="1"/>
  <c r="AZ138" i="1"/>
  <c r="H138" i="1" s="1"/>
  <c r="AZ65" i="1"/>
  <c r="AZ145" i="1"/>
  <c r="AZ43" i="1"/>
  <c r="H43" i="1" s="1"/>
  <c r="AZ80" i="1"/>
  <c r="H80" i="1" s="1"/>
  <c r="AZ133" i="1"/>
  <c r="H133" i="1" s="1"/>
  <c r="AZ120" i="1"/>
  <c r="H120" i="1" s="1"/>
  <c r="AZ52" i="1"/>
  <c r="H52" i="1" s="1"/>
  <c r="AZ51" i="1"/>
  <c r="H51" i="1" s="1"/>
  <c r="AZ40" i="1"/>
  <c r="AZ45" i="1"/>
  <c r="AZ121" i="1"/>
  <c r="AZ108" i="1"/>
  <c r="H108" i="1" s="1"/>
  <c r="AZ105" i="1"/>
  <c r="AZ172" i="1"/>
  <c r="H172" i="1" s="1"/>
  <c r="AZ77" i="1"/>
  <c r="H77" i="1" s="1"/>
  <c r="AZ197" i="1"/>
  <c r="H197" i="1" s="1"/>
  <c r="AZ66" i="1"/>
  <c r="AZ177" i="1"/>
  <c r="H177" i="1" s="1"/>
  <c r="AZ58" i="1"/>
  <c r="H58" i="1" s="1"/>
  <c r="AZ13" i="1"/>
  <c r="H13" i="1" s="1"/>
  <c r="AZ74" i="1"/>
  <c r="H74" i="1" s="1"/>
  <c r="AZ182" i="1"/>
  <c r="AZ183" i="1"/>
  <c r="AZ161" i="1"/>
  <c r="H161" i="1" s="1"/>
  <c r="AZ26" i="1"/>
  <c r="AZ12" i="1"/>
  <c r="AZ139" i="1"/>
  <c r="H139" i="1" s="1"/>
  <c r="AZ124" i="1"/>
  <c r="AZ123" i="1"/>
  <c r="AZ188" i="1"/>
  <c r="H188" i="1" s="1"/>
  <c r="AZ186" i="1"/>
  <c r="H186" i="1" s="1"/>
  <c r="AZ98" i="1"/>
  <c r="H98" i="1" s="1"/>
  <c r="AZ76" i="1"/>
  <c r="AZ95" i="1"/>
  <c r="H95" i="1" s="1"/>
  <c r="H21" i="1"/>
  <c r="AZ91" i="1"/>
  <c r="H91" i="1" s="1"/>
  <c r="AZ125" i="1"/>
  <c r="H125" i="1" s="1"/>
  <c r="AZ111" i="1"/>
  <c r="H111" i="1" s="1"/>
  <c r="AZ62" i="1"/>
  <c r="H62" i="1" s="1"/>
  <c r="AZ165" i="1"/>
  <c r="H165" i="1" s="1"/>
  <c r="AZ99" i="1"/>
  <c r="H99" i="1" s="1"/>
  <c r="AZ41" i="1"/>
  <c r="H41" i="1" s="1"/>
  <c r="AZ187" i="1"/>
  <c r="AZ112" i="1"/>
  <c r="H112" i="1" s="1"/>
  <c r="AZ56" i="1"/>
  <c r="H56" i="1" s="1"/>
  <c r="AZ168" i="1"/>
  <c r="H168" i="1" s="1"/>
  <c r="AZ180" i="1"/>
  <c r="AZ38" i="1"/>
  <c r="H38" i="1" s="1"/>
  <c r="AZ17" i="1"/>
  <c r="H17" i="1" s="1"/>
  <c r="AZ36" i="1"/>
  <c r="AZ22" i="1"/>
  <c r="H22" i="1" s="1"/>
  <c r="AZ167" i="1"/>
  <c r="AZ181" i="1"/>
  <c r="H181" i="1" s="1"/>
  <c r="AZ149" i="1"/>
  <c r="H149" i="1" s="1"/>
  <c r="AZ171" i="1"/>
  <c r="H171" i="1" s="1"/>
  <c r="AZ42" i="1"/>
  <c r="AZ158" i="1"/>
  <c r="H158" i="1" s="1"/>
  <c r="AZ131" i="1"/>
  <c r="H131" i="1" s="1"/>
  <c r="AZ75" i="1"/>
  <c r="H75" i="1" s="1"/>
  <c r="AZ72" i="1"/>
  <c r="H72" i="1" s="1"/>
  <c r="AZ18" i="1"/>
  <c r="H18" i="1" s="1"/>
  <c r="AZ199" i="1"/>
  <c r="H199" i="1" s="1"/>
  <c r="AZ126" i="1"/>
  <c r="H126" i="1" s="1"/>
  <c r="AZ154" i="1"/>
  <c r="H154" i="1" s="1"/>
  <c r="AZ83" i="1"/>
  <c r="AZ81" i="1"/>
  <c r="H81" i="1" s="1"/>
  <c r="AZ23" i="1"/>
  <c r="H23" i="1" s="1"/>
  <c r="AZ119" i="1"/>
  <c r="H119" i="1" s="1"/>
  <c r="AZ39" i="1"/>
  <c r="H39" i="1" s="1"/>
  <c r="AZ47" i="1"/>
  <c r="H47" i="1" s="1"/>
  <c r="AZ9" i="1"/>
  <c r="H9" i="1" s="1"/>
  <c r="AZ166" i="1"/>
  <c r="AZ153" i="1"/>
  <c r="H153" i="1" s="1"/>
  <c r="AZ109" i="1"/>
  <c r="H109" i="1" s="1"/>
  <c r="AZ115" i="1"/>
  <c r="H115" i="1" s="1"/>
  <c r="AZ24" i="1"/>
  <c r="AZ54" i="1"/>
  <c r="H54" i="1" s="1"/>
  <c r="AZ31" i="1"/>
  <c r="H31" i="1" s="1"/>
  <c r="AZ148" i="1"/>
  <c r="H148" i="1" s="1"/>
  <c r="AZ195" i="1"/>
  <c r="H195" i="1" s="1"/>
  <c r="AZ106" i="1"/>
  <c r="H106" i="1" s="1"/>
  <c r="AZ178" i="1"/>
  <c r="H178" i="1" s="1"/>
  <c r="AZ170" i="1"/>
  <c r="H170" i="1" s="1"/>
  <c r="AZ137" i="1"/>
  <c r="H137" i="1" s="1"/>
  <c r="AZ88" i="1"/>
  <c r="AZ59" i="1"/>
  <c r="H59" i="1" s="1"/>
  <c r="AZ144" i="1"/>
  <c r="H144" i="1" s="1"/>
  <c r="AZ14" i="1"/>
  <c r="H14" i="1" s="1"/>
  <c r="AZ82" i="1"/>
  <c r="H82" i="1" s="1"/>
  <c r="AZ143" i="1"/>
  <c r="AZ136" i="1"/>
  <c r="H136" i="1" s="1"/>
  <c r="AZ33" i="1"/>
  <c r="AZ11" i="1"/>
  <c r="H11" i="1" s="1"/>
  <c r="AZ90" i="1"/>
  <c r="H90" i="1" s="1"/>
  <c r="AZ185" i="1"/>
  <c r="H185" i="1" s="1"/>
  <c r="AZ150" i="1"/>
  <c r="AZ25" i="1"/>
  <c r="H25" i="1" s="1"/>
  <c r="AZ203" i="1"/>
  <c r="H203" i="1" s="1"/>
  <c r="AZ174" i="1"/>
  <c r="H174" i="1" s="1"/>
  <c r="AZ135" i="1"/>
  <c r="H135" i="1" s="1"/>
  <c r="AZ141" i="1"/>
  <c r="AZ134" i="1"/>
  <c r="H134" i="1" s="1"/>
  <c r="AZ102" i="1"/>
  <c r="H102" i="1" s="1"/>
  <c r="AZ92" i="1"/>
  <c r="AZ157" i="1"/>
  <c r="H157" i="1" s="1"/>
  <c r="AZ8" i="1"/>
  <c r="H8" i="1" s="1"/>
  <c r="AZ30" i="1"/>
  <c r="H30" i="1" s="1"/>
  <c r="AZ46" i="1"/>
  <c r="H46" i="1" s="1"/>
  <c r="AZ156" i="1"/>
  <c r="H156" i="1" s="1"/>
  <c r="AZ49" i="1"/>
  <c r="H49" i="1" s="1"/>
  <c r="AZ147" i="1"/>
  <c r="H147" i="1" s="1"/>
  <c r="AZ60" i="1"/>
  <c r="H60" i="1" s="1"/>
  <c r="AZ175" i="1"/>
  <c r="AZ191" i="1"/>
  <c r="AZ162" i="1"/>
  <c r="H162" i="1" s="1"/>
  <c r="AZ118" i="1"/>
  <c r="AZ64" i="1"/>
  <c r="H64" i="1" s="1"/>
  <c r="AZ57" i="1"/>
  <c r="H57" i="1" s="1"/>
  <c r="AZ193" i="1"/>
  <c r="H193" i="1" s="1"/>
  <c r="AZ196" i="1"/>
  <c r="H196" i="1" s="1"/>
  <c r="AZ29" i="1"/>
  <c r="AZ176" i="1"/>
  <c r="H176" i="1" s="1"/>
  <c r="AZ129" i="1"/>
  <c r="H129" i="1" s="1"/>
  <c r="AZ94" i="1"/>
  <c r="H94" i="1" s="1"/>
  <c r="AZ190" i="1"/>
  <c r="H190" i="1" s="1"/>
  <c r="AZ173" i="1"/>
  <c r="H173" i="1" s="1"/>
  <c r="AZ55" i="1"/>
  <c r="AZ53" i="1"/>
  <c r="AZ107" i="1"/>
  <c r="H107" i="1" s="1"/>
  <c r="AZ101" i="1"/>
  <c r="AZ89" i="1"/>
  <c r="H89" i="1" s="1"/>
  <c r="AZ163" i="1"/>
  <c r="H163" i="1" s="1"/>
  <c r="AZ100" i="1"/>
  <c r="H100" i="1" s="1"/>
  <c r="AZ146" i="1"/>
  <c r="H146" i="1" s="1"/>
  <c r="AZ128" i="1"/>
  <c r="AZ20" i="1"/>
  <c r="AZ116" i="1"/>
  <c r="H116" i="1" s="1"/>
  <c r="AZ63" i="1"/>
  <c r="H63" i="1" s="1"/>
  <c r="AZ152" i="1"/>
  <c r="H152" i="1" s="1"/>
  <c r="AZ71" i="1"/>
  <c r="AZ79" i="1"/>
  <c r="AZ110" i="1"/>
  <c r="H110" i="1" s="1"/>
  <c r="AZ27" i="1"/>
  <c r="H27" i="1" s="1"/>
  <c r="AZ19" i="1"/>
  <c r="H19" i="1" s="1"/>
  <c r="AZ85" i="1"/>
  <c r="AZ96" i="1"/>
  <c r="H96" i="1" s="1"/>
  <c r="AZ68" i="1"/>
  <c r="AZ184" i="1"/>
  <c r="AZ32" i="1"/>
  <c r="H32" i="1" s="1"/>
  <c r="AZ113" i="1"/>
  <c r="H113" i="1" s="1"/>
  <c r="AZ69" i="1"/>
  <c r="AZ200" i="1"/>
  <c r="H167" i="1" l="1"/>
  <c r="H124" i="1"/>
  <c r="H184" i="1"/>
  <c r="H191" i="1"/>
  <c r="H53" i="1"/>
  <c r="H128" i="1"/>
  <c r="H164" i="1"/>
  <c r="H121" i="1"/>
  <c r="H151" i="1"/>
  <c r="H65" i="1"/>
  <c r="H92" i="1"/>
  <c r="H180" i="1"/>
  <c r="H44" i="1"/>
  <c r="H67" i="1"/>
  <c r="H79" i="1"/>
  <c r="H141" i="1"/>
  <c r="H182" i="1"/>
  <c r="H24" i="1"/>
  <c r="H114" i="1"/>
  <c r="H35" i="1"/>
  <c r="H85" i="1"/>
  <c r="H83" i="1"/>
  <c r="H66" i="1"/>
  <c r="H20" i="1"/>
  <c r="H150" i="1"/>
  <c r="H127" i="1"/>
  <c r="H69" i="1"/>
  <c r="H123" i="1"/>
  <c r="H88" i="1"/>
  <c r="H68" i="1"/>
  <c r="H187" i="1"/>
  <c r="H101" i="1"/>
  <c r="H40" i="1"/>
  <c r="H159" i="1"/>
  <c r="H103" i="1"/>
  <c r="H166" i="1"/>
  <c r="H42" i="1"/>
  <c r="H200" i="1"/>
  <c r="H183" i="1"/>
  <c r="H12" i="1"/>
  <c r="H78" i="1"/>
  <c r="H33" i="1"/>
  <c r="H29" i="1"/>
  <c r="H37" i="1"/>
  <c r="H55" i="1"/>
  <c r="H97" i="1"/>
  <c r="H76" i="1"/>
  <c r="H105" i="1"/>
  <c r="H34" i="1"/>
  <c r="H26" i="1"/>
  <c r="H175" i="1"/>
  <c r="H192" i="1"/>
  <c r="H71" i="1"/>
  <c r="H118" i="1"/>
  <c r="H143" i="1"/>
  <c r="H36" i="1"/>
  <c r="H45" i="1"/>
  <c r="H145" i="1"/>
  <c r="H93" i="1"/>
  <c r="H50" i="1"/>
  <c r="AN200" i="1"/>
  <c r="G200" i="1" s="1"/>
  <c r="AN189" i="1"/>
  <c r="G189" i="1" s="1"/>
  <c r="E189" i="1" s="1"/>
  <c r="AN164" i="1"/>
  <c r="G164" i="1" s="1"/>
  <c r="AN201" i="1"/>
  <c r="G201" i="1" s="1"/>
  <c r="E201" i="1" s="1"/>
  <c r="AN73" i="1"/>
  <c r="G73" i="1" s="1"/>
  <c r="E73" i="1" s="1"/>
  <c r="AN192" i="1"/>
  <c r="G192" i="1" s="1"/>
  <c r="AN127" i="1"/>
  <c r="G127" i="1" s="1"/>
  <c r="AN103" i="1"/>
  <c r="G103" i="1" s="1"/>
  <c r="AN50" i="1"/>
  <c r="G50" i="1" s="1"/>
  <c r="AN35" i="1"/>
  <c r="G35" i="1" s="1"/>
  <c r="AN28" i="1"/>
  <c r="G28" i="1" s="1"/>
  <c r="AN48" i="1"/>
  <c r="G48" i="1" s="1"/>
  <c r="E48" i="1" s="1"/>
  <c r="AN117" i="1"/>
  <c r="G117" i="1" s="1"/>
  <c r="E117" i="1" s="1"/>
  <c r="AN169" i="1"/>
  <c r="G169" i="1" s="1"/>
  <c r="E169" i="1" s="1"/>
  <c r="AN97" i="1"/>
  <c r="G97" i="1" s="1"/>
  <c r="AN159" i="1"/>
  <c r="G159" i="1" s="1"/>
  <c r="AN93" i="1"/>
  <c r="G93" i="1" s="1"/>
  <c r="AN114" i="1"/>
  <c r="G114" i="1" s="1"/>
  <c r="AN104" i="1"/>
  <c r="G104" i="1" s="1"/>
  <c r="E104" i="1" s="1"/>
  <c r="AN86" i="1"/>
  <c r="G86" i="1" s="1"/>
  <c r="E86" i="1" s="1"/>
  <c r="AN155" i="1"/>
  <c r="G155" i="1" s="1"/>
  <c r="E155" i="1" s="1"/>
  <c r="AN142" i="1"/>
  <c r="G142" i="1" s="1"/>
  <c r="E142" i="1" s="1"/>
  <c r="AN78" i="1"/>
  <c r="G78" i="1" s="1"/>
  <c r="AN140" i="1"/>
  <c r="G140" i="1" s="1"/>
  <c r="AN151" i="1"/>
  <c r="G151" i="1" s="1"/>
  <c r="E151" i="1" s="1"/>
  <c r="AN15" i="1"/>
  <c r="G15" i="1" s="1"/>
  <c r="E15" i="1" s="1"/>
  <c r="AN194" i="1"/>
  <c r="G194" i="1" s="1"/>
  <c r="E194" i="1" s="1"/>
  <c r="AN7" i="1"/>
  <c r="G7" i="1" s="1"/>
  <c r="E7" i="1" s="1"/>
  <c r="AN10" i="1"/>
  <c r="G10" i="1" s="1"/>
  <c r="AN130" i="1"/>
  <c r="G130" i="1" s="1"/>
  <c r="E130" i="1" s="1"/>
  <c r="AN202" i="1"/>
  <c r="G202" i="1" s="1"/>
  <c r="E202" i="1" s="1"/>
  <c r="AN87" i="1"/>
  <c r="G87" i="1" s="1"/>
  <c r="E87" i="1" s="1"/>
  <c r="AN84" i="1"/>
  <c r="G84" i="1" s="1"/>
  <c r="E84" i="1" s="1"/>
  <c r="AN67" i="1"/>
  <c r="G67" i="1" s="1"/>
  <c r="AN132" i="1"/>
  <c r="G132" i="1" s="1"/>
  <c r="E132" i="1" s="1"/>
  <c r="AN34" i="1"/>
  <c r="G34" i="1" s="1"/>
  <c r="AN204" i="1"/>
  <c r="G204" i="1" s="1"/>
  <c r="E204" i="1" s="1"/>
  <c r="AN122" i="1"/>
  <c r="G122" i="1" s="1"/>
  <c r="E122" i="1" s="1"/>
  <c r="AN198" i="1"/>
  <c r="G198" i="1" s="1"/>
  <c r="E198" i="1" s="1"/>
  <c r="AN160" i="1"/>
  <c r="G160" i="1" s="1"/>
  <c r="E160" i="1" s="1"/>
  <c r="AN37" i="1"/>
  <c r="G37" i="1" s="1"/>
  <c r="AN44" i="1"/>
  <c r="G44" i="1" s="1"/>
  <c r="AN16" i="1"/>
  <c r="G16" i="1" s="1"/>
  <c r="E16" i="1" s="1"/>
  <c r="AN179" i="1"/>
  <c r="G179" i="1" s="1"/>
  <c r="E179" i="1" s="1"/>
  <c r="AN61" i="1"/>
  <c r="G61" i="1" s="1"/>
  <c r="E61" i="1" s="1"/>
  <c r="AN70" i="1"/>
  <c r="G70" i="1" s="1"/>
  <c r="AN138" i="1"/>
  <c r="G138" i="1" s="1"/>
  <c r="E138" i="1" s="1"/>
  <c r="AN65" i="1"/>
  <c r="G65" i="1" s="1"/>
  <c r="AN145" i="1"/>
  <c r="G145" i="1" s="1"/>
  <c r="AN43" i="1"/>
  <c r="G43" i="1" s="1"/>
  <c r="E43" i="1" s="1"/>
  <c r="AN80" i="1"/>
  <c r="G80" i="1" s="1"/>
  <c r="AN133" i="1"/>
  <c r="G133" i="1" s="1"/>
  <c r="E133" i="1" s="1"/>
  <c r="AN120" i="1"/>
  <c r="G120" i="1" s="1"/>
  <c r="E120" i="1" s="1"/>
  <c r="AN52" i="1"/>
  <c r="G52" i="1" s="1"/>
  <c r="E52" i="1" s="1"/>
  <c r="AN51" i="1"/>
  <c r="G51" i="1" s="1"/>
  <c r="E51" i="1" s="1"/>
  <c r="AN40" i="1"/>
  <c r="G40" i="1" s="1"/>
  <c r="AN45" i="1"/>
  <c r="G45" i="1" s="1"/>
  <c r="AN121" i="1"/>
  <c r="G121" i="1" s="1"/>
  <c r="AN108" i="1"/>
  <c r="G108" i="1" s="1"/>
  <c r="E108" i="1" s="1"/>
  <c r="AN105" i="1"/>
  <c r="G105" i="1" s="1"/>
  <c r="AN172" i="1"/>
  <c r="G172" i="1" s="1"/>
  <c r="AN77" i="1"/>
  <c r="G77" i="1" s="1"/>
  <c r="E77" i="1" s="1"/>
  <c r="AN197" i="1"/>
  <c r="G197" i="1" s="1"/>
  <c r="E197" i="1" s="1"/>
  <c r="AN66" i="1"/>
  <c r="G66" i="1" s="1"/>
  <c r="AN177" i="1"/>
  <c r="G177" i="1" s="1"/>
  <c r="AN58" i="1"/>
  <c r="G58" i="1" s="1"/>
  <c r="E58" i="1" s="1"/>
  <c r="AN13" i="1"/>
  <c r="G13" i="1" s="1"/>
  <c r="AN74" i="1"/>
  <c r="G74" i="1" s="1"/>
  <c r="E74" i="1" s="1"/>
  <c r="AN182" i="1"/>
  <c r="G182" i="1" s="1"/>
  <c r="E182" i="1" s="1"/>
  <c r="AN183" i="1"/>
  <c r="G183" i="1" s="1"/>
  <c r="AN161" i="1"/>
  <c r="G161" i="1" s="1"/>
  <c r="E161" i="1" s="1"/>
  <c r="AN26" i="1"/>
  <c r="G26" i="1" s="1"/>
  <c r="AN12" i="1"/>
  <c r="G12" i="1" s="1"/>
  <c r="AN139" i="1"/>
  <c r="G139" i="1" s="1"/>
  <c r="E139" i="1" s="1"/>
  <c r="AN124" i="1"/>
  <c r="G124" i="1" s="1"/>
  <c r="AN123" i="1"/>
  <c r="G123" i="1" s="1"/>
  <c r="AN188" i="1"/>
  <c r="G188" i="1" s="1"/>
  <c r="E188" i="1" s="1"/>
  <c r="AN186" i="1"/>
  <c r="G186" i="1" s="1"/>
  <c r="AN98" i="1"/>
  <c r="G98" i="1" s="1"/>
  <c r="E98" i="1" s="1"/>
  <c r="AN76" i="1"/>
  <c r="G76" i="1" s="1"/>
  <c r="AN95" i="1"/>
  <c r="G95" i="1" s="1"/>
  <c r="E95" i="1" s="1"/>
  <c r="AN21" i="1"/>
  <c r="G21" i="1" s="1"/>
  <c r="E21" i="1" s="1"/>
  <c r="AN91" i="1"/>
  <c r="G91" i="1" s="1"/>
  <c r="E91" i="1" s="1"/>
  <c r="AN125" i="1"/>
  <c r="G125" i="1" s="1"/>
  <c r="AN111" i="1"/>
  <c r="G111" i="1" s="1"/>
  <c r="E111" i="1" s="1"/>
  <c r="AN62" i="1"/>
  <c r="G62" i="1" s="1"/>
  <c r="E62" i="1" s="1"/>
  <c r="AN165" i="1"/>
  <c r="G165" i="1" s="1"/>
  <c r="E165" i="1" s="1"/>
  <c r="AN99" i="1"/>
  <c r="G99" i="1" s="1"/>
  <c r="AN41" i="1"/>
  <c r="G41" i="1" s="1"/>
  <c r="E41" i="1" s="1"/>
  <c r="AN187" i="1"/>
  <c r="G187" i="1" s="1"/>
  <c r="AN112" i="1"/>
  <c r="G112" i="1" s="1"/>
  <c r="E112" i="1" s="1"/>
  <c r="AN56" i="1"/>
  <c r="G56" i="1" s="1"/>
  <c r="E56" i="1" s="1"/>
  <c r="AN168" i="1"/>
  <c r="G168" i="1" s="1"/>
  <c r="E168" i="1" s="1"/>
  <c r="AN180" i="1"/>
  <c r="G180" i="1" s="1"/>
  <c r="E180" i="1" s="1"/>
  <c r="AN38" i="1"/>
  <c r="G38" i="1" s="1"/>
  <c r="AN17" i="1"/>
  <c r="G17" i="1" s="1"/>
  <c r="E17" i="1" s="1"/>
  <c r="AN36" i="1"/>
  <c r="G36" i="1" s="1"/>
  <c r="AN22" i="1"/>
  <c r="G22" i="1" s="1"/>
  <c r="E22" i="1" s="1"/>
  <c r="AN167" i="1"/>
  <c r="G167" i="1" s="1"/>
  <c r="AN181" i="1"/>
  <c r="G181" i="1" s="1"/>
  <c r="E181" i="1" s="1"/>
  <c r="AN149" i="1"/>
  <c r="G149" i="1" s="1"/>
  <c r="E149" i="1" s="1"/>
  <c r="AN171" i="1"/>
  <c r="G171" i="1" s="1"/>
  <c r="E171" i="1" s="1"/>
  <c r="AN42" i="1"/>
  <c r="G42" i="1" s="1"/>
  <c r="AN158" i="1"/>
  <c r="G158" i="1" s="1"/>
  <c r="E158" i="1" s="1"/>
  <c r="AN131" i="1"/>
  <c r="G131" i="1" s="1"/>
  <c r="AN75" i="1"/>
  <c r="G75" i="1" s="1"/>
  <c r="E75" i="1" s="1"/>
  <c r="AN72" i="1"/>
  <c r="G72" i="1" s="1"/>
  <c r="E72" i="1" s="1"/>
  <c r="AN18" i="1"/>
  <c r="G18" i="1" s="1"/>
  <c r="E18" i="1" s="1"/>
  <c r="AN199" i="1"/>
  <c r="G199" i="1" s="1"/>
  <c r="E199" i="1" s="1"/>
  <c r="AN126" i="1"/>
  <c r="G126" i="1" s="1"/>
  <c r="E126" i="1" s="1"/>
  <c r="AN154" i="1"/>
  <c r="G154" i="1" s="1"/>
  <c r="E154" i="1" s="1"/>
  <c r="AN83" i="1"/>
  <c r="G83" i="1" s="1"/>
  <c r="AN81" i="1"/>
  <c r="G81" i="1" s="1"/>
  <c r="E81" i="1" s="1"/>
  <c r="AN23" i="1"/>
  <c r="G23" i="1" s="1"/>
  <c r="E23" i="1" s="1"/>
  <c r="AN119" i="1"/>
  <c r="G119" i="1" s="1"/>
  <c r="E119" i="1" s="1"/>
  <c r="AN39" i="1"/>
  <c r="G39" i="1" s="1"/>
  <c r="E39" i="1" s="1"/>
  <c r="AN47" i="1"/>
  <c r="G47" i="1" s="1"/>
  <c r="E47" i="1" s="1"/>
  <c r="AN9" i="1"/>
  <c r="G9" i="1" s="1"/>
  <c r="E9" i="1" s="1"/>
  <c r="AN166" i="1"/>
  <c r="G166" i="1" s="1"/>
  <c r="E166" i="1" s="1"/>
  <c r="AN153" i="1"/>
  <c r="G153" i="1" s="1"/>
  <c r="E153" i="1" s="1"/>
  <c r="AN109" i="1"/>
  <c r="G109" i="1" s="1"/>
  <c r="E109" i="1" s="1"/>
  <c r="AN115" i="1"/>
  <c r="G115" i="1" s="1"/>
  <c r="E115" i="1" s="1"/>
  <c r="AN24" i="1"/>
  <c r="G24" i="1" s="1"/>
  <c r="E24" i="1" s="1"/>
  <c r="AN54" i="1"/>
  <c r="G54" i="1" s="1"/>
  <c r="E54" i="1" s="1"/>
  <c r="AN31" i="1"/>
  <c r="G31" i="1" s="1"/>
  <c r="AN148" i="1"/>
  <c r="G148" i="1" s="1"/>
  <c r="E148" i="1" s="1"/>
  <c r="AN195" i="1"/>
  <c r="G195" i="1" s="1"/>
  <c r="E195" i="1" s="1"/>
  <c r="AN106" i="1"/>
  <c r="G106" i="1" s="1"/>
  <c r="AN178" i="1"/>
  <c r="G178" i="1" s="1"/>
  <c r="AN170" i="1"/>
  <c r="G170" i="1" s="1"/>
  <c r="E170" i="1" s="1"/>
  <c r="AN137" i="1"/>
  <c r="G137" i="1" s="1"/>
  <c r="E137" i="1" s="1"/>
  <c r="AN88" i="1"/>
  <c r="G88" i="1" s="1"/>
  <c r="AN59" i="1"/>
  <c r="G59" i="1" s="1"/>
  <c r="E59" i="1" s="1"/>
  <c r="AN144" i="1"/>
  <c r="G144" i="1" s="1"/>
  <c r="E144" i="1" s="1"/>
  <c r="AN14" i="1"/>
  <c r="G14" i="1" s="1"/>
  <c r="E14" i="1" s="1"/>
  <c r="AN82" i="1"/>
  <c r="G82" i="1" s="1"/>
  <c r="AN143" i="1"/>
  <c r="G143" i="1" s="1"/>
  <c r="AN136" i="1"/>
  <c r="G136" i="1" s="1"/>
  <c r="E136" i="1" s="1"/>
  <c r="AN33" i="1"/>
  <c r="G33" i="1" s="1"/>
  <c r="E33" i="1" s="1"/>
  <c r="AN11" i="1"/>
  <c r="G11" i="1" s="1"/>
  <c r="E11" i="1" s="1"/>
  <c r="AN90" i="1"/>
  <c r="G90" i="1" s="1"/>
  <c r="AN185" i="1"/>
  <c r="G185" i="1" s="1"/>
  <c r="E185" i="1" s="1"/>
  <c r="AN150" i="1"/>
  <c r="G150" i="1" s="1"/>
  <c r="E150" i="1" s="1"/>
  <c r="AN25" i="1"/>
  <c r="G25" i="1" s="1"/>
  <c r="E25" i="1" s="1"/>
  <c r="AN203" i="1"/>
  <c r="G203" i="1" s="1"/>
  <c r="E203" i="1" s="1"/>
  <c r="AN174" i="1"/>
  <c r="G174" i="1" s="1"/>
  <c r="E174" i="1" s="1"/>
  <c r="AN135" i="1"/>
  <c r="G135" i="1" s="1"/>
  <c r="E135" i="1" s="1"/>
  <c r="AN141" i="1"/>
  <c r="G141" i="1" s="1"/>
  <c r="E141" i="1" s="1"/>
  <c r="AN134" i="1"/>
  <c r="G134" i="1" s="1"/>
  <c r="E134" i="1" s="1"/>
  <c r="AN102" i="1"/>
  <c r="G102" i="1" s="1"/>
  <c r="AN92" i="1"/>
  <c r="G92" i="1" s="1"/>
  <c r="E92" i="1" s="1"/>
  <c r="AN157" i="1"/>
  <c r="G157" i="1" s="1"/>
  <c r="AN8" i="1"/>
  <c r="G8" i="1" s="1"/>
  <c r="AN30" i="1"/>
  <c r="G30" i="1" s="1"/>
  <c r="E30" i="1" s="1"/>
  <c r="AN46" i="1"/>
  <c r="G46" i="1" s="1"/>
  <c r="E46" i="1" s="1"/>
  <c r="AN156" i="1"/>
  <c r="G156" i="1" s="1"/>
  <c r="E156" i="1" s="1"/>
  <c r="AN49" i="1"/>
  <c r="G49" i="1" s="1"/>
  <c r="E49" i="1" s="1"/>
  <c r="AN147" i="1"/>
  <c r="G147" i="1" s="1"/>
  <c r="E147" i="1" s="1"/>
  <c r="AN60" i="1"/>
  <c r="G60" i="1" s="1"/>
  <c r="E60" i="1" s="1"/>
  <c r="AN175" i="1"/>
  <c r="G175" i="1" s="1"/>
  <c r="AN191" i="1"/>
  <c r="G191" i="1" s="1"/>
  <c r="AN162" i="1"/>
  <c r="G162" i="1" s="1"/>
  <c r="E162" i="1" s="1"/>
  <c r="AN118" i="1"/>
  <c r="G118" i="1" s="1"/>
  <c r="AN64" i="1"/>
  <c r="G64" i="1" s="1"/>
  <c r="E64" i="1" s="1"/>
  <c r="AN57" i="1"/>
  <c r="G57" i="1" s="1"/>
  <c r="E57" i="1" s="1"/>
  <c r="AN193" i="1"/>
  <c r="G193" i="1" s="1"/>
  <c r="E193" i="1" s="1"/>
  <c r="AN196" i="1"/>
  <c r="G196" i="1" s="1"/>
  <c r="E196" i="1" s="1"/>
  <c r="AN29" i="1"/>
  <c r="G29" i="1" s="1"/>
  <c r="AN176" i="1"/>
  <c r="G176" i="1" s="1"/>
  <c r="E176" i="1" s="1"/>
  <c r="AN129" i="1"/>
  <c r="G129" i="1" s="1"/>
  <c r="E129" i="1" s="1"/>
  <c r="AN94" i="1"/>
  <c r="G94" i="1" s="1"/>
  <c r="E94" i="1" s="1"/>
  <c r="AN190" i="1"/>
  <c r="G190" i="1" s="1"/>
  <c r="E190" i="1" s="1"/>
  <c r="AN173" i="1"/>
  <c r="G173" i="1" s="1"/>
  <c r="E173" i="1" s="1"/>
  <c r="AN55" i="1"/>
  <c r="G55" i="1" s="1"/>
  <c r="AN53" i="1"/>
  <c r="G53" i="1" s="1"/>
  <c r="AN107" i="1"/>
  <c r="G107" i="1" s="1"/>
  <c r="AN101" i="1"/>
  <c r="G101" i="1" s="1"/>
  <c r="AN89" i="1"/>
  <c r="G89" i="1" s="1"/>
  <c r="E89" i="1" s="1"/>
  <c r="AN163" i="1"/>
  <c r="G163" i="1" s="1"/>
  <c r="E163" i="1" s="1"/>
  <c r="AN100" i="1"/>
  <c r="G100" i="1" s="1"/>
  <c r="E100" i="1" s="1"/>
  <c r="AN146" i="1"/>
  <c r="G146" i="1" s="1"/>
  <c r="E146" i="1" s="1"/>
  <c r="AN128" i="1"/>
  <c r="G128" i="1" s="1"/>
  <c r="AN20" i="1"/>
  <c r="G20" i="1" s="1"/>
  <c r="AN116" i="1"/>
  <c r="G116" i="1" s="1"/>
  <c r="E116" i="1" s="1"/>
  <c r="AN63" i="1"/>
  <c r="G63" i="1" s="1"/>
  <c r="E63" i="1" s="1"/>
  <c r="AN152" i="1"/>
  <c r="G152" i="1" s="1"/>
  <c r="E152" i="1" s="1"/>
  <c r="AN71" i="1"/>
  <c r="G71" i="1" s="1"/>
  <c r="AN79" i="1"/>
  <c r="G79" i="1" s="1"/>
  <c r="AN110" i="1"/>
  <c r="G110" i="1" s="1"/>
  <c r="E110" i="1" s="1"/>
  <c r="AN27" i="1"/>
  <c r="G27" i="1" s="1"/>
  <c r="E27" i="1" s="1"/>
  <c r="AN19" i="1"/>
  <c r="G19" i="1" s="1"/>
  <c r="E19" i="1" s="1"/>
  <c r="AN85" i="1"/>
  <c r="G85" i="1" s="1"/>
  <c r="AN96" i="1"/>
  <c r="G96" i="1" s="1"/>
  <c r="E96" i="1" s="1"/>
  <c r="AN68" i="1"/>
  <c r="G68" i="1" s="1"/>
  <c r="E68" i="1" s="1"/>
  <c r="AN184" i="1"/>
  <c r="G184" i="1" s="1"/>
  <c r="AN32" i="1"/>
  <c r="G32" i="1" s="1"/>
  <c r="E32" i="1" s="1"/>
  <c r="AN113" i="1"/>
  <c r="G113" i="1" s="1"/>
  <c r="E113" i="1" s="1"/>
  <c r="AN69" i="1"/>
  <c r="G69" i="1" s="1"/>
  <c r="E69" i="1" s="1"/>
  <c r="E20" i="1" l="1"/>
  <c r="E79" i="1"/>
  <c r="E187" i="1"/>
  <c r="E143" i="1"/>
  <c r="E128" i="1"/>
  <c r="E85" i="1"/>
  <c r="E83" i="1"/>
  <c r="E145" i="1"/>
  <c r="E36" i="1"/>
  <c r="E93" i="1"/>
  <c r="E50" i="1"/>
  <c r="E125" i="1"/>
  <c r="E34" i="1"/>
  <c r="E102" i="1"/>
  <c r="E177" i="1"/>
  <c r="E184" i="1"/>
  <c r="E70" i="1"/>
  <c r="E88" i="1"/>
  <c r="E80" i="1"/>
  <c r="E164" i="1"/>
  <c r="E12" i="1"/>
  <c r="E107" i="1"/>
  <c r="E157" i="1"/>
  <c r="E76" i="1"/>
  <c r="E38" i="1"/>
  <c r="E186" i="1"/>
  <c r="E82" i="1"/>
  <c r="E106" i="1"/>
  <c r="E140" i="1"/>
  <c r="E103" i="1"/>
  <c r="E31" i="1"/>
  <c r="E172" i="1"/>
  <c r="E105" i="1"/>
  <c r="E71" i="1"/>
  <c r="E13" i="1"/>
  <c r="E183" i="1"/>
  <c r="E8" i="1"/>
  <c r="E35" i="1"/>
  <c r="E124" i="1"/>
  <c r="E28" i="1"/>
  <c r="E131" i="1"/>
  <c r="E37" i="1"/>
  <c r="E29" i="1"/>
  <c r="E99" i="1"/>
  <c r="E66" i="1"/>
  <c r="E65" i="1"/>
  <c r="E90" i="1"/>
  <c r="E191" i="1"/>
  <c r="E44" i="1"/>
  <c r="E45" i="1"/>
  <c r="E127" i="1"/>
  <c r="E114" i="1"/>
  <c r="E178" i="1"/>
  <c r="E175" i="1"/>
  <c r="E40" i="1"/>
  <c r="E42" i="1"/>
  <c r="E78" i="1"/>
  <c r="E97" i="1"/>
  <c r="E101" i="1"/>
  <c r="E10" i="1"/>
  <c r="E118" i="1"/>
  <c r="E167" i="1"/>
  <c r="E123" i="1"/>
  <c r="E121" i="1"/>
  <c r="E67" i="1"/>
  <c r="E26" i="1"/>
  <c r="E159" i="1"/>
  <c r="E53" i="1"/>
  <c r="E55" i="1"/>
  <c r="E192" i="1"/>
  <c r="E200" i="1"/>
</calcChain>
</file>

<file path=xl/sharedStrings.xml><?xml version="1.0" encoding="utf-8"?>
<sst xmlns="http://schemas.openxmlformats.org/spreadsheetml/2006/main" count="10009" uniqueCount="1070">
  <si>
    <t>Continent</t>
  </si>
  <si>
    <t>Region</t>
  </si>
  <si>
    <t>Country</t>
  </si>
  <si>
    <r>
      <t xml:space="preserve">Global Cybersecurity Index
</t>
    </r>
    <r>
      <rPr>
        <b/>
        <sz val="10"/>
        <color theme="1" tint="0.499984740745262"/>
        <rFont val="Calibri"/>
        <family val="2"/>
      </rPr>
      <t>(World Bank)</t>
    </r>
  </si>
  <si>
    <t>Basic Services Access Index</t>
  </si>
  <si>
    <t>Infrastructure Index</t>
  </si>
  <si>
    <t>Healthcare System Index</t>
  </si>
  <si>
    <t>Education</t>
  </si>
  <si>
    <r>
      <t xml:space="preserve">Press Freedom Index
</t>
    </r>
    <r>
      <rPr>
        <b/>
        <sz val="10"/>
        <color theme="1" tint="0.499984740745262"/>
        <rFont val="Calibri"/>
        <family val="2"/>
      </rPr>
      <t>(RSF 2026)</t>
    </r>
  </si>
  <si>
    <r>
      <t xml:space="preserve">Integrity of Communities
</t>
    </r>
    <r>
      <rPr>
        <b/>
        <sz val="10"/>
        <color theme="1" tint="0.499984740745262"/>
        <rFont val="Calibri"/>
        <family val="2"/>
        <scheme val="minor"/>
      </rPr>
      <t>(Legatum Prosperity Index 2026)</t>
    </r>
  </si>
  <si>
    <t>Asia</t>
  </si>
  <si>
    <t>South Asia</t>
  </si>
  <si>
    <t>Afghanistan</t>
  </si>
  <si>
    <t>Europe</t>
  </si>
  <si>
    <t>Eastern Europe</t>
  </si>
  <si>
    <t>Albania</t>
  </si>
  <si>
    <t>Africa</t>
  </si>
  <si>
    <t>North Africa</t>
  </si>
  <si>
    <t>Algeria</t>
  </si>
  <si>
    <t>Western Europe</t>
  </si>
  <si>
    <t>Andorra</t>
  </si>
  <si>
    <t>Southeast Africa</t>
  </si>
  <si>
    <t>Angola</t>
  </si>
  <si>
    <t>Americas</t>
  </si>
  <si>
    <t>The Caribbean</t>
  </si>
  <si>
    <t>Antigua and Barbuda</t>
  </si>
  <si>
    <t>Latin America</t>
  </si>
  <si>
    <t>Argentina</t>
  </si>
  <si>
    <t>Armenia</t>
  </si>
  <si>
    <t>Oceania</t>
  </si>
  <si>
    <t>Australasia</t>
  </si>
  <si>
    <t>Australia</t>
  </si>
  <si>
    <t>Austria</t>
  </si>
  <si>
    <t>Azerbaijan</t>
  </si>
  <si>
    <t>Bahamas, The</t>
  </si>
  <si>
    <t>Middle East</t>
  </si>
  <si>
    <t>Bahrain</t>
  </si>
  <si>
    <t>Bangladesh</t>
  </si>
  <si>
    <t>Barbados</t>
  </si>
  <si>
    <t>Belarus</t>
  </si>
  <si>
    <t>Belgium</t>
  </si>
  <si>
    <t>Belize</t>
  </si>
  <si>
    <t>West/Central Africa</t>
  </si>
  <si>
    <t>Benin</t>
  </si>
  <si>
    <t>Bhutan</t>
  </si>
  <si>
    <t>Bolivia</t>
  </si>
  <si>
    <t>Bosnia and Herzegovina</t>
  </si>
  <si>
    <t>Botswana</t>
  </si>
  <si>
    <t>Brazil</t>
  </si>
  <si>
    <t>East/Southeast Asia</t>
  </si>
  <si>
    <t>Brunei Darussalam</t>
  </si>
  <si>
    <t>Bulgaria</t>
  </si>
  <si>
    <t>Burkina Faso</t>
  </si>
  <si>
    <t>Burundi</t>
  </si>
  <si>
    <t>Cabo Verde</t>
  </si>
  <si>
    <t>Cambodia</t>
  </si>
  <si>
    <t>Cameroon</t>
  </si>
  <si>
    <t>North America</t>
  </si>
  <si>
    <t>Canada</t>
  </si>
  <si>
    <t>Central African Republic</t>
  </si>
  <si>
    <t>Chad</t>
  </si>
  <si>
    <t>Chile</t>
  </si>
  <si>
    <t>China</t>
  </si>
  <si>
    <t>Colombia</t>
  </si>
  <si>
    <t>Comoros</t>
  </si>
  <si>
    <t>Congo, Dem. Rep.</t>
  </si>
  <si>
    <t>Congo, Rep.</t>
  </si>
  <si>
    <t>Costa Rica</t>
  </si>
  <si>
    <t>Cote d'Ivoire</t>
  </si>
  <si>
    <t>Croatia</t>
  </si>
  <si>
    <t>Cuba</t>
  </si>
  <si>
    <t>Cyprus</t>
  </si>
  <si>
    <t>Czechia</t>
  </si>
  <si>
    <t>Denmark</t>
  </si>
  <si>
    <t>Djibouti</t>
  </si>
  <si>
    <t>Dominica</t>
  </si>
  <si>
    <t>Dominican Republic</t>
  </si>
  <si>
    <t>Ecuador</t>
  </si>
  <si>
    <t>Egypt, Arab Rep.</t>
  </si>
  <si>
    <t>El Salvador</t>
  </si>
  <si>
    <t>Equatorial Guinea</t>
  </si>
  <si>
    <t>Eritrea</t>
  </si>
  <si>
    <t>Estonia</t>
  </si>
  <si>
    <t>Eswatini, Kingdom of</t>
  </si>
  <si>
    <t>Ethiopia</t>
  </si>
  <si>
    <t>Melanesia</t>
  </si>
  <si>
    <t>Fiji</t>
  </si>
  <si>
    <t>Finland</t>
  </si>
  <si>
    <t>France</t>
  </si>
  <si>
    <t>Gabon</t>
  </si>
  <si>
    <t>Gambia, The</t>
  </si>
  <si>
    <t>Georgia</t>
  </si>
  <si>
    <t>Germany</t>
  </si>
  <si>
    <t>Ghana</t>
  </si>
  <si>
    <t>Greece</t>
  </si>
  <si>
    <t>Grenada</t>
  </si>
  <si>
    <t>Guatemala</t>
  </si>
  <si>
    <t>Guinea</t>
  </si>
  <si>
    <t>Guinea-Bissau</t>
  </si>
  <si>
    <t>Guyana</t>
  </si>
  <si>
    <t>Haiti</t>
  </si>
  <si>
    <t>Honduras</t>
  </si>
  <si>
    <t>Hong Kong SAR, China</t>
  </si>
  <si>
    <t>Hungary</t>
  </si>
  <si>
    <t>Iceland</t>
  </si>
  <si>
    <t>India</t>
  </si>
  <si>
    <t>Indonesia</t>
  </si>
  <si>
    <t>Iran, Islamic Rep.</t>
  </si>
  <si>
    <t>Iraq</t>
  </si>
  <si>
    <t>Ireland</t>
  </si>
  <si>
    <t>Israel</t>
  </si>
  <si>
    <t>Italy</t>
  </si>
  <si>
    <t>Jamaica</t>
  </si>
  <si>
    <t>Japan</t>
  </si>
  <si>
    <t>Jordan</t>
  </si>
  <si>
    <t>Central Asia</t>
  </si>
  <si>
    <t>Kazakhstan</t>
  </si>
  <si>
    <t>Kenya</t>
  </si>
  <si>
    <t>Micronesia/Polinesia</t>
  </si>
  <si>
    <t>Kiribati</t>
  </si>
  <si>
    <t>Korea, Dem. People's Rep.</t>
  </si>
  <si>
    <t>Korea, Rep.</t>
  </si>
  <si>
    <t>Kosovo</t>
  </si>
  <si>
    <t>Kuwait</t>
  </si>
  <si>
    <t>Kyrgyz Republic</t>
  </si>
  <si>
    <t>Lao PDR</t>
  </si>
  <si>
    <t>Latvia</t>
  </si>
  <si>
    <t>Lebanon</t>
  </si>
  <si>
    <t>Lesotho</t>
  </si>
  <si>
    <t>Liberia</t>
  </si>
  <si>
    <t>Libya</t>
  </si>
  <si>
    <t>Liechtenstein</t>
  </si>
  <si>
    <t>Lithuania</t>
  </si>
  <si>
    <t>Luxembourg</t>
  </si>
  <si>
    <t>Macao SAR, China</t>
  </si>
  <si>
    <t>Madagascar</t>
  </si>
  <si>
    <t>Malawi</t>
  </si>
  <si>
    <t>Malaysia</t>
  </si>
  <si>
    <t>Maldives</t>
  </si>
  <si>
    <t>Mali</t>
  </si>
  <si>
    <t>Malta</t>
  </si>
  <si>
    <t>Marshall Islands</t>
  </si>
  <si>
    <t>Mauritania</t>
  </si>
  <si>
    <t>Mauritius</t>
  </si>
  <si>
    <t>Mexico</t>
  </si>
  <si>
    <t>Micronesia, Fed. Sts.</t>
  </si>
  <si>
    <t>Monaco</t>
  </si>
  <si>
    <t>Mongolia</t>
  </si>
  <si>
    <t>Montenegro</t>
  </si>
  <si>
    <t>Morocco</t>
  </si>
  <si>
    <t>Mozambique</t>
  </si>
  <si>
    <t>Myanmar</t>
  </si>
  <si>
    <t>Namibia</t>
  </si>
  <si>
    <t>Naoero</t>
  </si>
  <si>
    <t>Nepal</t>
  </si>
  <si>
    <t>Netherlands</t>
  </si>
  <si>
    <t>New Zealand</t>
  </si>
  <si>
    <t>Nicaragua</t>
  </si>
  <si>
    <t>Niger</t>
  </si>
  <si>
    <t>Nigeria</t>
  </si>
  <si>
    <t>North Macedonia</t>
  </si>
  <si>
    <t>Norway</t>
  </si>
  <si>
    <t>Oman</t>
  </si>
  <si>
    <t>Pakistan</t>
  </si>
  <si>
    <t>Palau</t>
  </si>
  <si>
    <t>Palestine, State of</t>
  </si>
  <si>
    <t>Panama</t>
  </si>
  <si>
    <t>Papua New Guinea</t>
  </si>
  <si>
    <t>Paraguay</t>
  </si>
  <si>
    <t>Peru</t>
  </si>
  <si>
    <t>Philippines</t>
  </si>
  <si>
    <t>Poland</t>
  </si>
  <si>
    <t>Portugal</t>
  </si>
  <si>
    <t>Qatar</t>
  </si>
  <si>
    <t>Romania</t>
  </si>
  <si>
    <t>Russian Federation</t>
  </si>
  <si>
    <t>Rwanda</t>
  </si>
  <si>
    <t>Samoa</t>
  </si>
  <si>
    <t>San Marino</t>
  </si>
  <si>
    <t>Sao Tome and Principe</t>
  </si>
  <si>
    <t>Saudi Arabia</t>
  </si>
  <si>
    <t>Senegal</t>
  </si>
  <si>
    <t>Serbia</t>
  </si>
  <si>
    <t>Seychelles</t>
  </si>
  <si>
    <t>Sierra Leone</t>
  </si>
  <si>
    <t>Singapore</t>
  </si>
  <si>
    <t>Slovak Republic</t>
  </si>
  <si>
    <t>Slovenia</t>
  </si>
  <si>
    <t>Solomon Islands</t>
  </si>
  <si>
    <t>Somalia, Fed. Rep.</t>
  </si>
  <si>
    <t>South Africa</t>
  </si>
  <si>
    <t>South Sudan</t>
  </si>
  <si>
    <t>Spain</t>
  </si>
  <si>
    <t>Sri Lanka</t>
  </si>
  <si>
    <t>St. Kitts and Nevis</t>
  </si>
  <si>
    <t>St. Lucia</t>
  </si>
  <si>
    <t>St. Vincent and the Grenadines</t>
  </si>
  <si>
    <t>Sudan</t>
  </si>
  <si>
    <t>Suriname</t>
  </si>
  <si>
    <t>Sweden</t>
  </si>
  <si>
    <t>Switzerland</t>
  </si>
  <si>
    <t>Syrian Arab Republic</t>
  </si>
  <si>
    <t>Taiwan</t>
  </si>
  <si>
    <t>Tajikistan</t>
  </si>
  <si>
    <t>Thailand</t>
  </si>
  <si>
    <t>Timor-Leste</t>
  </si>
  <si>
    <t>Togo</t>
  </si>
  <si>
    <t>Tonga</t>
  </si>
  <si>
    <t>Trinidad and Tobago</t>
  </si>
  <si>
    <t>Tunisia</t>
  </si>
  <si>
    <t>Turkiye</t>
  </si>
  <si>
    <t>Turkmenistan</t>
  </si>
  <si>
    <t>Tuvalu</t>
  </si>
  <si>
    <t>Uganda</t>
  </si>
  <si>
    <t>Ukraine</t>
  </si>
  <si>
    <t>United Arab Emirates</t>
  </si>
  <si>
    <t>United Kingdom</t>
  </si>
  <si>
    <t>United States</t>
  </si>
  <si>
    <t>Uruguay</t>
  </si>
  <si>
    <t>Uzbekistan</t>
  </si>
  <si>
    <t>Vanuatu</t>
  </si>
  <si>
    <t>Venezuela, RB</t>
  </si>
  <si>
    <t>Viet Nam</t>
  </si>
  <si>
    <t>Yemen, Rep.</t>
  </si>
  <si>
    <t>Zambia</t>
  </si>
  <si>
    <t>Zimbabwe</t>
  </si>
  <si>
    <t>Enterprise Conditions</t>
  </si>
  <si>
    <t>Investment Conditions</t>
  </si>
  <si>
    <t>Business Environment</t>
  </si>
  <si>
    <t>I. C. Index:</t>
  </si>
  <si>
    <t>E. C. Index:</t>
  </si>
  <si>
    <t>Health</t>
  </si>
  <si>
    <t>L. C. Index:</t>
  </si>
  <si>
    <t>Health Index:</t>
  </si>
  <si>
    <t>Education Index:</t>
  </si>
  <si>
    <t>Environment Index:</t>
  </si>
  <si>
    <t>Bussines Environment Index:</t>
  </si>
  <si>
    <t>Development Index:</t>
  </si>
  <si>
    <t>Inequality</t>
  </si>
  <si>
    <t>Inequality Index:</t>
  </si>
  <si>
    <t>Natural Environment</t>
  </si>
  <si>
    <t>Safety</t>
  </si>
  <si>
    <t>Government</t>
  </si>
  <si>
    <t>Safety Index:</t>
  </si>
  <si>
    <t>Civil Freedoms</t>
  </si>
  <si>
    <t>C.F. Index:</t>
  </si>
  <si>
    <t>Government Index:</t>
  </si>
  <si>
    <t>S.C. Index:</t>
  </si>
  <si>
    <t>Economy Quality</t>
  </si>
  <si>
    <t>Society</t>
  </si>
  <si>
    <t>Fiscal Sustainability</t>
  </si>
  <si>
    <t>Working Conditions</t>
  </si>
  <si>
    <t>E. S. Index:</t>
  </si>
  <si>
    <t>F. S. Index:</t>
  </si>
  <si>
    <t>T. I. T. Index:</t>
  </si>
  <si>
    <t>W. C. Index:</t>
  </si>
  <si>
    <r>
      <t xml:space="preserve">Inflation rate
(last 5 years)
</t>
    </r>
    <r>
      <rPr>
        <b/>
        <sz val="10"/>
        <color theme="1" tint="0.499984740745262"/>
        <rFont val="Calibri"/>
        <family val="2"/>
      </rPr>
      <t>(IMF)</t>
    </r>
  </si>
  <si>
    <r>
      <t xml:space="preserve">(-) General government gross debt (%GDP)
</t>
    </r>
    <r>
      <rPr>
        <b/>
        <sz val="10"/>
        <color theme="1" tint="0.499984740745262"/>
        <rFont val="Calibri"/>
        <family val="2"/>
      </rPr>
      <t>(IMF)</t>
    </r>
  </si>
  <si>
    <r>
      <t xml:space="preserve">Property rights
</t>
    </r>
    <r>
      <rPr>
        <b/>
        <sz val="10"/>
        <color theme="1" tint="0.499984740745262"/>
        <rFont val="Calibri"/>
        <family val="2"/>
      </rPr>
      <t>(Index of Economic Freedom)</t>
    </r>
  </si>
  <si>
    <r>
      <t xml:space="preserve">(-) Restrictions on investment
</t>
    </r>
    <r>
      <rPr>
        <b/>
        <sz val="10"/>
        <color theme="1" tint="0.499984740745262"/>
        <rFont val="Calibri"/>
        <family val="2"/>
      </rPr>
      <t>(Index of Economic Freedom)</t>
    </r>
  </si>
  <si>
    <r>
      <t xml:space="preserve">(-) Interest rate
</t>
    </r>
    <r>
      <rPr>
        <b/>
        <sz val="10"/>
        <color theme="1" tint="0.499984740745262"/>
        <rFont val="Calibri"/>
        <family val="2"/>
      </rPr>
      <t>(Trading Economics)</t>
    </r>
  </si>
  <si>
    <r>
      <t xml:space="preserve">Credit rating
</t>
    </r>
    <r>
      <rPr>
        <b/>
        <sz val="10"/>
        <color theme="1" tint="0.499984740745262"/>
        <rFont val="Calibri"/>
        <family val="2"/>
      </rPr>
      <t>(Trading Economics)</t>
    </r>
  </si>
  <si>
    <r>
      <t xml:space="preserve">(-) State ownership of economy
</t>
    </r>
    <r>
      <rPr>
        <b/>
        <sz val="10"/>
        <color theme="1" tint="0.499984740745262"/>
        <rFont val="Calibri"/>
        <family val="2"/>
      </rPr>
      <t>(V-Dem Project)</t>
    </r>
  </si>
  <si>
    <r>
      <t xml:space="preserve">Cluster development
</t>
    </r>
    <r>
      <rPr>
        <b/>
        <sz val="10"/>
        <color theme="1" tint="0.499984740745262"/>
        <rFont val="Calibri"/>
        <family val="2"/>
      </rPr>
      <t>(WIPO)</t>
    </r>
  </si>
  <si>
    <r>
      <t xml:space="preserve">(-) General tax burden
</t>
    </r>
    <r>
      <rPr>
        <b/>
        <sz val="10"/>
        <color theme="1" tint="0.499984740745262"/>
        <rFont val="Calibri"/>
        <family val="2"/>
      </rPr>
      <t>(Index of Economic Freedom)</t>
    </r>
  </si>
  <si>
    <r>
      <t xml:space="preserve">Business simplification
</t>
    </r>
    <r>
      <rPr>
        <b/>
        <sz val="10"/>
        <color theme="1" tint="0.499984740745262"/>
        <rFont val="Calibri"/>
        <family val="2"/>
      </rPr>
      <t>(Fraser Institute)</t>
    </r>
  </si>
  <si>
    <t>(-) Poverty (line of $8.30/day)</t>
  </si>
  <si>
    <r>
      <t xml:space="preserve">Life expectancy
</t>
    </r>
    <r>
      <rPr>
        <b/>
        <sz val="10"/>
        <color theme="1" tint="0.499984740745262"/>
        <rFont val="Calibri"/>
        <family val="2"/>
        <scheme val="minor"/>
      </rPr>
      <t>(UNDESA 2025)</t>
    </r>
  </si>
  <si>
    <t>(-) Gini index</t>
  </si>
  <si>
    <t>(-) Exposure to rir pollution</t>
  </si>
  <si>
    <t>(-) Emissions and climate change</t>
  </si>
  <si>
    <t>Ecosystem vitalty</t>
  </si>
  <si>
    <r>
      <t xml:space="preserve">(-) Armed conflict and  terrorism
</t>
    </r>
    <r>
      <rPr>
        <b/>
        <sz val="10"/>
        <color theme="1" tint="0.499984740745262"/>
        <rFont val="Calibri"/>
        <family val="2"/>
      </rPr>
      <t>(ACLED 2026)</t>
    </r>
  </si>
  <si>
    <r>
      <t xml:space="preserve">Basic civil freedom 
</t>
    </r>
    <r>
      <rPr>
        <b/>
        <sz val="10"/>
        <color theme="1" tint="0.499984740745262"/>
        <rFont val="Calibri"/>
        <family val="2"/>
      </rPr>
      <t>(WJP 2025)</t>
    </r>
  </si>
  <si>
    <r>
      <t xml:space="preserve">(-) Legal discrimination
</t>
    </r>
    <r>
      <rPr>
        <b/>
        <sz val="10"/>
        <color theme="1" tint="0.499984740745262"/>
        <rFont val="Calibri"/>
        <family val="2"/>
      </rPr>
      <t>(WJP 2025)</t>
    </r>
  </si>
  <si>
    <r>
      <t xml:space="preserve">Constraints on government powers
</t>
    </r>
    <r>
      <rPr>
        <b/>
        <sz val="10"/>
        <color theme="1" tint="0.499984740745262"/>
        <rFont val="Calibri"/>
        <family val="2"/>
      </rPr>
      <t>(WJP 2025)</t>
    </r>
  </si>
  <si>
    <r>
      <t xml:space="preserve">Judicial system
</t>
    </r>
    <r>
      <rPr>
        <b/>
        <sz val="10"/>
        <color theme="1" tint="0.499984740745262"/>
        <rFont val="Calibri"/>
        <family val="2"/>
      </rPr>
      <t>(WJP 2025)</t>
    </r>
  </si>
  <si>
    <r>
      <t xml:space="preserve">Control of  corruption
</t>
    </r>
    <r>
      <rPr>
        <b/>
        <sz val="10"/>
        <color theme="1" tint="0.499984740745262"/>
        <rFont val="Calibri"/>
        <family val="2"/>
      </rPr>
      <t>(WGI 2024))</t>
    </r>
  </si>
  <si>
    <r>
      <t xml:space="preserve">Government effectiveness
</t>
    </r>
    <r>
      <rPr>
        <b/>
        <sz val="10"/>
        <color theme="1" tint="0.499984740745262"/>
        <rFont val="Calibri"/>
        <family val="2"/>
        <scheme val="minor"/>
      </rPr>
      <t>(WGI 2024)</t>
    </r>
  </si>
  <si>
    <r>
      <t xml:space="preserve">Political stability
</t>
    </r>
    <r>
      <rPr>
        <b/>
        <sz val="10"/>
        <color theme="1" tint="0.499984740745262"/>
        <rFont val="Calibri"/>
        <family val="2"/>
        <scheme val="minor"/>
      </rPr>
      <t>(WGI 2024)</t>
    </r>
  </si>
  <si>
    <r>
      <t xml:space="preserve">Regulatory quality
</t>
    </r>
    <r>
      <rPr>
        <b/>
        <sz val="10"/>
        <color theme="1" tint="0.499984740745262"/>
        <rFont val="Calibri"/>
        <family val="2"/>
        <scheme val="minor"/>
      </rPr>
      <t>(WGI 2024)</t>
    </r>
  </si>
  <si>
    <t>Economy Quality Index:</t>
  </si>
  <si>
    <t>Society Index:</t>
  </si>
  <si>
    <t>Components of Prosperity</t>
  </si>
  <si>
    <r>
      <t xml:space="preserve">Competitive Industrial Performance
</t>
    </r>
    <r>
      <rPr>
        <b/>
        <sz val="10"/>
        <color theme="1" tint="0.499984740745262"/>
        <rFont val="Calibri"/>
        <family val="2"/>
      </rPr>
      <t>(UNIDO)</t>
    </r>
  </si>
  <si>
    <r>
      <t xml:space="preserve">Economic complexity 
</t>
    </r>
    <r>
      <rPr>
        <b/>
        <sz val="10"/>
        <color theme="1" tint="0.499984740745262"/>
        <rFont val="Calibri"/>
        <family val="2"/>
      </rPr>
      <t>(Harvard)</t>
    </r>
  </si>
  <si>
    <r>
      <t xml:space="preserve">Technology Readiness Index 
</t>
    </r>
    <r>
      <rPr>
        <b/>
        <sz val="10"/>
        <color theme="1" tint="0.499984740745262"/>
        <rFont val="Calibri"/>
        <family val="2"/>
      </rPr>
      <t>(UNCTAD)</t>
    </r>
  </si>
  <si>
    <r>
      <t xml:space="preserve">Market (per product) concentration Theil index </t>
    </r>
    <r>
      <rPr>
        <b/>
        <sz val="10"/>
        <color theme="1" tint="0.499984740745262"/>
        <rFont val="Calibri"/>
        <family val="2"/>
      </rPr>
      <t>(UNCTAD)</t>
    </r>
  </si>
  <si>
    <t>Ranking</t>
  </si>
  <si>
    <r>
      <t xml:space="preserve">Labour productivity GDP (USD2021PPP) per hour worked  </t>
    </r>
    <r>
      <rPr>
        <b/>
        <sz val="10"/>
        <color theme="1" tint="0.499984740745262"/>
        <rFont val="Calibri"/>
        <family val="2"/>
      </rPr>
      <t>(ILO)</t>
    </r>
  </si>
  <si>
    <r>
      <t xml:space="preserve">Gross fixed capital formation (% GDP)
</t>
    </r>
    <r>
      <rPr>
        <b/>
        <sz val="10"/>
        <color theme="1" tint="0.499984740745262"/>
        <rFont val="Calibri"/>
        <family val="2"/>
      </rPr>
      <t>(World Bank)</t>
    </r>
  </si>
  <si>
    <t>Education Index
(Rate, Quality and Adult Skills)</t>
  </si>
  <si>
    <r>
      <t xml:space="preserve">Prevalence of undernourishment
</t>
    </r>
    <r>
      <rPr>
        <b/>
        <sz val="10"/>
        <color theme="1" tint="0.499984740745262"/>
        <rFont val="Calibri"/>
        <family val="2"/>
        <scheme val="minor"/>
      </rPr>
      <t>(FAO-SDG)</t>
    </r>
  </si>
  <si>
    <t>https://www.ers.usda.gov/publications/110175</t>
  </si>
  <si>
    <t>CUBA</t>
  </si>
  <si>
    <t>CA and SA</t>
  </si>
  <si>
    <t>Europe &amp; NA</t>
  </si>
  <si>
    <t>NA &amp; WA</t>
  </si>
  <si>
    <t>Sub-Saharan Africa</t>
  </si>
  <si>
    <t>LA &amp; Caribbean</t>
  </si>
  <si>
    <t>Australia &amp; NZ</t>
  </si>
  <si>
    <t>EA &amp; SEA</t>
  </si>
  <si>
    <t>Oceania (woAUNZ)</t>
  </si>
  <si>
    <r>
      <rPr>
        <sz val="10"/>
        <color rgb="FF00965D"/>
        <rFont val="Calibri"/>
        <family val="2"/>
        <scheme val="minor"/>
      </rPr>
      <t>4</t>
    </r>
    <r>
      <rPr>
        <sz val="10"/>
        <color theme="0"/>
        <rFont val="Calibri"/>
        <family val="2"/>
        <scheme val="minor"/>
      </rPr>
      <t>Low</t>
    </r>
    <r>
      <rPr>
        <sz val="10"/>
        <color rgb="FF00965D"/>
        <rFont val="Calibri"/>
        <family val="2"/>
        <scheme val="minor"/>
      </rPr>
      <t>4</t>
    </r>
  </si>
  <si>
    <r>
      <rPr>
        <sz val="10"/>
        <color rgb="FF002060"/>
        <rFont val="Calibri"/>
        <family val="2"/>
        <scheme val="minor"/>
      </rPr>
      <t>2</t>
    </r>
    <r>
      <rPr>
        <sz val="10"/>
        <color theme="0"/>
        <rFont val="Calibri"/>
        <family val="2"/>
        <scheme val="minor"/>
      </rPr>
      <t>Up-Mid</t>
    </r>
    <r>
      <rPr>
        <sz val="10"/>
        <color rgb="FF002060"/>
        <rFont val="Calibri"/>
        <family val="2"/>
        <scheme val="minor"/>
      </rPr>
      <t>2</t>
    </r>
  </si>
  <si>
    <r>
      <rPr>
        <sz val="10"/>
        <color rgb="FF200060"/>
        <rFont val="Calibri"/>
        <family val="2"/>
        <scheme val="minor"/>
      </rPr>
      <t>1</t>
    </r>
    <r>
      <rPr>
        <sz val="10"/>
        <color theme="0"/>
        <rFont val="Calibri"/>
        <family val="2"/>
        <scheme val="minor"/>
      </rPr>
      <t>High</t>
    </r>
    <r>
      <rPr>
        <sz val="10"/>
        <color rgb="FF200060"/>
        <rFont val="Calibri"/>
        <family val="2"/>
        <scheme val="minor"/>
      </rPr>
      <t>1</t>
    </r>
  </si>
  <si>
    <r>
      <rPr>
        <sz val="10"/>
        <color rgb="FF005D7E"/>
        <rFont val="Calibri"/>
        <family val="2"/>
        <scheme val="minor"/>
      </rPr>
      <t>3</t>
    </r>
    <r>
      <rPr>
        <sz val="10"/>
        <color theme="0"/>
        <rFont val="Calibri"/>
        <family val="2"/>
        <scheme val="minor"/>
      </rPr>
      <t>Low-Mid</t>
    </r>
    <r>
      <rPr>
        <sz val="10"/>
        <color rgb="FF005D7E"/>
        <rFont val="Calibri"/>
        <family val="2"/>
        <scheme val="minor"/>
      </rPr>
      <t>3</t>
    </r>
  </si>
  <si>
    <t>In microstates with extremely high income levels (Andorra, Liechtenstein, Monaco, and San Marino), the lack of household surveys stems from the structural absence of populations living below the international monetary poverty line of $8.30 a day (2021 PPP).”</t>
  </si>
  <si>
    <t>The value assigned to Palau (2.50%) is an imputation based on income group peer methodology. The use of Nauru as a geographic proxy was discarded due to the severe macroeconomic asymmetry between the two nations (Palau is a high-income economy with a gross national income per capita matching developed standards). The imputed figure in gray reflects the structural reality that while Palau faces high local living costs, its dollarized minimum wage and the financial safety nets provided under its Compact of Free Association with the United States effectively minimize population segments living strictly below the international $8.30-a-day threshold (2021 PPP).</t>
  </si>
  <si>
    <t>Living Conditions</t>
  </si>
  <si>
    <t>Development</t>
  </si>
  <si>
    <t>Biomedical &amp; Behavioural Wellness Index</t>
  </si>
  <si>
    <r>
      <t xml:space="preserve">(-) Organized Crime Index
</t>
    </r>
    <r>
      <rPr>
        <b/>
        <sz val="10"/>
        <color theme="1" tint="0.499984740745262"/>
        <rFont val="Calibri"/>
        <family val="2"/>
      </rPr>
      <t>(OCI 2025)</t>
    </r>
  </si>
  <si>
    <t>latest data</t>
  </si>
  <si>
    <t>Weight: 30%</t>
  </si>
  <si>
    <t>Weight: 25%</t>
  </si>
  <si>
    <t>S. Cohesion</t>
  </si>
  <si>
    <t>Weight: 35%</t>
  </si>
  <si>
    <t>Weight: 10%</t>
  </si>
  <si>
    <t>(-) Political crimes against humanity Index</t>
  </si>
  <si>
    <t>Weight: 5%</t>
  </si>
  <si>
    <t>Weight: 50%</t>
  </si>
  <si>
    <t>Weight: 15%</t>
  </si>
  <si>
    <t xml:space="preserve">Tanzania, United Republic of </t>
  </si>
  <si>
    <t>Moldova, Republic of</t>
  </si>
  <si>
    <t>Region Group (SDG Model)</t>
  </si>
  <si>
    <t>Income Group (World Bank Model)</t>
  </si>
  <si>
    <t>Bolivia, Plurinational State of</t>
  </si>
  <si>
    <t>Congo, Dem. Rep. of the</t>
  </si>
  <si>
    <t>Côte d'Ivoire</t>
  </si>
  <si>
    <t>Czech Republic</t>
  </si>
  <si>
    <t>Lao People's Dem. Rep.</t>
  </si>
  <si>
    <t>Nauru</t>
  </si>
  <si>
    <t>Sao Tomé and Príncipe</t>
  </si>
  <si>
    <t>Tanzania, United Republic of</t>
  </si>
  <si>
    <t>Industry, Technology and Trade</t>
  </si>
  <si>
    <t>For European microstates (Andorra, Liechtenstein, Monaco, and San Marino), a logical imputation of 0.00% is applied to the Informal Employment Rate. This methodological decision is structurally justified by their highly centralized fiscal administrations, mandatory formal contracts for labor residencies, and the absolute absence of unregulated shadow economies within hyper-dense, full-employment environments. Conversely, for advanced economies and major data gaps, a hybrid approach is deployed: high-income jurisdictions receive a standardized baseline model of 10.00% to account for residual informal activities, while the remaining developing nations are solved via regional and income-level Peer Group Imputation to safeguard geographical coverage without compromising statistical synchronization.
To preserve metric consistency across heterogeneous jurisdictions, a strict proxy protocol is established for high-income nations missing from the ILO informal employment database. Singapore, alongside major advanced economies (e.g., United States, Australia, Canada, and Japan), is assigned a standardized 10.00% residual baseline to statistically capture gig-economy participants, independent contractors, and non-traditional domestic labor. Gulf Cooperation Council (GCC) monarchies are fixed at 15.00% to mirror institutionalized sponsorship frameworks. Middle-income and transition economies with critical data gaps are imputed via strict geopolitical and income-level peer-group averages, ensuring that structural variations in formal market architecture are properly isolated without introducing artificial extremes.</t>
  </si>
  <si>
    <t>https://tradingeconomics.com/liechtenstein/unemployment-rate</t>
  </si>
  <si>
    <t>https://www.globaldata.com/data-insights/macroeconomic/the-unemployment-rate-of-monaco-220186/</t>
  </si>
  <si>
    <t>LIECH</t>
  </si>
  <si>
    <t>MONAC</t>
  </si>
  <si>
    <t>https://www.alto.ad/business/2026/06/andorra-inactivity-rate-rises-to-16-7-as-employm</t>
  </si>
  <si>
    <t>ANDOR</t>
  </si>
  <si>
    <t>https://www.dom767.com/dompedia/labour-market-in-dominica/</t>
  </si>
  <si>
    <t>DOMINICA</t>
  </si>
  <si>
    <t>https://stats.gov.fm/topics/economic-statistics/labor-market-and-participation/</t>
  </si>
  <si>
    <t>MICRONE</t>
  </si>
  <si>
    <t>https://stats.gov.nr/statistics/economic-statistics/</t>
  </si>
  <si>
    <t>NAOERO</t>
  </si>
  <si>
    <t>https://www.globaldata.com/data-insights/macroeconomic/the-unemployment-rate-of-saint-kitts-and-nevis-220065/</t>
  </si>
  <si>
    <t>SKITTS</t>
  </si>
  <si>
    <t>max2025</t>
  </si>
  <si>
    <t>https://tradingeconomics.com/cuba/government-debt-to-gdp</t>
  </si>
  <si>
    <t>https://tradingeconomics.com/eritrea/government-debt-to-gdp</t>
  </si>
  <si>
    <t>ERITREA</t>
  </si>
  <si>
    <t>https://tradingeconomics.com/libya/government-debt-to-gdp</t>
  </si>
  <si>
    <t>LIBYA</t>
  </si>
  <si>
    <t>https://tradingeconomics.com/yemen/government-debt-to-gdp</t>
  </si>
  <si>
    <t>YEMEN</t>
  </si>
  <si>
    <t>https://www.afdb.org/en/countries-east-africa-somalia/somalia-economic-outlook</t>
  </si>
  <si>
    <t>SOMALIA</t>
  </si>
  <si>
    <t>https://tradingeconomics.com/syria/government-debt-to-gdp</t>
  </si>
  <si>
    <t>SYRIA</t>
  </si>
  <si>
    <r>
      <t xml:space="preserve">Gross Savings (%GDP)
</t>
    </r>
    <r>
      <rPr>
        <b/>
        <sz val="10"/>
        <color theme="1" tint="0.499984740745262"/>
        <rFont val="Calibri"/>
        <family val="2"/>
      </rPr>
      <t>(World Bank)</t>
    </r>
  </si>
  <si>
    <t>Country Name</t>
  </si>
  <si>
    <t>Country Code</t>
  </si>
  <si>
    <t>Indicator Name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</si>
  <si>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</si>
  <si>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</si>
  <si>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</si>
  <si>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</si>
  <si>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</si>
  <si>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</si>
  <si>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</si>
  <si>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</si>
  <si>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</si>
  <si>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</si>
  <si>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</si>
  <si>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</si>
  <si>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</si>
  <si>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</si>
  <si>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</si>
  <si>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</si>
  <si>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</si>
  <si>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</si>
  <si>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</si>
  <si>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</si>
  <si>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</si>
  <si>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</si>
  <si>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</si>
  <si>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</si>
  <si>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</si>
  <si>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</si>
  <si>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</si>
  <si>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</si>
  <si>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</si>
  <si>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</si>
  <si>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</si>
  <si>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</si>
  <si>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</si>
  <si>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</si>
  <si>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</si>
  <si>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</si>
  <si>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</si>
  <si>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</si>
  <si>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</si>
  <si>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</si>
  <si>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</si>
  <si>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</si>
  <si>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</si>
  <si>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</si>
  <si>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</si>
  <si>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</si>
  <si>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</si>
  <si>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</si>
  <si>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</si>
  <si>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</si>
  <si>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</si>
  <si>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</si>
  <si>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</si>
  <si>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</si>
  <si>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</si>
  <si>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</si>
  <si>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</si>
  <si>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</si>
  <si>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</si>
  <si>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</si>
  <si>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</si>
  <si>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</si>
  <si>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</si>
  <si>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</si>
  <si>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</si>
  <si>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</si>
  <si>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SGP</t>
  </si>
  <si>
    <t>GDP per capita, PPP (constant 2021 international $)</t>
  </si>
  <si>
    <t>IRL</t>
  </si>
  <si>
    <t>LUX</t>
  </si>
  <si>
    <t>MAC</t>
  </si>
  <si>
    <t>QAT</t>
  </si>
  <si>
    <t>NOR</t>
  </si>
  <si>
    <t>CHE</t>
  </si>
  <si>
    <t>GUY</t>
  </si>
  <si>
    <t>BRN</t>
  </si>
  <si>
    <t>USA</t>
  </si>
  <si>
    <t>NAC</t>
  </si>
  <si>
    <t>DNK</t>
  </si>
  <si>
    <t>NLD</t>
  </si>
  <si>
    <t>HKG</t>
  </si>
  <si>
    <t>ISL</t>
  </si>
  <si>
    <t>AND</t>
  </si>
  <si>
    <t>AUT</t>
  </si>
  <si>
    <t>MLT</t>
  </si>
  <si>
    <t>BEL</t>
  </si>
  <si>
    <t>SWE</t>
  </si>
  <si>
    <t>SAU</t>
  </si>
  <si>
    <t>DEU</t>
  </si>
  <si>
    <t>BHR</t>
  </si>
  <si>
    <t>Post-demographic dividend</t>
  </si>
  <si>
    <t>PST</t>
  </si>
  <si>
    <t>AUS</t>
  </si>
  <si>
    <t>High income</t>
  </si>
  <si>
    <t>HIC</t>
  </si>
  <si>
    <t>CAN</t>
  </si>
  <si>
    <t>Euro area</t>
  </si>
  <si>
    <t>EMU</t>
  </si>
  <si>
    <t>FIN</t>
  </si>
  <si>
    <t>KOR</t>
  </si>
  <si>
    <t>FRA</t>
  </si>
  <si>
    <t>European Union</t>
  </si>
  <si>
    <t>EUU</t>
  </si>
  <si>
    <t>OECD members</t>
  </si>
  <si>
    <t>OED</t>
  </si>
  <si>
    <t>CYP</t>
  </si>
  <si>
    <t>GBR</t>
  </si>
  <si>
    <t>ITA</t>
  </si>
  <si>
    <t>ESP</t>
  </si>
  <si>
    <t>CZE</t>
  </si>
  <si>
    <t>SVN</t>
  </si>
  <si>
    <t>LTU</t>
  </si>
  <si>
    <t>JPN</t>
  </si>
  <si>
    <t>Sint Maarten (Dutch part)</t>
  </si>
  <si>
    <t>SXM</t>
  </si>
  <si>
    <t>KWT</t>
  </si>
  <si>
    <t>NZL</t>
  </si>
  <si>
    <t>ISR</t>
  </si>
  <si>
    <t>POL</t>
  </si>
  <si>
    <t>Europe &amp; Central Asia</t>
  </si>
  <si>
    <t>ECS</t>
  </si>
  <si>
    <t>Puerto Rico (US)</t>
  </si>
  <si>
    <t>PRI</t>
  </si>
  <si>
    <t>HRV</t>
  </si>
  <si>
    <t>Central Europe and the Baltics</t>
  </si>
  <si>
    <t>CEB</t>
  </si>
  <si>
    <t>PRT</t>
  </si>
  <si>
    <t>RUS</t>
  </si>
  <si>
    <t>EST</t>
  </si>
  <si>
    <t>HUN</t>
  </si>
  <si>
    <t>ROU</t>
  </si>
  <si>
    <t>SVK</t>
  </si>
  <si>
    <t>LVA</t>
  </si>
  <si>
    <t>GRC</t>
  </si>
  <si>
    <t>KAZ</t>
  </si>
  <si>
    <t>PAN</t>
  </si>
  <si>
    <t>TUR</t>
  </si>
  <si>
    <t>Caribbean small states</t>
  </si>
  <si>
    <t>CSS</t>
  </si>
  <si>
    <t>OMN</t>
  </si>
  <si>
    <t>MYS</t>
  </si>
  <si>
    <t>BGR</t>
  </si>
  <si>
    <t>Europe &amp; Central Asia (IDA &amp; IBRD countries)</t>
  </si>
  <si>
    <t>TEC</t>
  </si>
  <si>
    <t>URY</t>
  </si>
  <si>
    <t>TTO</t>
  </si>
  <si>
    <t>KNA</t>
  </si>
  <si>
    <t>CHL</t>
  </si>
  <si>
    <t>SYC</t>
  </si>
  <si>
    <t>ATG</t>
  </si>
  <si>
    <t>BLR</t>
  </si>
  <si>
    <t>MNE</t>
  </si>
  <si>
    <t>MUS</t>
  </si>
  <si>
    <t>CRI</t>
  </si>
  <si>
    <t>ARG</t>
  </si>
  <si>
    <t>SRB</t>
  </si>
  <si>
    <t>Late-demographic dividend</t>
  </si>
  <si>
    <t>LTE</t>
  </si>
  <si>
    <t>Other small states</t>
  </si>
  <si>
    <t>OSS</t>
  </si>
  <si>
    <t>Small states</t>
  </si>
  <si>
    <t>SST</t>
  </si>
  <si>
    <t>GEO</t>
  </si>
  <si>
    <t>Europe &amp; Central Asia (excluding high income)</t>
  </si>
  <si>
    <t>ECA</t>
  </si>
  <si>
    <t>East Asia &amp; Pacific</t>
  </si>
  <si>
    <t>EAS</t>
  </si>
  <si>
    <t>MKD</t>
  </si>
  <si>
    <t>CHN</t>
  </si>
  <si>
    <t>DOM</t>
  </si>
  <si>
    <t>LCA</t>
  </si>
  <si>
    <t>MDV</t>
  </si>
  <si>
    <t>ALB</t>
  </si>
  <si>
    <t>THA</t>
  </si>
  <si>
    <t>AZE</t>
  </si>
  <si>
    <t>BRB</t>
  </si>
  <si>
    <t>World</t>
  </si>
  <si>
    <t>WLD</t>
  </si>
  <si>
    <t>MEX</t>
  </si>
  <si>
    <t>Upper middle income</t>
  </si>
  <si>
    <t>UMC</t>
  </si>
  <si>
    <t>East Asia &amp; Pacific (IDA &amp; IBRD countries)</t>
  </si>
  <si>
    <t>TEA</t>
  </si>
  <si>
    <t>East Asia &amp; Pacific (excluding high income)</t>
  </si>
  <si>
    <t>EAP</t>
  </si>
  <si>
    <t>BIH</t>
  </si>
  <si>
    <t>ARM</t>
  </si>
  <si>
    <t>Latin America &amp; Caribbean</t>
  </si>
  <si>
    <t>LCN</t>
  </si>
  <si>
    <t>Latin America &amp; the Caribbean (IDA &amp; IBRD countries)</t>
  </si>
  <si>
    <t>TLA</t>
  </si>
  <si>
    <t>BRA</t>
  </si>
  <si>
    <t>PLW</t>
  </si>
  <si>
    <t>VCT</t>
  </si>
  <si>
    <t>Latin America &amp; Caribbean (excluding high income)</t>
  </si>
  <si>
    <t>LAC</t>
  </si>
  <si>
    <t>DMA</t>
  </si>
  <si>
    <t>SUR</t>
  </si>
  <si>
    <t>TKM</t>
  </si>
  <si>
    <t>IBRD only</t>
  </si>
  <si>
    <t>IBD</t>
  </si>
  <si>
    <t>GAB</t>
  </si>
  <si>
    <t>COL</t>
  </si>
  <si>
    <t>GRD</t>
  </si>
  <si>
    <t>MNG</t>
  </si>
  <si>
    <t>BWA</t>
  </si>
  <si>
    <t>EGY</t>
  </si>
  <si>
    <t>PRY</t>
  </si>
  <si>
    <t>Moldova</t>
  </si>
  <si>
    <t>MDA</t>
  </si>
  <si>
    <t>Arab World</t>
  </si>
  <si>
    <t>ARB</t>
  </si>
  <si>
    <t>IRN</t>
  </si>
  <si>
    <t>BTN</t>
  </si>
  <si>
    <t>XKX</t>
  </si>
  <si>
    <t>UKR</t>
  </si>
  <si>
    <t>PER</t>
  </si>
  <si>
    <t>DZA</t>
  </si>
  <si>
    <t>Middle income</t>
  </si>
  <si>
    <t>MIC</t>
  </si>
  <si>
    <t>VNM</t>
  </si>
  <si>
    <t>IDA &amp; IBRD total</t>
  </si>
  <si>
    <t>IBT</t>
  </si>
  <si>
    <t>IDN</t>
  </si>
  <si>
    <t>LKA</t>
  </si>
  <si>
    <t>Middle East, North Africa, Afghanistan &amp; Pakistan</t>
  </si>
  <si>
    <t>MEA</t>
  </si>
  <si>
    <t>ECU</t>
  </si>
  <si>
    <t>LBY</t>
  </si>
  <si>
    <t>Low &amp; middle income</t>
  </si>
  <si>
    <t>LMY</t>
  </si>
  <si>
    <t>FJI</t>
  </si>
  <si>
    <t>GNQ</t>
  </si>
  <si>
    <t>ZAF</t>
  </si>
  <si>
    <t>TUN</t>
  </si>
  <si>
    <t>GTM</t>
  </si>
  <si>
    <t>BLZ</t>
  </si>
  <si>
    <t>Early-demographic dividend</t>
  </si>
  <si>
    <t>EAR</t>
  </si>
  <si>
    <t>IRQ</t>
  </si>
  <si>
    <t>NRU</t>
  </si>
  <si>
    <t>SLV</t>
  </si>
  <si>
    <t>UZB</t>
  </si>
  <si>
    <t>JAM</t>
  </si>
  <si>
    <t>BOL</t>
  </si>
  <si>
    <t>JOR</t>
  </si>
  <si>
    <t>PHL</t>
  </si>
  <si>
    <t>Eswatini</t>
  </si>
  <si>
    <t>SWZ</t>
  </si>
  <si>
    <t>CPV</t>
  </si>
  <si>
    <t>NAM</t>
  </si>
  <si>
    <t>Middle East, North Africa, Afghanistan &amp; Pakistan (IDA &amp; IBRD)</t>
  </si>
  <si>
    <t>TMN</t>
  </si>
  <si>
    <t>IND</t>
  </si>
  <si>
    <t>Middle East, North Africa, Afghanistan &amp; Pakistan (excluding high income)</t>
  </si>
  <si>
    <t>MNA</t>
  </si>
  <si>
    <t>South Asia (IDA &amp; IBRD)</t>
  </si>
  <si>
    <t>TSA</t>
  </si>
  <si>
    <t>SAS</t>
  </si>
  <si>
    <t>MAR</t>
  </si>
  <si>
    <t>Lower middle income</t>
  </si>
  <si>
    <t>LMC</t>
  </si>
  <si>
    <t>LAO</t>
  </si>
  <si>
    <t>AGO</t>
  </si>
  <si>
    <t>BGD</t>
  </si>
  <si>
    <t>NGA</t>
  </si>
  <si>
    <t>WSM</t>
  </si>
  <si>
    <t>NIC</t>
  </si>
  <si>
    <t>KGZ</t>
  </si>
  <si>
    <t>MHL</t>
  </si>
  <si>
    <t>Pacific island small states</t>
  </si>
  <si>
    <t>PSS</t>
  </si>
  <si>
    <t>TON</t>
  </si>
  <si>
    <t>GHA</t>
  </si>
  <si>
    <t>KHM</t>
  </si>
  <si>
    <t>DJI</t>
  </si>
  <si>
    <t>CIV</t>
  </si>
  <si>
    <t>IDA blend</t>
  </si>
  <si>
    <t>IDB</t>
  </si>
  <si>
    <t>HND</t>
  </si>
  <si>
    <t>MRT</t>
  </si>
  <si>
    <t>COG</t>
  </si>
  <si>
    <t>Africa Western and Central</t>
  </si>
  <si>
    <t>AFW</t>
  </si>
  <si>
    <t>KEN</t>
  </si>
  <si>
    <t>TUV</t>
  </si>
  <si>
    <t>PAK</t>
  </si>
  <si>
    <t>ZWE</t>
  </si>
  <si>
    <t>STP</t>
  </si>
  <si>
    <t>NPL</t>
  </si>
  <si>
    <t>IDA total</t>
  </si>
  <si>
    <t>IDA</t>
  </si>
  <si>
    <t>MMR</t>
  </si>
  <si>
    <t>TJK</t>
  </si>
  <si>
    <t>Sub-Saharan Africa (IDA &amp; IBRD countries)</t>
  </si>
  <si>
    <t>TSS</t>
  </si>
  <si>
    <t>SSF</t>
  </si>
  <si>
    <t>Sub-Saharan Africa (excluding high income)</t>
  </si>
  <si>
    <t>SSA</t>
  </si>
  <si>
    <t>CMR</t>
  </si>
  <si>
    <t>Pre-demographic dividend</t>
  </si>
  <si>
    <t>PRE</t>
  </si>
  <si>
    <t>SEN</t>
  </si>
  <si>
    <t>PNG</t>
  </si>
  <si>
    <t>IDA only</t>
  </si>
  <si>
    <t>IDX</t>
  </si>
  <si>
    <t>West Bank and Gaza</t>
  </si>
  <si>
    <t>PSE</t>
  </si>
  <si>
    <t>GIN</t>
  </si>
  <si>
    <t>Africa Eastern and Southern</t>
  </si>
  <si>
    <t>AFE</t>
  </si>
  <si>
    <t>BEN</t>
  </si>
  <si>
    <t>TLS</t>
  </si>
  <si>
    <t>Least developed countries: UN classification</t>
  </si>
  <si>
    <t>LDC</t>
  </si>
  <si>
    <t>FSM</t>
  </si>
  <si>
    <t>VUT</t>
  </si>
  <si>
    <t>Tanzania</t>
  </si>
  <si>
    <t>TZA</t>
  </si>
  <si>
    <t>ZMB</t>
  </si>
  <si>
    <t>COM</t>
  </si>
  <si>
    <t>RWA</t>
  </si>
  <si>
    <t>TGO</t>
  </si>
  <si>
    <t>KIR</t>
  </si>
  <si>
    <t>Heavily indebted poor countries (HIPC)</t>
  </si>
  <si>
    <t>HPC</t>
  </si>
  <si>
    <t>SLE</t>
  </si>
  <si>
    <t>GMB</t>
  </si>
  <si>
    <t>ETH</t>
  </si>
  <si>
    <t>MLI</t>
  </si>
  <si>
    <t>UGA</t>
  </si>
  <si>
    <t>GNB</t>
  </si>
  <si>
    <t>LSO</t>
  </si>
  <si>
    <t>HTI</t>
  </si>
  <si>
    <t>BFA</t>
  </si>
  <si>
    <t>Low income</t>
  </si>
  <si>
    <t>LIC</t>
  </si>
  <si>
    <t>TCD</t>
  </si>
  <si>
    <t>SLB</t>
  </si>
  <si>
    <t>SDN</t>
  </si>
  <si>
    <t>NER</t>
  </si>
  <si>
    <t>LBR</t>
  </si>
  <si>
    <t>MDG</t>
  </si>
  <si>
    <t>COD</t>
  </si>
  <si>
    <t>MWI</t>
  </si>
  <si>
    <t>MOZ</t>
  </si>
  <si>
    <t>SOM</t>
  </si>
  <si>
    <t>CAF</t>
  </si>
  <si>
    <t>BDI</t>
  </si>
  <si>
    <t>AFG</t>
  </si>
  <si>
    <t>BHS</t>
  </si>
  <si>
    <t>CUB</t>
  </si>
  <si>
    <t>ERI</t>
  </si>
  <si>
    <t>PRK</t>
  </si>
  <si>
    <t>LBN</t>
  </si>
  <si>
    <t>LIE</t>
  </si>
  <si>
    <t>MCO</t>
  </si>
  <si>
    <t>SMR</t>
  </si>
  <si>
    <t>SSD</t>
  </si>
  <si>
    <t>SYR</t>
  </si>
  <si>
    <t>ARE</t>
  </si>
  <si>
    <t>VEN</t>
  </si>
  <si>
    <t>YEM</t>
  </si>
  <si>
    <t>5 YEARS GROWTH</t>
  </si>
  <si>
    <r>
      <t xml:space="preserve">(-) Unemployment rate 
</t>
    </r>
    <r>
      <rPr>
        <b/>
        <sz val="10"/>
        <color theme="1" tint="0.499984740745262"/>
        <rFont val="Calibri"/>
        <family val="2"/>
      </rPr>
      <t>(ILO)</t>
    </r>
  </si>
  <si>
    <r>
      <t xml:space="preserve">(-) Informal employment rate 
</t>
    </r>
    <r>
      <rPr>
        <b/>
        <sz val="10"/>
        <color theme="1" tint="0.499984740745262"/>
        <rFont val="Calibri"/>
        <family val="2"/>
      </rPr>
      <t>(ILO)</t>
    </r>
  </si>
  <si>
    <r>
      <t xml:space="preserve">Real GDP PPP per capita growth (last 5 years, constant 2021 INT$)
</t>
    </r>
    <r>
      <rPr>
        <b/>
        <sz val="10"/>
        <color theme="1" tint="0.499984740745262"/>
        <rFont val="Calibri"/>
        <family val="2"/>
      </rPr>
      <t>(World Bank)</t>
    </r>
  </si>
  <si>
    <t>%</t>
  </si>
  <si>
    <t>index</t>
  </si>
  <si>
    <t>$</t>
  </si>
  <si>
    <t>years</t>
  </si>
  <si>
    <t>rate</t>
  </si>
  <si>
    <r>
      <t xml:space="preserve">(-) Homicide rate 
(per 100 000 population)
</t>
    </r>
    <r>
      <rPr>
        <b/>
        <sz val="10"/>
        <color theme="1" tint="0.499984740745262"/>
        <rFont val="Calibri"/>
        <family val="2"/>
      </rPr>
      <t>(UNODC)</t>
    </r>
  </si>
  <si>
    <t>rank</t>
  </si>
  <si>
    <t>https://www.worldeconomics.com/Processors/Economics-Countries-GDPPerCapita.aspx?Country=Taiwan</t>
  </si>
  <si>
    <t>TAIWAN</t>
  </si>
  <si>
    <t>taiwan</t>
  </si>
  <si>
    <t>Macroeconomic Stability</t>
  </si>
  <si>
    <t>Inflation rate, average consumer prices (Annual percent change)</t>
  </si>
  <si>
    <t>no data</t>
  </si>
  <si>
    <t>American Samoa</t>
  </si>
  <si>
    <t>Anguilla</t>
  </si>
  <si>
    <t>Aruba</t>
  </si>
  <si>
    <t>Bermuda</t>
  </si>
  <si>
    <t>Bonaire, Sint Eustatius and Saba</t>
  </si>
  <si>
    <t>British Indian Ocean Territories</t>
  </si>
  <si>
    <t>British Virgin Islands</t>
  </si>
  <si>
    <t>Cayman Islands</t>
  </si>
  <si>
    <t>Channel Islands</t>
  </si>
  <si>
    <t>China, People's Republic of</t>
  </si>
  <si>
    <t xml:space="preserve">Congo, Republic of </t>
  </si>
  <si>
    <t>Cook Islands</t>
  </si>
  <si>
    <t>Curacao</t>
  </si>
  <si>
    <t>Egypt</t>
  </si>
  <si>
    <t>Faeroe Islands</t>
  </si>
  <si>
    <t>Falkland Islands</t>
  </si>
  <si>
    <t>French Guiana</t>
  </si>
  <si>
    <t>French Polynesia</t>
  </si>
  <si>
    <t>Gibraltar</t>
  </si>
  <si>
    <t>Greenland</t>
  </si>
  <si>
    <t>Guadeloupe</t>
  </si>
  <si>
    <t>Guam</t>
  </si>
  <si>
    <t>Holy See</t>
  </si>
  <si>
    <t>Hong Kong SAR</t>
  </si>
  <si>
    <t>Iran</t>
  </si>
  <si>
    <t>Isle of Man</t>
  </si>
  <si>
    <t>Korea, Dem. People's Rep. of</t>
  </si>
  <si>
    <t>Korea, Republic of</t>
  </si>
  <si>
    <t>Lao P.D.R.</t>
  </si>
  <si>
    <t>Macao SAR</t>
  </si>
  <si>
    <t>Martinique</t>
  </si>
  <si>
    <t>Mayotte</t>
  </si>
  <si>
    <t>Micronesia, Fed. States of</t>
  </si>
  <si>
    <t>Montserrat</t>
  </si>
  <si>
    <t>New Caledonia</t>
  </si>
  <si>
    <t>Niue</t>
  </si>
  <si>
    <t xml:space="preserve">North Macedonia </t>
  </si>
  <si>
    <t>Northern Mariana Islands</t>
  </si>
  <si>
    <t>Pitcairn</t>
  </si>
  <si>
    <t>Puerto Rico</t>
  </si>
  <si>
    <t>Reunion</t>
  </si>
  <si>
    <t>Saint Helena</t>
  </si>
  <si>
    <t>Saint Kitts and Nevis</t>
  </si>
  <si>
    <t>Saint Lucia</t>
  </si>
  <si>
    <t>Saint Martin</t>
  </si>
  <si>
    <t>Saint Vincent and the Grenadines</t>
  </si>
  <si>
    <t>Saint-Pierre and Miquelon</t>
  </si>
  <si>
    <t>Sint Maarten</t>
  </si>
  <si>
    <t>Somalia</t>
  </si>
  <si>
    <t>South Sudan, Republic of</t>
  </si>
  <si>
    <t>Svalbard and Jan Mayen Islands</t>
  </si>
  <si>
    <t>Syria</t>
  </si>
  <si>
    <t>São Tomé and Príncipe</t>
  </si>
  <si>
    <t>Taiwan Province of China</t>
  </si>
  <si>
    <t>Tokelau</t>
  </si>
  <si>
    <t>Turks and Caicos Islands</t>
  </si>
  <si>
    <t>Türkiye, Republic of</t>
  </si>
  <si>
    <t xml:space="preserve">United States Virgin Islands </t>
  </si>
  <si>
    <t>Venezuela</t>
  </si>
  <si>
    <t>Vietnam</t>
  </si>
  <si>
    <t>Wallis and Futuna Islands</t>
  </si>
  <si>
    <t>Western Sahara</t>
  </si>
  <si>
    <t>Yemen</t>
  </si>
  <si>
    <t>AVERAGE</t>
  </si>
  <si>
    <t>(2021 - 2025)</t>
  </si>
  <si>
    <t>N/A</t>
  </si>
  <si>
    <r>
      <t xml:space="preserve">Prosperous Inflation Index 
</t>
    </r>
    <r>
      <rPr>
        <b/>
        <sz val="10"/>
        <color theme="0" tint="-0.249977111117893"/>
        <rFont val="Calibri"/>
        <family val="2"/>
      </rPr>
      <t>( [1%-3%]=100.00; -5%=0.00;  30%=0.00 )</t>
    </r>
  </si>
  <si>
    <r>
      <t xml:space="preserve">Modern slavery rate
(per 1000 population)
</t>
    </r>
    <r>
      <rPr>
        <b/>
        <sz val="10"/>
        <color theme="1" tint="0.499984740745262"/>
        <rFont val="Calibri"/>
        <family val="2"/>
      </rPr>
      <t>(Walk Free)</t>
    </r>
  </si>
  <si>
    <t>Rank</t>
  </si>
  <si>
    <t>(-) Legal Discrimination Index</t>
  </si>
  <si>
    <t>(-) Legal Discrimination</t>
  </si>
  <si>
    <r>
      <t xml:space="preserve">Equal treatment and absence of discrimination
</t>
    </r>
    <r>
      <rPr>
        <sz val="9"/>
        <color theme="1" tint="0.499984740745262"/>
        <rFont val="Calibri"/>
        <family val="2"/>
      </rPr>
      <t>(WJP 2025)</t>
    </r>
  </si>
  <si>
    <r>
      <t xml:space="preserve">Women's Civil Liberties Index
</t>
    </r>
    <r>
      <rPr>
        <sz val="9"/>
        <color theme="1" tint="0.499984740745262"/>
        <rFont val="Calibri"/>
        <family val="2"/>
      </rPr>
      <t>(V-Dem 2025)</t>
    </r>
  </si>
  <si>
    <r>
      <t xml:space="preserve">World's Abortion Laws
</t>
    </r>
    <r>
      <rPr>
        <sz val="8"/>
        <color theme="1" tint="0.499984740745262"/>
        <rFont val="Calibri"/>
        <family val="2"/>
      </rPr>
      <t>(Center for Reproductive Rights 2025-2026)</t>
    </r>
  </si>
  <si>
    <r>
      <t xml:space="preserve">Legal Status of Same-Sex Relations 
</t>
    </r>
    <r>
      <rPr>
        <sz val="8"/>
        <color theme="1" tint="0.499984740745262"/>
        <rFont val="Calibri"/>
        <family val="2"/>
      </rPr>
      <t>(ILGA 2025-26)</t>
    </r>
  </si>
  <si>
    <r>
      <t xml:space="preserve">F&amp;M Global Barometer of Transgender Rights
</t>
    </r>
    <r>
      <rPr>
        <sz val="8"/>
        <color theme="1" tint="0.499984740745262"/>
        <rFont val="Calibri"/>
        <family val="2"/>
        <scheme val="minor"/>
      </rPr>
      <t>(F&amp;M 2024)</t>
    </r>
  </si>
  <si>
    <t>Taiwan, China</t>
  </si>
  <si>
    <t>2025-26</t>
  </si>
  <si>
    <t>https://worldjusticeproject.org/rule-of-law-index/factors/2025/Fundamental%20Rights</t>
  </si>
  <si>
    <t>https://ourworldindata.org/grapher/women-civil-liberties-index?time=2025</t>
  </si>
  <si>
    <t>https://reproductiverights.org/maps/world-abortion-laws/</t>
  </si>
  <si>
    <t>https://www.equaldex.com/</t>
  </si>
  <si>
    <t>https://www.fandmglobalbarometers.org/es/gbtr-results/</t>
  </si>
  <si>
    <t>VaA, RoL</t>
  </si>
  <si>
    <t>income and region, High and Up-Mid income groups for  Oceania(woAUNZ) are united</t>
  </si>
  <si>
    <t>regression</t>
  </si>
  <si>
    <t>median peer group</t>
  </si>
  <si>
    <t>(Brunei and Palestine estimated data acording to Abscense of Legal Discrimination Index from WPS</t>
  </si>
  <si>
    <t>(Macao imputed by Hong Kong´s score, and San Marino imputed by Italy´s score)</t>
  </si>
  <si>
    <t>coding:</t>
  </si>
  <si>
    <t>Total Ban : 0</t>
  </si>
  <si>
    <t>Ilegal : 0</t>
  </si>
  <si>
    <t>To Save a Person's Life : 1</t>
  </si>
  <si>
    <t>Legal : 1</t>
  </si>
  <si>
    <t>To Preserve Health : 2</t>
  </si>
  <si>
    <t>Civil Union : 2</t>
  </si>
  <si>
    <t>Broad Social or Economic Grounds : 3</t>
  </si>
  <si>
    <t>Marriage with restrictions: 3</t>
  </si>
  <si>
    <t>On Request (Gestational Limits Vary) : 4</t>
  </si>
  <si>
    <t>Full equality Marriage : 4</t>
  </si>
  <si>
    <t>Mexico and USA = 4 (its On Request in several states)</t>
  </si>
  <si>
    <t>political terror scale</t>
  </si>
  <si>
    <t>Extrajudicial Killings</t>
  </si>
  <si>
    <t>Torture</t>
  </si>
  <si>
    <t>Disappearances</t>
  </si>
  <si>
    <t>Political Imprisonment</t>
  </si>
  <si>
    <t>PTS_A</t>
  </si>
  <si>
    <t>PTS_H</t>
  </si>
  <si>
    <t>PTS_S</t>
  </si>
  <si>
    <t>Political Terror Scale</t>
  </si>
  <si>
    <t>NA</t>
  </si>
  <si>
    <t>Bahamas</t>
  </si>
  <si>
    <t>Congo, Democratic Republic of the</t>
  </si>
  <si>
    <t>Congo, Republic of</t>
  </si>
  <si>
    <t>Gambia</t>
  </si>
  <si>
    <t>Iran, Islamic Republic of</t>
  </si>
  <si>
    <t>Korea, Democratic People's Republic of</t>
  </si>
  <si>
    <t>Kyrgyzstan</t>
  </si>
  <si>
    <t>Lao People's Democratic Republic</t>
  </si>
  <si>
    <t>Micronesia, Federated States of</t>
  </si>
  <si>
    <t>Slovakia</t>
  </si>
  <si>
    <t>St Kitts and Nevis</t>
  </si>
  <si>
    <t>St Lucia</t>
  </si>
  <si>
    <t>St Vincent and the Grenadines</t>
  </si>
  <si>
    <t>Taiwan, Province of China</t>
  </si>
  <si>
    <t>Türkiye</t>
  </si>
  <si>
    <t>Venezuela, Bolivarian Republic of</t>
  </si>
  <si>
    <t>(-) Political Crimes Against Humanity Index</t>
  </si>
  <si>
    <t>#</t>
  </si>
  <si>
    <t>Data : Basic Services Access</t>
  </si>
  <si>
    <t>Index</t>
  </si>
  <si>
    <t>Access to electricity (%)</t>
  </si>
  <si>
    <t>Access to basic water services (%)</t>
  </si>
  <si>
    <t>Access to piped water (%)</t>
  </si>
  <si>
    <t>Access to basic sanitation
services (%)</t>
  </si>
  <si>
    <t>Unsafe water and sanitation</t>
  </si>
  <si>
    <t>Death rate from unsafe water sources (per 100 000 population)</t>
  </si>
  <si>
    <t>Death rate from unsafe sanitation (per 100 000 population)</t>
  </si>
  <si>
    <t>Less Unsafe</t>
  </si>
  <si>
    <t>West &amp; Central Africa</t>
  </si>
  <si>
    <t>East &amp; Southeast Asia</t>
  </si>
  <si>
    <t>Micronesia &amp; Polinesia</t>
  </si>
  <si>
    <t>Economic Infrastructure &amp; Market Functioning (50%)</t>
  </si>
  <si>
    <t>Household Infrastructure &amp; Living Conditions (50%)</t>
  </si>
  <si>
    <t>Economic Infrastructure &amp; Market Functioning (Weight: 50%)</t>
  </si>
  <si>
    <t>Household Infrastructure &amp; Living Conditions (Weight: 50%)</t>
  </si>
  <si>
    <t>Communications (Weight: 2.0)</t>
  </si>
  <si>
    <t>Energy (Weight: 0.5)</t>
  </si>
  <si>
    <t>Water (Weight: 0.5)</t>
  </si>
  <si>
    <t>Transport (Weight: 2.0)</t>
  </si>
  <si>
    <t>Home (Weight: 1.5)</t>
  </si>
  <si>
    <t>Connectednes (Weight: 0.5)</t>
  </si>
  <si>
    <t>Protection from Harm (Weight: 0.5)</t>
  </si>
  <si>
    <t>Fixed broadband subscriptions
(per 100 population)</t>
  </si>
  <si>
    <t>Mobile broadband suscriptions
(per 100 population)</t>
  </si>
  <si>
    <t>Mobile Connectivity Index</t>
  </si>
  <si>
    <t>Population using Internet (%)</t>
  </si>
  <si>
    <t>Net installed electric capacity
(kilowatts per capita)</t>
  </si>
  <si>
    <t>Total net installed capacity of electric power plants, main activity &amp; autoproducer (thousands of kilowatts)</t>
  </si>
  <si>
    <t>Population</t>
  </si>
  <si>
    <t>Number of electrical outages in a typical month
(number)</t>
  </si>
  <si>
    <t>Duration of a typical electrical outage 
(hours)</t>
  </si>
  <si>
    <t>Time to obtain an electrical connection upon application 
(days)</t>
  </si>
  <si>
    <t>Annual freshwater withdrawals (m³ per capita)</t>
  </si>
  <si>
    <t>Annual freshwater withdrawals (millions of m³)</t>
  </si>
  <si>
    <t>Firms experiencing water insufficiencies
(%)</t>
  </si>
  <si>
    <t>Logistic Performance (index)</t>
  </si>
  <si>
    <t>Air transport
(passengers carried per capita)</t>
  </si>
  <si>
    <t>Passengers carried
(number)</t>
  </si>
  <si>
    <t xml:space="preserve"> Container Port Performance (index, average of the 1, 2 or 3 best)</t>
  </si>
  <si>
    <t>Liner shipping connectivity
(index)</t>
  </si>
  <si>
    <t>Firms identifying transportation as a major or very severe constraint
(%)</t>
  </si>
  <si>
    <t>Road Quality
(index)</t>
  </si>
  <si>
    <t>Road Density
(km per sq km)</t>
  </si>
  <si>
    <t>Road Network Size
(km)</t>
  </si>
  <si>
    <t>Land Area
(sq km)</t>
  </si>
  <si>
    <t>Urban population living in slums
(%)</t>
  </si>
  <si>
    <t>Access to clean fuels and technologies for
cooking 
(%)</t>
  </si>
  <si>
    <t>Death rate from indoor air pollution (per 100 00 population)</t>
  </si>
  <si>
    <t>Account ownership at a financial institution or with a mobile-money-service provider (% 15+)</t>
  </si>
  <si>
    <t>Rural population with access to all-season roads (%)</t>
  </si>
  <si>
    <t>Death and injury from road accidents (DALYs /100 000 population, age-standarized)</t>
  </si>
  <si>
    <t>Death and injury from forces of nature (DALYs /100 000 population, age-standarized)</t>
  </si>
  <si>
    <t>Unintentional death and injury rate (DALYs /100 000 population, age-standarized)</t>
  </si>
  <si>
    <t>Landlocked</t>
  </si>
  <si>
    <t>No ports</t>
  </si>
  <si>
    <t>2023-2024</t>
  </si>
  <si>
    <t>2020-2025</t>
  </si>
  <si>
    <t>2021-2025</t>
  </si>
  <si>
    <t>2024 Q1</t>
  </si>
  <si>
    <t>https://ourworldindata.org/grapher/mobile-cellular-subscriptions-per-100-people</t>
  </si>
  <si>
    <t>https://www.mobileconnectivityindex.com/index.html#year=2024</t>
  </si>
  <si>
    <t>https://datahub.itu.int/data/?e=&amp;c=&amp;i=11624</t>
  </si>
  <si>
    <t>https://data.un.org/Data.aspx?d=EDATA&amp;f=cmID%3AEC</t>
  </si>
  <si>
    <t>https://population.un.org/dataportal/home?df=2603d91a-d999-44b3-a140-52c8cec452ac</t>
  </si>
  <si>
    <t>https://www.enterprisesurveys.org/en/data/exploretopics/infrastructure-and-climate?subGroup=-1&amp;subtopic=42</t>
  </si>
  <si>
    <t>https://ourworldindata.org/grapher/annual-freshwater-withdrawals?country=~WB_ECA</t>
  </si>
  <si>
    <t>https://lpi.worldbank.org/international/global</t>
  </si>
  <si>
    <t>https://data.worldbank.org/indicator/IS.AIR.PSGR?most_recent_year_desc=false&amp;view=map</t>
  </si>
  <si>
    <t>https://www.worldbank.org/en/topic/transport/publication/cppi-2024</t>
  </si>
  <si>
    <t>https://data360.worldbank.org/en/dataset/UNCTAD_LSC</t>
  </si>
  <si>
    <t>https://worldpopulationreview.com/country-rankings/road-network-size-by-country</t>
  </si>
  <si>
    <t>https://ourworldindata.org/grapher/share-of-urban-population-living-in-slums</t>
  </si>
  <si>
    <t>https://ourworldindata.org/grapher/access-to-clean-fuels-and-technologies-for-cooking</t>
  </si>
  <si>
    <t>https://ourworldindata.org/grapher/death-rate-by-source-from-indoor-air-pollution</t>
  </si>
  <si>
    <t>https://data.worldbank.org/indicator/FX.OWN.TOTL.ZS?name_desc=false&amp;view=map</t>
  </si>
  <si>
    <t>https://dashboards.sdgindex.org/map/indicators/rural-population-with-access-to-all-season-roads/values/</t>
  </si>
  <si>
    <t>https://vizhub.healthdata.org/gbd-results/</t>
  </si>
  <si>
    <r>
      <rPr>
        <u/>
        <sz val="10"/>
        <color theme="7" tint="-0.499984740745262"/>
        <rFont val="Calibri"/>
        <family val="2"/>
        <scheme val="minor"/>
      </rPr>
      <t>Fixed broadband subscriptions:</t>
    </r>
    <r>
      <rPr>
        <sz val="10"/>
        <color theme="1"/>
        <rFont val="Calibri"/>
        <family val="2"/>
        <scheme val="minor"/>
      </rPr>
      <t xml:space="preserve"> Antigua and Barbuda (2022); Barbados (2022); Belize (2022); Bolivia, Plurinational State of (2022); Burkina Faso (2022); Cameroon (2022); Central African Republic (2022; the 2010 observation was estimated via linear backcasting based on the trend observed between 2011—the first available year—and 2012); Dominica (2022); Equatorial Guinea (2022); Eritrea (2022); Ethiopia (2022); Fiji (2022); Gambia, The (2022); Grenada (2022); Guinea (2022); Guyana (2022); Haiti (2022; the 2010 observation was estimated via linear backcasting based on the trend observed between 2012—the first available year—and 2014); Lebanon (2022; the 2017 data is necessary for the calculation of RS, that's why it was estimated via linear backcasting based on the trend observed between 2019—available year—and 2021); Liberia (2022); Libya (2022); Luxembourg (2022); Mali (2022); Marshall Islands (2022; the 2010 observation was estimated via linear backcasting based on the trend observed between 2013—the first available year—and 2016); Micronesia, Fed. Sts. (2022); Mozambique (2022); Nauru (2022; since 2010 and 2022 are the only available years, the extrapolation was performed without slope adjustment); Nepal (2022); Papua New Guinea (2022); Samoa (2022); San Marino (2022); Sierra Leone (2021; since 2019, 2020 and 2021 are the only available years, the extrapolation was performed without slope adjustment); Solomon Islands (2022); St. Kitts and Nevis (2022); St. Lucia (2022); Sudan (2022); Tajikistan (2022); Tonga (2022); Turkmenistan (2022); Tuvalu (2022) and Yemen, Rep. (2022).
</t>
    </r>
    <r>
      <rPr>
        <u/>
        <sz val="10"/>
        <color theme="7" tint="-0.499984740745262"/>
        <rFont val="Calibri"/>
        <family val="2"/>
        <scheme val="minor"/>
      </rPr>
      <t>Mobile broadband suscriptions:</t>
    </r>
    <r>
      <rPr>
        <sz val="10"/>
        <color theme="1"/>
        <rFont val="Calibri"/>
        <family val="2"/>
        <scheme val="minor"/>
      </rPr>
      <t xml:space="preserve"> Antigua and Barbuda (2022); Barbados (2022); Belize (2022); Bolivia, Plurinational State of (2022); Burkina Faso (2022); Central African Republic (2022); Dominica (2022); Equatorial Guinea (2022); Eritrea (2022); Ethiopia (2022); Fiji (2022); Gambia, The (2022); Grenada (2022); Guinea (2022); Guyana (2022); Haiti (2022); Korea, Dem. People's Rep. (2022); Kosovo (2022; since 2010 and 2022 are the only available years, the extrapolation was performed without slope adjustment); Lebanon (2022); Liberia (2022); Libya (2022); Mali (2022); Marshall Islands (2022; the 2010 observation was estimated via linear backcasting based on the trend observed between 2015 and 2020); Micronesia, Fed. Sts. (2022); Mozambique (2022); Nauru (2022); Nepal (2022); Norway (2022); Samoa (2022); San Marino (2022); Sierra Leone (2022); Solomon Islands (2022); St. Lucia (2022); Sudan (2022); Tajikistan (2022); Turkmenistan (2021) and Tuvalu (2022).
</t>
    </r>
    <r>
      <rPr>
        <u/>
        <sz val="10"/>
        <color theme="7" tint="-0.499984740745262"/>
        <rFont val="Calibri"/>
        <family val="2"/>
        <scheme val="minor"/>
      </rPr>
      <t>Population using Internet (%):</t>
    </r>
    <r>
      <rPr>
        <sz val="10"/>
        <color theme="1"/>
        <rFont val="Calibri"/>
        <family val="2"/>
        <scheme val="minor"/>
      </rPr>
      <t xml:space="preserve"> Eritrea (2020); Kosovo (2018); Myanmar (2020); Palestine, State of (2023); South Sudan (2019; the 2010 observation was estimated via linear backcasting based on the trend observed between 2012—the first available year—and 2014); Sudan (2017; the 2010 and 2012 observation—no available years—were estimated via linear backcasting based on the trend observed between 2007 and 2015); Suriname (2023); Syrian Arab Republic (2018); Timor-Leste (2021); Turkmenistan (2016); Tuvalu (2017) and Yemen, Rep. (2019).
</t>
    </r>
    <r>
      <rPr>
        <b/>
        <u/>
        <sz val="10"/>
        <color theme="1"/>
        <rFont val="Calibri"/>
        <family val="2"/>
        <scheme val="minor"/>
      </rPr>
      <t xml:space="preserve">Regression-Based Imputation for Fully Missing Countries
</t>
    </r>
    <r>
      <rPr>
        <sz val="10"/>
        <color theme="1"/>
        <rFont val="Calibri"/>
        <family val="2"/>
        <scheme val="minor"/>
      </rPr>
      <t xml:space="preserve">For countries with completely unavailable data for this indicator, values are estimated using an Ordinary Least Squares (OLS) regression model based on structural development determinants. This approach ensures methodological consistency, objectivity, and reproducibility across all cases.
</t>
    </r>
    <r>
      <rPr>
        <u/>
        <sz val="10"/>
        <color theme="7" tint="-0.499984740745262"/>
        <rFont val="Calibri"/>
        <family val="2"/>
        <scheme val="minor"/>
      </rPr>
      <t xml:space="preserve">Model Specification:
</t>
    </r>
    <r>
      <rPr>
        <sz val="10"/>
        <color theme="1"/>
        <rFont val="Calibri"/>
        <family val="2"/>
        <scheme val="minor"/>
      </rPr>
      <t xml:space="preserve">Imputation is conducted using the following model:
Yᵢ​ = β₀​ + β₁*​HDIᵢ + β₂​*GDPpcᵢ
Human Development Index (HDI) and Gross Domestic Product (GDP) per capita adjusted for Purchasing Power Parity (PPP) are selected as structural predictors reflecting overall socioeconomic development capacity. Estimated coefficients are subsequently applied to countries with missing data to generate predicted values.
</t>
    </r>
    <r>
      <rPr>
        <u/>
        <sz val="10"/>
        <color theme="7" tint="-0.499984740745262"/>
        <rFont val="Calibri"/>
        <family val="2"/>
        <scheme val="minor"/>
      </rPr>
      <t>Peer Group Definition:</t>
    </r>
    <r>
      <rPr>
        <sz val="10"/>
        <color theme="1"/>
        <rFont val="Calibri"/>
        <family val="2"/>
        <scheme val="minor"/>
      </rPr>
      <t xml:space="preserve">
Before estimation, a peer group is defined using a two-step filtering procedure:
- Countries belonging to the same World Bank (WB) income classification.
- Countries belonging to the same Sustainable Development Goals (SDG) regional grouping.
</t>
    </r>
    <r>
      <rPr>
        <u/>
        <sz val="10"/>
        <color theme="7" tint="-0.499984740745262"/>
        <rFont val="Calibri"/>
        <family val="2"/>
        <scheme val="minor"/>
      </rPr>
      <t xml:space="preserve">Minimum Sample Requirement:
</t>
    </r>
    <r>
      <rPr>
        <sz val="10"/>
        <color theme="1"/>
        <rFont val="Calibri"/>
        <family val="2"/>
        <scheme val="minor"/>
      </rPr>
      <t>To ensure statistical stability and avoid underidentified models, the following rule is applied:
- If the filtered peer group contains six (6) or more countries with available data, the regression is estimated using that group.
- If the filtered peer group contains fewer than six countries, the regional filter is removed and the regression is estimated using only the full World Bank income group.
This rule ensures an adequate number of degrees of freedom and prevents unstable coefficient estimation.</t>
    </r>
  </si>
  <si>
    <r>
      <rPr>
        <b/>
        <u/>
        <sz val="10"/>
        <color theme="1"/>
        <rFont val="Calibri"/>
        <family val="2"/>
        <scheme val="minor"/>
      </rPr>
      <t>Treatment of Installed Electricity Capacity Data</t>
    </r>
    <r>
      <rPr>
        <sz val="10"/>
        <color theme="1"/>
        <rFont val="Calibri"/>
        <family val="2"/>
        <scheme val="minor"/>
      </rPr>
      <t xml:space="preserve">
Data for installed electricity capacity were primarily obtained from international energy statistics. Because the most recent observations are already available for a large share of countries (96 countries with 2023 data and 101 countries with 2024 data), no temporal extrapolation was applied to older observations. Performing extrapolations would have introduced a substantial number of artificial values, potentially affecting more than one third of the country sample. To preserve the integrity of the observed data, the latest available value for each country was retained.
For a small number of countries not covered by the primary dataset—namely Monaco, San Marino, and Taiwan—values were obtained from alternative sources: </t>
    </r>
    <r>
      <rPr>
        <sz val="10"/>
        <color theme="8" tint="-0.249977111117893"/>
        <rFont val="Calibri"/>
        <family val="2"/>
        <scheme val="minor"/>
      </rPr>
      <t>AmCham Taiwan</t>
    </r>
    <r>
      <rPr>
        <sz val="10"/>
        <color theme="1"/>
        <rFont val="Calibri"/>
        <family val="2"/>
        <scheme val="minor"/>
      </rPr>
      <t xml:space="preserve"> and </t>
    </r>
    <r>
      <rPr>
        <sz val="10"/>
        <color theme="8" tint="-0.249977111117893"/>
        <rFont val="Calibri"/>
        <family val="2"/>
        <scheme val="minor"/>
      </rPr>
      <t>Platform for Redesign 2020</t>
    </r>
    <r>
      <rPr>
        <sz val="10"/>
        <color theme="1"/>
        <rFont val="Calibri"/>
        <family val="2"/>
        <scheme val="minor"/>
      </rPr>
      <t xml:space="preserve">. In the case of Monaco, where no comprehensive official figure for total installed capacity was available, a conservative estimate was used based on the country’s very small geographic size and the limited scale of domestic electricity generation infrastructure.
</t>
    </r>
    <r>
      <rPr>
        <b/>
        <u/>
        <sz val="10"/>
        <color theme="1"/>
        <rFont val="Calibri"/>
        <family val="2"/>
        <scheme val="minor"/>
      </rPr>
      <t>World Bank Enterprise Surveys</t>
    </r>
    <r>
      <rPr>
        <sz val="10"/>
        <color theme="1"/>
        <rFont val="Calibri"/>
        <family val="2"/>
        <scheme val="minor"/>
      </rPr>
      <t xml:space="preserve">
Indicators derived from the World Bank Enterprise Surveys are perception-based measures collected through firm-level surveys. Unlike administrative or time-series statistics, these data represent conditions at the time of the survey and are not designed to produce annual observations. For this reason, interpolation or extrapolation across years would introduce artificial precision and is therefore avoided.
Instead, the most recent available survey observation is retained for each country. To mitigate comparability issues arising from differences in survey years, a time-discount factor is applied to older observations: 0.95 for observations from 2015–2019, 0.90 for 2010–2014, and 0.85 for observations prior to 2010.
Antigua and Barbuda (2010); Argentina (2017); Belarus (2018); Belize (2010); Brazil (2009); Chile (2010); Djibouti (2013); Dominica (2010); Dominican Republic (2016); Eritrea (2009); Grenada (2010); Guatemala (2017); Honduras (2016); Lebanon (2019); Lithuania (2019); Myanmar (2016); Nicaragua (2016); Panama (2010); St. Kitts and Nevis (2010); St. Vincent and the Grenadines (2010); Sudan (2014); Thailand (2016) and Zambia (2019).
For countries not covered by the World Bank Enterprise Surveys, missing observations were imputed using the median value of the corresponding peer group. Peer groups were defined based on World Bank (WB) income classification and Sustainable Development Goals (SDG) regional grouping.
A regression-based imputation approach was not applied because Enterprise Surveys indicators are perception-based measures with relatively high variability and weak structural correlations with commonly available macroeconomic indicators. As a result, regression models tend to have limited predictive power for these variables and may introduce additional noise into the dataset.
Using the peer-group median provides a more robust and transparent approach, as it reduces the influence of outliers while preserving the typical value observed among comparable countries.
In specific cases where no observations were available within a narrowly defined peer group—such as Palau and Nauru—the regional constraint was removed. In these instances, the median was calculated using countries within the same income group globally. This adjustment ensures that imputed values remain statistically meaningful while avoiding empty peer groups.</t>
    </r>
  </si>
  <si>
    <r>
      <rPr>
        <b/>
        <u/>
        <sz val="10"/>
        <color theme="1"/>
        <rFont val="Calibri"/>
        <family val="2"/>
        <scheme val="minor"/>
      </rPr>
      <t>Imputation of Missing Water Data</t>
    </r>
    <r>
      <rPr>
        <sz val="10"/>
        <color theme="1"/>
        <rFont val="Calibri"/>
        <family val="2"/>
        <scheme val="minor"/>
      </rPr>
      <t xml:space="preserve">
Freshwater withdrawal data were converted into per capita terms by dividing total annual freshwater withdrawals by the corresponding population. Population data were sourced from the United Nations Population Division via the UN Data portal to ensure consistency across countries.
For countries with missing data, imputation was performed on the per capita values rather than on total withdrawals. Specifically, missing observations were estimated using the median per capita value of the corresponding peer group.
A regression-based imputation approach was not applied because freshwater withdrawal data are not strongly or consistently correlated with standard macroeconomic indicators such as GDP per capita or HDI. Water use is heavily influenced by country-specific structural factors, including climate conditions, agricultural intensity, industrial composition, and water resource endowments, which are not fully captured by commonly available cross-country variables.
As a result, regression models may produce unstable or misleading estimates. The use of the peer-group median provides a more robust and transparent approach, preserving typical values among comparable countries while minimizing the influence of outliers and model uncertainty.</t>
    </r>
  </si>
  <si>
    <r>
      <rPr>
        <b/>
        <u/>
        <sz val="10"/>
        <color theme="1"/>
        <rFont val="Calibri"/>
        <family val="2"/>
        <scheme val="minor"/>
      </rPr>
      <t>Treatment of Data Recency in the Logistics Performance Index</t>
    </r>
    <r>
      <rPr>
        <sz val="10"/>
        <color theme="1"/>
        <rFont val="Calibri"/>
        <family val="2"/>
        <scheme val="minor"/>
      </rPr>
      <t xml:space="preserve">
The Logistics Performance Index (LPI), published by the World Bank, is not produced annually and reflects conditions at specific points in time. As such, interpolation or extrapolation between years is not performed.
Instead, the most recent available observation for each country is retained.
Azerbaijan (2014); Brunei Darussalam (2018); Burundi (2018); Chad (2018); Comoros (2018); Côte d'Ivoire (2018); Ecuador (2018); Equatorial Guinea (2018); Eritrea (2018); Ethiopia (2016); Jordan (2018); Kenya (2018); Lebanon (2018); Lesotho (2018); Malawi (2018); Maldives (2018); Morocco (2018); Mozambique (2016); Myanmar (2018); Nepal (2018); Niger (2018); Pakistan (2018); Sao Tomé and Príncipe (2018); Senegal (2018); Sierra Leone (2018); Tanzania, United Republic of (2016); Tunisia (2018); Turkmenistan (2018); Uganda (2018) and Zambia (2018).
For countries with insufficient data, values are imputed using the peer-group median. For greater accuracy, the Upper-middle and High income groups have been merged for the Sub-Saharan Africa and Oceania (woAUNZ) regions. In specific cases where no observations were available within a narrowly defined peer group, the regional constraint was removed. In these instances, the median was calculated using countries within the same income group globally.
</t>
    </r>
    <r>
      <rPr>
        <b/>
        <u/>
        <sz val="10"/>
        <color theme="1"/>
        <rFont val="Calibri"/>
        <family val="2"/>
        <scheme val="minor"/>
      </rPr>
      <t>Treatment of missing Air Transport Data and Extrapolation</t>
    </r>
    <r>
      <rPr>
        <sz val="10"/>
        <color theme="1"/>
        <rFont val="Calibri"/>
        <family val="2"/>
        <scheme val="minor"/>
      </rPr>
      <t xml:space="preserve">
Air transport passenger data, sourced from the World Bank, are treated as a continuous time series. For countries with recent observations, values are extrapolated to 2023 using a simple linear trend based on the most recent available data points. Specifically, the annual change between the two latest observations is calculated and extended forward to estimate the 2023 value.
This approach is preferred over more complex methods due to the limited number of observations available for many countries, ensuring transparency and consistency while avoiding overfitting or strong assumptions about non-linear trends.
Antigua and Barbuda (2022); Benin (2016); Bosnia and Herzegovina (2020); Chad (2014); Eritrea (2020); Guyana (2021); Lithuania (2022); Mali (2014); Sierra Leone (2012); Slovak Republic (2022); Slovenia (2022); Somalia, Fed. Rep. (2019) and Ukraine (2022).
For countries with insufficient or very outdated data (before 2010), values are imputed using the median of the corresponding peer-group. In specific cases where no observations were available within a narrowly defined peer group, the regional constraint was removed. In these instances, the median was calculated using countries within the same income group globally.
</t>
    </r>
    <r>
      <rPr>
        <b/>
        <u/>
        <sz val="10"/>
        <color theme="1"/>
        <rFont val="Calibri"/>
        <family val="2"/>
        <scheme val="minor"/>
      </rPr>
      <t>Conceptual Scope of Port Efficiency Indicator</t>
    </r>
    <r>
      <rPr>
        <sz val="10"/>
        <color theme="1"/>
        <rFont val="Calibri"/>
        <family val="2"/>
        <scheme val="minor"/>
      </rPr>
      <t xml:space="preserve">
The port efficiency indicator, based on the Container Port Performance Index (CPPI), measures the operational performance of ports physically located within each country.
This differs from perception-based indicators, such as those previously used by the World Economic Forum, which capture the efficiency of port services accessible to firms, including in foreign countries.
As a result, landlocked countries are not assigned port efficiency scores. Instead, the indicator is treated as structurally non-applicable, and weights are redistributed across remaining transport indicators.
Indirect access to port services is captured through broader logistics indicators, such as the Logistics Performance Index.
For countries with insufficient data, values are imputed using the peer-group median. To make all inputs possible, the Lower-middle, Upper-middle and High income groups have been merged for the Oceania (woAUNZ) region. In specific cases where no observations were available within a narrowly defined peer group, the regional constraint was removed. In these instances, the median was calculated using countries within the same income group globally.
In certain cases, countries may possess nominal coastal access but lack functional port infrastructure due to structural constraints, such as geopolitical restrictions or limited operational capacity. For these cases, standard peer group imputation may lead to significant overestimation of port performance. Therefore, a capped score is assigned to reflect the limited practical access to maritime transport. This adjustment is applied based on observable constraints affecting port functionality, ensuring that the indicator more accurately reflects real-world infrastructure conditions while maintaining methodological consistency.
</t>
    </r>
    <r>
      <rPr>
        <b/>
        <u/>
        <sz val="10"/>
        <color theme="1"/>
        <rFont val="Calibri"/>
        <family val="2"/>
        <scheme val="minor"/>
      </rPr>
      <t>Treatment of Data Gaps in Liner Shipping Connectivity</t>
    </r>
    <r>
      <rPr>
        <sz val="10"/>
        <color theme="1"/>
        <rFont val="Calibri"/>
        <family val="2"/>
        <scheme val="minor"/>
      </rPr>
      <t xml:space="preserve">
Liner Shipping Connectivity Index (LSCI) data, sourced from UNCTAD, are generally available as a time series. However, for a small number of countries, the most recent observations are outdated.
In the specific cases of Nauru (2020) and North Korea (2014), the latest available values are retained without extrapolation. This approach is adopted due to the absence of sufficient recent data points to support reliable trend estimation.
Additionally, in these cases, maritime connectivity is structurally limited and tends to exhibit relatively low variation over time. As such, applying extrapolation could introduce greater error than preserving the latest available observation.
For countries with insufficient data, values are imputed using the peer-group median.
In certain cases, countries may possess nominal coastal access but lack functional port infrastructure due to structural constraints, such as geopolitical restrictions or limited operational capacity. For these cases, standard peer group imputation may lead to significant overestimation of port performance. Therefore, a capped score is assigned to reflect the limited practical access to maritime transport. This adjustment is applied based on observable constraints affecting port functionality, ensuring that the indicator more accurately reflects real-world infrastructure conditions while maintaining methodological consistency.
</t>
    </r>
    <r>
      <rPr>
        <b/>
        <u/>
        <sz val="10"/>
        <color theme="1"/>
        <rFont val="Calibri"/>
        <family val="2"/>
        <scheme val="minor"/>
      </rPr>
      <t>World Bank Enterprise Surveys</t>
    </r>
    <r>
      <rPr>
        <sz val="10"/>
        <color theme="1"/>
        <rFont val="Calibri"/>
        <family val="2"/>
        <scheme val="minor"/>
      </rPr>
      <t xml:space="preserve">
Indicators derived from the World Bank Enterprise Surveys are perception-based measures collected through firm-level surveys. Unlike administrative or time-series statistics, these data represent conditions at the time of the survey and are not designed to produce annual observations. For this reason, interpolation or extrapolation across years would introduce artificial precision and is therefore avoided.
Instead, the most recent available survey observation is retained for each country. To mitigate comparability issues arising from differences in survey years, a time-discount factor is applied to older observations: 0.95 for observations from 2015–2019, 0.90 for 2010–2014, and 0.85 for observations prior to 2010.
Antigua and Barbuda (2010); Argentina (2017); Belarus (2018); Belize (2010); Brazil (2009); Chile (2010); Djibouti (2013); Dominica (2010); Dominican Republic (2016); Eritrea (2009); Grenada (2010); Guatemala (2017); Honduras (2016); Lebanon (2019); Lithuania (2019); Myanmar (2016); Nicaragua (2016); Panama (2010); St. Kitts and Nevis (2010); St. Vincent and the Grenadines (2010); Sudan (2014); Thailand (2016) and Zambia (2019).
For countries not covered by the World Bank Enterprise Surveys, missing observations were imputed using the median value of the corresponding peer group. A regression-based imputation approach was not applied because Enterprise Surveys indicators are perception-based measures with relatively high variability and weak structural correlations with commonly available macroeconomic indicators. As a result, regression models tend to have limited predictive power for these variables and may introduce additional noise into the dataset. Using the peer-group median provides a more robust and transparent approach, as it reduces the influence of outliers while preserving the typical value observed among comparable countries.
In specific cases where no observations were available within a narrowly defined peer group—such as Palau and Nauru—the regional constraint was removed. In these instances, the median was calculated using countries within the same income group globally. This adjustment ensures that imputed values remain statistically meaningful while avoiding empty peer groups.
</t>
    </r>
    <r>
      <rPr>
        <b/>
        <u/>
        <sz val="10"/>
        <color theme="1"/>
        <rFont val="Calibri"/>
        <family val="2"/>
        <scheme val="minor"/>
      </rPr>
      <t>Road Quality Indicator</t>
    </r>
    <r>
      <rPr>
        <sz val="10"/>
        <color theme="1"/>
        <rFont val="Calibri"/>
        <family val="2"/>
        <scheme val="minor"/>
      </rPr>
      <t xml:space="preserve">
Road quality is measured using the road quality index from the Global Competitiveness Index (GCI), published by the World Economic Forum. This indicator is based on executive opinion surveys and reflects perceived road infrastructure quality within each country.
As the GCI road quality index is not updated annually and the latest available data correspond to 2019, the most recent observation is retained for all countries without applying interpolation or extrapolation. This approach is justified by the relatively low volatility of road infrastructure quality over short- to medium-term periods, as well as the perception-based nature of the indicator.
For countries without available data, values are imputed using the median of the corresponding peer group, defined by regional and income-level characteristics. A regression-based approach is not applied due to the subjective and perception-driven nature of the indicator, which is not consistently explained by standard macroeconomic variables.
In specific cases where no observations were available within a narrowly defined peer group—such as Palau and Nauru—the regional constraint was removed. In these instances, the median was calculated using countries within the same income group globally. This adjustment ensures that imputed values remain statistically meaningful while avoiding empty peer groups.</t>
    </r>
  </si>
  <si>
    <r>
      <rPr>
        <b/>
        <u/>
        <sz val="10"/>
        <color theme="1"/>
        <rFont val="Calibri"/>
        <family val="2"/>
        <scheme val="minor"/>
      </rPr>
      <t>Outdated Data:</t>
    </r>
    <r>
      <rPr>
        <sz val="10"/>
        <color theme="1"/>
        <rFont val="Calibri"/>
        <family val="2"/>
        <scheme val="minor"/>
      </rPr>
      <t xml:space="preserve">
</t>
    </r>
    <r>
      <rPr>
        <u/>
        <sz val="10"/>
        <color theme="7" tint="-0.499984740745262"/>
        <rFont val="Calibri"/>
        <family val="2"/>
        <scheme val="minor"/>
      </rPr>
      <t>Urban population living in slums:</t>
    </r>
    <r>
      <rPr>
        <sz val="10"/>
        <color theme="1"/>
        <rFont val="Calibri"/>
        <family val="2"/>
        <scheme val="minor"/>
      </rPr>
      <t xml:space="preserve"> Azerbaijan (2012; the 2022 observation was estimated via linear backcasting based on the trend observed between 2006 and 2012—last 6 years available—because the data is very outdated and does not allow the calculation of SS and RS); Bahrain (2018); Belarus (2019); Honduras (2018); India (2019; the most recent observation available is retained because there are only two years available and they have the same value); Jordan (2018; the 2022 observation was estimated via linear backcasting based on the trend observed between 2014—first available year—and 2018—last available year—); Malaysia (2020;  the most recent observation available is retained because is the only year available); Moldova (2018); Nicaragua (2020) and Thailand (2019;  the most recent observation available is retained because is the only year available).
For countries with insufficient data, values are imputed using the median of the corresponding peer-group. In specific cases where no observations were available within a narrowly defined peer group, the regional constraint was removed. In these instances, the median was calculated using countries within the same income group globally.</t>
    </r>
  </si>
  <si>
    <r>
      <rPr>
        <b/>
        <u/>
        <sz val="10"/>
        <color theme="1"/>
        <rFont val="Calibri"/>
        <family val="2"/>
        <scheme val="minor"/>
      </rPr>
      <t xml:space="preserve">Treatment of Financial Account Ownership Data
</t>
    </r>
    <r>
      <rPr>
        <sz val="10"/>
        <color theme="1"/>
        <rFont val="Calibri"/>
        <family val="2"/>
        <scheme val="minor"/>
      </rPr>
      <t>Data on account ownership are sourced from the Global Findex database of the World Bank, which is collected at multi-year intervals rather than annually.
Given the limited number of observations and the potential for non-linear changes over time, interpolation or extrapolation is not performed. Instead, the most recent available observation is retained for each country. To mitigate comparability issues arising from differences in survey years, a time-discount factor is applied to older observations: 0.95 for observations from 2015–2019 and 0.90 for 2010–2014.
Afghanistan (2021); Angola (2014); Belarus (2017); Bhutan (2014); Burundi (2014); Central African Republic (2017); Djibouti (2011); Haiti (2017); Jamaica (2021); Myanmar (2021); Qatar (2011); Rwanda (2017); Somalia, Fed. Rep. (2014); South Sudan (2021); Sudan (2014); Syrian Arab Republic (2011); Turkmenistan (2017); United Arab Emirates (2021) and Yemen, Rep. (2022).
For countries without available data on account ownership, values are imputed using the median of the corresponding peer group, defined by regional and income-level characteristics.
A regression-based approach is not applied due to the structural and non-linear nature of financial inclusion, which is influenced by country-specific factors such as regulatory frameworks, digital infrastructure, and the adoption of mobile financial services. These dynamics are not consistently captured by standard macroeconomic indicators, making regression-based estimates potentially unreliable.
The use of the peer-group median provides a robust and transparent method, preserving typical levels of financial inclusion among comparable countries while minimizing the impact of outliers and data limitations.
In specific cases where no observations were available within a narrowly defined peer group—such as Palau and Nauru—the regional constraint was removed. In these instances, the median was calculated using countries within the same income group globally. This adjustment ensures that imputed values remain statistically meaningful while avoiding empty peer groups.</t>
    </r>
  </si>
  <si>
    <t>Data: Healthcare System</t>
  </si>
  <si>
    <t>Subdivisions:</t>
  </si>
  <si>
    <t>Healthcare Index</t>
  </si>
  <si>
    <t>Care Systems (Weight: 50%)</t>
  </si>
  <si>
    <t>Preventative Interventions (Weight: 50%)</t>
  </si>
  <si>
    <t>Weight:</t>
  </si>
  <si>
    <t>Density of medical doctors
(per 10 000 population)</t>
  </si>
  <si>
    <t>Density of nursing and midwifery personnel 
(per 10 000 population)</t>
  </si>
  <si>
    <t>Density of dentists
 (per 10 000 population)</t>
  </si>
  <si>
    <t>Density of pharmacists
(per 10 000 population)</t>
  </si>
  <si>
    <t>Births attended by skilled health staff
(%)</t>
  </si>
  <si>
    <t>Tuberculosis treatment coverage
(%)</t>
  </si>
  <si>
    <t>Antiretroviral HIV therapy
(%)</t>
  </si>
  <si>
    <t>Domestic general government health expenditure per capita, PPP 
(current international $)</t>
  </si>
  <si>
    <t>DTP-containing vaccine, 3rd dose coverage
(WUENIC, %)</t>
  </si>
  <si>
    <t>Measles-containing vaccine, 2nd dose  coverage
(WUENIC, %)</t>
  </si>
  <si>
    <t>Hepatitis B, 3rd dose coverage
(WUENIC, %)</t>
  </si>
  <si>
    <t>Poliomyelitis, 3rd dose coverage
(WUENIC, %)</t>
  </si>
  <si>
    <t>Contraceptive prevalence: Any modern method
(%)</t>
  </si>
  <si>
    <t>https://www.who.int/data/gho/whs-annex</t>
  </si>
  <si>
    <t>https://dashboards.sdgindex.org/map/indicators/births-attended-by-skilled-health-personnel/values/</t>
  </si>
  <si>
    <t>https://www.who.int/data/gho/data/indicators/indicator-details/GHO/tuberculosis-treatment-coverage</t>
  </si>
  <si>
    <t>https://ourworldindata.org/grapher/antiretroviral-therapy-coverage-among-people-living-with-hiv</t>
  </si>
  <si>
    <t>https://data.worldbank.org/indicator/SH.XPD.GHED.PP.CD?most_recent_value_desc=true&amp;view=map&amp;year=2023</t>
  </si>
  <si>
    <t>https://immunizationdata.who.int/</t>
  </si>
  <si>
    <t>https://population.un.org/dataportal/home?df=b29c689d-f178-463a-8ab6-f569d60135f5</t>
  </si>
  <si>
    <t>last SDG</t>
  </si>
  <si>
    <t>2024-23</t>
  </si>
  <si>
    <t>(N/A SDG european countries (western) estimation = 100.0)</t>
  </si>
  <si>
    <t>Imput Peer Group median</t>
  </si>
  <si>
    <t>Kosovo and Nicaragua ADMIN/OFFICIAL</t>
  </si>
  <si>
    <t>Benin, Kosovo, Nicaragua and South Sudan,  ADMIN/OFFICIAL</t>
  </si>
  <si>
    <t>Environmental Wellness Index</t>
  </si>
  <si>
    <t>Physical Health (Weight: 50%)</t>
  </si>
  <si>
    <t>Mental Health (Weight: 25%)</t>
  </si>
  <si>
    <t>Behavioural Risk Factors (Weight: 25%)</t>
  </si>
  <si>
    <t>HIV/AIDS and sexually transmitted infections
(years lived with disability per 100 000 population, age-standardized)</t>
  </si>
  <si>
    <t>Respiratory infections and tuberculosis
(years lived with disability per 100 000 population, age-standardized)</t>
  </si>
  <si>
    <t>Enteric infections
(years lived with disability per 100 000 population, age-standardized)</t>
  </si>
  <si>
    <t>Neglected tropical diseases and malaria
(years lived with disability per 100 000 population, age-standardized)</t>
  </si>
  <si>
    <t>Other infectious diseases
(years lived with disability per 100 000 population, age-standardized)</t>
  </si>
  <si>
    <t>Neoplasms
(years lived with disability per 100 000 population, age-standardized)</t>
  </si>
  <si>
    <t>Cardiovascular diseases
(years lived with disability per 100 000 population, age-standardized)</t>
  </si>
  <si>
    <t>Chronic respiratory diseases
(years lived with disability per 100 000 population, age-standardized)</t>
  </si>
  <si>
    <t>Digestive diseases
(years lived with disability per 100 000 population, age-standardized)</t>
  </si>
  <si>
    <t>Neurological disorders
(years lived with disability per 100 000 population, age-standardized)</t>
  </si>
  <si>
    <t>Diabetes and kidney diseases
(years lived with disability per 100 000 population, age-standardized)</t>
  </si>
  <si>
    <t>Skin and subcutaneous diseases
(years lived with disability per 100 000 population, age-standardized)</t>
  </si>
  <si>
    <t>Sense organ diseases
(years lived with disability per 100 000 population, age-standardized)</t>
  </si>
  <si>
    <t>Musculoskeletal disorders
(years lived with disability per 100 000 population, age-standardized)</t>
  </si>
  <si>
    <t>Other non-communicable diseases
(years lived with disability per 100 000 population, age-standardized)</t>
  </si>
  <si>
    <t>Suicide rate
(per 100 000 population, all ages)</t>
  </si>
  <si>
    <t>Depressive disorders
(years lived with disability per 100 000 population, age-standardized)</t>
  </si>
  <si>
    <t>Drug use
(years lived with disability per 100 000 population attributable to risk factor, all causes, age-standardized)</t>
  </si>
  <si>
    <t>High Body Mass Index
(years lived with disability per 100 000 population attributable to risk factor, all causes, age-standardized)</t>
  </si>
  <si>
    <t>Smoking
(years lived with disability per 100 000 population attributable to risk factor, all causes, age-standardized)</t>
  </si>
  <si>
    <t>Education (for Prosperity Index)</t>
  </si>
  <si>
    <t>Education Index</t>
  </si>
  <si>
    <t>Rate (Weight: 25%)</t>
  </si>
  <si>
    <t>Quality (Weight: 40%)</t>
  </si>
  <si>
    <t>Adult Skills (Weight: 35%)</t>
  </si>
  <si>
    <t>Expected years of schooling
(years)</t>
  </si>
  <si>
    <t>Harmonized learning outcomes
(primary + secondary, index 300-625)</t>
  </si>
  <si>
    <t>Average quality of higher education institutions
(index: 0 - 0.5)</t>
  </si>
  <si>
    <t>Literacy rate
(%, 15 to 24 aged population)</t>
  </si>
  <si>
    <t>Mean years of schooling</t>
  </si>
  <si>
    <t>Gross graduation ratio from first degree programmes (ISCED 6 and 7) in tertiary education
(%, both sexes)</t>
  </si>
  <si>
    <t>Educational equality
(index 0-4, original scale)</t>
  </si>
  <si>
    <t>latest data, 2024</t>
  </si>
  <si>
    <t>https://hdr.undp.org/system/files/documents/global-report-document/hdr2025reporten.pdf</t>
  </si>
  <si>
    <t>https://ourworldindata.org/grapher/average-harmonized-learning-outcome-scores</t>
  </si>
  <si>
    <t>https://dashboards.sdgindex.org/map/indicators/literacy-rate/values/</t>
  </si>
  <si>
    <t>https://databrowser.uis.unesco.org/view#indicatorPaths=UIS-EducationOPRI%3A0%3AREPR.1.CP%2CUIS-EducationOPRI%3A0%3AGGR.6T7&amp;geoMode=countries&amp;geoUnits=&amp;browsePath=EDUCATION%2FUIS-EducationOPRI%2Fgraduation&amp;timeMode=range&amp;view=table&amp;chartMode=multiple&amp;tableIndicatorId=GGR.6T7&amp;chartIndicatorId=GGR.6T7&amp;chartHighlightSeries=&amp;chartHighlightEnabled=true</t>
  </si>
  <si>
    <t>https://v-dem.net/data_analysis/VariableGraph/</t>
  </si>
  <si>
    <t>REGRESSION</t>
  </si>
  <si>
    <t>MEDIAN PEER GROUP</t>
  </si>
  <si>
    <t>High and Low-Mid Oceania (woAUNZ) Estimated without a median peer group due to a total absence of data.</t>
  </si>
  <si>
    <t>High and Low-Mid Oceania (woAUNZ) United</t>
  </si>
  <si>
    <t>Macao:</t>
  </si>
  <si>
    <t>https://genderdata.worldbank.org/en/indicator/se-sch-life?gender=total</t>
  </si>
  <si>
    <t>Libya:</t>
  </si>
  <si>
    <t>https://www.atiner.gr/events/rt.2023.Zeglam.pdf</t>
  </si>
  <si>
    <t>Taiwan:</t>
  </si>
  <si>
    <t>https://globaldatalab.org/shdi/maps/esch/2023/?levels=4</t>
  </si>
  <si>
    <t>https://covenantswatch.org.tw/wp-content/uploads/2015/12/roc-taiwan-icerd-initial-report-common-core-document.pdf</t>
  </si>
  <si>
    <t>Kosovo:</t>
  </si>
  <si>
    <t>Hong Kong</t>
  </si>
  <si>
    <t>https://www.census2021.gov.hk/doc/pub/21C_Articles_Use_of_Language.pdf</t>
  </si>
  <si>
    <t>Fiji:</t>
  </si>
  <si>
    <t>file:///D:/Users/GAMA/Downloads/FINAL_Fiji_Factsheet_9May2025.pdf</t>
  </si>
  <si>
    <t>Monaco:</t>
  </si>
  <si>
    <t>https://gem-report-2019.unesco.org/wp-content/uploads/2019/01/Monaco-2019_factsheet.pdf</t>
  </si>
  <si>
    <t>Liechtenstein:</t>
  </si>
  <si>
    <t>https://www.aacrao.org/edge/country/liechtenstein/</t>
  </si>
  <si>
    <t>https://www.aacrao.org/edge/country/andorra/</t>
  </si>
  <si>
    <t>Higher Education Institutions Rankings</t>
  </si>
  <si>
    <r>
      <t xml:space="preserve">Total Country Higher Education Institutions </t>
    </r>
    <r>
      <rPr>
        <b/>
        <sz val="8"/>
        <color theme="4" tint="-0.249977111117893"/>
        <rFont val="Calibri"/>
        <family val="2"/>
        <scheme val="minor"/>
      </rPr>
      <t>UNIRANKS</t>
    </r>
  </si>
  <si>
    <t>Final Score</t>
  </si>
  <si>
    <t>1 to 50
(5)</t>
  </si>
  <si>
    <t>51 to 150
(4)</t>
  </si>
  <si>
    <t>151 to 350
(3)</t>
  </si>
  <si>
    <t>351 to 700
(2)</t>
  </si>
  <si>
    <t>701 to 1000
(1)</t>
  </si>
  <si>
    <t>1001 to 3000
(0.25)</t>
  </si>
  <si>
    <r>
      <t xml:space="preserve">Macao SAR, China </t>
    </r>
    <r>
      <rPr>
        <i/>
        <sz val="11"/>
        <color theme="1" tint="0.499984740745262"/>
        <rFont val="Calibri"/>
        <family val="2"/>
        <scheme val="minor"/>
      </rPr>
      <t>(ex: QS Rankings)</t>
    </r>
  </si>
  <si>
    <r>
      <t xml:space="preserve">GLOSSARY:
</t>
    </r>
    <r>
      <rPr>
        <b/>
        <sz val="11"/>
        <color theme="0"/>
        <rFont val="Calibri"/>
        <family val="2"/>
        <scheme val="minor"/>
      </rPr>
      <t xml:space="preserve">Black </t>
    </r>
    <r>
      <rPr>
        <sz val="11"/>
        <color theme="0"/>
        <rFont val="Calibri"/>
        <family val="2"/>
        <scheme val="minor"/>
      </rPr>
      <t xml:space="preserve">: Official data extracted from the global source.
</t>
    </r>
    <r>
      <rPr>
        <b/>
        <sz val="11"/>
        <color theme="0"/>
        <rFont val="Calibri"/>
        <family val="2"/>
        <scheme val="minor"/>
      </rPr>
      <t>Blackᵉˣ</t>
    </r>
    <r>
      <rPr>
        <sz val="11"/>
        <color theme="0"/>
        <rFont val="Calibri"/>
        <family val="2"/>
        <scheme val="minor"/>
      </rPr>
      <t xml:space="preserve"> : Official data extracted from another source.
</t>
    </r>
    <r>
      <rPr>
        <sz val="11"/>
        <color theme="1" tint="0.499984740745262"/>
        <rFont val="Calibri"/>
        <family val="2"/>
        <scheme val="minor"/>
      </rPr>
      <t>Gray</t>
    </r>
    <r>
      <rPr>
        <sz val="11"/>
        <color theme="0"/>
        <rFont val="Calibri"/>
        <family val="2"/>
        <scheme val="minor"/>
      </rPr>
      <t xml:space="preserve"> : Imputed data.
</t>
    </r>
    <r>
      <rPr>
        <b/>
        <sz val="11"/>
        <color theme="0"/>
        <rFont val="Calibri"/>
        <family val="2"/>
        <scheme val="minor"/>
      </rPr>
      <t>Dysfu.</t>
    </r>
    <r>
      <rPr>
        <sz val="11"/>
        <color theme="0"/>
        <rFont val="Calibri"/>
        <family val="2"/>
        <scheme val="minor"/>
      </rPr>
      <t xml:space="preserve"> : Data unavailable due to a dysfunctional economy caused by armed conflicts.
</t>
    </r>
    <r>
      <rPr>
        <b/>
        <sz val="11"/>
        <color theme="0"/>
        <rFont val="Calibri"/>
        <family val="2"/>
        <scheme val="minor"/>
      </rPr>
      <t>Inope.</t>
    </r>
    <r>
      <rPr>
        <sz val="11"/>
        <color theme="0"/>
        <rFont val="Calibri"/>
        <family val="2"/>
        <scheme val="minor"/>
      </rPr>
      <t xml:space="preserve"> : Data unavailable due to an inoperative economy caused by political prohibition.
</t>
    </r>
    <r>
      <rPr>
        <i/>
        <sz val="16"/>
        <color theme="1" tint="0.499984740745262"/>
        <rFont val="Calibri"/>
        <family val="2"/>
        <scheme val="minor"/>
      </rPr>
      <t>by: JoAlBrIn (alkaios.pe)</t>
    </r>
  </si>
  <si>
    <t>Global Prosperity Index:</t>
  </si>
  <si>
    <t>by: JoAlBrIn (alkaios.pe)</t>
  </si>
  <si>
    <r>
      <rPr>
        <b/>
        <i/>
        <sz val="14"/>
        <color theme="1" tint="0.499984740745262"/>
        <rFont val="Calibri"/>
        <family val="2"/>
        <scheme val="minor"/>
      </rPr>
      <t>by: JoAlBrIn (alkaios.pe)</t>
    </r>
    <r>
      <rPr>
        <b/>
        <u/>
        <sz val="10"/>
        <color theme="1"/>
        <rFont val="Calibri"/>
        <family val="2"/>
        <scheme val="minor"/>
      </rPr>
      <t xml:space="preserve">
Weights of the Indicators and Sources
</t>
    </r>
    <r>
      <rPr>
        <u/>
        <sz val="10"/>
        <color theme="7" tint="-0.499984740745262"/>
        <rFont val="Calibri"/>
        <family val="2"/>
        <scheme val="minor"/>
      </rPr>
      <t>2023 Access to electricity:</t>
    </r>
    <r>
      <rPr>
        <b/>
        <sz val="10"/>
        <color theme="1"/>
        <rFont val="Calibri"/>
        <family val="2"/>
        <scheme val="minor"/>
      </rPr>
      <t xml:space="preserve"> </t>
    </r>
    <r>
      <rPr>
        <sz val="10"/>
        <color theme="1"/>
        <rFont val="Calibri"/>
        <family val="2"/>
        <scheme val="minor"/>
      </rPr>
      <t>Weight (1.0)</t>
    </r>
    <r>
      <rPr>
        <b/>
        <u/>
        <sz val="10"/>
        <color theme="1"/>
        <rFont val="Calibri"/>
        <family val="2"/>
        <scheme val="minor"/>
      </rPr>
      <t xml:space="preserve">
</t>
    </r>
    <r>
      <rPr>
        <sz val="10"/>
        <color theme="1"/>
        <rFont val="Calibri"/>
        <family val="2"/>
        <scheme val="minor"/>
      </rPr>
      <t xml:space="preserve">SDG 7.1.1 Electrification Dataset, World Bank (WB). Link: </t>
    </r>
    <r>
      <rPr>
        <sz val="10"/>
        <color theme="8" tint="-0.249977111117893"/>
        <rFont val="Calibri"/>
        <family val="2"/>
        <scheme val="minor"/>
      </rPr>
      <t xml:space="preserve">https://data.worldbank.org/indicator/EG.ELC.ACCS.ZS
</t>
    </r>
    <r>
      <rPr>
        <u/>
        <sz val="10"/>
        <color theme="7" tint="-0.499984740745262"/>
        <rFont val="Calibri"/>
        <family val="2"/>
        <scheme val="minor"/>
      </rPr>
      <t>2024 Access to basic water services:</t>
    </r>
    <r>
      <rPr>
        <sz val="10"/>
        <color theme="8" tint="-0.249977111117893"/>
        <rFont val="Calibri"/>
        <family val="2"/>
        <scheme val="minor"/>
      </rPr>
      <t xml:space="preserve"> </t>
    </r>
    <r>
      <rPr>
        <sz val="10"/>
        <color theme="1"/>
        <rFont val="Calibri"/>
        <family val="2"/>
        <scheme val="minor"/>
      </rPr>
      <t>Weight (1.0)</t>
    </r>
    <r>
      <rPr>
        <sz val="10"/>
        <color theme="8" tint="-0.249977111117893"/>
        <rFont val="Calibri"/>
        <family val="2"/>
        <scheme val="minor"/>
      </rPr>
      <t xml:space="preserve">
</t>
    </r>
    <r>
      <rPr>
        <sz val="10"/>
        <color theme="1"/>
        <rFont val="Calibri"/>
        <family val="2"/>
        <scheme val="minor"/>
      </rPr>
      <t>WHO/UNICEF Joint Monitoring Programme (JMP) for Water Supply, Sanitation and Hygiene, World Health Organization (WHO). Link:</t>
    </r>
    <r>
      <rPr>
        <sz val="10"/>
        <color theme="8" tint="-0.249977111117893"/>
        <rFont val="Calibri"/>
        <family val="2"/>
        <scheme val="minor"/>
      </rPr>
      <t xml:space="preserve"> https://data.worldbank.org/indicator/SH.H2O.BASW.ZS
</t>
    </r>
    <r>
      <rPr>
        <u/>
        <sz val="10"/>
        <color theme="7" tint="-0.499984740745262"/>
        <rFont val="Calibri"/>
        <family val="2"/>
        <scheme val="minor"/>
      </rPr>
      <t>2024 Access to piped water:</t>
    </r>
    <r>
      <rPr>
        <sz val="10"/>
        <color theme="1"/>
        <rFont val="Calibri"/>
        <family val="2"/>
        <scheme val="minor"/>
      </rPr>
      <t xml:space="preserve"> Weight (1.0)
United Nations Children's Fund (UNICEF). Link:</t>
    </r>
    <r>
      <rPr>
        <sz val="10"/>
        <color theme="8" tint="-0.249977111117893"/>
        <rFont val="Calibri"/>
        <family val="2"/>
        <scheme val="minor"/>
      </rPr>
      <t xml:space="preserve"> https://data.unicef.org/topic/water-and-sanitation/drinking-water/
</t>
    </r>
    <r>
      <rPr>
        <u/>
        <sz val="10"/>
        <color theme="7" tint="-0.499984740745262"/>
        <rFont val="Calibri"/>
        <family val="2"/>
        <scheme val="minor"/>
      </rPr>
      <t>2024 Access to basic sanitation services:</t>
    </r>
    <r>
      <rPr>
        <sz val="10"/>
        <color theme="1"/>
        <rFont val="Calibri"/>
        <family val="2"/>
        <scheme val="minor"/>
      </rPr>
      <t xml:space="preserve"> Weight (1.0)
WHO/UNICEF Joint Monitoring Programme (JMP) for Water Supply, Sanitation and Hygiene, World Health Organization (WHO). Link: </t>
    </r>
    <r>
      <rPr>
        <sz val="10"/>
        <color theme="8" tint="-0.249977111117893"/>
        <rFont val="Calibri"/>
        <family val="2"/>
        <scheme val="minor"/>
      </rPr>
      <t xml:space="preserve">https://data.worldbank.org/indicator/SH.STA.BASS.ZS
</t>
    </r>
    <r>
      <rPr>
        <u/>
        <sz val="10"/>
        <color theme="7" tint="-0.499984740745262"/>
        <rFont val="Calibri"/>
        <family val="2"/>
        <scheme val="minor"/>
      </rPr>
      <t>2023 Unsafe water and sanitation:</t>
    </r>
    <r>
      <rPr>
        <sz val="10"/>
        <color theme="1"/>
        <rFont val="Calibri"/>
        <family val="2"/>
        <scheme val="minor"/>
      </rPr>
      <t xml:space="preserve"> Weight (1.0)</t>
    </r>
    <r>
      <rPr>
        <sz val="10"/>
        <color theme="8" tint="-0.249977111117893"/>
        <rFont val="Calibri"/>
        <family val="2"/>
        <scheme val="minor"/>
      </rPr>
      <t xml:space="preserve">
</t>
    </r>
    <r>
      <rPr>
        <u/>
        <sz val="10"/>
        <color theme="1"/>
        <rFont val="Calibri"/>
        <family val="2"/>
        <scheme val="minor"/>
      </rPr>
      <t>2023 Rate of deaths attributed to unsafe water sources:</t>
    </r>
    <r>
      <rPr>
        <sz val="10"/>
        <color theme="1"/>
        <rFont val="Calibri"/>
        <family val="2"/>
        <scheme val="minor"/>
      </rPr>
      <t xml:space="preserve"> Weight (50% for unsafe water and sanitation index)
Institute for Health Metrics and Evaluation (IHME), Global Burden of Disease (2025). Link: </t>
    </r>
    <r>
      <rPr>
        <sz val="10"/>
        <color theme="8" tint="-0.249977111117893"/>
        <rFont val="Calibri"/>
        <family val="2"/>
        <scheme val="minor"/>
      </rPr>
      <t xml:space="preserve">https://ourworldindata.org/grapher/death-rates-from-unsafe-water-sources-gbd
</t>
    </r>
    <r>
      <rPr>
        <u/>
        <sz val="10"/>
        <color theme="1"/>
        <rFont val="Calibri"/>
        <family val="2"/>
        <scheme val="minor"/>
      </rPr>
      <t>2023 Death rate from unsafe sanitation:</t>
    </r>
    <r>
      <rPr>
        <sz val="10"/>
        <color theme="1"/>
        <rFont val="Calibri"/>
        <family val="2"/>
        <scheme val="minor"/>
      </rPr>
      <t xml:space="preserve"> Weight (50% for unsafe water and sanitation index)
Institute for Health Metrics and Evaluation (IHME), Global Burden of Disease (2025). Link: </t>
    </r>
    <r>
      <rPr>
        <sz val="10"/>
        <color theme="8" tint="-0.249977111117893"/>
        <rFont val="Calibri"/>
        <family val="2"/>
        <scheme val="minor"/>
      </rPr>
      <t xml:space="preserve">https://ourworldindata.org/grapher/death-rate-from-unsafe-sanitation
</t>
    </r>
    <r>
      <rPr>
        <sz val="10"/>
        <color theme="1"/>
        <rFont val="Calibri"/>
        <family val="2"/>
        <scheme val="minor"/>
      </rPr>
      <t xml:space="preserve">
</t>
    </r>
    <r>
      <rPr>
        <b/>
        <u/>
        <sz val="10"/>
        <color theme="1"/>
        <rFont val="Calibri"/>
        <family val="2"/>
        <scheme val="minor"/>
      </rPr>
      <t>Temporal Updating Methodology</t>
    </r>
    <r>
      <rPr>
        <sz val="10"/>
        <color theme="1"/>
        <rFont val="Calibri"/>
        <family val="2"/>
        <scheme val="minor"/>
      </rPr>
      <t xml:space="preserve">
Values corresponding to years prior to the 2024 base year were updated through linear extrapolation using an adjusted slope. The structural slope (SS) was calculated as the long-term average growth rate from the earliest acceptable year (2000) to the most recent observed data point. The recent slope (RS) was estimated using the average change over the last five available years.
The final applied slope results from a weighted combination of SS and RS, where the weight assigned to the recent trend decreases linearly according to the temporal distance from the base year (maximum projection horizon: 8 years, 2016–2024). This procedure assumes a gradual increase in uncertainty as the projection period extends.
For indicators approaching saturation levels, projections were smoothed to prevent structurally implausible overestimations.
The following countries did not have 2024 data available and were projected using the standardized extrapolation methodology described above. The year in parentheses indicates the last available observation.
</t>
    </r>
    <r>
      <rPr>
        <u/>
        <sz val="10"/>
        <color theme="7" tint="-0.499984740745262"/>
        <rFont val="Calibri"/>
        <family val="2"/>
        <scheme val="minor"/>
      </rPr>
      <t>Access to basic water services (%):</t>
    </r>
    <r>
      <rPr>
        <sz val="10"/>
        <color theme="7" tint="-0.499984740745262"/>
        <rFont val="Calibri"/>
        <family val="2"/>
        <scheme val="minor"/>
      </rPr>
      <t xml:space="preserve"> </t>
    </r>
    <r>
      <rPr>
        <sz val="10"/>
        <color theme="1"/>
        <rFont val="Calibri"/>
        <family val="2"/>
        <scheme val="minor"/>
      </rPr>
      <t xml:space="preserve">Argentina (2016); Bahamas, The (2019); Congo, Rep. (2021); Equatorial Guinea (2017); Eritrea (2016); Grenada (2017); Korea, Dem. People's Rep. (2023); Micronesia, Fed. Sts. (2020); St. Kitts and Nevis (2017) and St. Vincent and the Grenadines (2018).
</t>
    </r>
    <r>
      <rPr>
        <u/>
        <sz val="10"/>
        <color theme="7" tint="-0.499984740745262"/>
        <rFont val="Calibri"/>
        <family val="2"/>
        <scheme val="minor"/>
      </rPr>
      <t>Access to piped water (%):</t>
    </r>
    <r>
      <rPr>
        <sz val="10"/>
        <color theme="7" tint="-0.499984740745262"/>
        <rFont val="Calibri"/>
        <family val="2"/>
        <scheme val="minor"/>
      </rPr>
      <t xml:space="preserve"> </t>
    </r>
    <r>
      <rPr>
        <sz val="10"/>
        <color theme="1"/>
        <rFont val="Calibri"/>
        <family val="2"/>
        <scheme val="minor"/>
      </rPr>
      <t xml:space="preserve">Argentina (2016); Bahamas, The (2019); Congo, Rep. (2021); Australia (2019); Belize (2022); Bosnia and Herzegovina (2021); Burundi (2023); Equatorial Guinea (2017); Eritrea (2016); Grenada (2017); Italy (2018); Korea, Dem. People's Rep. (2023); Luxembourg (2022); Micronesia, Fed. Sts. (2020); Romania (2018); Saudi Arabia (2023; the 2000 observation was estimated via linear backcasting based on the trend observed between 2015—the first available year—and 2023); Slovak Republic (2018); St. Kitts and Nevis (2017); St. Vincent and the Grenadines (2018); United Arab Emirates (2022; the 2000 observation was estimated via linear backcasting based on the trend observed between 2014—the first available year—and 2022); United States (2021; the 2000 observation was estimated via linear backcasting based on the trend observed between 2005—the first available year—and 2010) and Zimbabwe (2021; 2024 value derived via linear extrapolation based on the 2013–2021 observed trend, given the insufficiency of earlier consistent observations).
</t>
    </r>
    <r>
      <rPr>
        <u/>
        <sz val="10"/>
        <color theme="7" tint="-0.499984740745262"/>
        <rFont val="Calibri"/>
        <family val="2"/>
        <scheme val="minor"/>
      </rPr>
      <t>Access to basic sanitation services (%):</t>
    </r>
    <r>
      <rPr>
        <sz val="10"/>
        <color theme="1"/>
        <rFont val="Calibri"/>
        <family val="2"/>
        <scheme val="minor"/>
      </rPr>
      <t xml:space="preserve"> Angola (2022); Argentina (2016); Bahamas, The (2019); Bosnia and Herzegovina (2018); Congo, Rep. (2021); Croatia (2021); Djibouti (2023); Dominica (2017); Equatorial Guinea (2017); Eritrea (2016); Korea, Dem. People's Rep. (2023; the 2000 observation was estimated via linear backcasting based on the trend observed between 2002—the first available year—and 2004); Micronesia, Fed. Sts. (2020); St. Kitts and Nevis (2017); St. Lucia (2022); St. Vincent and the Grenadines (2018) and Tajikistan (2023).
</t>
    </r>
    <r>
      <rPr>
        <b/>
        <u/>
        <sz val="10"/>
        <color theme="1"/>
        <rFont val="Calibri"/>
        <family val="2"/>
        <scheme val="minor"/>
      </rPr>
      <t>Regression-Based Imputation for Fully Missing Countries</t>
    </r>
    <r>
      <rPr>
        <sz val="10"/>
        <color theme="1"/>
        <rFont val="Calibri"/>
        <family val="2"/>
        <scheme val="minor"/>
      </rPr>
      <t xml:space="preserve">
For countries with completely unavailable data for this indicator, values are estimated using an Ordinary Least Squares (OLS) regression model based on structural development determinants. This approach ensures methodological consistency, objectivity, and reproducibility across all cases.
</t>
    </r>
    <r>
      <rPr>
        <u/>
        <sz val="10"/>
        <color theme="7" tint="-0.499984740745262"/>
        <rFont val="Calibri"/>
        <family val="2"/>
        <scheme val="minor"/>
      </rPr>
      <t>Model Specification:</t>
    </r>
    <r>
      <rPr>
        <sz val="10"/>
        <color theme="1"/>
        <rFont val="Calibri"/>
        <family val="2"/>
        <scheme val="minor"/>
      </rPr>
      <t xml:space="preserve">
Imputation is conducted using the following model:
</t>
    </r>
    <r>
      <rPr>
        <sz val="10"/>
        <color theme="9" tint="-0.249977111117893"/>
        <rFont val="Calibri"/>
        <family val="2"/>
        <scheme val="minor"/>
      </rPr>
      <t>Yᵢ​ = β₀​ + β₁*​HDIᵢ + β₂​*GDPpcᵢ</t>
    </r>
    <r>
      <rPr>
        <sz val="10"/>
        <color theme="1"/>
        <rFont val="Calibri"/>
        <family val="2"/>
        <scheme val="minor"/>
      </rPr>
      <t xml:space="preserve">
Human Development Index (HDI) and Gross Domestic Product (GDP) per capita adjusted for Purchasing Power Parity (PPP) are selected as structural predictors reflecting overall socioeconomic development capacity. Estimated coefficients are subsequently applied to countries with missing data to generate predicted values.
</t>
    </r>
    <r>
      <rPr>
        <u/>
        <sz val="10"/>
        <color theme="7" tint="-0.499984740745262"/>
        <rFont val="Calibri"/>
        <family val="2"/>
        <scheme val="minor"/>
      </rPr>
      <t xml:space="preserve">Peer Group Definition:
</t>
    </r>
    <r>
      <rPr>
        <sz val="10"/>
        <color theme="1"/>
        <rFont val="Calibri"/>
        <family val="2"/>
        <scheme val="minor"/>
      </rPr>
      <t xml:space="preserve">Before estimation, a peer group is defined using a two-step filtering procedure:
- Countries belonging to the same World Bank (WB) income classification.
- Countries belonging to the same Sustainable Development Goals (SDG) regional grouping.
</t>
    </r>
    <r>
      <rPr>
        <u/>
        <sz val="10"/>
        <color theme="7" tint="-0.499984740745262"/>
        <rFont val="Calibri"/>
        <family val="2"/>
        <scheme val="minor"/>
      </rPr>
      <t>Minimum Sample Requirement:</t>
    </r>
    <r>
      <rPr>
        <sz val="10"/>
        <color theme="1"/>
        <rFont val="Calibri"/>
        <family val="2"/>
        <scheme val="minor"/>
      </rPr>
      <t xml:space="preserve">
To ensure statistical stability and avoid underidentified models, the following rule is applied:
- If the filtered peer group contains six (6) or more countries with available data, the regression is estimated using that group.
- If the filtered peer group contains fewer than six countries, the regional filter is removed and the regression is estimated using only the full World Bank income group.
This rule ensures an adequate number of degrees of freedom and prevents unstable coefficient estimation.
</t>
    </r>
    <r>
      <rPr>
        <b/>
        <u/>
        <sz val="10"/>
        <color theme="1"/>
        <rFont val="Calibri"/>
        <family val="2"/>
        <scheme val="minor"/>
      </rPr>
      <t>Plausibility Constraints</t>
    </r>
    <r>
      <rPr>
        <sz val="10"/>
        <color theme="1"/>
        <rFont val="Calibri"/>
        <family val="2"/>
        <scheme val="minor"/>
      </rPr>
      <t xml:space="preserve">
For indicators with theoretical bounds (e.g., percentages ranging from 0 to 100), predicted values that fall outside the admissible range are truncated to the nearest logical boundary to maintain conceptual coherence.
</t>
    </r>
    <r>
      <rPr>
        <u/>
        <sz val="10"/>
        <color theme="7" tint="-0.499984740745262"/>
        <rFont val="Calibri"/>
        <family val="2"/>
        <scheme val="minor"/>
      </rPr>
      <t>Data Identification and Transparency:</t>
    </r>
    <r>
      <rPr>
        <sz val="10"/>
        <color theme="1"/>
        <rFont val="Calibri"/>
        <family val="2"/>
        <scheme val="minor"/>
      </rPr>
      <t xml:space="preserve">
Imputed values are visually distinguished in the dataset and presented in </t>
    </r>
    <r>
      <rPr>
        <b/>
        <sz val="10"/>
        <color theme="1" tint="0.499984740745262"/>
        <rFont val="Calibri"/>
        <family val="2"/>
        <scheme val="minor"/>
      </rPr>
      <t>grey</t>
    </r>
    <r>
      <rPr>
        <sz val="10"/>
        <color theme="1"/>
        <rFont val="Calibri"/>
        <family val="2"/>
        <scheme val="minor"/>
      </rPr>
      <t xml:space="preserve"> font to ensure transparency and allow clear differentiation from officially reported data.
</t>
    </r>
    <r>
      <rPr>
        <u/>
        <sz val="10"/>
        <color theme="7" tint="-0.499984740745262"/>
        <rFont val="Calibri"/>
        <family val="2"/>
        <scheme val="minor"/>
      </rPr>
      <t>Methodological Principles:</t>
    </r>
    <r>
      <rPr>
        <sz val="10"/>
        <color theme="1"/>
        <rFont val="Calibri"/>
        <family val="2"/>
        <scheme val="minor"/>
      </rPr>
      <t xml:space="preserve">
The extrapolation and imputation procedure is guided by the following principles:
Uniform application across all countries
No discretionary, country-specific adjustments
Exclusive use of structural development determinants
Predefined and transparent sample selection rules
Full methodological reproducibility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</si>
</sst>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0">
    <numFmt numFmtId="164" formatCode="0.0"/>
    <numFmt numFmtId="165" formatCode="0.000"/>
    <numFmt numFmtId="166" formatCode="[=2.5]&quot;Dysfu.&quot;;General"/>
    <numFmt numFmtId="167" formatCode="[=90.4375]&quot;90.4ᵉˣ&quot;;General"/>
    <numFmt numFmtId="168" formatCode="[=3]&quot;3.00ᵉˣ&quot;;General"/>
    <numFmt numFmtId="169" formatCode="[=91.3224655518079]&quot;91.3ᵉˣ&quot;;General"/>
    <numFmt numFmtId="170" formatCode="[=3.08]&quot;3.08ᵉˣ&quot;;General"/>
    <numFmt numFmtId="171" formatCode="[=11.2]&quot;11.20ᵉˣ&quot;;General"/>
    <numFmt numFmtId="172" formatCode="[=77.5735860172478]&quot;77.6ᵉˣ&quot;;General"/>
    <numFmt numFmtId="173" formatCode="[=0]&quot;Inope.&quot;;General"/>
    <numFmt numFmtId="174" formatCode="[=11]&quot;11.00ᵉˣ&quot;;General"/>
    <numFmt numFmtId="175" formatCode="[=11.4]&quot;11.40ᵉˣ&quot;;General"/>
    <numFmt numFmtId="176" formatCode="[=10.53]&quot;10.53ᵉˣ&quot;;General"/>
    <numFmt numFmtId="177" formatCode="[=96.533037504496]&quot;96.5ᵉˣ&quot;;General"/>
    <numFmt numFmtId="178" formatCode="[=91.19]&quot;91.2ᵉˣ&quot;;General"/>
    <numFmt numFmtId="179" formatCode="[=13.8]&quot;13.80ᵉˣ&quot;;General"/>
    <numFmt numFmtId="180" formatCode="[=96.39]&quot;96.4ᵉˣ&quot;;General"/>
    <numFmt numFmtId="181" formatCode="[=95.131136]&quot;95.1ᵉˣ&quot;;General"/>
    <numFmt numFmtId="182" formatCode="[=88.9457809773832]&quot;88.9ᵉˣ&quot;;General"/>
    <numFmt numFmtId="183" formatCode="[=2.14]&quot;2.14ᵉˣ&quot;;General"/>
    <numFmt numFmtId="184" formatCode="[=3.42]&quot;3.42ᵉˣ&quot;;General"/>
    <numFmt numFmtId="185" formatCode="[=81.766872304559]&quot;81.8ᵉˣ&quot;;General"/>
    <numFmt numFmtId="186" formatCode="[=1.5]&quot;1.50ᵉˣ&quot;;General"/>
    <numFmt numFmtId="187" formatCode="[=86.662951]&quot;86.7ᵉˣ&quot;;General"/>
    <numFmt numFmtId="188" formatCode="[=86.7883849349859]&quot;86.8ᵉˣ&quot;;General"/>
    <numFmt numFmtId="189" formatCode="[=2]&quot;2.00ᵉˣ&quot;;General"/>
    <numFmt numFmtId="190" formatCode="[=97.447649254616]&quot;97.4ᵉˣ&quot;;General"/>
    <numFmt numFmtId="191" formatCode="[=2.75]&quot;2.75ᵉˣ&quot;;General"/>
    <numFmt numFmtId="192" formatCode="[=12.8]&quot;12.8ᵉˣ&quot;;General"/>
    <numFmt numFmtId="193" formatCode="[=2.19458444878991]&quot;2.19ᵉˣ&quot;;General"/>
    <numFmt numFmtId="194" formatCode="[=1]&quot;Inope.&quot;;General"/>
    <numFmt numFmtId="195" formatCode="[=60]&quot;Dysfu.&quot;;General"/>
    <numFmt numFmtId="196" formatCode="[=65]&quot;Inope.&quot;;General"/>
    <numFmt numFmtId="197" formatCode="[=1.4]&quot;1.40ᵉˣ&quot;;General"/>
    <numFmt numFmtId="198" formatCode="[=13.04]&quot;13.04ᵉˣ&quot;;General"/>
    <numFmt numFmtId="199" formatCode="[=16.2]&quot;16.20ᵉˣ&quot;;General"/>
    <numFmt numFmtId="200" formatCode="[=5]&quot;5.00ᵉˣ&quot;;General"/>
    <numFmt numFmtId="201" formatCode="[=4.99]&quot;4.99ᵉˣ&quot;;General"/>
    <numFmt numFmtId="202" formatCode="[=0]&quot;0.0ᵉˣ&quot;;General"/>
    <numFmt numFmtId="203" formatCode="[=119]&quot;119.0ᵉˣ&quot;;General"/>
    <numFmt numFmtId="204" formatCode="[=164]&quot;164.0ᵉˣ&quot;;General"/>
    <numFmt numFmtId="205" formatCode="[=83]&quot;83.0ᵉˣ&quot;;General"/>
    <numFmt numFmtId="206" formatCode="[=71.2]&quot;71.2ᵉˣ&quot;;General"/>
    <numFmt numFmtId="207" formatCode="[=8.9]&quot;8.9ᵉˣ&quot;;General"/>
    <numFmt numFmtId="208" formatCode="[=30]&quot;30.0ᵉˣ&quot;;General"/>
    <numFmt numFmtId="209" formatCode="[=2.48499582736139]&quot;2.48ᵉˣ&quot;;General"/>
    <numFmt numFmtId="210" formatCode="0.000000"/>
    <numFmt numFmtId="211" formatCode="0.0000"/>
    <numFmt numFmtId="212" formatCode="0.0%"/>
    <numFmt numFmtId="213" formatCode="[=13.5]&quot;13.50ᵉˣ&quot;;General"/>
    <numFmt numFmtId="214" formatCode="[=2.28]&quot;2.28ᵉˣ&quot;;General"/>
    <numFmt numFmtId="215" formatCode="[=2.51]&quot;2.51ᵉˣ&quot;;General"/>
    <numFmt numFmtId="216" formatCode="[=12.9]&quot;12.90ᵉˣ&quot;;General"/>
    <numFmt numFmtId="217" formatCode="[=100]&quot;100.00ᵉˣ&quot;;General"/>
    <numFmt numFmtId="218" formatCode="[=98]&quot;98.00ᵉˣ&quot;;General"/>
    <numFmt numFmtId="219" formatCode="[=99.99]&quot;99.99ᵉˣ&quot;;General"/>
    <numFmt numFmtId="220" formatCode="[=13.68]&quot;13.68ᵉˣ&quot;;General"/>
    <numFmt numFmtId="221" formatCode="[=99.955]&quot;99.96ᵉˣ&quot;;General"/>
    <numFmt numFmtId="222" formatCode="[=17.5]&quot;17.50ᵉˣ&quot;;General"/>
    <numFmt numFmtId="223" formatCode="[=16.8]&quot;16.80ᵉˣ&quot;;General"/>
  </numFmts>
  <fonts count="118"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4"/>
      <color theme="0"/>
      <name val="Calibri"/>
      <family val="2"/>
      <scheme val="minor"/>
    </font>
    <font>
      <b/>
      <sz val="11"/>
      <color rgb="FF9933FF"/>
      <name val="Calibri"/>
      <family val="2"/>
      <scheme val="minor"/>
    </font>
    <font>
      <b/>
      <sz val="12"/>
      <color rgb="FFFFC000"/>
      <name val="Calibri"/>
      <family val="2"/>
      <scheme val="minor"/>
    </font>
    <font>
      <b/>
      <sz val="12"/>
      <color rgb="FF0066FF"/>
      <name val="Calibri"/>
      <family val="2"/>
      <scheme val="minor"/>
    </font>
    <font>
      <b/>
      <sz val="10"/>
      <color theme="0"/>
      <name val="Calibri"/>
      <family val="2"/>
    </font>
    <font>
      <b/>
      <sz val="10"/>
      <color theme="1" tint="0.499984740745262"/>
      <name val="Calibri"/>
      <family val="2"/>
    </font>
    <font>
      <b/>
      <sz val="12"/>
      <color theme="0"/>
      <name val="Calibri"/>
      <family val="2"/>
      <scheme val="minor"/>
    </font>
    <font>
      <b/>
      <sz val="10"/>
      <color theme="0"/>
      <name val="Calibri"/>
      <family val="2"/>
      <scheme val="minor"/>
    </font>
    <font>
      <b/>
      <sz val="10"/>
      <color theme="1" tint="0.499984740745262"/>
      <name val="Calibri"/>
      <family val="2"/>
      <scheme val="minor"/>
    </font>
    <font>
      <sz val="11"/>
      <color theme="7" tint="-0.499984740745262"/>
      <name val="Calibri"/>
      <family val="2"/>
      <scheme val="minor"/>
    </font>
    <font>
      <sz val="11"/>
      <color rgb="FFFFE699"/>
      <name val="Calibri"/>
      <family val="2"/>
      <scheme val="minor"/>
    </font>
    <font>
      <b/>
      <sz val="10"/>
      <color theme="1"/>
      <name val="Calibri"/>
      <family val="2"/>
    </font>
    <font>
      <b/>
      <sz val="10"/>
      <color theme="1"/>
      <name val="Calibri"/>
      <family val="2"/>
      <scheme val="minor"/>
    </font>
    <font>
      <sz val="11"/>
      <color theme="8" tint="-0.499984740745262"/>
      <name val="Calibri"/>
      <family val="2"/>
      <scheme val="minor"/>
    </font>
    <font>
      <sz val="11"/>
      <color rgb="FFD9E1F2"/>
      <name val="Calibri"/>
      <family val="2"/>
      <scheme val="minor"/>
    </font>
    <font>
      <sz val="11"/>
      <color rgb="FFC63912"/>
      <name val="Calibri"/>
      <family val="2"/>
      <scheme val="minor"/>
    </font>
    <font>
      <sz val="11"/>
      <color rgb="FFFF7C80"/>
      <name val="Calibri"/>
      <family val="2"/>
      <scheme val="minor"/>
    </font>
    <font>
      <sz val="11"/>
      <color rgb="FF8EA9DB"/>
      <name val="Calibri"/>
      <family val="2"/>
      <scheme val="minor"/>
    </font>
    <font>
      <sz val="11"/>
      <color rgb="FFFF81A8"/>
      <name val="Calibri"/>
      <family val="2"/>
      <scheme val="minor"/>
    </font>
    <font>
      <sz val="11"/>
      <color theme="1" tint="0.34998626667073579"/>
      <name val="Calibri"/>
      <family val="2"/>
      <scheme val="minor"/>
    </font>
    <font>
      <sz val="11"/>
      <color theme="9" tint="-0.249977111117893"/>
      <name val="Calibri"/>
      <family val="2"/>
      <scheme val="minor"/>
    </font>
    <font>
      <sz val="11"/>
      <color rgb="FFD2E6C4"/>
      <name val="Calibri"/>
      <family val="2"/>
      <scheme val="minor"/>
    </font>
    <font>
      <sz val="11"/>
      <color theme="9" tint="0.39997558519241921"/>
      <name val="Calibri"/>
      <family val="2"/>
      <scheme val="minor"/>
    </font>
    <font>
      <sz val="11"/>
      <color rgb="FF007FAC"/>
      <name val="Calibri"/>
      <family val="2"/>
      <scheme val="minor"/>
    </font>
    <font>
      <sz val="11"/>
      <color rgb="FFABE9FF"/>
      <name val="Calibri"/>
      <family val="2"/>
      <scheme val="minor"/>
    </font>
    <font>
      <sz val="11"/>
      <color rgb="FFFFD399"/>
      <name val="Calibri"/>
      <family val="2"/>
      <scheme val="minor"/>
    </font>
    <font>
      <sz val="11"/>
      <color rgb="FFFF957D"/>
      <name val="Calibri"/>
      <family val="2"/>
      <scheme val="minor"/>
    </font>
    <font>
      <sz val="11"/>
      <color rgb="FFFFFF99"/>
      <name val="Calibri"/>
      <family val="2"/>
      <scheme val="minor"/>
    </font>
    <font>
      <sz val="11"/>
      <color rgb="FF92D050"/>
      <name val="Calibri"/>
      <family val="2"/>
      <scheme val="minor"/>
    </font>
    <font>
      <sz val="11"/>
      <color rgb="FFAFFFFB"/>
      <name val="Calibri"/>
      <family val="2"/>
      <scheme val="minor"/>
    </font>
    <font>
      <sz val="11"/>
      <color rgb="FFFEFFCD"/>
      <name val="Calibri"/>
      <family val="2"/>
      <scheme val="minor"/>
    </font>
    <font>
      <sz val="11"/>
      <color rgb="FFB4F6E2"/>
      <name val="Calibri"/>
      <family val="2"/>
      <scheme val="minor"/>
    </font>
    <font>
      <sz val="10"/>
      <color theme="1"/>
      <name val="Calibri"/>
      <family val="2"/>
      <scheme val="minor"/>
    </font>
    <font>
      <sz val="11"/>
      <color theme="1" tint="0.499984740745262"/>
      <name val="Calibri"/>
      <family val="2"/>
      <scheme val="minor"/>
    </font>
    <font>
      <b/>
      <sz val="12"/>
      <color rgb="FF9933FF"/>
      <name val="Calibri"/>
      <family val="2"/>
      <scheme val="minor"/>
    </font>
    <font>
      <sz val="10"/>
      <color theme="1" tint="0.499984740745262"/>
      <name val="Calibri"/>
      <family val="2"/>
      <scheme val="minor"/>
    </font>
    <font>
      <b/>
      <sz val="11"/>
      <color rgb="FFFFC000"/>
      <name val="Calibri"/>
      <family val="2"/>
      <scheme val="minor"/>
    </font>
    <font>
      <b/>
      <sz val="11"/>
      <color rgb="FF0066FF"/>
      <name val="Calibri"/>
      <family val="2"/>
      <scheme val="minor"/>
    </font>
    <font>
      <b/>
      <sz val="11"/>
      <color rgb="FF0066FF"/>
      <name val="Calibri"/>
      <family val="2"/>
    </font>
    <font>
      <b/>
      <sz val="12"/>
      <color rgb="FF00FF00"/>
      <name val="Calibri"/>
      <family val="2"/>
      <scheme val="minor"/>
    </font>
    <font>
      <b/>
      <sz val="16"/>
      <color rgb="FF9933FF"/>
      <name val="Calibri"/>
      <family val="2"/>
      <scheme val="minor"/>
    </font>
    <font>
      <b/>
      <sz val="16"/>
      <color rgb="FFFFC000"/>
      <name val="Calibri"/>
      <family val="2"/>
      <scheme val="minor"/>
    </font>
    <font>
      <b/>
      <sz val="16"/>
      <color rgb="FF0066FF"/>
      <name val="Calibri"/>
      <family val="2"/>
      <scheme val="minor"/>
    </font>
    <font>
      <b/>
      <sz val="11"/>
      <color rgb="FF00FF00"/>
      <name val="Calibri"/>
      <family val="2"/>
      <scheme val="minor"/>
    </font>
    <font>
      <b/>
      <sz val="11"/>
      <color rgb="FF00FF00"/>
      <name val="Calibri"/>
      <family val="2"/>
    </font>
    <font>
      <b/>
      <sz val="16"/>
      <color rgb="FF00FF00"/>
      <name val="Calibri"/>
      <family val="2"/>
      <scheme val="minor"/>
    </font>
    <font>
      <sz val="10"/>
      <color theme="0"/>
      <name val="Calibri"/>
      <family val="2"/>
      <scheme val="minor"/>
    </font>
    <font>
      <sz val="10"/>
      <color theme="1"/>
      <name val="Calibri"/>
      <family val="2"/>
    </font>
    <font>
      <sz val="10"/>
      <color theme="1" tint="0.499984740745262"/>
      <name val="Calibri"/>
      <family val="2"/>
    </font>
    <font>
      <u/>
      <sz val="10"/>
      <color theme="1"/>
      <name val="Calibri"/>
      <family val="2"/>
      <scheme val="minor"/>
    </font>
    <font>
      <sz val="10"/>
      <color rgb="FFFE6D00"/>
      <name val="Calibri"/>
      <family val="2"/>
      <scheme val="minor"/>
    </font>
    <font>
      <sz val="10"/>
      <color rgb="FF0070C0"/>
      <name val="Calibri"/>
      <family val="2"/>
      <scheme val="minor"/>
    </font>
    <font>
      <sz val="10"/>
      <color rgb="FFFFC000"/>
      <name val="Calibri"/>
      <family val="2"/>
      <scheme val="minor"/>
    </font>
    <font>
      <sz val="10"/>
      <color rgb="FFFF0066"/>
      <name val="Calibri"/>
      <family val="2"/>
      <scheme val="minor"/>
    </font>
    <font>
      <sz val="10"/>
      <color rgb="FF00B0F0"/>
      <name val="Calibri"/>
      <family val="2"/>
      <scheme val="minor"/>
    </font>
    <font>
      <sz val="10"/>
      <color rgb="FFFF0000"/>
      <name val="Calibri"/>
      <family val="2"/>
      <scheme val="minor"/>
    </font>
    <font>
      <sz val="10"/>
      <color rgb="FF00B050"/>
      <name val="Calibri"/>
      <family val="2"/>
      <scheme val="minor"/>
    </font>
    <font>
      <sz val="10"/>
      <color rgb="FFC00000"/>
      <name val="Calibri"/>
      <family val="2"/>
      <scheme val="minor"/>
    </font>
    <font>
      <sz val="10"/>
      <color rgb="FF00965D"/>
      <name val="Calibri"/>
      <family val="2"/>
      <scheme val="minor"/>
    </font>
    <font>
      <sz val="10"/>
      <color rgb="FF002060"/>
      <name val="Calibri"/>
      <family val="2"/>
      <scheme val="minor"/>
    </font>
    <font>
      <sz val="10"/>
      <color rgb="FF200060"/>
      <name val="Calibri"/>
      <family val="2"/>
      <scheme val="minor"/>
    </font>
    <font>
      <sz val="10"/>
      <color rgb="FF005D7E"/>
      <name val="Calibri"/>
      <family val="2"/>
      <scheme val="minor"/>
    </font>
    <font>
      <sz val="8"/>
      <color theme="1"/>
      <name val="Calibri"/>
      <family val="2"/>
      <scheme val="minor"/>
    </font>
    <font>
      <sz val="8"/>
      <color theme="0"/>
      <name val="Calibri"/>
      <family val="2"/>
      <scheme val="minor"/>
    </font>
    <font>
      <sz val="10"/>
      <color theme="0"/>
      <name val="Calibri"/>
      <family val="2"/>
    </font>
    <font>
      <b/>
      <sz val="10"/>
      <color theme="0" tint="-0.249977111117893"/>
      <name val="Calibri"/>
      <family val="2"/>
    </font>
    <font>
      <b/>
      <sz val="11"/>
      <color theme="1"/>
      <name val="Calibri"/>
      <family val="2"/>
    </font>
    <font>
      <i/>
      <sz val="16"/>
      <color theme="1" tint="0.499984740745262"/>
      <name val="Calibri"/>
      <family val="2"/>
      <scheme val="minor"/>
    </font>
    <font>
      <sz val="11"/>
      <color theme="1"/>
      <name val="Calibri"/>
      <family val="2"/>
      <scheme val="minor"/>
    </font>
    <font>
      <b/>
      <sz val="11"/>
      <color theme="0"/>
      <name val="Calibri"/>
      <family val="2"/>
    </font>
    <font>
      <sz val="9"/>
      <color theme="0"/>
      <name val="Calibri"/>
      <family val="2"/>
    </font>
    <font>
      <sz val="9"/>
      <color theme="0"/>
      <name val="Calibri"/>
      <family val="2"/>
      <scheme val="minor"/>
    </font>
    <font>
      <sz val="9"/>
      <color theme="1" tint="0.499984740745262"/>
      <name val="Calibri"/>
      <family val="2"/>
    </font>
    <font>
      <sz val="8"/>
      <color theme="1" tint="0.499984740745262"/>
      <name val="Calibri"/>
      <family val="2"/>
    </font>
    <font>
      <sz val="8"/>
      <color theme="1" tint="0.499984740745262"/>
      <name val="Calibri"/>
      <family val="2"/>
      <scheme val="minor"/>
    </font>
    <font>
      <sz val="10"/>
      <color theme="7" tint="-0.499984740745262"/>
      <name val="Calibri"/>
      <family val="2"/>
      <scheme val="minor"/>
    </font>
    <font>
      <sz val="10"/>
      <color rgb="FFFFE699"/>
      <name val="Calibri"/>
      <family val="2"/>
      <scheme val="minor"/>
    </font>
    <font>
      <sz val="10"/>
      <color theme="8" tint="-0.499984740745262"/>
      <name val="Calibri"/>
      <family val="2"/>
      <scheme val="minor"/>
    </font>
    <font>
      <sz val="10"/>
      <color rgb="FFD9E1F2"/>
      <name val="Calibri"/>
      <family val="2"/>
      <scheme val="minor"/>
    </font>
    <font>
      <sz val="10"/>
      <color rgb="FFC63912"/>
      <name val="Calibri"/>
      <family val="2"/>
      <scheme val="minor"/>
    </font>
    <font>
      <sz val="10"/>
      <color rgb="FFFF7C80"/>
      <name val="Calibri"/>
      <family val="2"/>
      <scheme val="minor"/>
    </font>
    <font>
      <sz val="10"/>
      <color rgb="FF8EA9DB"/>
      <name val="Calibri"/>
      <family val="2"/>
      <scheme val="minor"/>
    </font>
    <font>
      <sz val="10"/>
      <color rgb="FFFF81A8"/>
      <name val="Calibri"/>
      <family val="2"/>
      <scheme val="minor"/>
    </font>
    <font>
      <sz val="10"/>
      <color theme="9" tint="-0.249977111117893"/>
      <name val="Calibri"/>
      <family val="2"/>
      <scheme val="minor"/>
    </font>
    <font>
      <sz val="10"/>
      <color rgb="FFD2E6C4"/>
      <name val="Calibri"/>
      <family val="2"/>
      <scheme val="minor"/>
    </font>
    <font>
      <sz val="10"/>
      <color theme="9" tint="0.39997558519241921"/>
      <name val="Calibri"/>
      <family val="2"/>
      <scheme val="minor"/>
    </font>
    <font>
      <sz val="10"/>
      <color rgb="FF007FAC"/>
      <name val="Calibri"/>
      <family val="2"/>
      <scheme val="minor"/>
    </font>
    <font>
      <sz val="10"/>
      <color rgb="FFABE9FF"/>
      <name val="Calibri"/>
      <family val="2"/>
      <scheme val="minor"/>
    </font>
    <font>
      <sz val="10"/>
      <color rgb="FFFFD399"/>
      <name val="Calibri"/>
      <family val="2"/>
      <scheme val="minor"/>
    </font>
    <font>
      <sz val="10"/>
      <color rgb="FFFF957D"/>
      <name val="Calibri"/>
      <family val="2"/>
      <scheme val="minor"/>
    </font>
    <font>
      <sz val="10"/>
      <color rgb="FFFFFF99"/>
      <name val="Calibri"/>
      <family val="2"/>
      <scheme val="minor"/>
    </font>
    <font>
      <sz val="10"/>
      <color rgb="FF92D050"/>
      <name val="Calibri"/>
      <family val="2"/>
      <scheme val="minor"/>
    </font>
    <font>
      <sz val="10"/>
      <color rgb="FFAFFFFB"/>
      <name val="Calibri"/>
      <family val="2"/>
      <scheme val="minor"/>
    </font>
    <font>
      <sz val="10"/>
      <color rgb="FFFEFFCD"/>
      <name val="Calibri"/>
      <family val="2"/>
      <scheme val="minor"/>
    </font>
    <font>
      <sz val="10"/>
      <color rgb="FFB4F6E2"/>
      <name val="Calibri"/>
      <family val="2"/>
      <scheme val="minor"/>
    </font>
    <font>
      <b/>
      <sz val="9"/>
      <color theme="1"/>
      <name val="Calibri"/>
      <family val="2"/>
      <scheme val="minor"/>
    </font>
    <font>
      <b/>
      <sz val="12"/>
      <color theme="1"/>
      <name val="Calibri"/>
      <family val="2"/>
      <scheme val="minor"/>
    </font>
    <font>
      <sz val="9"/>
      <color theme="1"/>
      <name val="Calibri"/>
      <family val="2"/>
      <scheme val="minor"/>
    </font>
    <font>
      <b/>
      <u/>
      <sz val="10"/>
      <color theme="1"/>
      <name val="Calibri"/>
      <family val="2"/>
      <scheme val="minor"/>
    </font>
    <font>
      <u/>
      <sz val="10"/>
      <color theme="7" tint="-0.499984740745262"/>
      <name val="Calibri"/>
      <family val="2"/>
      <scheme val="minor"/>
    </font>
    <font>
      <sz val="10"/>
      <color theme="8" tint="-0.249977111117893"/>
      <name val="Calibri"/>
      <family val="2"/>
      <scheme val="minor"/>
    </font>
    <font>
      <b/>
      <sz val="14"/>
      <color theme="1"/>
      <name val="Calibri"/>
      <family val="2"/>
      <scheme val="minor"/>
    </font>
    <font>
      <sz val="7"/>
      <color theme="1"/>
      <name val="Calibri"/>
      <family val="2"/>
      <scheme val="minor"/>
    </font>
    <font>
      <sz val="8"/>
      <color theme="7" tint="0.79998168889431442"/>
      <name val="Calibri"/>
      <family val="2"/>
      <scheme val="minor"/>
    </font>
    <font>
      <sz val="9"/>
      <color theme="1" tint="0.499984740745262"/>
      <name val="Calibri"/>
      <family val="2"/>
      <scheme val="minor"/>
    </font>
    <font>
      <u/>
      <sz val="11"/>
      <color theme="1"/>
      <name val="Calibri"/>
      <family val="2"/>
      <scheme val="minor"/>
    </font>
    <font>
      <b/>
      <sz val="8"/>
      <color theme="0"/>
      <name val="Calibri"/>
      <family val="2"/>
      <scheme val="minor"/>
    </font>
    <font>
      <b/>
      <sz val="8"/>
      <color theme="4" tint="-0.249977111117893"/>
      <name val="Calibri"/>
      <family val="2"/>
      <scheme val="minor"/>
    </font>
    <font>
      <sz val="12"/>
      <color theme="0"/>
      <name val="Calibri"/>
      <family val="2"/>
      <scheme val="minor"/>
    </font>
    <font>
      <i/>
      <sz val="11"/>
      <color theme="1" tint="0.499984740745262"/>
      <name val="Calibri"/>
      <family val="2"/>
      <scheme val="minor"/>
    </font>
    <font>
      <i/>
      <sz val="11"/>
      <color theme="0"/>
      <name val="Calibri"/>
      <family val="2"/>
      <scheme val="minor"/>
    </font>
    <font>
      <b/>
      <i/>
      <sz val="14"/>
      <color theme="1" tint="0.499984740745262"/>
      <name val="Calibri"/>
      <family val="2"/>
      <scheme val="minor"/>
    </font>
    <font>
      <b/>
      <i/>
      <sz val="16"/>
      <color theme="1" tint="0.499984740745262"/>
      <name val="Calibri"/>
      <family val="2"/>
      <scheme val="minor"/>
    </font>
  </fonts>
  <fills count="62">
    <fill>
      <patternFill patternType="none"/>
    </fill>
    <fill>
      <patternFill patternType="gray125"/>
    </fill>
    <fill>
      <patternFill patternType="solid">
        <fgColor theme="1"/>
        <bgColor indexed="64"/>
      </patternFill>
    </fill>
    <fill>
      <patternFill patternType="solid">
        <fgColor rgb="FF0F001E"/>
        <bgColor indexed="64"/>
      </patternFill>
    </fill>
    <fill>
      <patternFill patternType="solid">
        <fgColor rgb="FF221900"/>
        <bgColor indexed="64"/>
      </patternFill>
    </fill>
    <fill>
      <patternFill patternType="solid">
        <fgColor rgb="FF544000"/>
        <bgColor indexed="64"/>
      </patternFill>
    </fill>
    <fill>
      <patternFill patternType="solid">
        <fgColor theme="1" tint="4.9989318521683403E-2"/>
        <bgColor indexed="64"/>
      </patternFill>
    </fill>
    <fill>
      <patternFill patternType="solid">
        <fgColor theme="1" tint="0.14999847407452621"/>
        <bgColor indexed="64"/>
      </patternFill>
    </fill>
    <fill>
      <patternFill patternType="solid">
        <fgColor rgb="FF070D17"/>
        <bgColor indexed="64"/>
      </patternFill>
    </fill>
    <fill>
      <patternFill patternType="solid">
        <fgColor rgb="FF1B2A4D"/>
        <bgColor indexed="64"/>
      </patternFill>
    </fill>
    <fill>
      <patternFill patternType="solid">
        <fgColor rgb="FF3B0303"/>
        <bgColor indexed="64"/>
      </patternFill>
    </fill>
    <fill>
      <patternFill patternType="solid">
        <fgColor rgb="FF5C0002"/>
        <bgColor indexed="64"/>
      </patternFill>
    </fill>
    <fill>
      <patternFill patternType="solid">
        <fgColor rgb="FF111E35"/>
        <bgColor indexed="64"/>
      </patternFill>
    </fill>
    <fill>
      <patternFill patternType="solid">
        <fgColor rgb="FF460016"/>
        <bgColor indexed="64"/>
      </patternFill>
    </fill>
    <fill>
      <patternFill patternType="solid">
        <fgColor rgb="FF111B0B"/>
        <bgColor indexed="64"/>
      </patternFill>
    </fill>
    <fill>
      <patternFill patternType="solid">
        <fgColor rgb="FF213315"/>
        <bgColor indexed="64"/>
      </patternFill>
    </fill>
    <fill>
      <patternFill patternType="solid">
        <fgColor rgb="FF2A411B"/>
        <bgColor indexed="64"/>
      </patternFill>
    </fill>
    <fill>
      <patternFill patternType="solid">
        <fgColor rgb="FF00161E"/>
        <bgColor indexed="64"/>
      </patternFill>
    </fill>
    <fill>
      <patternFill patternType="solid">
        <fgColor rgb="FF002532"/>
        <bgColor indexed="64"/>
      </patternFill>
    </fill>
    <fill>
      <patternFill patternType="solid">
        <fgColor rgb="FF4C2B00"/>
        <bgColor indexed="64"/>
      </patternFill>
    </fill>
    <fill>
      <patternFill patternType="solid">
        <fgColor rgb="FF641300"/>
        <bgColor indexed="64"/>
      </patternFill>
    </fill>
    <fill>
      <patternFill patternType="solid">
        <fgColor rgb="FF3F3E00"/>
        <bgColor indexed="64"/>
      </patternFill>
    </fill>
    <fill>
      <patternFill patternType="solid">
        <fgColor rgb="FF2D4513"/>
        <bgColor indexed="64"/>
      </patternFill>
    </fill>
    <fill>
      <patternFill patternType="solid">
        <fgColor rgb="FF002A28"/>
        <bgColor indexed="64"/>
      </patternFill>
    </fill>
    <fill>
      <patternFill patternType="solid">
        <fgColor rgb="FF565800"/>
        <bgColor indexed="64"/>
      </patternFill>
    </fill>
    <fill>
      <patternFill patternType="solid">
        <fgColor rgb="FF042219"/>
        <bgColor indexed="64"/>
      </patternFill>
    </fill>
    <fill>
      <patternFill patternType="solid">
        <fgColor rgb="FF1E1300"/>
        <bgColor indexed="64"/>
      </patternFill>
    </fill>
    <fill>
      <patternFill patternType="solid">
        <fgColor rgb="FF00112A"/>
        <bgColor indexed="64"/>
      </patternFill>
    </fill>
    <fill>
      <patternFill patternType="solid">
        <fgColor rgb="FF001A00"/>
        <bgColor indexed="64"/>
      </patternFill>
    </fill>
    <fill>
      <patternFill patternType="solid">
        <fgColor theme="0"/>
        <bgColor indexed="64"/>
      </patternFill>
    </fill>
    <fill>
      <patternFill patternType="solid">
        <fgColor rgb="FF00965D"/>
        <bgColor indexed="64"/>
      </patternFill>
    </fill>
    <fill>
      <patternFill patternType="solid">
        <fgColor rgb="FF002060"/>
        <bgColor indexed="64"/>
      </patternFill>
    </fill>
    <fill>
      <patternFill patternType="solid">
        <fgColor rgb="FF200060"/>
        <bgColor indexed="64"/>
      </patternFill>
    </fill>
    <fill>
      <patternFill patternType="solid">
        <fgColor rgb="FF005D7E"/>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131313"/>
        <bgColor indexed="64"/>
      </patternFill>
    </fill>
    <fill>
      <patternFill patternType="solid">
        <fgColor rgb="FF000C26"/>
        <bgColor indexed="64"/>
      </patternFill>
    </fill>
    <fill>
      <patternFill patternType="solid">
        <fgColor theme="7" tint="0.79998168889431442"/>
        <bgColor indexed="64"/>
      </patternFill>
    </fill>
    <fill>
      <patternFill patternType="solid">
        <fgColor theme="7" tint="-0.249977111117893"/>
        <bgColor indexed="64"/>
      </patternFill>
    </fill>
    <fill>
      <patternFill patternType="solid">
        <fgColor theme="7"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rgb="FFC63912"/>
        <bgColor indexed="64"/>
      </patternFill>
    </fill>
    <fill>
      <patternFill patternType="solid">
        <fgColor rgb="FFFF7C80"/>
        <bgColor indexed="64"/>
      </patternFill>
    </fill>
    <fill>
      <patternFill patternType="solid">
        <fgColor theme="4" tint="0.39997558519241921"/>
        <bgColor indexed="64"/>
      </patternFill>
    </fill>
    <fill>
      <patternFill patternType="solid">
        <fgColor rgb="FFFF81A8"/>
        <bgColor indexed="64"/>
      </patternFill>
    </fill>
    <fill>
      <patternFill patternType="solid">
        <fgColor theme="9" tint="-0.249977111117893"/>
        <bgColor indexed="64"/>
      </patternFill>
    </fill>
    <fill>
      <patternFill patternType="solid">
        <fgColor rgb="FFD2E6C4"/>
        <bgColor indexed="64"/>
      </patternFill>
    </fill>
    <fill>
      <patternFill patternType="solid">
        <fgColor theme="9" tint="0.39997558519241921"/>
        <bgColor indexed="64"/>
      </patternFill>
    </fill>
    <fill>
      <patternFill patternType="solid">
        <fgColor rgb="FF00B0F0"/>
        <bgColor indexed="64"/>
      </patternFill>
    </fill>
    <fill>
      <patternFill patternType="solid">
        <fgColor rgb="FFABE9FF"/>
        <bgColor indexed="64"/>
      </patternFill>
    </fill>
    <fill>
      <patternFill patternType="solid">
        <fgColor rgb="FFFFD399"/>
        <bgColor indexed="64"/>
      </patternFill>
    </fill>
    <fill>
      <patternFill patternType="solid">
        <fgColor rgb="FFFF957D"/>
        <bgColor indexed="64"/>
      </patternFill>
    </fill>
    <fill>
      <patternFill patternType="solid">
        <fgColor rgb="FFFFFF99"/>
        <bgColor indexed="64"/>
      </patternFill>
    </fill>
    <fill>
      <patternFill patternType="solid">
        <fgColor rgb="FF92D050"/>
        <bgColor indexed="64"/>
      </patternFill>
    </fill>
    <fill>
      <patternFill patternType="solid">
        <fgColor rgb="FFAFFFFB"/>
        <bgColor indexed="64"/>
      </patternFill>
    </fill>
    <fill>
      <patternFill patternType="solid">
        <fgColor rgb="FFFEFFCD"/>
        <bgColor indexed="64"/>
      </patternFill>
    </fill>
    <fill>
      <patternFill patternType="solid">
        <fgColor rgb="FFB4F6E2"/>
        <bgColor indexed="64"/>
      </patternFill>
    </fill>
    <fill>
      <patternFill patternType="solid">
        <fgColor rgb="FF181700"/>
        <bgColor indexed="64"/>
      </patternFill>
    </fill>
    <fill>
      <patternFill patternType="solid">
        <fgColor rgb="FF484500"/>
        <bgColor indexed="64"/>
      </patternFill>
    </fill>
    <fill>
      <patternFill patternType="solid">
        <fgColor theme="0" tint="-0.34998626667073579"/>
        <bgColor indexed="64"/>
      </patternFill>
    </fill>
  </fills>
  <borders count="36">
    <border>
      <left/>
      <right/>
      <top/>
      <bottom/>
      <diagonal/>
    </border>
    <border>
      <left style="thin">
        <color theme="0"/>
      </left>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bottom style="thin">
        <color indexed="64"/>
      </bottom>
      <diagonal/>
    </border>
    <border>
      <left/>
      <right/>
      <top style="thin">
        <color indexed="64"/>
      </top>
      <bottom style="thin">
        <color indexed="64"/>
      </bottom>
      <diagonal/>
    </border>
    <border>
      <left style="thin">
        <color theme="0"/>
      </left>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theme="0"/>
      </left>
      <right style="thin">
        <color theme="0"/>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bottom/>
      <diagonal/>
    </border>
    <border>
      <left style="thin">
        <color indexed="64"/>
      </left>
      <right style="thin">
        <color indexed="64"/>
      </right>
      <top/>
      <bottom style="thin">
        <color indexed="64"/>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style="thin">
        <color indexed="64"/>
      </right>
      <top style="thin">
        <color indexed="64"/>
      </top>
      <bottom/>
      <diagonal/>
    </border>
    <border>
      <left style="thin">
        <color theme="0"/>
      </left>
      <right/>
      <top/>
      <bottom style="thin">
        <color indexed="64"/>
      </bottom>
      <diagonal/>
    </border>
    <border>
      <left/>
      <right/>
      <top style="thin">
        <color theme="0"/>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theme="0"/>
      </left>
      <right style="thin">
        <color indexed="64"/>
      </right>
      <top style="thin">
        <color indexed="64"/>
      </top>
      <bottom/>
      <diagonal/>
    </border>
    <border>
      <left style="thin">
        <color theme="0"/>
      </left>
      <right style="thin">
        <color indexed="64"/>
      </right>
      <top/>
      <bottom/>
      <diagonal/>
    </border>
    <border>
      <left style="thin">
        <color theme="0"/>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598">
    <xf numFmtId="0" fontId="0" fillId="0" borderId="0" xfId="0"/>
    <xf numFmtId="0" fontId="0" fillId="2" borderId="0" xfId="0" applyFill="1"/>
    <xf numFmtId="0" fontId="1" fillId="2" borderId="3" xfId="0" applyFont="1" applyFill="1" applyBorder="1" applyAlignment="1">
      <alignment horizontal="center" vertical="center"/>
    </xf>
    <xf numFmtId="0" fontId="14" fillId="4" borderId="3" xfId="0" applyFont="1" applyFill="1" applyBorder="1" applyAlignment="1">
      <alignment horizontal="center" vertical="center" wrapText="1"/>
    </xf>
    <xf numFmtId="0" fontId="15" fillId="5" borderId="3" xfId="0" applyFont="1" applyFill="1" applyBorder="1" applyAlignment="1">
      <alignment horizontal="center" vertical="center" wrapText="1"/>
    </xf>
    <xf numFmtId="0" fontId="0" fillId="0" borderId="0" xfId="0" applyAlignment="1">
      <alignment horizontal="center" vertical="center"/>
    </xf>
    <xf numFmtId="0" fontId="18" fillId="8" borderId="3" xfId="0" applyFont="1" applyFill="1" applyBorder="1" applyAlignment="1">
      <alignment horizontal="center" vertical="center" wrapText="1"/>
    </xf>
    <xf numFmtId="0" fontId="19" fillId="9" borderId="3" xfId="0" applyFont="1" applyFill="1" applyBorder="1" applyAlignment="1">
      <alignment horizontal="center" vertical="center" wrapText="1"/>
    </xf>
    <xf numFmtId="0" fontId="20" fillId="10" borderId="3" xfId="0" applyFont="1" applyFill="1" applyBorder="1" applyAlignment="1">
      <alignment horizontal="center" vertical="center" wrapText="1"/>
    </xf>
    <xf numFmtId="0" fontId="21" fillId="11" borderId="3" xfId="0" applyFont="1" applyFill="1" applyBorder="1" applyAlignment="1">
      <alignment horizontal="center" vertical="center" wrapText="1"/>
    </xf>
    <xf numFmtId="0" fontId="22" fillId="12" borderId="3" xfId="0" applyFont="1" applyFill="1" applyBorder="1" applyAlignment="1">
      <alignment horizontal="center" vertical="center" wrapText="1"/>
    </xf>
    <xf numFmtId="0" fontId="23" fillId="13" borderId="3" xfId="0" applyFont="1" applyFill="1" applyBorder="1" applyAlignment="1">
      <alignment horizontal="center" vertical="center" wrapText="1"/>
    </xf>
    <xf numFmtId="2" fontId="24" fillId="0" borderId="0" xfId="0" applyNumberFormat="1" applyFont="1" applyAlignment="1">
      <alignment horizontal="center" vertical="center"/>
    </xf>
    <xf numFmtId="0" fontId="24" fillId="0" borderId="0" xfId="0" applyFont="1" applyAlignment="1">
      <alignment horizontal="center" vertical="center"/>
    </xf>
    <xf numFmtId="0" fontId="25" fillId="14" borderId="3" xfId="0" applyFont="1" applyFill="1" applyBorder="1" applyAlignment="1">
      <alignment horizontal="center" vertical="center" wrapText="1"/>
    </xf>
    <xf numFmtId="0" fontId="26" fillId="15" borderId="3" xfId="0" applyFont="1" applyFill="1" applyBorder="1" applyAlignment="1">
      <alignment horizontal="center" vertical="center" wrapText="1"/>
    </xf>
    <xf numFmtId="0" fontId="27" fillId="16" borderId="3" xfId="0" applyFont="1" applyFill="1" applyBorder="1" applyAlignment="1">
      <alignment horizontal="center" vertical="center" wrapText="1"/>
    </xf>
    <xf numFmtId="0" fontId="28" fillId="17" borderId="3" xfId="0" applyFont="1" applyFill="1" applyBorder="1" applyAlignment="1">
      <alignment horizontal="center" vertical="center" wrapText="1"/>
    </xf>
    <xf numFmtId="0" fontId="29" fillId="18" borderId="3" xfId="0" applyFont="1" applyFill="1" applyBorder="1" applyAlignment="1">
      <alignment horizontal="center" vertical="center" wrapText="1"/>
    </xf>
    <xf numFmtId="0" fontId="30" fillId="19" borderId="3" xfId="0" applyFont="1" applyFill="1" applyBorder="1" applyAlignment="1">
      <alignment horizontal="center" vertical="center" wrapText="1"/>
    </xf>
    <xf numFmtId="2" fontId="0" fillId="0" borderId="0" xfId="0" applyNumberFormat="1" applyAlignment="1">
      <alignment horizontal="center" vertical="center"/>
    </xf>
    <xf numFmtId="0" fontId="31" fillId="20" borderId="3" xfId="0" applyFont="1" applyFill="1" applyBorder="1" applyAlignment="1">
      <alignment horizontal="center" vertical="center" wrapText="1"/>
    </xf>
    <xf numFmtId="0" fontId="32" fillId="21" borderId="3" xfId="0" applyFont="1" applyFill="1" applyBorder="1" applyAlignment="1">
      <alignment horizontal="center" vertical="center" wrapText="1"/>
    </xf>
    <xf numFmtId="0" fontId="33" fillId="22" borderId="3" xfId="0" applyFont="1" applyFill="1" applyBorder="1" applyAlignment="1">
      <alignment horizontal="center" vertical="center" wrapText="1"/>
    </xf>
    <xf numFmtId="0" fontId="34" fillId="23" borderId="3" xfId="0" applyFont="1" applyFill="1" applyBorder="1" applyAlignment="1">
      <alignment horizontal="center" vertical="center" wrapText="1"/>
    </xf>
    <xf numFmtId="0" fontId="35" fillId="24" borderId="3" xfId="0" applyFont="1" applyFill="1" applyBorder="1" applyAlignment="1">
      <alignment horizontal="center" vertical="center" wrapText="1"/>
    </xf>
    <xf numFmtId="0" fontId="36" fillId="25" borderId="3" xfId="0" applyFont="1" applyFill="1" applyBorder="1" applyAlignment="1">
      <alignment horizontal="center" vertical="center" wrapText="1"/>
    </xf>
    <xf numFmtId="2" fontId="0" fillId="0" borderId="0" xfId="0" applyNumberFormat="1"/>
    <xf numFmtId="0" fontId="24" fillId="0" borderId="0" xfId="0" applyFont="1"/>
    <xf numFmtId="2" fontId="24" fillId="0" borderId="0" xfId="0" applyNumberFormat="1" applyFont="1"/>
    <xf numFmtId="0" fontId="37" fillId="0" borderId="0" xfId="0" applyFont="1"/>
    <xf numFmtId="2" fontId="37" fillId="0" borderId="0" xfId="0" applyNumberFormat="1" applyFont="1"/>
    <xf numFmtId="2" fontId="0" fillId="2" borderId="0" xfId="0" applyNumberFormat="1" applyFill="1" applyAlignment="1">
      <alignment horizontal="center" vertical="center"/>
    </xf>
    <xf numFmtId="0" fontId="0" fillId="2" borderId="0" xfId="0" applyFill="1" applyAlignment="1">
      <alignment vertical="center"/>
    </xf>
    <xf numFmtId="0" fontId="37" fillId="2" borderId="0" xfId="0" applyFont="1" applyFill="1" applyAlignment="1">
      <alignment vertical="center"/>
    </xf>
    <xf numFmtId="165" fontId="2" fillId="2" borderId="0" xfId="0" applyNumberFormat="1" applyFont="1" applyFill="1" applyAlignment="1">
      <alignment horizontal="center" vertical="center"/>
    </xf>
    <xf numFmtId="164" fontId="2" fillId="2" borderId="0" xfId="0" applyNumberFormat="1" applyFont="1" applyFill="1" applyAlignment="1">
      <alignment horizontal="center" vertical="center"/>
    </xf>
    <xf numFmtId="1" fontId="2" fillId="2" borderId="0" xfId="0" applyNumberFormat="1" applyFont="1" applyFill="1" applyAlignment="1">
      <alignment horizontal="center" vertical="center"/>
    </xf>
    <xf numFmtId="2" fontId="2" fillId="2" borderId="0" xfId="0" applyNumberFormat="1" applyFont="1" applyFill="1" applyAlignment="1">
      <alignment horizontal="center" vertical="center"/>
    </xf>
    <xf numFmtId="0" fontId="0" fillId="2" borderId="0" xfId="0" applyFill="1" applyAlignment="1">
      <alignment horizontal="center" vertical="center"/>
    </xf>
    <xf numFmtId="2" fontId="2" fillId="2" borderId="0" xfId="0" applyNumberFormat="1" applyFont="1" applyFill="1"/>
    <xf numFmtId="0" fontId="37" fillId="2" borderId="0" xfId="0" applyFont="1" applyFill="1" applyAlignment="1">
      <alignment vertical="top" wrapText="1"/>
    </xf>
    <xf numFmtId="1" fontId="37" fillId="2" borderId="0" xfId="0" applyNumberFormat="1" applyFont="1" applyFill="1" applyAlignment="1">
      <alignment vertical="top" wrapText="1"/>
    </xf>
    <xf numFmtId="1" fontId="0" fillId="0" borderId="0" xfId="0" applyNumberFormat="1"/>
    <xf numFmtId="0" fontId="37" fillId="2" borderId="0" xfId="0" applyFont="1" applyFill="1" applyAlignment="1">
      <alignment horizontal="center" vertical="center" wrapText="1"/>
    </xf>
    <xf numFmtId="2" fontId="37" fillId="2" borderId="0" xfId="0" applyNumberFormat="1" applyFont="1" applyFill="1" applyAlignment="1">
      <alignment horizontal="center" vertical="center" wrapText="1"/>
    </xf>
    <xf numFmtId="165" fontId="2" fillId="0" borderId="0" xfId="0" applyNumberFormat="1" applyFont="1" applyAlignment="1">
      <alignment horizontal="center" vertical="center"/>
    </xf>
    <xf numFmtId="164" fontId="2" fillId="0" borderId="0" xfId="0" applyNumberFormat="1" applyFont="1" applyAlignment="1">
      <alignment horizontal="center" vertical="center"/>
    </xf>
    <xf numFmtId="1" fontId="2" fillId="0" borderId="0" xfId="0" applyNumberFormat="1" applyFont="1" applyAlignment="1">
      <alignment horizontal="center" vertical="center"/>
    </xf>
    <xf numFmtId="2" fontId="2" fillId="0" borderId="0" xfId="0" applyNumberFormat="1" applyFont="1" applyAlignment="1">
      <alignment horizontal="center" vertical="center"/>
    </xf>
    <xf numFmtId="0" fontId="37" fillId="0" borderId="0" xfId="0" applyFont="1" applyAlignment="1">
      <alignment vertical="top" wrapText="1"/>
    </xf>
    <xf numFmtId="0" fontId="0" fillId="0" borderId="0" xfId="0" applyAlignment="1">
      <alignment horizontal="left"/>
    </xf>
    <xf numFmtId="0" fontId="37" fillId="0" borderId="0" xfId="0" applyFont="1" applyAlignment="1">
      <alignment horizontal="center"/>
    </xf>
    <xf numFmtId="0" fontId="0" fillId="2" borderId="3" xfId="0" applyFill="1" applyBorder="1"/>
    <xf numFmtId="2" fontId="0" fillId="2" borderId="3" xfId="0" applyNumberFormat="1" applyFill="1" applyBorder="1" applyAlignment="1">
      <alignment horizontal="center" vertical="center"/>
    </xf>
    <xf numFmtId="164" fontId="9" fillId="3" borderId="3" xfId="0" applyNumberFormat="1" applyFont="1" applyFill="1" applyBorder="1" applyAlignment="1">
      <alignment horizontal="center" vertical="center" textRotation="90" wrapText="1"/>
    </xf>
    <xf numFmtId="1" fontId="9" fillId="3" borderId="3" xfId="0" applyNumberFormat="1" applyFont="1" applyFill="1" applyBorder="1" applyAlignment="1">
      <alignment horizontal="center" vertical="center" textRotation="90" wrapText="1"/>
    </xf>
    <xf numFmtId="2" fontId="9" fillId="3" borderId="3" xfId="0" applyNumberFormat="1" applyFont="1" applyFill="1" applyBorder="1" applyAlignment="1">
      <alignment horizontal="center" vertical="center" textRotation="90" wrapText="1"/>
    </xf>
    <xf numFmtId="0" fontId="12" fillId="26" borderId="3" xfId="0" applyFont="1" applyFill="1" applyBorder="1" applyAlignment="1">
      <alignment horizontal="center" vertical="center" textRotation="90" wrapText="1"/>
    </xf>
    <xf numFmtId="2" fontId="12" fillId="26" borderId="3" xfId="1" applyNumberFormat="1" applyFont="1" applyFill="1" applyBorder="1" applyAlignment="1">
      <alignment horizontal="center" vertical="center" textRotation="90" wrapText="1"/>
    </xf>
    <xf numFmtId="2" fontId="12" fillId="27" borderId="3" xfId="1" applyNumberFormat="1" applyFont="1" applyFill="1" applyBorder="1" applyAlignment="1">
      <alignment horizontal="center" vertical="center" textRotation="90" wrapText="1"/>
    </xf>
    <xf numFmtId="164" fontId="9" fillId="28" borderId="3" xfId="0" applyNumberFormat="1" applyFont="1" applyFill="1" applyBorder="1" applyAlignment="1">
      <alignment horizontal="center" vertical="center" textRotation="90" wrapText="1"/>
    </xf>
    <xf numFmtId="2" fontId="37" fillId="2" borderId="4" xfId="0" applyNumberFormat="1" applyFont="1" applyFill="1" applyBorder="1" applyAlignment="1">
      <alignment horizontal="center" vertical="center"/>
    </xf>
    <xf numFmtId="2" fontId="37" fillId="2" borderId="5" xfId="0" applyNumberFormat="1" applyFont="1" applyFill="1" applyBorder="1" applyAlignment="1">
      <alignment horizontal="center" vertical="center"/>
    </xf>
    <xf numFmtId="2" fontId="37" fillId="2" borderId="0" xfId="0" applyNumberFormat="1" applyFont="1" applyFill="1" applyBorder="1" applyAlignment="1">
      <alignment horizontal="center" vertical="center"/>
    </xf>
    <xf numFmtId="2" fontId="9" fillId="27" borderId="3" xfId="0" applyNumberFormat="1" applyFont="1" applyFill="1" applyBorder="1" applyAlignment="1">
      <alignment horizontal="center" vertical="center" textRotation="90" wrapText="1"/>
    </xf>
    <xf numFmtId="1" fontId="9" fillId="27" borderId="3" xfId="0" applyNumberFormat="1" applyFont="1" applyFill="1" applyBorder="1" applyAlignment="1">
      <alignment horizontal="center" vertical="center" textRotation="90" wrapText="1"/>
    </xf>
    <xf numFmtId="165" fontId="9" fillId="27" borderId="3" xfId="0" applyNumberFormat="1" applyFont="1" applyFill="1" applyBorder="1" applyAlignment="1">
      <alignment horizontal="center" vertical="center" textRotation="90" wrapText="1"/>
    </xf>
    <xf numFmtId="2" fontId="12" fillId="27" borderId="3" xfId="0" applyNumberFormat="1" applyFont="1" applyFill="1" applyBorder="1" applyAlignment="1">
      <alignment horizontal="center" vertical="center" textRotation="90" wrapText="1"/>
    </xf>
    <xf numFmtId="0" fontId="1" fillId="2" borderId="2" xfId="0" applyFont="1" applyFill="1" applyBorder="1" applyAlignment="1">
      <alignment horizontal="center" vertical="center"/>
    </xf>
    <xf numFmtId="2" fontId="16" fillId="7" borderId="2" xfId="0" applyNumberFormat="1" applyFont="1" applyFill="1" applyBorder="1" applyAlignment="1">
      <alignment horizontal="center" vertical="center"/>
    </xf>
    <xf numFmtId="2" fontId="17" fillId="7" borderId="2" xfId="0" applyNumberFormat="1" applyFont="1" applyFill="1" applyBorder="1" applyAlignment="1">
      <alignment horizontal="center" vertical="center"/>
    </xf>
    <xf numFmtId="2" fontId="0" fillId="2" borderId="2" xfId="0" applyNumberFormat="1" applyFill="1" applyBorder="1" applyAlignment="1">
      <alignment horizontal="center" vertical="center"/>
    </xf>
    <xf numFmtId="0" fontId="0" fillId="2" borderId="3" xfId="0" applyFont="1" applyFill="1" applyBorder="1"/>
    <xf numFmtId="0" fontId="0" fillId="0" borderId="0" xfId="0" applyFont="1"/>
    <xf numFmtId="164" fontId="12" fillId="28" borderId="3" xfId="0" applyNumberFormat="1" applyFont="1" applyFill="1" applyBorder="1" applyAlignment="1">
      <alignment horizontal="center" vertical="center" wrapText="1"/>
    </xf>
    <xf numFmtId="164" fontId="12" fillId="3" borderId="3" xfId="0" applyNumberFormat="1" applyFont="1" applyFill="1" applyBorder="1" applyAlignment="1">
      <alignment horizontal="center" vertical="center" wrapText="1"/>
    </xf>
    <xf numFmtId="164" fontId="51" fillId="2" borderId="3" xfId="0" applyNumberFormat="1" applyFont="1" applyFill="1" applyBorder="1"/>
    <xf numFmtId="164" fontId="12" fillId="26" borderId="3" xfId="0" applyNumberFormat="1" applyFont="1" applyFill="1" applyBorder="1" applyAlignment="1">
      <alignment horizontal="center" vertical="center" wrapText="1"/>
    </xf>
    <xf numFmtId="164" fontId="12" fillId="27" borderId="3" xfId="0" applyNumberFormat="1" applyFont="1" applyFill="1" applyBorder="1" applyAlignment="1">
      <alignment horizontal="center" vertical="center" wrapText="1"/>
    </xf>
    <xf numFmtId="164" fontId="51" fillId="0" borderId="0" xfId="0" applyNumberFormat="1" applyFont="1"/>
    <xf numFmtId="2" fontId="52" fillId="7" borderId="2" xfId="0" applyNumberFormat="1" applyFont="1" applyFill="1" applyBorder="1" applyAlignment="1">
      <alignment horizontal="center" vertical="center"/>
    </xf>
    <xf numFmtId="2" fontId="37" fillId="7" borderId="2" xfId="0" applyNumberFormat="1" applyFont="1" applyFill="1" applyBorder="1" applyAlignment="1">
      <alignment horizontal="center" vertical="center"/>
    </xf>
    <xf numFmtId="2" fontId="37" fillId="7" borderId="6" xfId="0" applyNumberFormat="1" applyFont="1" applyFill="1" applyBorder="1" applyAlignment="1">
      <alignment horizontal="center" vertical="center"/>
    </xf>
    <xf numFmtId="1" fontId="52" fillId="7" borderId="2" xfId="0" applyNumberFormat="1" applyFont="1" applyFill="1" applyBorder="1" applyAlignment="1">
      <alignment horizontal="center" vertical="center"/>
    </xf>
    <xf numFmtId="2" fontId="52" fillId="7" borderId="3" xfId="0" applyNumberFormat="1" applyFont="1" applyFill="1" applyBorder="1" applyAlignment="1">
      <alignment horizontal="center" vertical="center"/>
    </xf>
    <xf numFmtId="2" fontId="37" fillId="7" borderId="3" xfId="0" applyNumberFormat="1" applyFont="1" applyFill="1" applyBorder="1" applyAlignment="1">
      <alignment horizontal="center" vertical="center"/>
    </xf>
    <xf numFmtId="164" fontId="52" fillId="7" borderId="3" xfId="0" applyNumberFormat="1" applyFont="1" applyFill="1" applyBorder="1" applyAlignment="1">
      <alignment horizontal="center" vertical="center"/>
    </xf>
    <xf numFmtId="1" fontId="52" fillId="7" borderId="3" xfId="0" applyNumberFormat="1" applyFont="1" applyFill="1" applyBorder="1" applyAlignment="1">
      <alignment horizontal="center" vertical="center"/>
    </xf>
    <xf numFmtId="2" fontId="37" fillId="7" borderId="1" xfId="0" applyNumberFormat="1" applyFont="1" applyFill="1" applyBorder="1" applyAlignment="1">
      <alignment horizontal="center" vertical="center"/>
    </xf>
    <xf numFmtId="165" fontId="52" fillId="7" borderId="3" xfId="0" applyNumberFormat="1" applyFont="1" applyFill="1" applyBorder="1" applyAlignment="1">
      <alignment horizontal="center" vertical="center"/>
    </xf>
    <xf numFmtId="1" fontId="53" fillId="7" borderId="3" xfId="0" applyNumberFormat="1" applyFont="1" applyFill="1" applyBorder="1" applyAlignment="1">
      <alignment horizontal="center" vertical="center"/>
    </xf>
    <xf numFmtId="2" fontId="40" fillId="7" borderId="3" xfId="0" applyNumberFormat="1" applyFont="1" applyFill="1" applyBorder="1" applyAlignment="1">
      <alignment horizontal="center" vertical="center"/>
    </xf>
    <xf numFmtId="164" fontId="40" fillId="7" borderId="3" xfId="0" applyNumberFormat="1" applyFont="1" applyFill="1" applyBorder="1" applyAlignment="1">
      <alignment horizontal="center" vertical="center"/>
    </xf>
    <xf numFmtId="1" fontId="40" fillId="7" borderId="3" xfId="0" applyNumberFormat="1" applyFont="1" applyFill="1" applyBorder="1" applyAlignment="1">
      <alignment horizontal="center" vertical="center"/>
    </xf>
    <xf numFmtId="1" fontId="37" fillId="7" borderId="3" xfId="0" applyNumberFormat="1" applyFont="1" applyFill="1" applyBorder="1" applyAlignment="1">
      <alignment horizontal="center" vertical="center"/>
    </xf>
    <xf numFmtId="165" fontId="40" fillId="7" borderId="3" xfId="0" applyNumberFormat="1" applyFont="1" applyFill="1" applyBorder="1" applyAlignment="1">
      <alignment horizontal="center" vertical="center"/>
    </xf>
    <xf numFmtId="2" fontId="40" fillId="7" borderId="1" xfId="0" applyNumberFormat="1" applyFont="1" applyFill="1" applyBorder="1" applyAlignment="1">
      <alignment horizontal="center" vertical="center"/>
    </xf>
    <xf numFmtId="164" fontId="53" fillId="7" borderId="3" xfId="0" applyNumberFormat="1" applyFont="1" applyFill="1" applyBorder="1" applyAlignment="1">
      <alignment horizontal="center" vertical="center"/>
    </xf>
    <xf numFmtId="2" fontId="53" fillId="7" borderId="3" xfId="0" applyNumberFormat="1" applyFont="1" applyFill="1" applyBorder="1" applyAlignment="1">
      <alignment horizontal="center" vertical="center"/>
    </xf>
    <xf numFmtId="164" fontId="37" fillId="7" borderId="3" xfId="0" applyNumberFormat="1" applyFont="1" applyFill="1" applyBorder="1" applyAlignment="1">
      <alignment horizontal="center" vertical="center"/>
    </xf>
    <xf numFmtId="2" fontId="54" fillId="7" borderId="3" xfId="0" applyNumberFormat="1" applyFont="1" applyFill="1" applyBorder="1" applyAlignment="1">
      <alignment horizontal="center" vertical="center"/>
    </xf>
    <xf numFmtId="171" fontId="52" fillId="7" borderId="3" xfId="0" applyNumberFormat="1" applyFont="1" applyFill="1" applyBorder="1" applyAlignment="1">
      <alignment horizontal="center" vertical="center"/>
    </xf>
    <xf numFmtId="173" fontId="37" fillId="7" borderId="3" xfId="0" applyNumberFormat="1" applyFont="1" applyFill="1" applyBorder="1" applyAlignment="1">
      <alignment horizontal="center" vertical="center"/>
    </xf>
    <xf numFmtId="175" fontId="37" fillId="7" borderId="3" xfId="0" applyNumberFormat="1" applyFont="1" applyFill="1" applyBorder="1" applyAlignment="1">
      <alignment horizontal="center" vertical="center"/>
    </xf>
    <xf numFmtId="166" fontId="40" fillId="7" borderId="3" xfId="0" applyNumberFormat="1" applyFont="1" applyFill="1" applyBorder="1" applyAlignment="1">
      <alignment horizontal="center" vertical="center"/>
    </xf>
    <xf numFmtId="2" fontId="17" fillId="2" borderId="0" xfId="0" applyNumberFormat="1" applyFont="1" applyFill="1" applyAlignment="1">
      <alignment horizontal="center" vertical="center" wrapText="1"/>
    </xf>
    <xf numFmtId="164" fontId="37" fillId="7" borderId="2" xfId="0" applyNumberFormat="1" applyFont="1" applyFill="1" applyBorder="1" applyAlignment="1">
      <alignment horizontal="center" vertical="center"/>
    </xf>
    <xf numFmtId="0" fontId="0" fillId="0" borderId="0" xfId="0" applyAlignment="1"/>
    <xf numFmtId="0" fontId="37" fillId="0" borderId="0" xfId="0" applyFont="1" applyAlignment="1">
      <alignment horizontal="left" vertical="top"/>
    </xf>
    <xf numFmtId="0" fontId="37" fillId="0" borderId="0" xfId="0" applyFont="1" applyAlignment="1">
      <alignment vertical="top"/>
    </xf>
    <xf numFmtId="165" fontId="2" fillId="0" borderId="0" xfId="0" applyNumberFormat="1" applyFont="1" applyAlignment="1">
      <alignment horizontal="left" vertical="center"/>
    </xf>
    <xf numFmtId="1" fontId="2" fillId="0" borderId="0" xfId="0" applyNumberFormat="1" applyFont="1" applyAlignment="1">
      <alignment horizontal="left" vertical="center"/>
    </xf>
    <xf numFmtId="2" fontId="37" fillId="0" borderId="0" xfId="0" applyNumberFormat="1" applyFont="1" applyAlignment="1">
      <alignment horizontal="left" vertical="center"/>
    </xf>
    <xf numFmtId="164" fontId="2" fillId="0" borderId="0" xfId="0" applyNumberFormat="1" applyFont="1" applyAlignment="1">
      <alignment horizontal="left" vertical="center"/>
    </xf>
    <xf numFmtId="2" fontId="2" fillId="0" borderId="0" xfId="0" applyNumberFormat="1" applyFont="1" applyAlignment="1">
      <alignment horizontal="left" vertical="center"/>
    </xf>
    <xf numFmtId="2" fontId="0" fillId="0" borderId="0" xfId="0" applyNumberFormat="1" applyAlignment="1">
      <alignment horizontal="left" vertical="center"/>
    </xf>
    <xf numFmtId="0" fontId="37" fillId="0" borderId="0" xfId="0" applyFont="1" applyAlignment="1">
      <alignment horizontal="left" vertical="center"/>
    </xf>
    <xf numFmtId="2" fontId="17" fillId="0" borderId="0" xfId="0" applyNumberFormat="1" applyFont="1" applyAlignment="1">
      <alignment horizontal="left" vertical="center"/>
    </xf>
    <xf numFmtId="2" fontId="4" fillId="0" borderId="0" xfId="1" applyNumberFormat="1" applyAlignment="1">
      <alignment horizontal="left" vertical="center"/>
    </xf>
    <xf numFmtId="0" fontId="37" fillId="0" borderId="0" xfId="0" applyFont="1" applyAlignment="1">
      <alignment horizontal="left"/>
    </xf>
    <xf numFmtId="0" fontId="0" fillId="0" borderId="0" xfId="0" applyAlignment="1">
      <alignment horizontal="left" vertical="center"/>
    </xf>
    <xf numFmtId="168" fontId="52" fillId="7" borderId="3" xfId="0" applyNumberFormat="1" applyFont="1" applyFill="1" applyBorder="1" applyAlignment="1">
      <alignment horizontal="center" vertical="center"/>
    </xf>
    <xf numFmtId="170" fontId="52" fillId="7" borderId="3" xfId="0" applyNumberFormat="1" applyFont="1" applyFill="1" applyBorder="1" applyAlignment="1">
      <alignment horizontal="center" vertical="center"/>
    </xf>
    <xf numFmtId="187" fontId="37" fillId="7" borderId="3" xfId="0" applyNumberFormat="1" applyFont="1" applyFill="1" applyBorder="1" applyAlignment="1">
      <alignment horizontal="center" vertical="center"/>
    </xf>
    <xf numFmtId="183" fontId="52" fillId="7" borderId="3" xfId="0" applyNumberFormat="1" applyFont="1" applyFill="1" applyBorder="1" applyAlignment="1">
      <alignment horizontal="center" vertical="center"/>
    </xf>
    <xf numFmtId="169" fontId="52" fillId="7" borderId="3" xfId="0" applyNumberFormat="1" applyFont="1" applyFill="1" applyBorder="1" applyAlignment="1">
      <alignment horizontal="center" vertical="center"/>
    </xf>
    <xf numFmtId="172" fontId="52" fillId="7" borderId="3" xfId="0" applyNumberFormat="1" applyFont="1" applyFill="1" applyBorder="1" applyAlignment="1">
      <alignment horizontal="center" vertical="center"/>
    </xf>
    <xf numFmtId="188" fontId="52" fillId="7" borderId="3" xfId="0" applyNumberFormat="1" applyFont="1" applyFill="1" applyBorder="1" applyAlignment="1">
      <alignment horizontal="center" vertical="center"/>
    </xf>
    <xf numFmtId="182" fontId="37" fillId="7" borderId="3" xfId="0" applyNumberFormat="1" applyFont="1" applyFill="1" applyBorder="1" applyAlignment="1">
      <alignment horizontal="center" vertical="center"/>
    </xf>
    <xf numFmtId="0" fontId="37" fillId="2" borderId="5" xfId="0" applyFont="1" applyFill="1" applyBorder="1" applyAlignment="1">
      <alignment horizontal="center"/>
    </xf>
    <xf numFmtId="167" fontId="37" fillId="7" borderId="3" xfId="0" applyNumberFormat="1" applyFont="1" applyFill="1" applyBorder="1" applyAlignment="1">
      <alignment horizontal="center" vertical="center"/>
    </xf>
    <xf numFmtId="185" fontId="37" fillId="7" borderId="3" xfId="0" applyNumberFormat="1" applyFont="1" applyFill="1" applyBorder="1" applyAlignment="1">
      <alignment horizontal="center" vertical="center"/>
    </xf>
    <xf numFmtId="186" fontId="52" fillId="7" borderId="3" xfId="0" applyNumberFormat="1" applyFont="1" applyFill="1" applyBorder="1" applyAlignment="1">
      <alignment horizontal="center" vertical="center"/>
    </xf>
    <xf numFmtId="191" fontId="52" fillId="7" borderId="3" xfId="0" applyNumberFormat="1" applyFont="1" applyFill="1" applyBorder="1" applyAlignment="1">
      <alignment horizontal="center" vertical="center"/>
    </xf>
    <xf numFmtId="177" fontId="37" fillId="7" borderId="3" xfId="0" applyNumberFormat="1" applyFont="1" applyFill="1" applyBorder="1" applyAlignment="1">
      <alignment horizontal="center" vertical="center"/>
    </xf>
    <xf numFmtId="180" fontId="37" fillId="7" borderId="3" xfId="0" applyNumberFormat="1" applyFont="1" applyFill="1" applyBorder="1" applyAlignment="1">
      <alignment horizontal="center" vertical="center"/>
    </xf>
    <xf numFmtId="181" fontId="37" fillId="7" borderId="3" xfId="0" applyNumberFormat="1" applyFont="1" applyFill="1" applyBorder="1" applyAlignment="1">
      <alignment horizontal="center" vertical="center"/>
    </xf>
    <xf numFmtId="184" fontId="52" fillId="7" borderId="3" xfId="0" applyNumberFormat="1" applyFont="1" applyFill="1" applyBorder="1" applyAlignment="1">
      <alignment horizontal="center" vertical="center"/>
    </xf>
    <xf numFmtId="189" fontId="52" fillId="7" borderId="3" xfId="0" applyNumberFormat="1" applyFont="1" applyFill="1" applyBorder="1" applyAlignment="1">
      <alignment horizontal="center" vertical="center"/>
    </xf>
    <xf numFmtId="190" fontId="37" fillId="7" borderId="3" xfId="0" applyNumberFormat="1" applyFont="1" applyFill="1" applyBorder="1" applyAlignment="1">
      <alignment horizontal="center" vertical="center"/>
    </xf>
    <xf numFmtId="0" fontId="55" fillId="29" borderId="7" xfId="0" applyFont="1" applyFill="1" applyBorder="1" applyAlignment="1">
      <alignment horizontal="center" vertical="center" wrapText="1"/>
    </xf>
    <xf numFmtId="0" fontId="56" fillId="29" borderId="7" xfId="0" applyFont="1" applyFill="1" applyBorder="1" applyAlignment="1">
      <alignment horizontal="center" vertical="center" wrapText="1"/>
    </xf>
    <xf numFmtId="0" fontId="57" fillId="29" borderId="7" xfId="0" applyFont="1" applyFill="1" applyBorder="1" applyAlignment="1">
      <alignment horizontal="center" vertical="center" wrapText="1"/>
    </xf>
    <xf numFmtId="0" fontId="58" fillId="29" borderId="7" xfId="0" applyFont="1" applyFill="1" applyBorder="1" applyAlignment="1">
      <alignment horizontal="center" vertical="center" wrapText="1"/>
    </xf>
    <xf numFmtId="0" fontId="59" fillId="29" borderId="7" xfId="0" applyFont="1" applyFill="1" applyBorder="1" applyAlignment="1">
      <alignment horizontal="center" vertical="center" wrapText="1"/>
    </xf>
    <xf numFmtId="0" fontId="60" fillId="29" borderId="7" xfId="0" applyFont="1" applyFill="1" applyBorder="1" applyAlignment="1">
      <alignment horizontal="center" vertical="center" wrapText="1"/>
    </xf>
    <xf numFmtId="0" fontId="61" fillId="29" borderId="7" xfId="0" applyFont="1" applyFill="1" applyBorder="1" applyAlignment="1">
      <alignment horizontal="center" vertical="center" wrapText="1"/>
    </xf>
    <xf numFmtId="0" fontId="62" fillId="29" borderId="7" xfId="0" applyFont="1" applyFill="1" applyBorder="1" applyAlignment="1">
      <alignment horizontal="center" vertical="center" wrapText="1"/>
    </xf>
    <xf numFmtId="165" fontId="51" fillId="32" borderId="0" xfId="0" applyNumberFormat="1" applyFont="1" applyFill="1" applyBorder="1" applyAlignment="1">
      <alignment horizontal="center" vertical="center" wrapText="1"/>
    </xf>
    <xf numFmtId="165" fontId="51" fillId="33" borderId="0" xfId="0" applyNumberFormat="1" applyFont="1" applyFill="1" applyBorder="1" applyAlignment="1">
      <alignment horizontal="center" vertical="center" wrapText="1"/>
    </xf>
    <xf numFmtId="165" fontId="51" fillId="31" borderId="0" xfId="0" applyNumberFormat="1" applyFont="1" applyFill="1" applyBorder="1" applyAlignment="1">
      <alignment horizontal="center" vertical="center" wrapText="1"/>
    </xf>
    <xf numFmtId="165" fontId="51" fillId="30" borderId="0" xfId="0" applyNumberFormat="1" applyFont="1" applyFill="1" applyBorder="1" applyAlignment="1">
      <alignment horizontal="center" vertical="center" wrapText="1"/>
    </xf>
    <xf numFmtId="164" fontId="0" fillId="0" borderId="0" xfId="0" applyNumberFormat="1" applyAlignment="1">
      <alignment horizontal="center" vertical="center"/>
    </xf>
    <xf numFmtId="192" fontId="37" fillId="7" borderId="3" xfId="0" applyNumberFormat="1" applyFont="1" applyFill="1" applyBorder="1" applyAlignment="1">
      <alignment horizontal="center" vertical="center"/>
    </xf>
    <xf numFmtId="164" fontId="0" fillId="0" borderId="0" xfId="0" applyNumberFormat="1"/>
    <xf numFmtId="164" fontId="37" fillId="0" borderId="0" xfId="0" applyNumberFormat="1" applyFont="1"/>
    <xf numFmtId="164" fontId="24" fillId="0" borderId="0" xfId="0" applyNumberFormat="1" applyFont="1" applyAlignment="1">
      <alignment horizontal="center" vertical="center"/>
    </xf>
    <xf numFmtId="2" fontId="17" fillId="7" borderId="6" xfId="0" applyNumberFormat="1" applyFont="1" applyFill="1" applyBorder="1" applyAlignment="1">
      <alignment horizontal="center" vertical="center"/>
    </xf>
    <xf numFmtId="2" fontId="40" fillId="7" borderId="2" xfId="0" applyNumberFormat="1" applyFont="1" applyFill="1" applyBorder="1" applyAlignment="1">
      <alignment horizontal="center" vertical="center"/>
    </xf>
    <xf numFmtId="2" fontId="53" fillId="7" borderId="2" xfId="0" applyNumberFormat="1" applyFont="1" applyFill="1" applyBorder="1" applyAlignment="1">
      <alignment horizontal="center" vertical="center"/>
    </xf>
    <xf numFmtId="193" fontId="37" fillId="7" borderId="3" xfId="0" applyNumberFormat="1" applyFont="1" applyFill="1" applyBorder="1" applyAlignment="1">
      <alignment horizontal="center" vertical="center"/>
    </xf>
    <xf numFmtId="0" fontId="3" fillId="6" borderId="3" xfId="0" applyFont="1" applyFill="1" applyBorder="1" applyAlignment="1">
      <alignment horizontal="left" vertical="center"/>
    </xf>
    <xf numFmtId="174" fontId="40" fillId="7" borderId="3" xfId="0" applyNumberFormat="1" applyFont="1" applyFill="1" applyBorder="1" applyAlignment="1">
      <alignment horizontal="center" vertical="center"/>
    </xf>
    <xf numFmtId="194" fontId="37" fillId="7" borderId="3" xfId="0" applyNumberFormat="1" applyFont="1" applyFill="1" applyBorder="1" applyAlignment="1">
      <alignment horizontal="center" vertical="center"/>
    </xf>
    <xf numFmtId="195" fontId="52" fillId="7" borderId="3" xfId="0" applyNumberFormat="1" applyFont="1" applyFill="1" applyBorder="1" applyAlignment="1">
      <alignment horizontal="center" vertical="center"/>
    </xf>
    <xf numFmtId="196" fontId="52" fillId="7" borderId="3" xfId="0" applyNumberFormat="1" applyFont="1" applyFill="1" applyBorder="1" applyAlignment="1">
      <alignment horizontal="center" vertical="center"/>
    </xf>
    <xf numFmtId="165" fontId="37" fillId="7" borderId="3" xfId="0" applyNumberFormat="1" applyFont="1" applyFill="1" applyBorder="1" applyAlignment="1">
      <alignment horizontal="center" vertical="center"/>
    </xf>
    <xf numFmtId="165" fontId="53" fillId="7" borderId="3" xfId="0" applyNumberFormat="1" applyFont="1" applyFill="1" applyBorder="1" applyAlignment="1">
      <alignment horizontal="center" vertical="center"/>
    </xf>
    <xf numFmtId="165" fontId="51" fillId="30" borderId="7" xfId="0" applyNumberFormat="1" applyFont="1" applyFill="1" applyBorder="1" applyAlignment="1">
      <alignment horizontal="center" vertical="center" wrapText="1"/>
    </xf>
    <xf numFmtId="0" fontId="0" fillId="34" borderId="8" xfId="0" applyFill="1" applyBorder="1" applyAlignment="1">
      <alignment horizontal="left" vertical="center" wrapText="1"/>
    </xf>
    <xf numFmtId="165" fontId="51" fillId="31" borderId="7" xfId="0" applyNumberFormat="1" applyFont="1" applyFill="1" applyBorder="1" applyAlignment="1">
      <alignment horizontal="center" vertical="center" wrapText="1"/>
    </xf>
    <xf numFmtId="165" fontId="51" fillId="32" borderId="7" xfId="0" applyNumberFormat="1" applyFont="1" applyFill="1" applyBorder="1" applyAlignment="1">
      <alignment horizontal="center" vertical="center" wrapText="1"/>
    </xf>
    <xf numFmtId="165" fontId="51" fillId="33" borderId="7" xfId="0" applyNumberFormat="1" applyFont="1" applyFill="1" applyBorder="1" applyAlignment="1">
      <alignment horizontal="center" vertical="center" wrapText="1"/>
    </xf>
    <xf numFmtId="0" fontId="0" fillId="0" borderId="7" xfId="0" applyBorder="1"/>
    <xf numFmtId="0" fontId="0" fillId="0" borderId="0" xfId="0" applyAlignment="1">
      <alignment horizontal="center" vertical="center" wrapText="1"/>
    </xf>
    <xf numFmtId="165" fontId="0" fillId="0" borderId="0" xfId="0" applyNumberFormat="1" applyAlignment="1">
      <alignment horizontal="center" vertical="center"/>
    </xf>
    <xf numFmtId="0" fontId="0" fillId="34" borderId="7" xfId="0" applyFill="1" applyBorder="1" applyAlignment="1">
      <alignment horizontal="left" vertical="center" wrapText="1"/>
    </xf>
    <xf numFmtId="165" fontId="51" fillId="31" borderId="0" xfId="0" applyNumberFormat="1" applyFont="1" applyFill="1" applyAlignment="1">
      <alignment horizontal="center" vertical="center" wrapText="1"/>
    </xf>
    <xf numFmtId="165" fontId="51" fillId="32" borderId="0" xfId="0" applyNumberFormat="1" applyFont="1" applyFill="1" applyAlignment="1">
      <alignment horizontal="center" vertical="center" wrapText="1"/>
    </xf>
    <xf numFmtId="165" fontId="51" fillId="33" borderId="0" xfId="0" applyNumberFormat="1" applyFont="1" applyFill="1" applyAlignment="1">
      <alignment horizontal="center" vertical="center" wrapText="1"/>
    </xf>
    <xf numFmtId="0" fontId="3" fillId="2" borderId="3" xfId="0" applyFont="1" applyFill="1" applyBorder="1" applyAlignment="1">
      <alignment vertical="top"/>
    </xf>
    <xf numFmtId="165" fontId="4" fillId="0" borderId="0" xfId="1" applyNumberFormat="1" applyAlignment="1">
      <alignment horizontal="left" vertical="center"/>
    </xf>
    <xf numFmtId="165" fontId="4" fillId="0" borderId="0" xfId="1" applyNumberFormat="1" applyFont="1" applyAlignment="1">
      <alignment horizontal="left" vertical="center"/>
    </xf>
    <xf numFmtId="165" fontId="0" fillId="0" borderId="0" xfId="0" applyNumberFormat="1" applyFont="1" applyAlignment="1">
      <alignment horizontal="left" vertical="center"/>
    </xf>
    <xf numFmtId="189" fontId="37" fillId="7" borderId="3" xfId="0" applyNumberFormat="1" applyFont="1" applyFill="1" applyBorder="1" applyAlignment="1">
      <alignment horizontal="center" vertical="center"/>
    </xf>
    <xf numFmtId="197" fontId="37" fillId="7" borderId="3" xfId="0" applyNumberFormat="1" applyFont="1" applyFill="1" applyBorder="1" applyAlignment="1">
      <alignment horizontal="center" vertical="center"/>
    </xf>
    <xf numFmtId="198" fontId="52" fillId="7" borderId="3" xfId="0" applyNumberFormat="1" applyFont="1" applyFill="1" applyBorder="1" applyAlignment="1">
      <alignment horizontal="center" vertical="center"/>
    </xf>
    <xf numFmtId="199" fontId="37" fillId="7" borderId="3" xfId="0" applyNumberFormat="1" applyFont="1" applyFill="1" applyBorder="1" applyAlignment="1">
      <alignment horizontal="center" vertical="center"/>
    </xf>
    <xf numFmtId="200" fontId="37" fillId="7" borderId="3" xfId="0" applyNumberFormat="1" applyFont="1" applyFill="1" applyBorder="1" applyAlignment="1">
      <alignment horizontal="center" vertical="center"/>
    </xf>
    <xf numFmtId="201" fontId="52" fillId="7" borderId="3" xfId="0" applyNumberFormat="1" applyFont="1" applyFill="1" applyBorder="1" applyAlignment="1">
      <alignment horizontal="center" vertical="center"/>
    </xf>
    <xf numFmtId="203" fontId="37" fillId="7" borderId="3" xfId="0" applyNumberFormat="1" applyFont="1" applyFill="1" applyBorder="1" applyAlignment="1">
      <alignment horizontal="center" vertical="center"/>
    </xf>
    <xf numFmtId="204" fontId="37" fillId="7" borderId="3" xfId="0" applyNumberFormat="1" applyFont="1" applyFill="1" applyBorder="1" applyAlignment="1">
      <alignment horizontal="center" vertical="center"/>
    </xf>
    <xf numFmtId="205" fontId="37" fillId="7" borderId="3" xfId="0" applyNumberFormat="1" applyFont="1" applyFill="1" applyBorder="1" applyAlignment="1">
      <alignment horizontal="center" vertical="center"/>
    </xf>
    <xf numFmtId="206" fontId="37" fillId="7" borderId="3" xfId="0" applyNumberFormat="1" applyFont="1" applyFill="1" applyBorder="1" applyAlignment="1">
      <alignment horizontal="center" vertical="center"/>
    </xf>
    <xf numFmtId="207" fontId="37" fillId="7" borderId="3" xfId="0" applyNumberFormat="1" applyFont="1" applyFill="1" applyBorder="1" applyAlignment="1">
      <alignment horizontal="center" vertical="center"/>
    </xf>
    <xf numFmtId="208" fontId="37" fillId="7" borderId="3" xfId="0" applyNumberFormat="1" applyFont="1" applyFill="1" applyBorder="1" applyAlignment="1">
      <alignment horizontal="center" vertical="center"/>
    </xf>
    <xf numFmtId="202" fontId="37" fillId="7" borderId="3" xfId="0" applyNumberFormat="1" applyFont="1" applyFill="1" applyBorder="1" applyAlignment="1">
      <alignment horizontal="center" vertical="center"/>
    </xf>
    <xf numFmtId="178" fontId="37" fillId="7" borderId="3" xfId="0" applyNumberFormat="1" applyFont="1" applyFill="1" applyBorder="1" applyAlignment="1">
      <alignment horizontal="center" vertical="center"/>
    </xf>
    <xf numFmtId="179" fontId="40" fillId="7" borderId="3" xfId="0" applyNumberFormat="1" applyFont="1" applyFill="1" applyBorder="1" applyAlignment="1">
      <alignment horizontal="center" vertical="center"/>
    </xf>
    <xf numFmtId="0" fontId="38" fillId="0" borderId="0" xfId="0" applyFont="1"/>
    <xf numFmtId="0" fontId="2" fillId="0" borderId="0" xfId="0" applyFont="1" applyAlignment="1">
      <alignment horizontal="center" vertical="center" wrapText="1"/>
    </xf>
    <xf numFmtId="209" fontId="37" fillId="7" borderId="3" xfId="0" applyNumberFormat="1" applyFont="1" applyFill="1" applyBorder="1" applyAlignment="1">
      <alignment horizontal="center" vertical="center"/>
    </xf>
    <xf numFmtId="164" fontId="12" fillId="36" borderId="3" xfId="0" applyNumberFormat="1" applyFont="1" applyFill="1" applyBorder="1" applyAlignment="1">
      <alignment horizontal="center" vertical="center" wrapText="1"/>
    </xf>
    <xf numFmtId="164" fontId="9" fillId="36" borderId="3" xfId="0" applyNumberFormat="1" applyFont="1" applyFill="1" applyBorder="1" applyAlignment="1">
      <alignment horizontal="center" vertical="center" textRotation="90" wrapText="1"/>
    </xf>
    <xf numFmtId="0" fontId="2" fillId="0" borderId="0" xfId="0" applyFont="1" applyAlignment="1">
      <alignment horizontal="center" vertical="center"/>
    </xf>
    <xf numFmtId="176" fontId="40" fillId="7" borderId="3" xfId="0" applyNumberFormat="1" applyFont="1" applyFill="1" applyBorder="1" applyAlignment="1">
      <alignment horizontal="center" vertical="center"/>
    </xf>
    <xf numFmtId="2" fontId="51" fillId="7" borderId="3" xfId="0" applyNumberFormat="1" applyFont="1" applyFill="1" applyBorder="1" applyAlignment="1">
      <alignment horizontal="center" vertical="center"/>
    </xf>
    <xf numFmtId="2" fontId="69" fillId="7" borderId="3" xfId="0" applyNumberFormat="1" applyFont="1" applyFill="1" applyBorder="1" applyAlignment="1">
      <alignment horizontal="center" vertical="center"/>
    </xf>
    <xf numFmtId="2" fontId="71" fillId="7" borderId="2" xfId="0" applyNumberFormat="1" applyFont="1" applyFill="1" applyBorder="1" applyAlignment="1">
      <alignment horizontal="center" vertical="center"/>
    </xf>
    <xf numFmtId="9" fontId="48" fillId="2" borderId="3" xfId="0" applyNumberFormat="1" applyFont="1" applyFill="1" applyBorder="1" applyAlignment="1">
      <alignment horizontal="center" vertical="center" wrapText="1"/>
    </xf>
    <xf numFmtId="9" fontId="42" fillId="2" borderId="3" xfId="0" applyNumberFormat="1" applyFont="1" applyFill="1" applyBorder="1" applyAlignment="1">
      <alignment horizontal="center" vertical="center" wrapText="1"/>
    </xf>
    <xf numFmtId="9" fontId="41" fillId="2" borderId="3" xfId="0" applyNumberFormat="1" applyFont="1" applyFill="1" applyBorder="1" applyAlignment="1">
      <alignment horizontal="center" vertical="center" wrapText="1"/>
    </xf>
    <xf numFmtId="9" fontId="6" fillId="2" borderId="3" xfId="0" applyNumberFormat="1" applyFont="1" applyFill="1" applyBorder="1" applyAlignment="1">
      <alignment horizontal="center" vertical="center" wrapText="1"/>
    </xf>
    <xf numFmtId="164" fontId="52" fillId="7" borderId="2" xfId="0" applyNumberFormat="1" applyFont="1" applyFill="1" applyBorder="1" applyAlignment="1">
      <alignment horizontal="center" vertical="center"/>
    </xf>
    <xf numFmtId="164" fontId="40" fillId="7" borderId="2" xfId="0" applyNumberFormat="1" applyFont="1" applyFill="1" applyBorder="1" applyAlignment="1">
      <alignment horizontal="center" vertical="center"/>
    </xf>
    <xf numFmtId="164" fontId="12" fillId="27" borderId="10" xfId="0" applyNumberFormat="1" applyFont="1" applyFill="1" applyBorder="1" applyAlignment="1">
      <alignment horizontal="center" vertical="center" wrapText="1"/>
    </xf>
    <xf numFmtId="165" fontId="2" fillId="0" borderId="0" xfId="0" applyNumberFormat="1" applyFont="1" applyAlignment="1">
      <alignment horizontal="center" vertical="center"/>
    </xf>
    <xf numFmtId="164" fontId="53" fillId="7" borderId="2" xfId="0" applyNumberFormat="1" applyFont="1" applyFill="1" applyBorder="1" applyAlignment="1">
      <alignment horizontal="center" vertical="center"/>
    </xf>
    <xf numFmtId="0" fontId="18" fillId="8" borderId="2" xfId="0" applyFont="1" applyFill="1" applyBorder="1" applyAlignment="1">
      <alignment horizontal="center" vertical="center" wrapText="1"/>
    </xf>
    <xf numFmtId="0" fontId="22" fillId="12" borderId="2" xfId="0" applyFont="1" applyFill="1" applyBorder="1" applyAlignment="1">
      <alignment horizontal="center" vertical="center" wrapText="1"/>
    </xf>
    <xf numFmtId="165" fontId="2" fillId="0" borderId="0" xfId="0" applyNumberFormat="1" applyFont="1" applyAlignment="1">
      <alignment horizontal="center" vertical="center"/>
    </xf>
    <xf numFmtId="164" fontId="75" fillId="37" borderId="3" xfId="0" applyNumberFormat="1" applyFont="1" applyFill="1" applyBorder="1" applyAlignment="1">
      <alignment horizontal="center" vertical="center" wrapText="1"/>
    </xf>
    <xf numFmtId="164" fontId="76" fillId="37" borderId="3" xfId="0" applyNumberFormat="1" applyFont="1" applyFill="1" applyBorder="1" applyAlignment="1">
      <alignment horizontal="center" vertical="center" wrapText="1"/>
    </xf>
    <xf numFmtId="165" fontId="75" fillId="37" borderId="3" xfId="0" applyNumberFormat="1" applyFont="1" applyFill="1" applyBorder="1" applyAlignment="1">
      <alignment horizontal="center" vertical="center" textRotation="90" wrapText="1"/>
    </xf>
    <xf numFmtId="1" fontId="75" fillId="37" borderId="3" xfId="0" applyNumberFormat="1" applyFont="1" applyFill="1" applyBorder="1" applyAlignment="1">
      <alignment horizontal="center" vertical="center" textRotation="90" wrapText="1"/>
    </xf>
    <xf numFmtId="2" fontId="68" fillId="37" borderId="3" xfId="0" applyNumberFormat="1" applyFont="1" applyFill="1" applyBorder="1" applyAlignment="1">
      <alignment horizontal="center" vertical="center" textRotation="90" wrapText="1"/>
    </xf>
    <xf numFmtId="0" fontId="0" fillId="2" borderId="0" xfId="0" applyFill="1" applyAlignment="1">
      <alignment wrapText="1"/>
    </xf>
    <xf numFmtId="0" fontId="0" fillId="0" borderId="0" xfId="0" applyAlignment="1">
      <alignment wrapText="1"/>
    </xf>
    <xf numFmtId="0" fontId="80" fillId="4" borderId="3" xfId="0" applyFont="1" applyFill="1" applyBorder="1" applyAlignment="1">
      <alignment horizontal="center" vertical="center" wrapText="1"/>
    </xf>
    <xf numFmtId="0" fontId="81" fillId="5" borderId="3" xfId="0" applyFont="1" applyFill="1" applyBorder="1" applyAlignment="1">
      <alignment horizontal="center" vertical="center" wrapText="1"/>
    </xf>
    <xf numFmtId="0" fontId="51" fillId="6" borderId="3" xfId="0" applyFont="1" applyFill="1" applyBorder="1" applyAlignment="1">
      <alignment vertical="center"/>
    </xf>
    <xf numFmtId="2" fontId="17" fillId="6" borderId="3" xfId="0" applyNumberFormat="1" applyFont="1" applyFill="1" applyBorder="1" applyAlignment="1">
      <alignment horizontal="center" vertical="center"/>
    </xf>
    <xf numFmtId="165" fontId="16" fillId="7" borderId="3" xfId="0" applyNumberFormat="1" applyFont="1" applyFill="1" applyBorder="1" applyAlignment="1">
      <alignment horizontal="center" vertical="center"/>
    </xf>
    <xf numFmtId="1" fontId="16" fillId="7" borderId="3" xfId="0" applyNumberFormat="1" applyFont="1" applyFill="1" applyBorder="1" applyAlignment="1">
      <alignment horizontal="center" vertical="center"/>
    </xf>
    <xf numFmtId="1" fontId="17" fillId="7" borderId="3" xfId="0" applyNumberFormat="1" applyFont="1" applyFill="1" applyBorder="1" applyAlignment="1">
      <alignment horizontal="center" vertical="center"/>
    </xf>
    <xf numFmtId="0" fontId="82" fillId="8" borderId="3" xfId="0" applyFont="1" applyFill="1" applyBorder="1" applyAlignment="1">
      <alignment horizontal="center" vertical="center" wrapText="1"/>
    </xf>
    <xf numFmtId="0" fontId="83" fillId="9" borderId="3" xfId="0" applyFont="1" applyFill="1" applyBorder="1" applyAlignment="1">
      <alignment horizontal="center" vertical="center" wrapText="1"/>
    </xf>
    <xf numFmtId="0" fontId="84" fillId="10" borderId="3" xfId="0" applyFont="1" applyFill="1" applyBorder="1" applyAlignment="1">
      <alignment horizontal="center" vertical="center" wrapText="1"/>
    </xf>
    <xf numFmtId="0" fontId="85" fillId="11" borderId="3" xfId="0" applyFont="1" applyFill="1" applyBorder="1" applyAlignment="1">
      <alignment horizontal="center" vertical="center" wrapText="1"/>
    </xf>
    <xf numFmtId="0" fontId="86" fillId="12" borderId="3" xfId="0" applyFont="1" applyFill="1" applyBorder="1" applyAlignment="1">
      <alignment horizontal="center" vertical="center" wrapText="1"/>
    </xf>
    <xf numFmtId="165" fontId="13" fillId="7" borderId="3" xfId="0" applyNumberFormat="1" applyFont="1" applyFill="1" applyBorder="1" applyAlignment="1">
      <alignment horizontal="center" vertical="center"/>
    </xf>
    <xf numFmtId="0" fontId="87" fillId="13" borderId="3" xfId="0" applyFont="1" applyFill="1" applyBorder="1" applyAlignment="1">
      <alignment horizontal="center" vertical="center" wrapText="1"/>
    </xf>
    <xf numFmtId="0" fontId="88" fillId="14" borderId="3" xfId="0" applyFont="1" applyFill="1" applyBorder="1" applyAlignment="1">
      <alignment horizontal="center" vertical="center" wrapText="1"/>
    </xf>
    <xf numFmtId="0" fontId="89" fillId="15" borderId="3" xfId="0" applyFont="1" applyFill="1" applyBorder="1" applyAlignment="1">
      <alignment horizontal="center" vertical="center" wrapText="1"/>
    </xf>
    <xf numFmtId="165" fontId="10" fillId="7" borderId="3" xfId="0" applyNumberFormat="1" applyFont="1" applyFill="1" applyBorder="1" applyAlignment="1">
      <alignment horizontal="center" vertical="center"/>
    </xf>
    <xf numFmtId="0" fontId="90" fillId="16" borderId="3" xfId="0" applyFont="1" applyFill="1" applyBorder="1" applyAlignment="1">
      <alignment horizontal="center" vertical="center" wrapText="1"/>
    </xf>
    <xf numFmtId="165" fontId="17" fillId="7" borderId="3" xfId="0" applyNumberFormat="1" applyFont="1" applyFill="1" applyBorder="1" applyAlignment="1">
      <alignment horizontal="center" vertical="center"/>
    </xf>
    <xf numFmtId="0" fontId="91" fillId="17" borderId="3" xfId="0" applyFont="1" applyFill="1" applyBorder="1" applyAlignment="1">
      <alignment horizontal="center" vertical="center" wrapText="1"/>
    </xf>
    <xf numFmtId="0" fontId="92" fillId="18" borderId="3" xfId="0" applyFont="1" applyFill="1" applyBorder="1" applyAlignment="1">
      <alignment horizontal="center" vertical="center" wrapText="1"/>
    </xf>
    <xf numFmtId="0" fontId="93" fillId="19" borderId="3" xfId="0" applyFont="1" applyFill="1" applyBorder="1" applyAlignment="1">
      <alignment horizontal="center" vertical="center" wrapText="1"/>
    </xf>
    <xf numFmtId="165" fontId="0" fillId="0" borderId="0" xfId="0" applyNumberFormat="1"/>
    <xf numFmtId="0" fontId="94" fillId="20" borderId="3" xfId="0" applyFont="1" applyFill="1" applyBorder="1" applyAlignment="1">
      <alignment horizontal="center" vertical="center" wrapText="1"/>
    </xf>
    <xf numFmtId="0" fontId="95" fillId="21" borderId="3" xfId="0" applyFont="1" applyFill="1" applyBorder="1" applyAlignment="1">
      <alignment horizontal="center" vertical="center" wrapText="1"/>
    </xf>
    <xf numFmtId="0" fontId="96" fillId="22" borderId="3" xfId="0" applyFont="1" applyFill="1" applyBorder="1" applyAlignment="1">
      <alignment horizontal="center" vertical="center" wrapText="1"/>
    </xf>
    <xf numFmtId="0" fontId="97" fillId="23" borderId="3" xfId="0" applyFont="1" applyFill="1" applyBorder="1" applyAlignment="1">
      <alignment horizontal="center" vertical="center" wrapText="1"/>
    </xf>
    <xf numFmtId="0" fontId="98" fillId="24" borderId="3" xfId="0" applyFont="1" applyFill="1" applyBorder="1" applyAlignment="1">
      <alignment horizontal="center" vertical="center" wrapText="1"/>
    </xf>
    <xf numFmtId="0" fontId="99" fillId="25" borderId="3" xfId="0" applyFont="1" applyFill="1" applyBorder="1" applyAlignment="1">
      <alignment horizontal="center" vertical="center" wrapText="1"/>
    </xf>
    <xf numFmtId="1" fontId="13" fillId="7" borderId="3" xfId="0" applyNumberFormat="1" applyFont="1" applyFill="1" applyBorder="1" applyAlignment="1">
      <alignment horizontal="center" vertical="center"/>
    </xf>
    <xf numFmtId="1" fontId="0" fillId="0" borderId="0" xfId="0" applyNumberFormat="1" applyAlignment="1">
      <alignment vertical="center"/>
    </xf>
    <xf numFmtId="1" fontId="37" fillId="0" borderId="0" xfId="0" applyNumberFormat="1" applyFont="1" applyAlignment="1">
      <alignment vertical="center"/>
    </xf>
    <xf numFmtId="1" fontId="0" fillId="0" borderId="0" xfId="0" applyNumberFormat="1" applyAlignment="1">
      <alignment horizontal="center" vertical="center"/>
    </xf>
    <xf numFmtId="1" fontId="4" fillId="0" borderId="0" xfId="1" applyNumberFormat="1" applyAlignment="1">
      <alignment horizontal="left" vertical="center"/>
    </xf>
    <xf numFmtId="0" fontId="0" fillId="0" borderId="0" xfId="0" applyAlignment="1">
      <alignment vertical="center"/>
    </xf>
    <xf numFmtId="0" fontId="37" fillId="0" borderId="0" xfId="0" applyFont="1" applyAlignment="1">
      <alignment vertical="center"/>
    </xf>
    <xf numFmtId="165" fontId="67" fillId="0" borderId="0" xfId="0" applyNumberFormat="1" applyFont="1" applyAlignment="1">
      <alignment horizontal="center" vertical="center" wrapText="1"/>
    </xf>
    <xf numFmtId="165" fontId="100" fillId="0" borderId="0" xfId="0" applyNumberFormat="1" applyFont="1" applyAlignment="1">
      <alignment horizontal="center" vertical="center" wrapText="1"/>
    </xf>
    <xf numFmtId="165" fontId="38" fillId="0" borderId="0" xfId="0" applyNumberFormat="1" applyFont="1" applyAlignment="1">
      <alignment horizontal="left" vertical="center"/>
    </xf>
    <xf numFmtId="165" fontId="0" fillId="0" borderId="0" xfId="0" applyNumberFormat="1" applyAlignment="1">
      <alignment horizontal="left" vertical="center"/>
    </xf>
    <xf numFmtId="2" fontId="51" fillId="7" borderId="2" xfId="0" applyNumberFormat="1" applyFont="1" applyFill="1" applyBorder="1" applyAlignment="1">
      <alignment horizontal="center" vertical="center"/>
    </xf>
    <xf numFmtId="165" fontId="37" fillId="7" borderId="2" xfId="0" applyNumberFormat="1" applyFont="1" applyFill="1" applyBorder="1" applyAlignment="1">
      <alignment horizontal="center" vertical="center"/>
    </xf>
    <xf numFmtId="1" fontId="37" fillId="7" borderId="2" xfId="0" applyNumberFormat="1" applyFont="1" applyFill="1" applyBorder="1" applyAlignment="1">
      <alignment horizontal="center" vertical="center"/>
    </xf>
    <xf numFmtId="165" fontId="40" fillId="7" borderId="2" xfId="0" applyNumberFormat="1" applyFont="1" applyFill="1" applyBorder="1" applyAlignment="1">
      <alignment horizontal="center" vertical="center"/>
    </xf>
    <xf numFmtId="0" fontId="0" fillId="35" borderId="12" xfId="0" applyFill="1" applyBorder="1" applyAlignment="1">
      <alignment horizontal="center" vertical="center" textRotation="90" wrapText="1"/>
    </xf>
    <xf numFmtId="0" fontId="2" fillId="35" borderId="12" xfId="0" applyFont="1" applyFill="1" applyBorder="1" applyAlignment="1">
      <alignment horizontal="center" vertical="center" textRotation="90" wrapText="1"/>
    </xf>
    <xf numFmtId="0" fontId="0" fillId="0" borderId="22" xfId="0" applyBorder="1"/>
    <xf numFmtId="0" fontId="0" fillId="0" borderId="22" xfId="0" applyBorder="1" applyAlignment="1">
      <alignment horizontal="center"/>
    </xf>
    <xf numFmtId="164" fontId="0" fillId="0" borderId="22" xfId="0" applyNumberFormat="1" applyBorder="1" applyAlignment="1">
      <alignment horizontal="center"/>
    </xf>
    <xf numFmtId="2" fontId="2" fillId="0" borderId="22" xfId="0" applyNumberFormat="1" applyFont="1" applyBorder="1" applyAlignment="1">
      <alignment horizontal="center" vertical="center"/>
    </xf>
    <xf numFmtId="0" fontId="0" fillId="0" borderId="7" xfId="0" applyBorder="1" applyAlignment="1">
      <alignment horizontal="center"/>
    </xf>
    <xf numFmtId="164" fontId="0" fillId="0" borderId="7" xfId="0" applyNumberFormat="1" applyBorder="1" applyAlignment="1">
      <alignment horizontal="center"/>
    </xf>
    <xf numFmtId="2" fontId="2" fillId="0" borderId="7" xfId="0" applyNumberFormat="1" applyFont="1" applyBorder="1" applyAlignment="1">
      <alignment horizontal="center" vertical="center"/>
    </xf>
    <xf numFmtId="0" fontId="0" fillId="0" borderId="0" xfId="0" applyAlignment="1">
      <alignment horizontal="center"/>
    </xf>
    <xf numFmtId="164" fontId="0" fillId="0" borderId="0" xfId="0" applyNumberFormat="1" applyAlignment="1">
      <alignment horizontal="center"/>
    </xf>
    <xf numFmtId="164" fontId="102" fillId="2" borderId="7" xfId="0" applyNumberFormat="1" applyFont="1" applyFill="1" applyBorder="1" applyAlignment="1">
      <alignment horizontal="center" vertical="center" wrapText="1"/>
    </xf>
    <xf numFmtId="164" fontId="67" fillId="38" borderId="7" xfId="0" applyNumberFormat="1" applyFont="1" applyFill="1" applyBorder="1" applyAlignment="1">
      <alignment vertical="center" textRotation="90" wrapText="1"/>
    </xf>
    <xf numFmtId="164" fontId="37" fillId="2" borderId="7" xfId="0" applyNumberFormat="1" applyFont="1" applyFill="1" applyBorder="1" applyAlignment="1">
      <alignment horizontal="center" vertical="center" textRotation="90" wrapText="1"/>
    </xf>
    <xf numFmtId="0" fontId="37" fillId="0" borderId="22" xfId="0" applyFont="1" applyBorder="1" applyAlignment="1">
      <alignment horizontal="center"/>
    </xf>
    <xf numFmtId="0" fontId="12" fillId="39" borderId="22" xfId="0" applyFont="1" applyFill="1" applyBorder="1" applyAlignment="1">
      <alignment horizontal="center" vertical="center" wrapText="1"/>
    </xf>
    <xf numFmtId="0" fontId="0" fillId="34" borderId="22" xfId="0" applyFill="1" applyBorder="1" applyAlignment="1">
      <alignment horizontal="left" vertical="center" wrapText="1"/>
    </xf>
    <xf numFmtId="210" fontId="2" fillId="29" borderId="7" xfId="0" applyNumberFormat="1" applyFont="1" applyFill="1" applyBorder="1" applyAlignment="1">
      <alignment horizontal="center" vertical="center"/>
    </xf>
    <xf numFmtId="2" fontId="0" fillId="29" borderId="7" xfId="0" applyNumberFormat="1" applyFill="1" applyBorder="1" applyAlignment="1">
      <alignment horizontal="center" vertical="center"/>
    </xf>
    <xf numFmtId="164" fontId="37" fillId="29" borderId="7" xfId="0" applyNumberFormat="1" applyFont="1" applyFill="1" applyBorder="1" applyAlignment="1">
      <alignment horizontal="center" vertical="center"/>
    </xf>
    <xf numFmtId="2" fontId="0" fillId="2" borderId="7" xfId="0" applyNumberFormat="1" applyFill="1" applyBorder="1" applyAlignment="1">
      <alignment horizontal="center" vertical="center"/>
    </xf>
    <xf numFmtId="0" fontId="37" fillId="0" borderId="7" xfId="0" applyFont="1" applyBorder="1" applyAlignment="1">
      <alignment horizontal="center"/>
    </xf>
    <xf numFmtId="0" fontId="12" fillId="41" borderId="7" xfId="0" applyFont="1" applyFill="1" applyBorder="1" applyAlignment="1">
      <alignment horizontal="center" vertical="center" wrapText="1"/>
    </xf>
    <xf numFmtId="0" fontId="37" fillId="42" borderId="7" xfId="0" applyFont="1" applyFill="1" applyBorder="1" applyAlignment="1">
      <alignment horizontal="center" vertical="center" wrapText="1"/>
    </xf>
    <xf numFmtId="0" fontId="12" fillId="43" borderId="7" xfId="0" applyFont="1" applyFill="1" applyBorder="1" applyAlignment="1">
      <alignment horizontal="center" vertical="center" wrapText="1"/>
    </xf>
    <xf numFmtId="0" fontId="37" fillId="44" borderId="7" xfId="0" applyFont="1" applyFill="1" applyBorder="1" applyAlignment="1">
      <alignment horizontal="center" vertical="center" wrapText="1"/>
    </xf>
    <xf numFmtId="0" fontId="37" fillId="45" borderId="7" xfId="0" applyFont="1" applyFill="1" applyBorder="1" applyAlignment="1">
      <alignment horizontal="center" vertical="center" wrapText="1"/>
    </xf>
    <xf numFmtId="0" fontId="37" fillId="46" borderId="7" xfId="0" applyFont="1" applyFill="1" applyBorder="1" applyAlignment="1">
      <alignment horizontal="center" vertical="center" wrapText="1"/>
    </xf>
    <xf numFmtId="0" fontId="12" fillId="47" borderId="7" xfId="0" applyFont="1" applyFill="1" applyBorder="1" applyAlignment="1">
      <alignment horizontal="center" vertical="center" wrapText="1"/>
    </xf>
    <xf numFmtId="0" fontId="37" fillId="48" borderId="7" xfId="0" applyFont="1" applyFill="1" applyBorder="1" applyAlignment="1">
      <alignment horizontal="center" vertical="center" wrapText="1"/>
    </xf>
    <xf numFmtId="0" fontId="37" fillId="49" borderId="7" xfId="0" applyFont="1" applyFill="1" applyBorder="1" applyAlignment="1">
      <alignment horizontal="center" vertical="center" wrapText="1"/>
    </xf>
    <xf numFmtId="0" fontId="12" fillId="50" borderId="7" xfId="0" applyFont="1" applyFill="1" applyBorder="1" applyAlignment="1">
      <alignment horizontal="center" vertical="center" wrapText="1"/>
    </xf>
    <xf numFmtId="0" fontId="37" fillId="51" borderId="7" xfId="0" applyFont="1" applyFill="1" applyBorder="1" applyAlignment="1">
      <alignment horizontal="center" vertical="center" wrapText="1"/>
    </xf>
    <xf numFmtId="2" fontId="38" fillId="29" borderId="7" xfId="0" applyNumberFormat="1" applyFont="1" applyFill="1" applyBorder="1" applyAlignment="1">
      <alignment horizontal="center" vertical="center"/>
    </xf>
    <xf numFmtId="0" fontId="12" fillId="39" borderId="7" xfId="0" applyFont="1" applyFill="1" applyBorder="1" applyAlignment="1">
      <alignment horizontal="center" vertical="center" wrapText="1"/>
    </xf>
    <xf numFmtId="0" fontId="37" fillId="52" borderId="7" xfId="0" applyFont="1" applyFill="1" applyBorder="1" applyAlignment="1">
      <alignment horizontal="center" vertical="center" wrapText="1"/>
    </xf>
    <xf numFmtId="0" fontId="37" fillId="40" borderId="7" xfId="0" applyFont="1" applyFill="1" applyBorder="1" applyAlignment="1">
      <alignment horizontal="center" vertical="center" wrapText="1"/>
    </xf>
    <xf numFmtId="0" fontId="37" fillId="53" borderId="7" xfId="0" applyFont="1" applyFill="1" applyBorder="1" applyAlignment="1">
      <alignment horizontal="center" vertical="center" wrapText="1"/>
    </xf>
    <xf numFmtId="0" fontId="37" fillId="54" borderId="7" xfId="0" applyFont="1" applyFill="1" applyBorder="1" applyAlignment="1">
      <alignment horizontal="center" vertical="center" wrapText="1"/>
    </xf>
    <xf numFmtId="0" fontId="37" fillId="55" borderId="7" xfId="0" applyFont="1" applyFill="1" applyBorder="1" applyAlignment="1">
      <alignment horizontal="center" vertical="center" wrapText="1"/>
    </xf>
    <xf numFmtId="0" fontId="37" fillId="56" borderId="7" xfId="0" applyFont="1" applyFill="1" applyBorder="1" applyAlignment="1">
      <alignment horizontal="center" vertical="center" wrapText="1"/>
    </xf>
    <xf numFmtId="164" fontId="40" fillId="29" borderId="7" xfId="0" applyNumberFormat="1" applyFont="1" applyFill="1" applyBorder="1" applyAlignment="1">
      <alignment horizontal="center" vertical="center"/>
    </xf>
    <xf numFmtId="0" fontId="37" fillId="57" borderId="7" xfId="0" applyFont="1" applyFill="1" applyBorder="1" applyAlignment="1">
      <alignment horizontal="center" vertical="center" wrapText="1"/>
    </xf>
    <xf numFmtId="0" fontId="37" fillId="58" borderId="7" xfId="0" applyFont="1" applyFill="1" applyBorder="1" applyAlignment="1">
      <alignment horizontal="center" vertical="center" wrapText="1"/>
    </xf>
    <xf numFmtId="0" fontId="0" fillId="34" borderId="7" xfId="0" applyFill="1" applyBorder="1" applyAlignment="1">
      <alignment horizontal="left" vertical="center"/>
    </xf>
    <xf numFmtId="0" fontId="37" fillId="2" borderId="0" xfId="0" applyFont="1" applyFill="1" applyAlignment="1">
      <alignment horizontal="center"/>
    </xf>
    <xf numFmtId="0" fontId="37" fillId="2" borderId="0" xfId="0" applyFont="1" applyFill="1"/>
    <xf numFmtId="0" fontId="0" fillId="2" borderId="0" xfId="0" applyFill="1" applyAlignment="1">
      <alignment horizontal="left"/>
    </xf>
    <xf numFmtId="210" fontId="0" fillId="2" borderId="0" xfId="0" applyNumberFormat="1" applyFill="1"/>
    <xf numFmtId="2" fontId="0" fillId="2" borderId="0" xfId="0" applyNumberFormat="1" applyFill="1"/>
    <xf numFmtId="164" fontId="37" fillId="2" borderId="0" xfId="0" applyNumberFormat="1" applyFont="1" applyFill="1"/>
    <xf numFmtId="210" fontId="0" fillId="0" borderId="0" xfId="0" applyNumberFormat="1"/>
    <xf numFmtId="164" fontId="1" fillId="2" borderId="0" xfId="0" applyNumberFormat="1" applyFont="1" applyFill="1" applyAlignment="1">
      <alignment vertical="center" wrapText="1"/>
    </xf>
    <xf numFmtId="0" fontId="12" fillId="41" borderId="22" xfId="0" applyFont="1" applyFill="1" applyBorder="1" applyAlignment="1">
      <alignment horizontal="center" vertical="center" wrapText="1"/>
    </xf>
    <xf numFmtId="0" fontId="37" fillId="45" borderId="22" xfId="0" applyFont="1" applyFill="1" applyBorder="1" applyAlignment="1">
      <alignment horizontal="center" vertical="center" wrapText="1"/>
    </xf>
    <xf numFmtId="0" fontId="11" fillId="2" borderId="30" xfId="0" applyFont="1" applyFill="1" applyBorder="1" applyAlignment="1">
      <alignment vertical="center" wrapText="1"/>
    </xf>
    <xf numFmtId="0" fontId="102" fillId="0" borderId="0" xfId="0" applyFont="1" applyAlignment="1">
      <alignment vertical="center" wrapText="1"/>
    </xf>
    <xf numFmtId="2" fontId="102" fillId="38" borderId="7" xfId="0" applyNumberFormat="1" applyFont="1" applyFill="1" applyBorder="1" applyAlignment="1">
      <alignment horizontal="center" vertical="center" textRotation="90" wrapText="1"/>
    </xf>
    <xf numFmtId="164" fontId="102" fillId="38" borderId="7" xfId="0" applyNumberFormat="1" applyFont="1" applyFill="1" applyBorder="1" applyAlignment="1">
      <alignment horizontal="center" vertical="center" textRotation="90" wrapText="1"/>
    </xf>
    <xf numFmtId="2" fontId="2" fillId="38" borderId="7" xfId="0" applyNumberFormat="1" applyFont="1" applyFill="1" applyBorder="1" applyAlignment="1">
      <alignment horizontal="center" vertical="center" textRotation="90" wrapText="1"/>
    </xf>
    <xf numFmtId="2" fontId="67" fillId="38" borderId="7" xfId="0" applyNumberFormat="1" applyFont="1" applyFill="1" applyBorder="1" applyAlignment="1">
      <alignment horizontal="center" vertical="center" textRotation="90" wrapText="1"/>
    </xf>
    <xf numFmtId="1" fontId="107" fillId="34" borderId="7" xfId="0" applyNumberFormat="1" applyFont="1" applyFill="1" applyBorder="1" applyAlignment="1">
      <alignment horizontal="center" vertical="center" textRotation="90" wrapText="1"/>
    </xf>
    <xf numFmtId="1" fontId="67" fillId="34" borderId="7" xfId="0" applyNumberFormat="1" applyFont="1" applyFill="1" applyBorder="1" applyAlignment="1">
      <alignment horizontal="center" vertical="center" textRotation="90" wrapText="1"/>
    </xf>
    <xf numFmtId="2" fontId="67" fillId="34" borderId="7" xfId="0" applyNumberFormat="1" applyFont="1" applyFill="1" applyBorder="1" applyAlignment="1">
      <alignment horizontal="center" vertical="center" textRotation="90" wrapText="1"/>
    </xf>
    <xf numFmtId="2" fontId="102" fillId="38" borderId="32" xfId="0" applyNumberFormat="1" applyFont="1" applyFill="1" applyBorder="1" applyAlignment="1">
      <alignment horizontal="center" vertical="center" textRotation="90" wrapText="1"/>
    </xf>
    <xf numFmtId="164" fontId="102" fillId="38" borderId="22" xfId="0" applyNumberFormat="1" applyFont="1" applyFill="1" applyBorder="1" applyAlignment="1">
      <alignment horizontal="center" vertical="center" textRotation="90" wrapText="1"/>
    </xf>
    <xf numFmtId="2" fontId="102" fillId="38" borderId="22" xfId="0" applyNumberFormat="1" applyFont="1" applyFill="1" applyBorder="1" applyAlignment="1">
      <alignment horizontal="center" vertical="center" textRotation="90" wrapText="1"/>
    </xf>
    <xf numFmtId="2" fontId="2" fillId="38" borderId="22" xfId="0" applyNumberFormat="1" applyFont="1" applyFill="1" applyBorder="1" applyAlignment="1">
      <alignment horizontal="center" vertical="center" textRotation="90" wrapText="1"/>
    </xf>
    <xf numFmtId="210" fontId="2" fillId="7" borderId="7" xfId="0" applyNumberFormat="1" applyFont="1" applyFill="1" applyBorder="1" applyAlignment="1">
      <alignment horizontal="center" vertical="center"/>
    </xf>
    <xf numFmtId="211" fontId="2" fillId="7" borderId="7" xfId="0" applyNumberFormat="1" applyFont="1" applyFill="1" applyBorder="1" applyAlignment="1">
      <alignment horizontal="center" vertical="center"/>
    </xf>
    <xf numFmtId="2" fontId="102" fillId="7" borderId="7" xfId="0" applyNumberFormat="1" applyFont="1" applyFill="1" applyBorder="1" applyAlignment="1">
      <alignment horizontal="center" vertical="center"/>
    </xf>
    <xf numFmtId="164" fontId="102" fillId="7" borderId="7" xfId="0" applyNumberFormat="1" applyFont="1" applyFill="1" applyBorder="1" applyAlignment="1">
      <alignment horizontal="center" vertical="center"/>
    </xf>
    <xf numFmtId="2" fontId="2" fillId="7" borderId="7" xfId="0" applyNumberFormat="1" applyFont="1" applyFill="1" applyBorder="1" applyAlignment="1">
      <alignment horizontal="center" vertical="center"/>
    </xf>
    <xf numFmtId="1" fontId="76" fillId="7" borderId="7" xfId="0" applyNumberFormat="1" applyFont="1" applyFill="1" applyBorder="1" applyAlignment="1">
      <alignment horizontal="center" vertical="center"/>
    </xf>
    <xf numFmtId="1" fontId="102" fillId="7" borderId="7" xfId="0" applyNumberFormat="1" applyFont="1" applyFill="1" applyBorder="1" applyAlignment="1">
      <alignment horizontal="center" vertical="center"/>
    </xf>
    <xf numFmtId="2" fontId="76" fillId="7" borderId="7" xfId="0" applyNumberFormat="1" applyFont="1" applyFill="1" applyBorder="1" applyAlignment="1">
      <alignment horizontal="center" vertical="center"/>
    </xf>
    <xf numFmtId="164" fontId="108" fillId="7" borderId="7" xfId="0" applyNumberFormat="1" applyFont="1" applyFill="1" applyBorder="1" applyAlignment="1">
      <alignment horizontal="center" vertical="center"/>
    </xf>
    <xf numFmtId="2" fontId="109" fillId="7" borderId="7" xfId="0" applyNumberFormat="1" applyFont="1" applyFill="1" applyBorder="1" applyAlignment="1">
      <alignment horizontal="center" vertical="center"/>
    </xf>
    <xf numFmtId="2" fontId="2" fillId="29" borderId="7" xfId="0" applyNumberFormat="1" applyFont="1" applyFill="1" applyBorder="1" applyAlignment="1">
      <alignment horizontal="center" vertical="center"/>
    </xf>
    <xf numFmtId="164" fontId="109" fillId="7" borderId="7" xfId="0" applyNumberFormat="1" applyFont="1" applyFill="1" applyBorder="1" applyAlignment="1">
      <alignment horizontal="center" vertical="center"/>
    </xf>
    <xf numFmtId="1" fontId="109" fillId="7" borderId="7" xfId="0" applyNumberFormat="1" applyFont="1" applyFill="1" applyBorder="1" applyAlignment="1">
      <alignment horizontal="center" vertical="center"/>
    </xf>
    <xf numFmtId="0" fontId="24" fillId="0" borderId="0" xfId="0" applyFont="1" applyAlignment="1">
      <alignment horizontal="left" vertical="center"/>
    </xf>
    <xf numFmtId="165" fontId="51" fillId="30" borderId="0" xfId="0" applyNumberFormat="1" applyFont="1" applyFill="1" applyAlignment="1">
      <alignment horizontal="center" vertical="center" wrapText="1"/>
    </xf>
    <xf numFmtId="0" fontId="0" fillId="2" borderId="7" xfId="0" applyFill="1" applyBorder="1"/>
    <xf numFmtId="164" fontId="109" fillId="7" borderId="7" xfId="0" quotePrefix="1" applyNumberFormat="1" applyFont="1" applyFill="1" applyBorder="1" applyAlignment="1">
      <alignment horizontal="center" vertical="center"/>
    </xf>
    <xf numFmtId="0" fontId="24" fillId="0" borderId="0" xfId="0" applyFont="1" applyAlignment="1">
      <alignment horizontal="left"/>
    </xf>
    <xf numFmtId="165" fontId="37" fillId="0" borderId="0" xfId="0" applyNumberFormat="1" applyFont="1" applyAlignment="1">
      <alignment horizontal="left"/>
    </xf>
    <xf numFmtId="165" fontId="37" fillId="0" borderId="0" xfId="0" applyNumberFormat="1" applyFont="1"/>
    <xf numFmtId="212" fontId="0" fillId="2" borderId="0" xfId="0" applyNumberFormat="1" applyFill="1"/>
    <xf numFmtId="211" fontId="0" fillId="0" borderId="0" xfId="0" applyNumberFormat="1"/>
    <xf numFmtId="2" fontId="102" fillId="0" borderId="0" xfId="0" applyNumberFormat="1" applyFont="1"/>
    <xf numFmtId="164" fontId="102" fillId="0" borderId="0" xfId="0" applyNumberFormat="1" applyFont="1"/>
    <xf numFmtId="2" fontId="2" fillId="0" borderId="0" xfId="0" applyNumberFormat="1" applyFont="1"/>
    <xf numFmtId="1" fontId="102" fillId="0" borderId="0" xfId="0" applyNumberFormat="1" applyFont="1"/>
    <xf numFmtId="164" fontId="2" fillId="0" borderId="0" xfId="0" applyNumberFormat="1" applyFont="1"/>
    <xf numFmtId="211" fontId="37" fillId="0" borderId="0" xfId="0" applyNumberFormat="1" applyFont="1" applyAlignment="1">
      <alignment vertical="top" wrapText="1"/>
    </xf>
    <xf numFmtId="2" fontId="37" fillId="0" borderId="0" xfId="0" applyNumberFormat="1" applyFont="1" applyAlignment="1">
      <alignment vertical="top" wrapText="1"/>
    </xf>
    <xf numFmtId="1" fontId="37" fillId="0" borderId="0" xfId="0" applyNumberFormat="1" applyFont="1" applyAlignment="1">
      <alignment vertical="top" wrapText="1"/>
    </xf>
    <xf numFmtId="164" fontId="37" fillId="0" borderId="0" xfId="0" applyNumberFormat="1" applyFont="1" applyAlignment="1">
      <alignment vertical="top" wrapText="1"/>
    </xf>
    <xf numFmtId="1" fontId="37" fillId="0" borderId="0" xfId="0" applyNumberFormat="1" applyFont="1" applyAlignment="1">
      <alignment horizontal="center"/>
    </xf>
    <xf numFmtId="1" fontId="102" fillId="0" borderId="0" xfId="0" applyNumberFormat="1" applyFont="1" applyAlignment="1">
      <alignment vertical="top" wrapText="1"/>
    </xf>
    <xf numFmtId="1" fontId="37" fillId="0" borderId="0" xfId="0" applyNumberFormat="1" applyFont="1" applyAlignment="1">
      <alignment horizontal="center" vertical="top" wrapText="1"/>
    </xf>
    <xf numFmtId="1" fontId="0" fillId="0" borderId="0" xfId="0" applyNumberFormat="1" applyAlignment="1">
      <alignment horizontal="left"/>
    </xf>
    <xf numFmtId="0" fontId="4" fillId="0" borderId="0" xfId="1" applyAlignment="1">
      <alignment vertical="top" wrapText="1"/>
    </xf>
    <xf numFmtId="2" fontId="110" fillId="0" borderId="0" xfId="1" applyNumberFormat="1" applyFont="1" applyAlignment="1">
      <alignment vertical="top" wrapText="1"/>
    </xf>
    <xf numFmtId="1" fontId="4" fillId="0" borderId="0" xfId="1" applyNumberFormat="1" applyAlignment="1">
      <alignment vertical="top" wrapText="1"/>
    </xf>
    <xf numFmtId="0" fontId="110" fillId="0" borderId="0" xfId="1" applyFont="1" applyAlignment="1">
      <alignment vertical="top" wrapText="1"/>
    </xf>
    <xf numFmtId="2" fontId="4" fillId="0" borderId="0" xfId="1" applyNumberFormat="1" applyAlignment="1">
      <alignment vertical="top" wrapText="1"/>
    </xf>
    <xf numFmtId="164" fontId="4" fillId="0" borderId="0" xfId="1" applyNumberFormat="1" applyAlignment="1">
      <alignment vertical="top" wrapText="1"/>
    </xf>
    <xf numFmtId="2" fontId="110" fillId="0" borderId="0" xfId="1" applyNumberFormat="1" applyFont="1"/>
    <xf numFmtId="0" fontId="37" fillId="0" borderId="0" xfId="0" applyFont="1" applyAlignment="1">
      <alignment horizontal="left" vertical="top" wrapText="1"/>
    </xf>
    <xf numFmtId="211" fontId="37" fillId="0" borderId="0" xfId="0" applyNumberFormat="1" applyFont="1" applyAlignment="1">
      <alignment horizontal="left" vertical="top" wrapText="1"/>
    </xf>
    <xf numFmtId="2" fontId="0" fillId="0" borderId="0" xfId="0" applyNumberFormat="1" applyAlignment="1">
      <alignment horizontal="left"/>
    </xf>
    <xf numFmtId="0" fontId="0" fillId="0" borderId="0" xfId="0" applyAlignment="1">
      <alignment horizontal="left" vertical="top"/>
    </xf>
    <xf numFmtId="210" fontId="0" fillId="0" borderId="0" xfId="0" applyNumberFormat="1" applyAlignment="1">
      <alignment horizontal="left" vertical="top"/>
    </xf>
    <xf numFmtId="211" fontId="0" fillId="0" borderId="0" xfId="0" applyNumberFormat="1" applyAlignment="1">
      <alignment horizontal="left" vertical="top"/>
    </xf>
    <xf numFmtId="0" fontId="37" fillId="54" borderId="22" xfId="0" applyFont="1" applyFill="1" applyBorder="1" applyAlignment="1">
      <alignment horizontal="center" vertical="center" wrapText="1"/>
    </xf>
    <xf numFmtId="0" fontId="61" fillId="29" borderId="22" xfId="0" applyFont="1" applyFill="1" applyBorder="1" applyAlignment="1">
      <alignment horizontal="center" vertical="center" wrapText="1"/>
    </xf>
    <xf numFmtId="165" fontId="51" fillId="32" borderId="22" xfId="0" applyNumberFormat="1" applyFont="1" applyFill="1" applyBorder="1" applyAlignment="1">
      <alignment horizontal="center" vertical="center" wrapText="1"/>
    </xf>
    <xf numFmtId="0" fontId="11" fillId="2" borderId="3" xfId="0" applyFont="1" applyFill="1" applyBorder="1" applyAlignment="1">
      <alignment horizontal="right" vertical="center" wrapText="1" indent="1"/>
    </xf>
    <xf numFmtId="164" fontId="37" fillId="2" borderId="13" xfId="0" applyNumberFormat="1" applyFont="1" applyFill="1" applyBorder="1" applyAlignment="1">
      <alignment horizontal="center" vertical="center" textRotation="90" wrapText="1"/>
    </xf>
    <xf numFmtId="164" fontId="1" fillId="60" borderId="3" xfId="0" applyNumberFormat="1" applyFont="1" applyFill="1" applyBorder="1" applyAlignment="1">
      <alignment horizontal="center" vertical="center" wrapText="1"/>
    </xf>
    <xf numFmtId="0" fontId="5" fillId="2" borderId="3" xfId="0" applyFont="1" applyFill="1" applyBorder="1" applyAlignment="1">
      <alignment horizontal="center" vertical="center" wrapText="1"/>
    </xf>
    <xf numFmtId="2" fontId="76" fillId="60" borderId="3" xfId="0" applyNumberFormat="1" applyFont="1" applyFill="1" applyBorder="1" applyAlignment="1">
      <alignment horizontal="center" vertical="center" textRotation="90" wrapText="1"/>
    </xf>
    <xf numFmtId="1" fontId="76" fillId="60" borderId="3" xfId="0" applyNumberFormat="1" applyFont="1" applyFill="1" applyBorder="1" applyAlignment="1">
      <alignment horizontal="center" vertical="center" textRotation="90" wrapText="1"/>
    </xf>
    <xf numFmtId="2" fontId="51" fillId="60" borderId="3" xfId="0" applyNumberFormat="1" applyFont="1" applyFill="1" applyBorder="1" applyAlignment="1">
      <alignment horizontal="center" vertical="center" textRotation="90" wrapText="1"/>
    </xf>
    <xf numFmtId="2" fontId="0" fillId="2" borderId="13" xfId="0" applyNumberFormat="1" applyFill="1" applyBorder="1" applyAlignment="1">
      <alignment horizontal="center" vertical="center"/>
    </xf>
    <xf numFmtId="0" fontId="3" fillId="6" borderId="1" xfId="0" applyFont="1" applyFill="1" applyBorder="1" applyAlignment="1">
      <alignment vertical="center"/>
    </xf>
    <xf numFmtId="210" fontId="2" fillId="7" borderId="3" xfId="0" applyNumberFormat="1" applyFont="1" applyFill="1" applyBorder="1" applyAlignment="1">
      <alignment horizontal="center" vertical="center"/>
    </xf>
    <xf numFmtId="2" fontId="102" fillId="7" borderId="3" xfId="0" applyNumberFormat="1" applyFont="1" applyFill="1" applyBorder="1" applyAlignment="1">
      <alignment horizontal="center" vertical="center"/>
    </xf>
    <xf numFmtId="2" fontId="109" fillId="7" borderId="3" xfId="0" applyNumberFormat="1" applyFont="1" applyFill="1" applyBorder="1" applyAlignment="1">
      <alignment horizontal="center" vertical="center"/>
    </xf>
    <xf numFmtId="164" fontId="109" fillId="7" borderId="3" xfId="0" applyNumberFormat="1" applyFont="1" applyFill="1" applyBorder="1" applyAlignment="1">
      <alignment horizontal="center" vertical="center"/>
    </xf>
    <xf numFmtId="1" fontId="102" fillId="7" borderId="3" xfId="0" applyNumberFormat="1" applyFont="1" applyFill="1" applyBorder="1" applyAlignment="1">
      <alignment horizontal="center" vertical="center"/>
    </xf>
    <xf numFmtId="1" fontId="109" fillId="7" borderId="3" xfId="0" applyNumberFormat="1" applyFont="1" applyFill="1" applyBorder="1" applyAlignment="1">
      <alignment horizontal="center" vertical="center"/>
    </xf>
    <xf numFmtId="2" fontId="2" fillId="7" borderId="3" xfId="0" applyNumberFormat="1" applyFont="1" applyFill="1" applyBorder="1" applyAlignment="1">
      <alignment horizontal="center" vertical="center"/>
    </xf>
    <xf numFmtId="164" fontId="102" fillId="7" borderId="3" xfId="0" applyNumberFormat="1" applyFont="1" applyFill="1" applyBorder="1" applyAlignment="1">
      <alignment horizontal="center" vertical="center"/>
    </xf>
    <xf numFmtId="0" fontId="0" fillId="2" borderId="13" xfId="0" applyFill="1" applyBorder="1"/>
    <xf numFmtId="1" fontId="0" fillId="2" borderId="0" xfId="0" applyNumberFormat="1" applyFill="1"/>
    <xf numFmtId="1" fontId="2" fillId="0" borderId="0" xfId="0" applyNumberFormat="1" applyFont="1"/>
    <xf numFmtId="1" fontId="37" fillId="0" borderId="0" xfId="0" applyNumberFormat="1" applyFont="1" applyAlignment="1">
      <alignment horizontal="right" vertical="top" wrapText="1"/>
    </xf>
    <xf numFmtId="0" fontId="73" fillId="0" borderId="0" xfId="1" applyFont="1" applyAlignment="1">
      <alignment vertical="top" wrapText="1"/>
    </xf>
    <xf numFmtId="1" fontId="110" fillId="0" borderId="0" xfId="1" applyNumberFormat="1" applyFont="1" applyAlignment="1">
      <alignment vertical="top" wrapText="1"/>
    </xf>
    <xf numFmtId="210" fontId="2" fillId="6" borderId="1" xfId="0" applyNumberFormat="1" applyFont="1" applyFill="1" applyBorder="1" applyAlignment="1">
      <alignment horizontal="center" vertical="center"/>
    </xf>
    <xf numFmtId="213" fontId="102" fillId="7" borderId="3" xfId="0" applyNumberFormat="1" applyFont="1" applyFill="1" applyBorder="1" applyAlignment="1">
      <alignment horizontal="center" vertical="center"/>
    </xf>
    <xf numFmtId="214" fontId="102" fillId="7" borderId="3" xfId="0" applyNumberFormat="1" applyFont="1" applyFill="1" applyBorder="1" applyAlignment="1">
      <alignment horizontal="center" vertical="center"/>
    </xf>
    <xf numFmtId="215" fontId="102" fillId="7" borderId="3" xfId="0" applyNumberFormat="1" applyFont="1" applyFill="1" applyBorder="1" applyAlignment="1">
      <alignment horizontal="center" vertical="center"/>
    </xf>
    <xf numFmtId="216" fontId="102" fillId="7" borderId="3" xfId="0" applyNumberFormat="1" applyFont="1" applyFill="1" applyBorder="1" applyAlignment="1">
      <alignment horizontal="center" vertical="center"/>
    </xf>
    <xf numFmtId="0" fontId="37" fillId="0" borderId="0" xfId="0" applyFont="1" applyAlignment="1">
      <alignment horizontal="center" vertical="center" wrapText="1"/>
    </xf>
    <xf numFmtId="1" fontId="37" fillId="0" borderId="0" xfId="0" applyNumberFormat="1" applyFont="1" applyAlignment="1">
      <alignment horizontal="center" vertical="center" wrapText="1"/>
    </xf>
    <xf numFmtId="211" fontId="2" fillId="7" borderId="3" xfId="0" applyNumberFormat="1" applyFont="1" applyFill="1" applyBorder="1" applyAlignment="1">
      <alignment horizontal="center" vertical="center"/>
    </xf>
    <xf numFmtId="211" fontId="102" fillId="7" borderId="3" xfId="0" applyNumberFormat="1" applyFont="1" applyFill="1" applyBorder="1" applyAlignment="1">
      <alignment horizontal="center" vertical="center"/>
    </xf>
    <xf numFmtId="217" fontId="102" fillId="7" borderId="3" xfId="0" applyNumberFormat="1" applyFont="1" applyFill="1" applyBorder="1" applyAlignment="1">
      <alignment horizontal="center" vertical="center"/>
    </xf>
    <xf numFmtId="218" fontId="102" fillId="7" borderId="3" xfId="0" applyNumberFormat="1" applyFont="1" applyFill="1" applyBorder="1" applyAlignment="1">
      <alignment horizontal="center" vertical="center"/>
    </xf>
    <xf numFmtId="219" fontId="102" fillId="7" borderId="3" xfId="0" applyNumberFormat="1" applyFont="1" applyFill="1" applyBorder="1" applyAlignment="1">
      <alignment horizontal="center" vertical="center"/>
    </xf>
    <xf numFmtId="174" fontId="37" fillId="7" borderId="3" xfId="0" applyNumberFormat="1" applyFont="1" applyFill="1" applyBorder="1" applyAlignment="1">
      <alignment horizontal="center" vertical="center"/>
    </xf>
    <xf numFmtId="220" fontId="102" fillId="7" borderId="3" xfId="0" applyNumberFormat="1" applyFont="1" applyFill="1" applyBorder="1" applyAlignment="1">
      <alignment horizontal="center" vertical="center"/>
    </xf>
    <xf numFmtId="221" fontId="102" fillId="7" borderId="3" xfId="0" applyNumberFormat="1" applyFont="1" applyFill="1" applyBorder="1" applyAlignment="1">
      <alignment horizontal="center" vertical="center"/>
    </xf>
    <xf numFmtId="222" fontId="102" fillId="7" borderId="3" xfId="0" applyNumberFormat="1" applyFont="1" applyFill="1" applyBorder="1" applyAlignment="1">
      <alignment horizontal="center" vertical="center"/>
    </xf>
    <xf numFmtId="176" fontId="37" fillId="7" borderId="3" xfId="0" applyNumberFormat="1" applyFont="1" applyFill="1" applyBorder="1" applyAlignment="1">
      <alignment horizontal="center" vertical="center"/>
    </xf>
    <xf numFmtId="179" fontId="37" fillId="7" borderId="3" xfId="0" applyNumberFormat="1" applyFont="1" applyFill="1" applyBorder="1" applyAlignment="1">
      <alignment horizontal="center" vertical="center"/>
    </xf>
    <xf numFmtId="223" fontId="102" fillId="7" borderId="3" xfId="0" applyNumberFormat="1" applyFont="1" applyFill="1" applyBorder="1" applyAlignment="1">
      <alignment horizontal="center" vertical="center"/>
    </xf>
    <xf numFmtId="1" fontId="73" fillId="0" borderId="0" xfId="1" applyNumberFormat="1" applyFont="1" applyAlignment="1">
      <alignment vertical="top" wrapText="1"/>
    </xf>
    <xf numFmtId="2" fontId="3" fillId="61" borderId="3" xfId="0" applyNumberFormat="1" applyFont="1" applyFill="1" applyBorder="1"/>
    <xf numFmtId="0" fontId="4" fillId="61" borderId="3" xfId="1" applyFill="1" applyBorder="1" applyAlignment="1">
      <alignment vertical="top" wrapText="1"/>
    </xf>
    <xf numFmtId="0" fontId="3" fillId="61" borderId="3" xfId="1" applyFont="1" applyFill="1" applyBorder="1" applyAlignment="1">
      <alignment vertical="top" wrapText="1"/>
    </xf>
    <xf numFmtId="17" fontId="113" fillId="2" borderId="3" xfId="0" applyNumberFormat="1" applyFont="1" applyFill="1" applyBorder="1" applyAlignment="1">
      <alignment horizontal="center" vertical="center" wrapText="1"/>
    </xf>
    <xf numFmtId="0" fontId="113" fillId="2" borderId="3" xfId="0" applyFont="1" applyFill="1" applyBorder="1" applyAlignment="1">
      <alignment horizontal="center" vertical="center" wrapText="1"/>
    </xf>
    <xf numFmtId="0" fontId="0" fillId="7" borderId="3" xfId="0" applyFill="1" applyBorder="1" applyAlignment="1">
      <alignment horizontal="center"/>
    </xf>
    <xf numFmtId="0" fontId="3" fillId="7" borderId="3" xfId="0" applyFont="1" applyFill="1" applyBorder="1" applyAlignment="1">
      <alignment horizontal="center"/>
    </xf>
    <xf numFmtId="0" fontId="115" fillId="7" borderId="3" xfId="0" applyFont="1" applyFill="1" applyBorder="1" applyAlignment="1">
      <alignment horizontal="center"/>
    </xf>
    <xf numFmtId="0" fontId="0" fillId="7" borderId="3" xfId="0" quotePrefix="1" applyFill="1" applyBorder="1" applyAlignment="1">
      <alignment horizontal="center"/>
    </xf>
    <xf numFmtId="0" fontId="0" fillId="2" borderId="0" xfId="0" applyFill="1" applyAlignment="1">
      <alignment horizontal="center"/>
    </xf>
    <xf numFmtId="211" fontId="2" fillId="2" borderId="0" xfId="0" applyNumberFormat="1" applyFont="1" applyFill="1" applyAlignment="1">
      <alignment horizontal="center" vertical="center"/>
    </xf>
    <xf numFmtId="211" fontId="2" fillId="0" borderId="0" xfId="0" applyNumberFormat="1" applyFont="1" applyAlignment="1">
      <alignment horizontal="center" vertical="center"/>
    </xf>
    <xf numFmtId="0" fontId="3" fillId="2" borderId="11" xfId="0" applyFont="1" applyFill="1" applyBorder="1" applyAlignment="1">
      <alignment horizontal="left" vertical="top" wrapText="1"/>
    </xf>
    <xf numFmtId="0" fontId="3" fillId="2" borderId="15" xfId="0" applyFont="1" applyFill="1" applyBorder="1" applyAlignment="1">
      <alignment horizontal="left" vertical="top" wrapText="1"/>
    </xf>
    <xf numFmtId="0" fontId="3" fillId="2" borderId="16" xfId="0" applyFont="1" applyFill="1" applyBorder="1" applyAlignment="1">
      <alignment horizontal="left" vertical="top" wrapText="1"/>
    </xf>
    <xf numFmtId="0" fontId="3" fillId="2" borderId="1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18"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19" xfId="0" applyFont="1" applyFill="1" applyBorder="1" applyAlignment="1">
      <alignment horizontal="left" vertical="top" wrapText="1"/>
    </xf>
    <xf numFmtId="0" fontId="3" fillId="2" borderId="20" xfId="0" applyFont="1" applyFill="1" applyBorder="1" applyAlignment="1">
      <alignment horizontal="left" vertical="top" wrapText="1"/>
    </xf>
    <xf numFmtId="0" fontId="68" fillId="2" borderId="11" xfId="0" applyFont="1" applyFill="1" applyBorder="1" applyAlignment="1">
      <alignment horizontal="center" vertical="top" wrapText="1"/>
    </xf>
    <xf numFmtId="0" fontId="68" fillId="2" borderId="15" xfId="0" applyFont="1" applyFill="1" applyBorder="1" applyAlignment="1">
      <alignment horizontal="center" vertical="top" wrapText="1"/>
    </xf>
    <xf numFmtId="0" fontId="68" fillId="2" borderId="16" xfId="0" applyFont="1" applyFill="1" applyBorder="1" applyAlignment="1">
      <alignment horizontal="center" vertical="top" wrapText="1"/>
    </xf>
    <xf numFmtId="0" fontId="68" fillId="2" borderId="17" xfId="0" applyFont="1" applyFill="1" applyBorder="1" applyAlignment="1">
      <alignment horizontal="center" vertical="top" wrapText="1"/>
    </xf>
    <xf numFmtId="0" fontId="68" fillId="2" borderId="0" xfId="0" applyFont="1" applyFill="1" applyBorder="1" applyAlignment="1">
      <alignment horizontal="center" vertical="top" wrapText="1"/>
    </xf>
    <xf numFmtId="0" fontId="68" fillId="2" borderId="18" xfId="0" applyFont="1" applyFill="1" applyBorder="1" applyAlignment="1">
      <alignment horizontal="center" vertical="top" wrapText="1"/>
    </xf>
    <xf numFmtId="0" fontId="68" fillId="2" borderId="6" xfId="0" applyFont="1" applyFill="1" applyBorder="1" applyAlignment="1">
      <alignment horizontal="center" vertical="top" wrapText="1"/>
    </xf>
    <xf numFmtId="0" fontId="68" fillId="2" borderId="19" xfId="0" applyFont="1" applyFill="1" applyBorder="1" applyAlignment="1">
      <alignment horizontal="center" vertical="top" wrapText="1"/>
    </xf>
    <xf numFmtId="0" fontId="68" fillId="2" borderId="20" xfId="0" applyFont="1" applyFill="1" applyBorder="1" applyAlignment="1">
      <alignment horizontal="center" vertical="top" wrapText="1"/>
    </xf>
    <xf numFmtId="2" fontId="42" fillId="27" borderId="3" xfId="0" applyNumberFormat="1" applyFont="1" applyFill="1" applyBorder="1" applyAlignment="1">
      <alignment horizontal="center" vertical="center" textRotation="90" wrapText="1"/>
    </xf>
    <xf numFmtId="2" fontId="42" fillId="27" borderId="3" xfId="1" applyNumberFormat="1" applyFont="1" applyFill="1" applyBorder="1" applyAlignment="1">
      <alignment horizontal="center" vertical="center" textRotation="90" wrapText="1"/>
    </xf>
    <xf numFmtId="0" fontId="41" fillId="26" borderId="3" xfId="0" applyFont="1" applyFill="1" applyBorder="1" applyAlignment="1">
      <alignment horizontal="center" vertical="center" textRotation="90" wrapText="1"/>
    </xf>
    <xf numFmtId="1" fontId="43" fillId="27" borderId="3" xfId="0" applyNumberFormat="1" applyFont="1" applyFill="1" applyBorder="1" applyAlignment="1">
      <alignment horizontal="center" vertical="center" textRotation="90" wrapText="1"/>
    </xf>
    <xf numFmtId="165" fontId="43" fillId="27" borderId="3" xfId="0" applyNumberFormat="1" applyFont="1" applyFill="1" applyBorder="1" applyAlignment="1">
      <alignment horizontal="center" vertical="center" textRotation="90" wrapText="1"/>
    </xf>
    <xf numFmtId="0" fontId="44" fillId="2" borderId="3" xfId="0" applyFont="1" applyFill="1" applyBorder="1" applyAlignment="1">
      <alignment horizontal="center" vertical="center" textRotation="90" wrapText="1"/>
    </xf>
    <xf numFmtId="0" fontId="48" fillId="28" borderId="3" xfId="0" applyFont="1" applyFill="1" applyBorder="1" applyAlignment="1">
      <alignment horizontal="center" vertical="center" wrapText="1"/>
    </xf>
    <xf numFmtId="0" fontId="8" fillId="27" borderId="3" xfId="0" applyFont="1" applyFill="1" applyBorder="1" applyAlignment="1">
      <alignment horizontal="center" vertical="center" wrapText="1"/>
    </xf>
    <xf numFmtId="0" fontId="6" fillId="3" borderId="3" xfId="0" applyFont="1" applyFill="1" applyBorder="1" applyAlignment="1">
      <alignment horizontal="center" vertical="center" textRotation="90" wrapText="1"/>
    </xf>
    <xf numFmtId="0" fontId="41" fillId="2" borderId="3"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41" fillId="26" borderId="3" xfId="0" applyFont="1" applyFill="1" applyBorder="1" applyAlignment="1">
      <alignment horizontal="center" vertical="center" wrapText="1"/>
    </xf>
    <xf numFmtId="0" fontId="47" fillId="2" borderId="3" xfId="0" applyFont="1" applyFill="1" applyBorder="1" applyAlignment="1">
      <alignment horizontal="center" vertical="center" wrapText="1"/>
    </xf>
    <xf numFmtId="0" fontId="42" fillId="2" borderId="3" xfId="0" applyFont="1" applyFill="1" applyBorder="1" applyAlignment="1">
      <alignment horizontal="center" vertical="center" wrapText="1"/>
    </xf>
    <xf numFmtId="0" fontId="46" fillId="2" borderId="3"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7" fillId="2" borderId="3" xfId="0" applyFont="1" applyFill="1" applyBorder="1" applyAlignment="1">
      <alignment horizontal="center" vertical="center" textRotation="90" wrapText="1"/>
    </xf>
    <xf numFmtId="0" fontId="8" fillId="2" borderId="3" xfId="0" applyFont="1" applyFill="1" applyBorder="1" applyAlignment="1">
      <alignment horizontal="center" vertical="center" textRotation="90" wrapText="1"/>
    </xf>
    <xf numFmtId="164" fontId="12" fillId="28" borderId="1" xfId="0" applyNumberFormat="1" applyFont="1" applyFill="1" applyBorder="1" applyAlignment="1">
      <alignment horizontal="center" vertical="center" wrapText="1"/>
    </xf>
    <xf numFmtId="164" fontId="12" fillId="28" borderId="10" xfId="0" applyNumberFormat="1" applyFont="1" applyFill="1" applyBorder="1" applyAlignment="1">
      <alignment horizontal="center" vertical="center" wrapText="1"/>
    </xf>
    <xf numFmtId="0" fontId="1" fillId="2" borderId="3" xfId="0" applyFont="1" applyFill="1" applyBorder="1" applyAlignment="1">
      <alignment horizontal="center" vertical="center" textRotation="90"/>
    </xf>
    <xf numFmtId="0" fontId="50" fillId="2" borderId="3" xfId="0" applyFont="1" applyFill="1" applyBorder="1" applyAlignment="1">
      <alignment horizontal="center" vertical="center" wrapText="1"/>
    </xf>
    <xf numFmtId="0" fontId="48" fillId="2" borderId="3" xfId="0" applyFont="1" applyFill="1" applyBorder="1" applyAlignment="1">
      <alignment horizontal="center" vertical="center" wrapText="1"/>
    </xf>
    <xf numFmtId="164" fontId="49" fillId="28" borderId="3" xfId="0" applyNumberFormat="1" applyFont="1" applyFill="1" applyBorder="1" applyAlignment="1">
      <alignment horizontal="center" vertical="center" textRotation="90" wrapText="1"/>
    </xf>
    <xf numFmtId="165" fontId="2" fillId="0" borderId="0" xfId="0" applyNumberFormat="1" applyFont="1" applyAlignment="1">
      <alignment horizontal="center" vertical="center"/>
    </xf>
    <xf numFmtId="0" fontId="3" fillId="2" borderId="11" xfId="0" applyFont="1" applyFill="1" applyBorder="1" applyAlignment="1">
      <alignment horizontal="center" vertical="top"/>
    </xf>
    <xf numFmtId="0" fontId="3" fillId="2" borderId="15" xfId="0" applyFont="1" applyFill="1" applyBorder="1" applyAlignment="1">
      <alignment horizontal="center" vertical="top"/>
    </xf>
    <xf numFmtId="0" fontId="3" fillId="2" borderId="16" xfId="0" applyFont="1" applyFill="1" applyBorder="1" applyAlignment="1">
      <alignment horizontal="center" vertical="top"/>
    </xf>
    <xf numFmtId="0" fontId="3" fillId="2" borderId="17" xfId="0" applyFont="1" applyFill="1" applyBorder="1" applyAlignment="1">
      <alignment horizontal="center" vertical="top"/>
    </xf>
    <xf numFmtId="0" fontId="3" fillId="2" borderId="0" xfId="0" applyFont="1" applyFill="1" applyBorder="1" applyAlignment="1">
      <alignment horizontal="center" vertical="top"/>
    </xf>
    <xf numFmtId="0" fontId="3" fillId="2" borderId="18" xfId="0" applyFont="1" applyFill="1" applyBorder="1" applyAlignment="1">
      <alignment horizontal="center" vertical="top"/>
    </xf>
    <xf numFmtId="0" fontId="3" fillId="2" borderId="6" xfId="0" applyFont="1" applyFill="1" applyBorder="1" applyAlignment="1">
      <alignment horizontal="center" vertical="top"/>
    </xf>
    <xf numFmtId="0" fontId="3" fillId="2" borderId="19" xfId="0" applyFont="1" applyFill="1" applyBorder="1" applyAlignment="1">
      <alignment horizontal="center" vertical="top"/>
    </xf>
    <xf numFmtId="0" fontId="3" fillId="2" borderId="20" xfId="0" applyFont="1" applyFill="1" applyBorder="1" applyAlignment="1">
      <alignment horizontal="center" vertical="top"/>
    </xf>
    <xf numFmtId="0" fontId="1" fillId="2" borderId="3"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45" fillId="2" borderId="3"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39" fillId="2" borderId="3" xfId="0" applyFont="1" applyFill="1" applyBorder="1" applyAlignment="1">
      <alignment horizontal="center" vertical="center" textRotation="90" wrapText="1"/>
    </xf>
    <xf numFmtId="0" fontId="37" fillId="0" borderId="0" xfId="0" applyFont="1" applyAlignment="1">
      <alignment horizontal="left" vertical="top" wrapText="1"/>
    </xf>
    <xf numFmtId="164" fontId="37" fillId="38" borderId="28" xfId="0" applyNumberFormat="1" applyFont="1" applyFill="1" applyBorder="1" applyAlignment="1">
      <alignment horizontal="center" vertical="center" textRotation="90" wrapText="1"/>
    </xf>
    <xf numFmtId="164" fontId="37" fillId="38" borderId="22" xfId="0" applyNumberFormat="1" applyFont="1" applyFill="1" applyBorder="1" applyAlignment="1">
      <alignment horizontal="center" vertical="center" textRotation="90" wrapText="1"/>
    </xf>
    <xf numFmtId="164" fontId="102" fillId="38" borderId="8" xfId="0" applyNumberFormat="1" applyFont="1" applyFill="1" applyBorder="1" applyAlignment="1">
      <alignment horizontal="center" vertical="center" wrapText="1"/>
    </xf>
    <xf numFmtId="164" fontId="102" fillId="38" borderId="13" xfId="0" applyNumberFormat="1" applyFont="1" applyFill="1" applyBorder="1" applyAlignment="1">
      <alignment horizontal="center" vertical="center" wrapText="1"/>
    </xf>
    <xf numFmtId="164" fontId="1" fillId="2" borderId="29" xfId="0" applyNumberFormat="1" applyFont="1" applyFill="1" applyBorder="1" applyAlignment="1">
      <alignment horizontal="center" vertical="center" wrapText="1"/>
    </xf>
    <xf numFmtId="164" fontId="1" fillId="2" borderId="4" xfId="0" applyNumberFormat="1" applyFont="1" applyFill="1" applyBorder="1" applyAlignment="1">
      <alignment horizontal="center" vertical="center" wrapText="1"/>
    </xf>
    <xf numFmtId="0" fontId="1" fillId="2" borderId="14" xfId="0" applyFont="1" applyFill="1" applyBorder="1" applyAlignment="1">
      <alignment horizontal="center" vertical="center"/>
    </xf>
    <xf numFmtId="0" fontId="1" fillId="2" borderId="2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4"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1" fillId="2" borderId="6" xfId="0" applyFont="1" applyFill="1" applyBorder="1" applyAlignment="1">
      <alignment horizontal="center" vertical="center" wrapText="1"/>
    </xf>
    <xf numFmtId="210" fontId="101" fillId="38" borderId="28" xfId="0" applyNumberFormat="1" applyFont="1" applyFill="1" applyBorder="1" applyAlignment="1">
      <alignment horizontal="center" vertical="center" wrapText="1"/>
    </xf>
    <xf numFmtId="210" fontId="101" fillId="38" borderId="22" xfId="0" applyNumberFormat="1" applyFont="1" applyFill="1" applyBorder="1" applyAlignment="1">
      <alignment horizontal="center" vertical="center" wrapText="1"/>
    </xf>
    <xf numFmtId="2" fontId="37" fillId="38" borderId="28" xfId="0" applyNumberFormat="1" applyFont="1" applyFill="1" applyBorder="1" applyAlignment="1">
      <alignment horizontal="center" vertical="center" textRotation="90" wrapText="1"/>
    </xf>
    <xf numFmtId="2" fontId="37" fillId="38" borderId="22" xfId="0" applyNumberFormat="1" applyFont="1" applyFill="1" applyBorder="1" applyAlignment="1">
      <alignment horizontal="center" vertical="center" textRotation="90" wrapText="1"/>
    </xf>
    <xf numFmtId="2" fontId="37" fillId="0" borderId="0" xfId="0" applyNumberFormat="1" applyFont="1" applyAlignment="1">
      <alignment horizontal="left" vertical="top" wrapText="1"/>
    </xf>
    <xf numFmtId="210" fontId="106" fillId="38" borderId="33" xfId="0" applyNumberFormat="1" applyFont="1" applyFill="1" applyBorder="1" applyAlignment="1">
      <alignment horizontal="center" vertical="center" wrapText="1"/>
    </xf>
    <xf numFmtId="210" fontId="106" fillId="38" borderId="34" xfId="0" applyNumberFormat="1" applyFont="1" applyFill="1" applyBorder="1" applyAlignment="1">
      <alignment horizontal="center" vertical="center" wrapText="1"/>
    </xf>
    <xf numFmtId="210" fontId="106" fillId="38" borderId="35" xfId="0" applyNumberFormat="1" applyFont="1" applyFill="1" applyBorder="1" applyAlignment="1">
      <alignment horizontal="center" vertical="center" wrapText="1"/>
    </xf>
    <xf numFmtId="211" fontId="2" fillId="38" borderId="28" xfId="0" applyNumberFormat="1" applyFont="1" applyFill="1" applyBorder="1" applyAlignment="1">
      <alignment horizontal="center" vertical="center" textRotation="90" wrapText="1"/>
    </xf>
    <xf numFmtId="211" fontId="2" fillId="38" borderId="31" xfId="0" applyNumberFormat="1" applyFont="1" applyFill="1" applyBorder="1" applyAlignment="1">
      <alignment horizontal="center" vertical="center" textRotation="90" wrapText="1"/>
    </xf>
    <xf numFmtId="211" fontId="2" fillId="38" borderId="22" xfId="0" applyNumberFormat="1" applyFont="1" applyFill="1" applyBorder="1" applyAlignment="1">
      <alignment horizontal="center" vertical="center" textRotation="90" wrapText="1"/>
    </xf>
    <xf numFmtId="2" fontId="101" fillId="38" borderId="8" xfId="0" applyNumberFormat="1" applyFont="1" applyFill="1" applyBorder="1" applyAlignment="1">
      <alignment horizontal="center" vertical="center" wrapText="1"/>
    </xf>
    <xf numFmtId="2" fontId="101" fillId="38" borderId="5" xfId="0" applyNumberFormat="1" applyFont="1" applyFill="1" applyBorder="1" applyAlignment="1">
      <alignment horizontal="center" vertical="center" wrapText="1"/>
    </xf>
    <xf numFmtId="2" fontId="101" fillId="38" borderId="13" xfId="0" applyNumberFormat="1" applyFont="1" applyFill="1" applyBorder="1" applyAlignment="1">
      <alignment horizontal="center" vertical="center" wrapText="1"/>
    </xf>
    <xf numFmtId="164" fontId="101" fillId="38" borderId="8" xfId="0" applyNumberFormat="1" applyFont="1" applyFill="1" applyBorder="1" applyAlignment="1">
      <alignment horizontal="center" vertical="center" wrapText="1"/>
    </xf>
    <xf numFmtId="164" fontId="101" fillId="38" borderId="5" xfId="0" applyNumberFormat="1" applyFont="1" applyFill="1" applyBorder="1" applyAlignment="1">
      <alignment horizontal="center" vertical="center" wrapText="1"/>
    </xf>
    <xf numFmtId="164" fontId="101" fillId="38" borderId="13" xfId="0" applyNumberFormat="1" applyFont="1" applyFill="1" applyBorder="1" applyAlignment="1">
      <alignment horizontal="center" vertical="center" wrapText="1"/>
    </xf>
    <xf numFmtId="2" fontId="2" fillId="38" borderId="8" xfId="0" applyNumberFormat="1" applyFont="1" applyFill="1" applyBorder="1" applyAlignment="1">
      <alignment horizontal="center" vertical="center" wrapText="1"/>
    </xf>
    <xf numFmtId="2" fontId="2" fillId="38" borderId="5" xfId="0" applyNumberFormat="1" applyFont="1" applyFill="1" applyBorder="1" applyAlignment="1">
      <alignment horizontal="center" vertical="center" wrapText="1"/>
    </xf>
    <xf numFmtId="2" fontId="2" fillId="38" borderId="13" xfId="0" applyNumberFormat="1"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1" fillId="2" borderId="21"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2" fillId="2" borderId="14" xfId="0" applyFont="1" applyFill="1" applyBorder="1" applyAlignment="1">
      <alignment horizontal="center" vertical="center" wrapText="1"/>
    </xf>
    <xf numFmtId="0" fontId="12" fillId="2" borderId="21"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1" fillId="2" borderId="18"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1" xfId="0" applyFont="1" applyFill="1" applyBorder="1" applyAlignment="1">
      <alignment horizontal="center" vertical="center" wrapText="1"/>
    </xf>
    <xf numFmtId="0" fontId="11" fillId="2" borderId="9" xfId="0" applyFont="1" applyFill="1" applyBorder="1" applyAlignment="1">
      <alignment horizontal="center" vertical="center" wrapText="1"/>
    </xf>
    <xf numFmtId="210" fontId="5" fillId="59" borderId="14" xfId="0" applyNumberFormat="1" applyFont="1" applyFill="1" applyBorder="1" applyAlignment="1">
      <alignment horizontal="center" vertical="center" wrapText="1"/>
    </xf>
    <xf numFmtId="210" fontId="5" fillId="59" borderId="21" xfId="0" applyNumberFormat="1" applyFont="1" applyFill="1" applyBorder="1" applyAlignment="1">
      <alignment horizontal="center" vertical="center" wrapText="1"/>
    </xf>
    <xf numFmtId="210" fontId="5" fillId="59" borderId="2" xfId="0" applyNumberFormat="1" applyFont="1" applyFill="1" applyBorder="1" applyAlignment="1">
      <alignment horizontal="center" vertical="center" wrapText="1"/>
    </xf>
    <xf numFmtId="2" fontId="1" fillId="59" borderId="1" xfId="0" applyNumberFormat="1" applyFont="1" applyFill="1" applyBorder="1" applyAlignment="1">
      <alignment horizontal="center" vertical="center" wrapText="1"/>
    </xf>
    <xf numFmtId="2" fontId="1" fillId="59" borderId="9" xfId="0" applyNumberFormat="1" applyFont="1" applyFill="1" applyBorder="1" applyAlignment="1">
      <alignment horizontal="center" vertical="center" wrapText="1"/>
    </xf>
    <xf numFmtId="2" fontId="1" fillId="59" borderId="10" xfId="0" applyNumberFormat="1" applyFont="1" applyFill="1" applyBorder="1" applyAlignment="1">
      <alignment horizontal="center" vertical="center" wrapText="1"/>
    </xf>
    <xf numFmtId="2" fontId="1" fillId="59" borderId="14" xfId="0" applyNumberFormat="1" applyFont="1" applyFill="1" applyBorder="1" applyAlignment="1">
      <alignment horizontal="center" vertical="center" textRotation="90" wrapText="1"/>
    </xf>
    <xf numFmtId="2" fontId="1" fillId="59" borderId="2" xfId="0" applyNumberFormat="1" applyFont="1" applyFill="1" applyBorder="1" applyAlignment="1">
      <alignment horizontal="center" vertical="center" textRotation="90" wrapText="1"/>
    </xf>
    <xf numFmtId="0" fontId="11" fillId="2" borderId="19" xfId="0" applyFont="1" applyFill="1" applyBorder="1" applyAlignment="1">
      <alignment horizontal="center" vertical="center" wrapText="1"/>
    </xf>
    <xf numFmtId="210" fontId="11" fillId="59" borderId="14" xfId="0" applyNumberFormat="1" applyFont="1" applyFill="1" applyBorder="1" applyAlignment="1">
      <alignment horizontal="center" vertical="center" wrapText="1"/>
    </xf>
    <xf numFmtId="210" fontId="11" fillId="59" borderId="21" xfId="0" applyNumberFormat="1" applyFont="1" applyFill="1" applyBorder="1" applyAlignment="1">
      <alignment horizontal="center" vertical="center" wrapText="1"/>
    </xf>
    <xf numFmtId="210" fontId="11" fillId="59" borderId="2" xfId="0" applyNumberFormat="1" applyFont="1" applyFill="1" applyBorder="1" applyAlignment="1">
      <alignment horizontal="center" vertical="center" wrapText="1"/>
    </xf>
    <xf numFmtId="0" fontId="4" fillId="61" borderId="14" xfId="1" applyFill="1" applyBorder="1" applyAlignment="1">
      <alignment horizontal="center" vertical="top" wrapText="1"/>
    </xf>
    <xf numFmtId="0" fontId="37" fillId="61" borderId="2" xfId="0" applyFont="1" applyFill="1" applyBorder="1" applyAlignment="1">
      <alignment horizontal="center" vertical="top" wrapText="1"/>
    </xf>
    <xf numFmtId="211" fontId="5" fillId="2" borderId="14" xfId="0" applyNumberFormat="1" applyFont="1" applyFill="1" applyBorder="1" applyAlignment="1">
      <alignment horizontal="center" vertical="center" wrapText="1"/>
    </xf>
    <xf numFmtId="211" fontId="5" fillId="2" borderId="2" xfId="0" applyNumberFormat="1" applyFont="1" applyFill="1" applyBorder="1" applyAlignment="1">
      <alignment horizontal="center" vertical="center" wrapText="1"/>
    </xf>
    <xf numFmtId="0" fontId="11" fillId="2" borderId="14" xfId="0" applyFont="1" applyFill="1" applyBorder="1" applyAlignment="1">
      <alignment horizontal="center" vertical="center"/>
    </xf>
    <xf numFmtId="0" fontId="11" fillId="2" borderId="2" xfId="0" applyFont="1" applyFill="1" applyBorder="1" applyAlignment="1">
      <alignment horizontal="center" vertical="center"/>
    </xf>
    <xf numFmtId="0" fontId="1" fillId="2" borderId="1"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11" fillId="2" borderId="14" xfId="0" applyFont="1" applyFill="1" applyBorder="1" applyAlignment="1">
      <alignment horizontal="center" vertical="center" wrapText="1"/>
    </xf>
    <xf numFmtId="0" fontId="111" fillId="2" borderId="2" xfId="0" applyFont="1" applyFill="1" applyBorder="1" applyAlignment="1">
      <alignment horizontal="center" vertical="center" wrapText="1"/>
    </xf>
    <xf numFmtId="2" fontId="101" fillId="35" borderId="23" xfId="0" applyNumberFormat="1" applyFont="1" applyFill="1" applyBorder="1" applyAlignment="1">
      <alignment horizontal="center" vertical="center" wrapText="1"/>
    </xf>
    <xf numFmtId="2" fontId="101" fillId="35" borderId="24" xfId="0" applyNumberFormat="1" applyFont="1" applyFill="1" applyBorder="1" applyAlignment="1">
      <alignment horizontal="center" vertical="center" wrapText="1"/>
    </xf>
    <xf numFmtId="0" fontId="2" fillId="35" borderId="23" xfId="0" applyFont="1" applyFill="1" applyBorder="1" applyAlignment="1">
      <alignment horizontal="center" vertical="center" wrapText="1"/>
    </xf>
    <xf numFmtId="0" fontId="2" fillId="35" borderId="24" xfId="0" applyFont="1" applyFill="1" applyBorder="1" applyAlignment="1">
      <alignment horizontal="center" vertical="center" wrapText="1"/>
    </xf>
    <xf numFmtId="0" fontId="0" fillId="35" borderId="25" xfId="0" applyFill="1" applyBorder="1" applyAlignment="1">
      <alignment horizontal="center" wrapText="1"/>
    </xf>
    <xf numFmtId="0" fontId="0" fillId="35" borderId="26" xfId="0" applyFill="1" applyBorder="1" applyAlignment="1">
      <alignment horizontal="center" wrapText="1"/>
    </xf>
    <xf numFmtId="0" fontId="0" fillId="35" borderId="27" xfId="0" applyFill="1" applyBorder="1" applyAlignment="1">
      <alignment horizontal="center" wrapText="1"/>
    </xf>
    <xf numFmtId="0" fontId="2" fillId="35" borderId="23" xfId="0" applyFont="1" applyFill="1" applyBorder="1" applyAlignment="1">
      <alignment horizontal="center" vertical="center" textRotation="90" wrapText="1"/>
    </xf>
    <xf numFmtId="0" fontId="2" fillId="35" borderId="24" xfId="0" applyFont="1" applyFill="1" applyBorder="1" applyAlignment="1">
      <alignment horizontal="center" vertical="center" textRotation="90" wrapText="1"/>
    </xf>
    <xf numFmtId="0" fontId="12" fillId="2" borderId="1" xfId="0" applyFont="1" applyFill="1" applyBorder="1" applyAlignment="1">
      <alignment horizontal="center" vertical="center" wrapText="1"/>
    </xf>
    <xf numFmtId="0" fontId="12" fillId="2" borderId="9" xfId="0" applyFont="1" applyFill="1" applyBorder="1" applyAlignment="1">
      <alignment horizontal="center" vertical="center" wrapText="1"/>
    </xf>
    <xf numFmtId="0" fontId="1" fillId="2" borderId="14" xfId="0" applyFont="1" applyFill="1" applyBorder="1" applyAlignment="1">
      <alignment horizontal="center" vertical="center" textRotation="90" wrapText="1"/>
    </xf>
    <xf numFmtId="0" fontId="1" fillId="2" borderId="21" xfId="0" applyFont="1" applyFill="1" applyBorder="1" applyAlignment="1">
      <alignment horizontal="center" vertical="center" textRotation="90" wrapText="1"/>
    </xf>
    <xf numFmtId="0" fontId="1" fillId="2" borderId="2" xfId="0" applyFont="1" applyFill="1" applyBorder="1" applyAlignment="1">
      <alignment horizontal="center" vertical="center" textRotation="90" wrapText="1"/>
    </xf>
    <xf numFmtId="0" fontId="1" fillId="2" borderId="14" xfId="0" applyFont="1" applyFill="1" applyBorder="1" applyAlignment="1">
      <alignment horizontal="center" vertical="center" textRotation="90"/>
    </xf>
    <xf numFmtId="0" fontId="1" fillId="2" borderId="21" xfId="0" applyFont="1" applyFill="1" applyBorder="1" applyAlignment="1">
      <alignment horizontal="center" vertical="center" textRotation="90"/>
    </xf>
    <xf numFmtId="0" fontId="1" fillId="2" borderId="2" xfId="0" applyFont="1" applyFill="1" applyBorder="1" applyAlignment="1">
      <alignment horizontal="center" vertical="center" textRotation="90"/>
    </xf>
    <xf numFmtId="0" fontId="74" fillId="2" borderId="14" xfId="0" applyFont="1" applyFill="1" applyBorder="1" applyAlignment="1">
      <alignment horizontal="center" vertical="center" wrapText="1"/>
    </xf>
    <xf numFmtId="0" fontId="74" fillId="2" borderId="21" xfId="0" applyFont="1" applyFill="1" applyBorder="1" applyAlignment="1">
      <alignment horizontal="center" vertical="center" wrapText="1"/>
    </xf>
    <xf numFmtId="0" fontId="74" fillId="2" borderId="2" xfId="0" applyFont="1" applyFill="1" applyBorder="1" applyAlignment="1">
      <alignment horizontal="center" vertical="center" wrapText="1"/>
    </xf>
    <xf numFmtId="0" fontId="117" fillId="0" borderId="0" xfId="0" applyFont="1" applyAlignment="1">
      <alignment horizontal="right" vertical="top" wrapText="1"/>
    </xf>
  </cellXfs>
  <cellStyles count="2">
    <cellStyle name="Hipervínculo" xfId="1" builtinId="8"/>
    <cellStyle name="Normal" xfId="0" builtinId="0"/>
  </cellStyles>
  <dxfs count="0"/>
  <tableStyles count="0" defaultTableStyle="TableStyleMedium2" defaultPivotStyle="PivotStyleLight16"/>
  <colors>
    <mruColors>
      <color rgb="FF9933FF"/>
      <color rgb="FFFFC000"/>
      <color rgb="FF0066FF"/>
      <color rgb="FF00FF00"/>
      <color rgb="FF63BE7B"/>
      <color rgb="FFF8696B"/>
      <color rgb="FF131313"/>
      <color rgb="FF0F001E"/>
      <color rgb="FF001A00"/>
      <color rgb="FF0011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lobaldata.com/data-insights/macroeconomic/the-unemployment-rate-of-saint-kitts-and-nevis-220065/" TargetMode="External"/><Relationship Id="rId13" Type="http://schemas.openxmlformats.org/officeDocument/2006/relationships/hyperlink" Target="https://www.afdb.org/en/countries-east-africa-somalia/somalia-economic-outlook" TargetMode="External"/><Relationship Id="rId3" Type="http://schemas.openxmlformats.org/officeDocument/2006/relationships/hyperlink" Target="https://www.globaldata.com/data-insights/macroeconomic/the-unemployment-rate-of-monaco-220186/" TargetMode="External"/><Relationship Id="rId7" Type="http://schemas.openxmlformats.org/officeDocument/2006/relationships/hyperlink" Target="https://stats.gov.nr/statistics/economic-statistics/" TargetMode="External"/><Relationship Id="rId12" Type="http://schemas.openxmlformats.org/officeDocument/2006/relationships/hyperlink" Target="https://tradingeconomics.com/yemen/government-debt-to-gdp" TargetMode="External"/><Relationship Id="rId2" Type="http://schemas.openxmlformats.org/officeDocument/2006/relationships/hyperlink" Target="https://tradingeconomics.com/liechtenstein/unemployment-rate" TargetMode="External"/><Relationship Id="rId1" Type="http://schemas.openxmlformats.org/officeDocument/2006/relationships/hyperlink" Target="https://www.ers.usda.gov/publications/110175" TargetMode="External"/><Relationship Id="rId6" Type="http://schemas.openxmlformats.org/officeDocument/2006/relationships/hyperlink" Target="https://stats.gov.fm/topics/economic-statistics/labor-market-and-participation/" TargetMode="External"/><Relationship Id="rId11" Type="http://schemas.openxmlformats.org/officeDocument/2006/relationships/hyperlink" Target="https://tradingeconomics.com/libya/government-debt-to-gdp" TargetMode="External"/><Relationship Id="rId5" Type="http://schemas.openxmlformats.org/officeDocument/2006/relationships/hyperlink" Target="https://www.dom767.com/dompedia/labour-market-in-dominica/" TargetMode="External"/><Relationship Id="rId15" Type="http://schemas.openxmlformats.org/officeDocument/2006/relationships/hyperlink" Target="https://www.worldeconomics.com/Processors/Economics-Countries-GDPPerCapita.aspx?Country=Taiwan" TargetMode="External"/><Relationship Id="rId10" Type="http://schemas.openxmlformats.org/officeDocument/2006/relationships/hyperlink" Target="https://tradingeconomics.com/eritrea/government-debt-to-gdp" TargetMode="External"/><Relationship Id="rId4" Type="http://schemas.openxmlformats.org/officeDocument/2006/relationships/hyperlink" Target="https://www.alto.ad/business/2026/06/andorra-inactivity-rate-rises-to-16-7-as-employm" TargetMode="External"/><Relationship Id="rId9" Type="http://schemas.openxmlformats.org/officeDocument/2006/relationships/hyperlink" Target="https://tradingeconomics.com/cuba/government-debt-to-gdp" TargetMode="External"/><Relationship Id="rId14" Type="http://schemas.openxmlformats.org/officeDocument/2006/relationships/hyperlink" Target="https://tradingeconomics.com/syria/government-debt-to-gdp"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lpi.worldbank.org/international/global" TargetMode="External"/><Relationship Id="rId13" Type="http://schemas.openxmlformats.org/officeDocument/2006/relationships/hyperlink" Target="https://data.un.org/Data.aspx?d=EDATA&amp;f=cmID%3AEC" TargetMode="External"/><Relationship Id="rId18" Type="http://schemas.openxmlformats.org/officeDocument/2006/relationships/hyperlink" Target="https://ourworldindata.org/grapher/share-of-urban-population-living-in-slums" TargetMode="External"/><Relationship Id="rId3" Type="http://schemas.openxmlformats.org/officeDocument/2006/relationships/hyperlink" Target="https://www.mobileconnectivityindex.com/index.html" TargetMode="External"/><Relationship Id="rId21" Type="http://schemas.openxmlformats.org/officeDocument/2006/relationships/hyperlink" Target="https://data.worldbank.org/indicator/FX.OWN.TOTL.ZS?name_desc=false&amp;view=map" TargetMode="External"/><Relationship Id="rId7" Type="http://schemas.openxmlformats.org/officeDocument/2006/relationships/hyperlink" Target="https://population.un.org/dataportal/home?df=2603d91a-d999-44b3-a140-52c8cec452ac" TargetMode="External"/><Relationship Id="rId12" Type="http://schemas.openxmlformats.org/officeDocument/2006/relationships/hyperlink" Target="https://www.enterprisesurveys.org/en/data/exploretopics/infrastructure-and-climate?subGroup=-1&amp;subtopic=42" TargetMode="External"/><Relationship Id="rId17" Type="http://schemas.openxmlformats.org/officeDocument/2006/relationships/hyperlink" Target="https://worldpopulationreview.com/country-rankings/road-network-size-by-country" TargetMode="External"/><Relationship Id="rId2" Type="http://schemas.openxmlformats.org/officeDocument/2006/relationships/hyperlink" Target="https://ourworldindata.org/grapher/mobile-cellular-subscriptions-per-100-people" TargetMode="External"/><Relationship Id="rId16" Type="http://schemas.openxmlformats.org/officeDocument/2006/relationships/hyperlink" Target="https://ourworldindata.org/grapher/access-to-clean-fuels-and-technologies-for-cooking" TargetMode="External"/><Relationship Id="rId20" Type="http://schemas.openxmlformats.org/officeDocument/2006/relationships/hyperlink" Target="https://dashboards.sdgindex.org/map/indicators/rural-population-with-access-to-all-season-roads/values/" TargetMode="External"/><Relationship Id="rId1" Type="http://schemas.openxmlformats.org/officeDocument/2006/relationships/hyperlink" Target="https://datahub.itu.int/data/?e=&amp;c=&amp;i=11624" TargetMode="External"/><Relationship Id="rId6" Type="http://schemas.openxmlformats.org/officeDocument/2006/relationships/hyperlink" Target="https://www.enterprisesurveys.org/en/data/exploretopics/infrastructure-and-climate?subGroup=-1&amp;subtopic=42" TargetMode="External"/><Relationship Id="rId11" Type="http://schemas.openxmlformats.org/officeDocument/2006/relationships/hyperlink" Target="https://data360.worldbank.org/en/dataset/UNCTAD_LSC" TargetMode="External"/><Relationship Id="rId24" Type="http://schemas.openxmlformats.org/officeDocument/2006/relationships/hyperlink" Target="https://vizhub.healthdata.org/gbd-results/" TargetMode="External"/><Relationship Id="rId5" Type="http://schemas.openxmlformats.org/officeDocument/2006/relationships/hyperlink" Target="https://www.enterprisesurveys.org/en/data/exploretopics/infrastructure-and-climate?subGroup=-1&amp;subtopic=42" TargetMode="External"/><Relationship Id="rId15" Type="http://schemas.openxmlformats.org/officeDocument/2006/relationships/hyperlink" Target="https://ourworldindata.org/grapher/annual-freshwater-withdrawals?country=~WB_ECA" TargetMode="External"/><Relationship Id="rId23" Type="http://schemas.openxmlformats.org/officeDocument/2006/relationships/hyperlink" Target="https://vizhub.healthdata.org/gbd-results/" TargetMode="External"/><Relationship Id="rId10" Type="http://schemas.openxmlformats.org/officeDocument/2006/relationships/hyperlink" Target="https://www.worldbank.org/en/topic/transport/publication/cppi-2024" TargetMode="External"/><Relationship Id="rId19" Type="http://schemas.openxmlformats.org/officeDocument/2006/relationships/hyperlink" Target="https://ourworldindata.org/grapher/death-rate-by-source-from-indoor-air-pollution" TargetMode="External"/><Relationship Id="rId4" Type="http://schemas.openxmlformats.org/officeDocument/2006/relationships/hyperlink" Target="https://www.enterprisesurveys.org/en/data/exploretopics/infrastructure-and-climate?subGroup=-1&amp;subtopic=42" TargetMode="External"/><Relationship Id="rId9" Type="http://schemas.openxmlformats.org/officeDocument/2006/relationships/hyperlink" Target="https://data.worldbank.org/indicator/IS.AIR.PSGR?most_recent_year_desc=false&amp;view=map" TargetMode="External"/><Relationship Id="rId14" Type="http://schemas.openxmlformats.org/officeDocument/2006/relationships/hyperlink" Target="https://ourworldindata.org/grapher/annual-freshwater-withdrawals?country=~WB_ECA" TargetMode="External"/><Relationship Id="rId22" Type="http://schemas.openxmlformats.org/officeDocument/2006/relationships/hyperlink" Target="https://vizhub.healthdata.org/gbd-results/"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who.int/data/gho/whs-annex" TargetMode="External"/><Relationship Id="rId13" Type="http://schemas.openxmlformats.org/officeDocument/2006/relationships/hyperlink" Target="https://immunizationdata.who.int/" TargetMode="External"/><Relationship Id="rId3" Type="http://schemas.openxmlformats.org/officeDocument/2006/relationships/hyperlink" Target="https://www.who.int/data/gho/whs-annex" TargetMode="External"/><Relationship Id="rId7" Type="http://schemas.openxmlformats.org/officeDocument/2006/relationships/hyperlink" Target="https://dashboards.sdgindex.org/map/indicators/births-attended-by-skilled-health-personnel/values/" TargetMode="External"/><Relationship Id="rId12" Type="http://schemas.openxmlformats.org/officeDocument/2006/relationships/hyperlink" Target="https://immunizationdata.who.int/" TargetMode="External"/><Relationship Id="rId2" Type="http://schemas.openxmlformats.org/officeDocument/2006/relationships/hyperlink" Target="https://immunizationdata.who.int/" TargetMode="External"/><Relationship Id="rId1" Type="http://schemas.openxmlformats.org/officeDocument/2006/relationships/hyperlink" Target="https://population.un.org/dataportal/home?df=b29c689d-f178-463a-8ab6-f569d60135f5" TargetMode="External"/><Relationship Id="rId6" Type="http://schemas.openxmlformats.org/officeDocument/2006/relationships/hyperlink" Target="https://www.who.int/data/gho/whs-annex" TargetMode="External"/><Relationship Id="rId11" Type="http://schemas.openxmlformats.org/officeDocument/2006/relationships/hyperlink" Target="https://immunizationdata.who.int/" TargetMode="External"/><Relationship Id="rId5" Type="http://schemas.openxmlformats.org/officeDocument/2006/relationships/hyperlink" Target="https://ourworldindata.org/grapher/antiretroviral-therapy-coverage-among-people-living-with-hiv" TargetMode="External"/><Relationship Id="rId10" Type="http://schemas.openxmlformats.org/officeDocument/2006/relationships/hyperlink" Target="https://data.worldbank.org/indicator/SH.XPD.GHED.PP.CD?most_recent_value_desc=true&amp;view=map&amp;year=2023" TargetMode="External"/><Relationship Id="rId4" Type="http://schemas.openxmlformats.org/officeDocument/2006/relationships/hyperlink" Target="https://www.who.int/data/gho/data/indicators/indicator-details/GHO/tuberculosis-treatment-coverage" TargetMode="External"/><Relationship Id="rId9" Type="http://schemas.openxmlformats.org/officeDocument/2006/relationships/hyperlink" Target="https://www.who.int/data/gho/whs-annex"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vizhub.healthdata.org/gbd-results/" TargetMode="External"/><Relationship Id="rId13" Type="http://schemas.openxmlformats.org/officeDocument/2006/relationships/hyperlink" Target="https://vizhub.healthdata.org/gbd-results/" TargetMode="External"/><Relationship Id="rId18" Type="http://schemas.openxmlformats.org/officeDocument/2006/relationships/hyperlink" Target="https://vizhub.healthdata.org/gbd-results/" TargetMode="External"/><Relationship Id="rId3" Type="http://schemas.openxmlformats.org/officeDocument/2006/relationships/hyperlink" Target="https://vizhub.healthdata.org/gbd-results/" TargetMode="External"/><Relationship Id="rId7" Type="http://schemas.openxmlformats.org/officeDocument/2006/relationships/hyperlink" Target="https://vizhub.healthdata.org/gbd-results/" TargetMode="External"/><Relationship Id="rId12" Type="http://schemas.openxmlformats.org/officeDocument/2006/relationships/hyperlink" Target="https://vizhub.healthdata.org/gbd-results/" TargetMode="External"/><Relationship Id="rId17" Type="http://schemas.openxmlformats.org/officeDocument/2006/relationships/hyperlink" Target="https://vizhub.healthdata.org/gbd-results/" TargetMode="External"/><Relationship Id="rId2" Type="http://schemas.openxmlformats.org/officeDocument/2006/relationships/hyperlink" Target="https://vizhub.healthdata.org/gbd-results/" TargetMode="External"/><Relationship Id="rId16" Type="http://schemas.openxmlformats.org/officeDocument/2006/relationships/hyperlink" Target="https://vizhub.healthdata.org/gbd-results/" TargetMode="External"/><Relationship Id="rId20" Type="http://schemas.openxmlformats.org/officeDocument/2006/relationships/hyperlink" Target="https://vizhub.healthdata.org/gbd-results/" TargetMode="External"/><Relationship Id="rId1" Type="http://schemas.openxmlformats.org/officeDocument/2006/relationships/hyperlink" Target="https://vizhub.healthdata.org/gbd-results/" TargetMode="External"/><Relationship Id="rId6" Type="http://schemas.openxmlformats.org/officeDocument/2006/relationships/hyperlink" Target="https://vizhub.healthdata.org/gbd-results/" TargetMode="External"/><Relationship Id="rId11" Type="http://schemas.openxmlformats.org/officeDocument/2006/relationships/hyperlink" Target="https://vizhub.healthdata.org/gbd-results/" TargetMode="External"/><Relationship Id="rId5" Type="http://schemas.openxmlformats.org/officeDocument/2006/relationships/hyperlink" Target="https://vizhub.healthdata.org/gbd-results/" TargetMode="External"/><Relationship Id="rId15" Type="http://schemas.openxmlformats.org/officeDocument/2006/relationships/hyperlink" Target="https://vizhub.healthdata.org/gbd-results/" TargetMode="External"/><Relationship Id="rId10" Type="http://schemas.openxmlformats.org/officeDocument/2006/relationships/hyperlink" Target="https://vizhub.healthdata.org/gbd-results/" TargetMode="External"/><Relationship Id="rId19" Type="http://schemas.openxmlformats.org/officeDocument/2006/relationships/hyperlink" Target="https://vizhub.healthdata.org/gbd-results/" TargetMode="External"/><Relationship Id="rId4" Type="http://schemas.openxmlformats.org/officeDocument/2006/relationships/hyperlink" Target="https://vizhub.healthdata.org/gbd-results/" TargetMode="External"/><Relationship Id="rId9" Type="http://schemas.openxmlformats.org/officeDocument/2006/relationships/hyperlink" Target="https://vizhub.healthdata.org/gbd-results/" TargetMode="External"/><Relationship Id="rId14" Type="http://schemas.openxmlformats.org/officeDocument/2006/relationships/hyperlink" Target="https://vizhub.healthdata.org/gbd-result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atiner.gr/events/rt.2023.Zeglam.pdf" TargetMode="External"/><Relationship Id="rId13" Type="http://schemas.openxmlformats.org/officeDocument/2006/relationships/hyperlink" Target="https://www.aacrao.org/edge/country/liechtenstein/" TargetMode="External"/><Relationship Id="rId3" Type="http://schemas.openxmlformats.org/officeDocument/2006/relationships/hyperlink" Target="https://globaldatalab.org/shdi/maps/esch/2023/?levels=4" TargetMode="External"/><Relationship Id="rId7" Type="http://schemas.openxmlformats.org/officeDocument/2006/relationships/hyperlink" Target="https://v-dem.net/data_analysis/VariableGraph/" TargetMode="External"/><Relationship Id="rId12" Type="http://schemas.openxmlformats.org/officeDocument/2006/relationships/hyperlink" Target="https://gem-report-2019.unesco.org/wp-content/uploads/2019/01/Monaco-2019_factsheet.pdf" TargetMode="External"/><Relationship Id="rId2" Type="http://schemas.openxmlformats.org/officeDocument/2006/relationships/hyperlink" Target="https://genderdata.worldbank.org/en/indicator/se-sch-life?gender=total" TargetMode="External"/><Relationship Id="rId1" Type="http://schemas.openxmlformats.org/officeDocument/2006/relationships/hyperlink" Target="https://hdr.undp.org/system/files/documents/global-report-document/hdr2025reporten.pdf" TargetMode="External"/><Relationship Id="rId6" Type="http://schemas.openxmlformats.org/officeDocument/2006/relationships/hyperlink" Target="https://databrowser.uis.unesco.org/view" TargetMode="External"/><Relationship Id="rId11" Type="http://schemas.openxmlformats.org/officeDocument/2006/relationships/hyperlink" Target="../Downloads/FINAL_Fiji_Factsheet_9May2025.pdf" TargetMode="External"/><Relationship Id="rId5" Type="http://schemas.openxmlformats.org/officeDocument/2006/relationships/hyperlink" Target="https://dashboards.sdgindex.org/map/indicators/literacy-rate/values/" TargetMode="External"/><Relationship Id="rId10" Type="http://schemas.openxmlformats.org/officeDocument/2006/relationships/hyperlink" Target="https://www.census2021.gov.hk/doc/pub/21C_Articles_Use_of_Language.pdf" TargetMode="External"/><Relationship Id="rId4" Type="http://schemas.openxmlformats.org/officeDocument/2006/relationships/hyperlink" Target="https://ourworldindata.org/grapher/average-harmonized-learning-outcome-scores" TargetMode="External"/><Relationship Id="rId9" Type="http://schemas.openxmlformats.org/officeDocument/2006/relationships/hyperlink" Target="https://covenantswatch.org.tw/wp-content/uploads/2015/12/roc-taiwan-icerd-initial-report-common-core-document.pdf" TargetMode="External"/><Relationship Id="rId14" Type="http://schemas.openxmlformats.org/officeDocument/2006/relationships/hyperlink" Target="https://www.aacrao.org/edge/country/andorra/"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reproductiverights.org/maps/world-abortion-laws/" TargetMode="External"/><Relationship Id="rId2" Type="http://schemas.openxmlformats.org/officeDocument/2006/relationships/hyperlink" Target="https://worldjusticeproject.org/rule-of-law-index/factors/2025/Fundamental%20Rights" TargetMode="External"/><Relationship Id="rId1" Type="http://schemas.openxmlformats.org/officeDocument/2006/relationships/hyperlink" Target="https://ourworldindata.org/grapher/women-civil-liberties-index?time=2025" TargetMode="External"/><Relationship Id="rId5" Type="http://schemas.openxmlformats.org/officeDocument/2006/relationships/hyperlink" Target="https://www.fandmglobalbarometers.org/es/gbtr-results/" TargetMode="External"/><Relationship Id="rId4" Type="http://schemas.openxmlformats.org/officeDocument/2006/relationships/hyperlink" Target="https://www.equaldex.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41FA1-CE42-4445-A7F9-166E1DB5C645}">
  <dimension ref="A1:CD311"/>
  <sheetViews>
    <sheetView tabSelected="1" zoomScaleNormal="100" workbookViewId="0">
      <pane xSplit="4" ySplit="6" topLeftCell="E7" activePane="bottomRight" state="frozen"/>
      <selection pane="topRight" activeCell="E1" sqref="E1"/>
      <selection pane="bottomLeft" activeCell="A6" sqref="A6"/>
      <selection pane="bottomRight" activeCell="C221" sqref="C221"/>
    </sheetView>
  </sheetViews>
  <sheetFormatPr baseColWidth="10" defaultRowHeight="15" x14ac:dyDescent="0.25"/>
  <cols>
    <col min="1" max="1" width="6.140625" style="52" customWidth="1"/>
    <col min="2" max="2" width="12.5703125" style="30" customWidth="1"/>
    <col min="3" max="3" width="23.28515625" style="30" customWidth="1"/>
    <col min="4" max="4" width="29.140625" style="51" customWidth="1"/>
    <col min="5" max="5" width="11.28515625" style="46" customWidth="1"/>
    <col min="6" max="6" width="8.42578125" style="46" customWidth="1"/>
    <col min="7" max="7" width="8.42578125" style="48" customWidth="1"/>
    <col min="8" max="9" width="8.42578125" style="20" customWidth="1"/>
    <col min="10" max="10" width="0.5703125" customWidth="1"/>
    <col min="11" max="25" width="6.7109375" style="46" customWidth="1"/>
    <col min="26" max="26" width="6.7109375" style="217" customWidth="1"/>
    <col min="27" max="27" width="6.7109375" style="46" customWidth="1"/>
    <col min="28" max="28" width="0.5703125" customWidth="1"/>
    <col min="29" max="29" width="6.7109375" style="46" customWidth="1"/>
    <col min="30" max="30" width="6.7109375" style="47" customWidth="1"/>
    <col min="31" max="31" width="6.7109375" style="48" customWidth="1"/>
    <col min="32" max="32" width="6.7109375" style="49" customWidth="1"/>
    <col min="33" max="34" width="6.7109375" style="48" customWidth="1"/>
    <col min="35" max="36" width="6.7109375" style="49" customWidth="1"/>
    <col min="37" max="37" width="6.7109375" style="47" customWidth="1"/>
    <col min="38" max="38" width="6.7109375" style="20" customWidth="1"/>
    <col min="39" max="40" width="6.7109375" style="48" customWidth="1"/>
    <col min="41" max="41" width="0.5703125" customWidth="1"/>
    <col min="42" max="48" width="6.7109375" style="5" customWidth="1"/>
    <col min="49" max="51" width="6.7109375" style="20" customWidth="1"/>
    <col min="52" max="52" width="6.7109375" style="49" customWidth="1"/>
    <col min="53" max="57" width="6.7109375" style="20" customWidth="1"/>
    <col min="58" max="58" width="6.7109375" style="49" customWidth="1"/>
    <col min="59" max="59" width="0.5703125" customWidth="1"/>
    <col min="60" max="61" width="6.7109375" style="49" customWidth="1"/>
    <col min="62" max="64" width="6.7109375" style="48" customWidth="1"/>
    <col min="65" max="65" width="6.7109375" style="46" customWidth="1"/>
    <col min="66" max="66" width="6.7109375" style="49" customWidth="1"/>
    <col min="67" max="70" width="6.7109375" style="46" customWidth="1"/>
    <col min="71" max="71" width="6.7109375" style="48" customWidth="1"/>
    <col min="72" max="72" width="6.7109375" style="20" customWidth="1"/>
    <col min="73" max="73" width="6.7109375" style="48" customWidth="1"/>
    <col min="74" max="77" width="6.7109375" style="20" customWidth="1"/>
    <col min="78" max="78" width="0.5703125" customWidth="1"/>
  </cols>
  <sheetData>
    <row r="1" spans="1:79" ht="22.5" customHeight="1" x14ac:dyDescent="0.25">
      <c r="A1" s="487" t="s">
        <v>288</v>
      </c>
      <c r="B1" s="501" t="s">
        <v>0</v>
      </c>
      <c r="C1" s="501" t="s">
        <v>1</v>
      </c>
      <c r="D1" s="502" t="s">
        <v>2</v>
      </c>
      <c r="E1" s="506" t="s">
        <v>1067</v>
      </c>
      <c r="F1" s="506" t="s">
        <v>283</v>
      </c>
      <c r="G1" s="506"/>
      <c r="H1" s="506"/>
      <c r="I1" s="506"/>
      <c r="J1" s="53"/>
      <c r="K1" s="488" t="s">
        <v>248</v>
      </c>
      <c r="L1" s="488"/>
      <c r="M1" s="488"/>
      <c r="N1" s="488"/>
      <c r="O1" s="488"/>
      <c r="P1" s="488"/>
      <c r="Q1" s="488"/>
      <c r="R1" s="488"/>
      <c r="S1" s="488"/>
      <c r="T1" s="488"/>
      <c r="U1" s="488"/>
      <c r="V1" s="488"/>
      <c r="W1" s="488"/>
      <c r="X1" s="488"/>
      <c r="Y1" s="488"/>
      <c r="Z1" s="488"/>
      <c r="AA1" s="488"/>
      <c r="AB1" s="53"/>
      <c r="AC1" s="505" t="s">
        <v>228</v>
      </c>
      <c r="AD1" s="505"/>
      <c r="AE1" s="505"/>
      <c r="AF1" s="505"/>
      <c r="AG1" s="505"/>
      <c r="AH1" s="505"/>
      <c r="AI1" s="505"/>
      <c r="AJ1" s="505"/>
      <c r="AK1" s="505"/>
      <c r="AL1" s="505"/>
      <c r="AM1" s="505"/>
      <c r="AN1" s="505"/>
      <c r="AO1" s="53"/>
      <c r="AP1" s="479" t="s">
        <v>310</v>
      </c>
      <c r="AQ1" s="479"/>
      <c r="AR1" s="479"/>
      <c r="AS1" s="479"/>
      <c r="AT1" s="479"/>
      <c r="AU1" s="479"/>
      <c r="AV1" s="479"/>
      <c r="AW1" s="479"/>
      <c r="AX1" s="479"/>
      <c r="AY1" s="479"/>
      <c r="AZ1" s="479"/>
      <c r="BA1" s="479"/>
      <c r="BB1" s="479"/>
      <c r="BC1" s="479"/>
      <c r="BD1" s="479"/>
      <c r="BE1" s="479"/>
      <c r="BF1" s="479"/>
      <c r="BG1" s="53"/>
      <c r="BH1" s="477" t="s">
        <v>249</v>
      </c>
      <c r="BI1" s="477"/>
      <c r="BJ1" s="477"/>
      <c r="BK1" s="477"/>
      <c r="BL1" s="477"/>
      <c r="BM1" s="477"/>
      <c r="BN1" s="477"/>
      <c r="BO1" s="477"/>
      <c r="BP1" s="477"/>
      <c r="BQ1" s="477"/>
      <c r="BR1" s="477"/>
      <c r="BS1" s="477"/>
      <c r="BT1" s="477"/>
      <c r="BU1" s="477"/>
      <c r="BV1" s="477"/>
      <c r="BW1" s="477"/>
      <c r="BX1" s="477"/>
      <c r="BY1" s="477"/>
      <c r="BZ1" s="53"/>
    </row>
    <row r="2" spans="1:79" s="74" customFormat="1" ht="18.75" customHeight="1" x14ac:dyDescent="0.25">
      <c r="A2" s="487"/>
      <c r="B2" s="501"/>
      <c r="C2" s="501"/>
      <c r="D2" s="503"/>
      <c r="E2" s="506"/>
      <c r="F2" s="210">
        <v>0.25</v>
      </c>
      <c r="G2" s="213">
        <v>0.25</v>
      </c>
      <c r="H2" s="212">
        <v>0.25</v>
      </c>
      <c r="I2" s="211">
        <v>0.25</v>
      </c>
      <c r="J2" s="73"/>
      <c r="K2" s="489" t="s">
        <v>318</v>
      </c>
      <c r="L2" s="489"/>
      <c r="M2" s="489"/>
      <c r="N2" s="489"/>
      <c r="O2" s="489" t="s">
        <v>322</v>
      </c>
      <c r="P2" s="489"/>
      <c r="Q2" s="489"/>
      <c r="R2" s="489" t="s">
        <v>321</v>
      </c>
      <c r="S2" s="489"/>
      <c r="T2" s="489"/>
      <c r="U2" s="489"/>
      <c r="V2" s="489"/>
      <c r="W2" s="489" t="s">
        <v>315</v>
      </c>
      <c r="X2" s="489"/>
      <c r="Y2" s="489"/>
      <c r="Z2" s="489"/>
      <c r="AA2" s="489"/>
      <c r="AB2" s="73"/>
      <c r="AC2" s="480" t="s">
        <v>321</v>
      </c>
      <c r="AD2" s="481"/>
      <c r="AE2" s="481"/>
      <c r="AF2" s="481"/>
      <c r="AG2" s="481"/>
      <c r="AH2" s="482"/>
      <c r="AI2" s="480" t="s">
        <v>321</v>
      </c>
      <c r="AJ2" s="481"/>
      <c r="AK2" s="481"/>
      <c r="AL2" s="481"/>
      <c r="AM2" s="481"/>
      <c r="AN2" s="482"/>
      <c r="AO2" s="73"/>
      <c r="AP2" s="474" t="s">
        <v>315</v>
      </c>
      <c r="AQ2" s="474"/>
      <c r="AR2" s="474"/>
      <c r="AS2" s="474"/>
      <c r="AT2" s="474" t="s">
        <v>317</v>
      </c>
      <c r="AU2" s="474"/>
      <c r="AV2" s="474"/>
      <c r="AW2" s="474"/>
      <c r="AX2" s="474"/>
      <c r="AY2" s="474" t="s">
        <v>315</v>
      </c>
      <c r="AZ2" s="474"/>
      <c r="BA2" s="474" t="s">
        <v>320</v>
      </c>
      <c r="BB2" s="474"/>
      <c r="BC2" s="474" t="s">
        <v>318</v>
      </c>
      <c r="BD2" s="474"/>
      <c r="BE2" s="474"/>
      <c r="BF2" s="474"/>
      <c r="BG2" s="73"/>
      <c r="BH2" s="478" t="s">
        <v>315</v>
      </c>
      <c r="BI2" s="478"/>
      <c r="BJ2" s="478"/>
      <c r="BK2" s="478"/>
      <c r="BL2" s="478"/>
      <c r="BM2" s="478" t="s">
        <v>314</v>
      </c>
      <c r="BN2" s="478"/>
      <c r="BO2" s="478"/>
      <c r="BP2" s="478"/>
      <c r="BQ2" s="478" t="s">
        <v>317</v>
      </c>
      <c r="BR2" s="478"/>
      <c r="BS2" s="478"/>
      <c r="BT2" s="478"/>
      <c r="BU2" s="478"/>
      <c r="BV2" s="478"/>
      <c r="BW2" s="478"/>
      <c r="BX2" s="478" t="s">
        <v>318</v>
      </c>
      <c r="BY2" s="478"/>
      <c r="BZ2" s="73"/>
    </row>
    <row r="3" spans="1:79" ht="18.75" customHeight="1" x14ac:dyDescent="0.25">
      <c r="A3" s="487"/>
      <c r="B3" s="501"/>
      <c r="C3" s="501"/>
      <c r="D3" s="503"/>
      <c r="E3" s="506"/>
      <c r="F3" s="470" t="s">
        <v>281</v>
      </c>
      <c r="G3" s="507" t="s">
        <v>236</v>
      </c>
      <c r="H3" s="483" t="s">
        <v>237</v>
      </c>
      <c r="I3" s="484" t="s">
        <v>282</v>
      </c>
      <c r="J3" s="53"/>
      <c r="K3" s="471" t="s">
        <v>744</v>
      </c>
      <c r="L3" s="471"/>
      <c r="M3" s="471"/>
      <c r="N3" s="471"/>
      <c r="O3" s="471" t="s">
        <v>250</v>
      </c>
      <c r="P3" s="471"/>
      <c r="Q3" s="471"/>
      <c r="R3" s="471" t="s">
        <v>335</v>
      </c>
      <c r="S3" s="471"/>
      <c r="T3" s="471"/>
      <c r="U3" s="471"/>
      <c r="V3" s="471"/>
      <c r="W3" s="471" t="s">
        <v>251</v>
      </c>
      <c r="X3" s="471"/>
      <c r="Y3" s="471"/>
      <c r="Z3" s="471"/>
      <c r="AA3" s="471"/>
      <c r="AB3" s="53"/>
      <c r="AC3" s="475" t="s">
        <v>227</v>
      </c>
      <c r="AD3" s="475"/>
      <c r="AE3" s="475"/>
      <c r="AF3" s="475"/>
      <c r="AG3" s="475"/>
      <c r="AH3" s="475"/>
      <c r="AI3" s="475" t="s">
        <v>226</v>
      </c>
      <c r="AJ3" s="475"/>
      <c r="AK3" s="475"/>
      <c r="AL3" s="475"/>
      <c r="AM3" s="475"/>
      <c r="AN3" s="475"/>
      <c r="AO3" s="53"/>
      <c r="AP3" s="476" t="s">
        <v>309</v>
      </c>
      <c r="AQ3" s="476"/>
      <c r="AR3" s="476"/>
      <c r="AS3" s="476"/>
      <c r="AT3" s="476" t="s">
        <v>231</v>
      </c>
      <c r="AU3" s="476"/>
      <c r="AV3" s="476"/>
      <c r="AW3" s="476"/>
      <c r="AX3" s="476"/>
      <c r="AY3" s="476" t="s">
        <v>7</v>
      </c>
      <c r="AZ3" s="476"/>
      <c r="BA3" s="476" t="s">
        <v>238</v>
      </c>
      <c r="BB3" s="476"/>
      <c r="BC3" s="476" t="s">
        <v>240</v>
      </c>
      <c r="BD3" s="476"/>
      <c r="BE3" s="476"/>
      <c r="BF3" s="476"/>
      <c r="BG3" s="53"/>
      <c r="BH3" s="472" t="s">
        <v>241</v>
      </c>
      <c r="BI3" s="472"/>
      <c r="BJ3" s="472"/>
      <c r="BK3" s="472"/>
      <c r="BL3" s="472"/>
      <c r="BM3" s="472" t="s">
        <v>244</v>
      </c>
      <c r="BN3" s="472"/>
      <c r="BO3" s="472"/>
      <c r="BP3" s="472"/>
      <c r="BQ3" s="472" t="s">
        <v>242</v>
      </c>
      <c r="BR3" s="472"/>
      <c r="BS3" s="472"/>
      <c r="BT3" s="472"/>
      <c r="BU3" s="472"/>
      <c r="BV3" s="472"/>
      <c r="BW3" s="472"/>
      <c r="BX3" s="472" t="s">
        <v>316</v>
      </c>
      <c r="BY3" s="472"/>
      <c r="BZ3" s="53"/>
    </row>
    <row r="4" spans="1:79" s="80" customFormat="1" ht="15" customHeight="1" x14ac:dyDescent="0.2">
      <c r="A4" s="487"/>
      <c r="B4" s="501"/>
      <c r="C4" s="501"/>
      <c r="D4" s="503"/>
      <c r="E4" s="506"/>
      <c r="F4" s="470"/>
      <c r="G4" s="507"/>
      <c r="H4" s="483"/>
      <c r="I4" s="484"/>
      <c r="J4" s="77"/>
      <c r="K4" s="75">
        <v>1</v>
      </c>
      <c r="L4" s="485">
        <v>1</v>
      </c>
      <c r="M4" s="486"/>
      <c r="N4" s="490" t="s">
        <v>252</v>
      </c>
      <c r="O4" s="75">
        <v>1</v>
      </c>
      <c r="P4" s="75">
        <v>2</v>
      </c>
      <c r="Q4" s="490" t="s">
        <v>253</v>
      </c>
      <c r="R4" s="75">
        <v>2</v>
      </c>
      <c r="S4" s="75">
        <v>1</v>
      </c>
      <c r="T4" s="75">
        <v>2</v>
      </c>
      <c r="U4" s="75">
        <v>1</v>
      </c>
      <c r="V4" s="490" t="s">
        <v>254</v>
      </c>
      <c r="W4" s="75">
        <v>0.5</v>
      </c>
      <c r="X4" s="75">
        <v>1.5</v>
      </c>
      <c r="Y4" s="75">
        <v>2</v>
      </c>
      <c r="Z4" s="75">
        <v>1.5</v>
      </c>
      <c r="AA4" s="490" t="s">
        <v>255</v>
      </c>
      <c r="AB4" s="77"/>
      <c r="AC4" s="76">
        <v>2</v>
      </c>
      <c r="AD4" s="76">
        <v>1</v>
      </c>
      <c r="AE4" s="76">
        <v>1</v>
      </c>
      <c r="AF4" s="76">
        <v>1</v>
      </c>
      <c r="AG4" s="76">
        <v>1</v>
      </c>
      <c r="AH4" s="473" t="s">
        <v>229</v>
      </c>
      <c r="AI4" s="76">
        <v>1</v>
      </c>
      <c r="AJ4" s="76">
        <v>1.5</v>
      </c>
      <c r="AK4" s="76">
        <v>0.5</v>
      </c>
      <c r="AL4" s="76">
        <v>2</v>
      </c>
      <c r="AM4" s="76">
        <v>1</v>
      </c>
      <c r="AN4" s="473" t="s">
        <v>230</v>
      </c>
      <c r="AO4" s="77"/>
      <c r="AP4" s="78">
        <v>1</v>
      </c>
      <c r="AQ4" s="78">
        <v>2</v>
      </c>
      <c r="AR4" s="78">
        <v>1</v>
      </c>
      <c r="AS4" s="467" t="s">
        <v>232</v>
      </c>
      <c r="AT4" s="78">
        <v>2</v>
      </c>
      <c r="AU4" s="78">
        <v>1.5</v>
      </c>
      <c r="AV4" s="78">
        <v>1</v>
      </c>
      <c r="AW4" s="78">
        <v>1</v>
      </c>
      <c r="AX4" s="467" t="s">
        <v>233</v>
      </c>
      <c r="AY4" s="78">
        <v>1</v>
      </c>
      <c r="AZ4" s="467" t="s">
        <v>234</v>
      </c>
      <c r="BA4" s="78">
        <v>1</v>
      </c>
      <c r="BB4" s="467" t="s">
        <v>239</v>
      </c>
      <c r="BC4" s="78">
        <v>0.5</v>
      </c>
      <c r="BD4" s="78">
        <v>1</v>
      </c>
      <c r="BE4" s="78">
        <v>1</v>
      </c>
      <c r="BF4" s="467" t="s">
        <v>235</v>
      </c>
      <c r="BG4" s="77"/>
      <c r="BH4" s="79">
        <v>0.5</v>
      </c>
      <c r="BI4" s="79">
        <v>0.5</v>
      </c>
      <c r="BJ4" s="79">
        <v>5</v>
      </c>
      <c r="BK4" s="216">
        <v>3</v>
      </c>
      <c r="BL4" s="468" t="s">
        <v>243</v>
      </c>
      <c r="BM4" s="79">
        <v>2</v>
      </c>
      <c r="BN4" s="79">
        <v>1</v>
      </c>
      <c r="BO4" s="79">
        <v>1</v>
      </c>
      <c r="BP4" s="469" t="s">
        <v>245</v>
      </c>
      <c r="BQ4" s="79">
        <v>1</v>
      </c>
      <c r="BR4" s="79">
        <v>1.5</v>
      </c>
      <c r="BS4" s="79">
        <v>1.5</v>
      </c>
      <c r="BT4" s="79">
        <v>2</v>
      </c>
      <c r="BU4" s="79">
        <v>0.5</v>
      </c>
      <c r="BV4" s="79">
        <v>1</v>
      </c>
      <c r="BW4" s="465" t="s">
        <v>246</v>
      </c>
      <c r="BX4" s="79">
        <v>1</v>
      </c>
      <c r="BY4" s="466" t="s">
        <v>247</v>
      </c>
      <c r="BZ4" s="77"/>
    </row>
    <row r="5" spans="1:79" s="80" customFormat="1" ht="15" customHeight="1" x14ac:dyDescent="0.2">
      <c r="A5" s="487"/>
      <c r="B5" s="501"/>
      <c r="C5" s="501"/>
      <c r="D5" s="503"/>
      <c r="E5" s="506"/>
      <c r="F5" s="470"/>
      <c r="G5" s="507"/>
      <c r="H5" s="483"/>
      <c r="I5" s="484"/>
      <c r="J5" s="77"/>
      <c r="K5" s="75" t="s">
        <v>734</v>
      </c>
      <c r="L5" s="203" t="s">
        <v>734</v>
      </c>
      <c r="M5" s="75" t="s">
        <v>735</v>
      </c>
      <c r="N5" s="490"/>
      <c r="O5" s="75" t="s">
        <v>734</v>
      </c>
      <c r="P5" s="75" t="s">
        <v>734</v>
      </c>
      <c r="Q5" s="490"/>
      <c r="R5" s="75" t="s">
        <v>735</v>
      </c>
      <c r="S5" s="75" t="s">
        <v>735</v>
      </c>
      <c r="T5" s="75" t="s">
        <v>735</v>
      </c>
      <c r="U5" s="75" t="s">
        <v>735</v>
      </c>
      <c r="V5" s="490"/>
      <c r="W5" s="75" t="s">
        <v>734</v>
      </c>
      <c r="X5" s="75" t="s">
        <v>734</v>
      </c>
      <c r="Y5" s="75" t="s">
        <v>736</v>
      </c>
      <c r="Z5" s="75" t="s">
        <v>738</v>
      </c>
      <c r="AA5" s="490"/>
      <c r="AB5" s="77"/>
      <c r="AC5" s="76" t="s">
        <v>734</v>
      </c>
      <c r="AD5" s="76" t="s">
        <v>735</v>
      </c>
      <c r="AE5" s="76" t="s">
        <v>735</v>
      </c>
      <c r="AF5" s="76" t="s">
        <v>734</v>
      </c>
      <c r="AG5" s="76" t="s">
        <v>735</v>
      </c>
      <c r="AH5" s="473"/>
      <c r="AI5" s="76" t="s">
        <v>735</v>
      </c>
      <c r="AJ5" s="76" t="s">
        <v>735</v>
      </c>
      <c r="AK5" s="76" t="s">
        <v>735</v>
      </c>
      <c r="AL5" s="76" t="s">
        <v>735</v>
      </c>
      <c r="AM5" s="76" t="s">
        <v>735</v>
      </c>
      <c r="AN5" s="473"/>
      <c r="AO5" s="77"/>
      <c r="AP5" s="78" t="s">
        <v>735</v>
      </c>
      <c r="AQ5" s="78" t="s">
        <v>735</v>
      </c>
      <c r="AR5" s="78" t="s">
        <v>734</v>
      </c>
      <c r="AS5" s="467"/>
      <c r="AT5" s="78" t="s">
        <v>737</v>
      </c>
      <c r="AU5" s="78" t="s">
        <v>735</v>
      </c>
      <c r="AV5" s="78" t="s">
        <v>735</v>
      </c>
      <c r="AW5" s="78" t="s">
        <v>734</v>
      </c>
      <c r="AX5" s="467"/>
      <c r="AY5" s="78" t="s">
        <v>735</v>
      </c>
      <c r="AZ5" s="467"/>
      <c r="BA5" s="78" t="s">
        <v>735</v>
      </c>
      <c r="BB5" s="467"/>
      <c r="BC5" s="78" t="s">
        <v>735</v>
      </c>
      <c r="BD5" s="78" t="s">
        <v>735</v>
      </c>
      <c r="BE5" s="78" t="s">
        <v>735</v>
      </c>
      <c r="BF5" s="467"/>
      <c r="BG5" s="77"/>
      <c r="BH5" s="79" t="s">
        <v>738</v>
      </c>
      <c r="BI5" s="79" t="s">
        <v>735</v>
      </c>
      <c r="BJ5" s="79" t="s">
        <v>740</v>
      </c>
      <c r="BK5" s="79" t="s">
        <v>735</v>
      </c>
      <c r="BL5" s="468"/>
      <c r="BM5" s="79" t="s">
        <v>735</v>
      </c>
      <c r="BN5" s="79" t="s">
        <v>735</v>
      </c>
      <c r="BO5" s="79" t="s">
        <v>735</v>
      </c>
      <c r="BP5" s="469"/>
      <c r="BQ5" s="79" t="s">
        <v>735</v>
      </c>
      <c r="BR5" s="79" t="s">
        <v>735</v>
      </c>
      <c r="BS5" s="79" t="s">
        <v>735</v>
      </c>
      <c r="BT5" s="79" t="s">
        <v>735</v>
      </c>
      <c r="BU5" s="79" t="s">
        <v>735</v>
      </c>
      <c r="BV5" s="79" t="s">
        <v>735</v>
      </c>
      <c r="BW5" s="465"/>
      <c r="BX5" s="79" t="s">
        <v>735</v>
      </c>
      <c r="BY5" s="466"/>
      <c r="BZ5" s="77"/>
    </row>
    <row r="6" spans="1:79" ht="119.25" customHeight="1" x14ac:dyDescent="0.25">
      <c r="A6" s="487"/>
      <c r="B6" s="501"/>
      <c r="C6" s="501"/>
      <c r="D6" s="504"/>
      <c r="E6" s="506"/>
      <c r="F6" s="470"/>
      <c r="G6" s="507"/>
      <c r="H6" s="483"/>
      <c r="I6" s="484"/>
      <c r="J6" s="54"/>
      <c r="K6" s="61" t="s">
        <v>733</v>
      </c>
      <c r="L6" s="204" t="s">
        <v>256</v>
      </c>
      <c r="M6" s="61" t="s">
        <v>813</v>
      </c>
      <c r="N6" s="490"/>
      <c r="O6" s="61" t="s">
        <v>363</v>
      </c>
      <c r="P6" s="61" t="s">
        <v>257</v>
      </c>
      <c r="Q6" s="490"/>
      <c r="R6" s="61" t="s">
        <v>284</v>
      </c>
      <c r="S6" s="61" t="s">
        <v>285</v>
      </c>
      <c r="T6" s="61" t="s">
        <v>286</v>
      </c>
      <c r="U6" s="61" t="s">
        <v>287</v>
      </c>
      <c r="V6" s="490"/>
      <c r="W6" s="61" t="s">
        <v>731</v>
      </c>
      <c r="X6" s="61" t="s">
        <v>732</v>
      </c>
      <c r="Y6" s="61" t="s">
        <v>289</v>
      </c>
      <c r="Z6" s="61" t="s">
        <v>814</v>
      </c>
      <c r="AA6" s="490"/>
      <c r="AB6" s="54"/>
      <c r="AC6" s="55" t="s">
        <v>290</v>
      </c>
      <c r="AD6" s="55" t="s">
        <v>258</v>
      </c>
      <c r="AE6" s="56" t="s">
        <v>259</v>
      </c>
      <c r="AF6" s="57" t="s">
        <v>260</v>
      </c>
      <c r="AG6" s="56" t="s">
        <v>261</v>
      </c>
      <c r="AH6" s="473"/>
      <c r="AI6" s="57" t="s">
        <v>262</v>
      </c>
      <c r="AJ6" s="57" t="s">
        <v>263</v>
      </c>
      <c r="AK6" s="55" t="s">
        <v>264</v>
      </c>
      <c r="AL6" s="56" t="s">
        <v>265</v>
      </c>
      <c r="AM6" s="56" t="s">
        <v>3</v>
      </c>
      <c r="AN6" s="473"/>
      <c r="AO6" s="54"/>
      <c r="AP6" s="58" t="s">
        <v>4</v>
      </c>
      <c r="AQ6" s="58" t="s">
        <v>5</v>
      </c>
      <c r="AR6" s="58" t="s">
        <v>266</v>
      </c>
      <c r="AS6" s="467"/>
      <c r="AT6" s="58" t="s">
        <v>267</v>
      </c>
      <c r="AU6" s="58" t="s">
        <v>6</v>
      </c>
      <c r="AV6" s="58" t="s">
        <v>311</v>
      </c>
      <c r="AW6" s="59" t="s">
        <v>292</v>
      </c>
      <c r="AX6" s="467"/>
      <c r="AY6" s="59" t="s">
        <v>291</v>
      </c>
      <c r="AZ6" s="467"/>
      <c r="BA6" s="59" t="s">
        <v>268</v>
      </c>
      <c r="BB6" s="467"/>
      <c r="BC6" s="59" t="s">
        <v>270</v>
      </c>
      <c r="BD6" s="59" t="s">
        <v>269</v>
      </c>
      <c r="BE6" s="59" t="s">
        <v>271</v>
      </c>
      <c r="BF6" s="467"/>
      <c r="BG6" s="54"/>
      <c r="BH6" s="65" t="s">
        <v>739</v>
      </c>
      <c r="BI6" s="65" t="s">
        <v>312</v>
      </c>
      <c r="BJ6" s="66" t="s">
        <v>272</v>
      </c>
      <c r="BK6" s="66" t="s">
        <v>319</v>
      </c>
      <c r="BL6" s="468"/>
      <c r="BM6" s="67" t="s">
        <v>273</v>
      </c>
      <c r="BN6" s="65" t="s">
        <v>8</v>
      </c>
      <c r="BO6" s="67" t="s">
        <v>274</v>
      </c>
      <c r="BP6" s="469"/>
      <c r="BQ6" s="67" t="s">
        <v>275</v>
      </c>
      <c r="BR6" s="67" t="s">
        <v>276</v>
      </c>
      <c r="BS6" s="66" t="s">
        <v>277</v>
      </c>
      <c r="BT6" s="68" t="s">
        <v>278</v>
      </c>
      <c r="BU6" s="68" t="s">
        <v>279</v>
      </c>
      <c r="BV6" s="68" t="s">
        <v>280</v>
      </c>
      <c r="BW6" s="465"/>
      <c r="BX6" s="60" t="s">
        <v>9</v>
      </c>
      <c r="BY6" s="466"/>
      <c r="BZ6" s="54"/>
    </row>
    <row r="7" spans="1:79" s="5" customFormat="1" ht="15" customHeight="1" x14ac:dyDescent="0.25">
      <c r="A7" s="69">
        <v>1</v>
      </c>
      <c r="B7" s="219" t="s">
        <v>13</v>
      </c>
      <c r="C7" s="220" t="s">
        <v>19</v>
      </c>
      <c r="D7" s="162" t="s">
        <v>200</v>
      </c>
      <c r="E7" s="209">
        <f t="shared" ref="E7:E38" si="0">(F7*25+G7*25+H7*25+I7*25)/100</f>
        <v>82.813197371944952</v>
      </c>
      <c r="F7" s="71">
        <f t="shared" ref="F7:F38" si="1">(N7*10+Q7*15+V7*50+AA7*25)/100</f>
        <v>81.026008517793969</v>
      </c>
      <c r="G7" s="71">
        <f t="shared" ref="G7:G38" si="2">(AH7*50+AN7*50)/100</f>
        <v>79.352886237514809</v>
      </c>
      <c r="H7" s="71">
        <f t="shared" ref="H7:H38" si="3">(AS7*25+AX7*35+AZ7*25+BB7*5+BF7*10)/100</f>
        <v>83.424255846825659</v>
      </c>
      <c r="I7" s="71">
        <f t="shared" ref="I7:I38" si="4">(BL7*25+BP7*30+BW7*35+BY7*10)/100</f>
        <v>87.449638885645356</v>
      </c>
      <c r="J7" s="62"/>
      <c r="K7" s="82">
        <v>0.65417150347948372</v>
      </c>
      <c r="L7" s="269">
        <v>1.3599999999999999</v>
      </c>
      <c r="M7" s="82">
        <f t="shared" ref="M7:M20" si="5">IF(L7&lt;-5, 0, IF(AND(L7&gt;=1, L7&lt;=3), 100, IF(L7&gt;30, 0, IF(L7&lt;1, 100 * ((L7 + 5) / 6), 100 * ((30 - L7) / (30 - 3))))))</f>
        <v>100</v>
      </c>
      <c r="N7" s="71">
        <f t="shared" ref="N7:N38" si="6">(((MIN(MAX(K7,-3),6)-(-3))/(6-(-3)))*100+M7)/2</f>
        <v>70.300952797108238</v>
      </c>
      <c r="O7" s="82">
        <v>36.714028960600004</v>
      </c>
      <c r="P7" s="107">
        <v>39.4</v>
      </c>
      <c r="Q7" s="70">
        <f t="shared" ref="Q7:Q38" si="7">((MIN(MAX(O7,-5),60)/60)*100+((150-MIN(P7,150))/(150))*100*2)/3</f>
        <v>69.552238311444441</v>
      </c>
      <c r="R7" s="270">
        <v>0.30499999999999999</v>
      </c>
      <c r="S7" s="82">
        <v>1.5791347</v>
      </c>
      <c r="T7" s="82">
        <v>0.93</v>
      </c>
      <c r="U7" s="270">
        <v>2.8370000000000002</v>
      </c>
      <c r="V7" s="70">
        <f t="shared" ref="V7:V38" si="8">((R7/0.45)*100*2+((S7-(-4))/(2-(-4)))*100+T7*100*2+((5.5-U7)/(5.5-2))*100)/6</f>
        <v>81.771141362433866</v>
      </c>
      <c r="W7" s="82">
        <v>4.8730000000000002</v>
      </c>
      <c r="X7" s="107">
        <v>1.1000000000000001</v>
      </c>
      <c r="Y7" s="107">
        <v>85.81</v>
      </c>
      <c r="Z7" s="107">
        <v>0.5</v>
      </c>
      <c r="AA7" s="71">
        <f t="shared" ref="AA7:AA38" si="9">(((35-W7)/(35))*100*0.5+(100-X7)*1.5+((LN(MIN(MAX(Y7,1),250))-LN(1))/(LN(250)-LN(1)))*100*2+((20-MIN(Z7,20))/(20))*100*1.5)/5.5</f>
        <v>90.710027240598166</v>
      </c>
      <c r="AB7" s="62"/>
      <c r="AC7" s="82">
        <v>25.996620123314941</v>
      </c>
      <c r="AD7" s="107">
        <v>94.4</v>
      </c>
      <c r="AE7" s="271">
        <v>85</v>
      </c>
      <c r="AF7" s="85">
        <v>0</v>
      </c>
      <c r="AG7" s="84">
        <v>100</v>
      </c>
      <c r="AH7" s="70">
        <f t="shared" ref="AH7:AH38" si="10">((AC7/50)*100*2+AD7*1+AE7+(1-(AF7/65))*100+AG7)/6</f>
        <v>80.564413415543299</v>
      </c>
      <c r="AI7" s="82">
        <v>2.2200000000000002</v>
      </c>
      <c r="AJ7" s="82">
        <v>5.03</v>
      </c>
      <c r="AK7" s="107">
        <v>70.900000000000006</v>
      </c>
      <c r="AL7" s="82">
        <v>8.1821728662882176</v>
      </c>
      <c r="AM7" s="82">
        <v>91.254697031153597</v>
      </c>
      <c r="AN7" s="70">
        <f t="shared" ref="AN7:AN38" si="11">(((AI7-(-4))/(4-(-4)))*100+((AJ7-1)/(7-1))*100*1.5+AK7*0.5+(AL7/10)*100*2+AM7)/6</f>
        <v>78.141359059486319</v>
      </c>
      <c r="AO7" s="62"/>
      <c r="AP7" s="83">
        <v>99.979972899784002</v>
      </c>
      <c r="AQ7" s="83">
        <v>88.654076235973946</v>
      </c>
      <c r="AR7" s="83">
        <v>0.3</v>
      </c>
      <c r="AS7" s="158">
        <f t="shared" ref="AS7:AS38" si="12">(AP7+AQ7*2+(100-AR7))/4</f>
        <v>94.247031342932971</v>
      </c>
      <c r="AT7" s="83">
        <v>84.229299999999995</v>
      </c>
      <c r="AU7" s="83">
        <v>85.146512813999649</v>
      </c>
      <c r="AV7" s="83">
        <v>52.322634445014202</v>
      </c>
      <c r="AW7" s="107">
        <v>2.5</v>
      </c>
      <c r="AX7" s="71">
        <f t="shared" ref="AX7:AX38" si="13">(((AT7-50)/(85-50))*100*2+AU7*1.5+AV7+(1-((MIN(AW7,55)-2.5)/(55-2.5)))*100)/5.5</f>
        <v>86.47970975745703</v>
      </c>
      <c r="AY7" s="82">
        <v>78.41999838392978</v>
      </c>
      <c r="AZ7" s="71">
        <f t="shared" ref="AZ7:AZ38" si="14">AY7</f>
        <v>78.41999838392978</v>
      </c>
      <c r="BA7" s="82">
        <v>33.799999999999997</v>
      </c>
      <c r="BB7" s="71">
        <f t="shared" ref="BB7:BB38" si="15">100-BA7</f>
        <v>66.2</v>
      </c>
      <c r="BC7" s="82">
        <v>69.12</v>
      </c>
      <c r="BD7" s="82">
        <v>85.42</v>
      </c>
      <c r="BE7" s="82">
        <v>47.01</v>
      </c>
      <c r="BF7" s="71">
        <f t="shared" ref="BF7:BF38" si="16">(BC7*0.5+BD7+BE7)/2.5</f>
        <v>66.796000000000006</v>
      </c>
      <c r="BG7" s="62"/>
      <c r="BH7" s="82">
        <v>0.5</v>
      </c>
      <c r="BI7" s="82">
        <v>4.6500000000000004</v>
      </c>
      <c r="BJ7" s="271">
        <v>151</v>
      </c>
      <c r="BK7" s="82">
        <v>100</v>
      </c>
      <c r="BL7" s="70">
        <f t="shared" ref="BL7:BL38" si="17">(((30-MIN(BH7,30))/(30))*100*0.5+((10-BI7)/(10-1))*100*0.5+((BJ7-1)/(156-1))*100*5+(BK7)*3)/9</f>
        <v>95.862206292313829</v>
      </c>
      <c r="BM7" s="272">
        <v>0.87069611580531558</v>
      </c>
      <c r="BN7" s="82">
        <v>84.83</v>
      </c>
      <c r="BO7" s="82">
        <v>86.44359262391724</v>
      </c>
      <c r="BP7" s="70">
        <f t="shared" ref="BP7:BP38" si="18">(BM7*100*2+BN7+BO7)/4</f>
        <v>86.353203946245088</v>
      </c>
      <c r="BQ7" s="272">
        <v>0.84311029556422901</v>
      </c>
      <c r="BR7" s="272">
        <v>0.77801032167528184</v>
      </c>
      <c r="BS7" s="82">
        <v>88.484008000000003</v>
      </c>
      <c r="BT7" s="82">
        <v>87.123182200000002</v>
      </c>
      <c r="BU7" s="82">
        <v>82.645768699999991</v>
      </c>
      <c r="BV7" s="82">
        <v>82.794864199999992</v>
      </c>
      <c r="BW7" s="71">
        <f t="shared" ref="BW7:BW38" si="19">(BQ7*100+BR7*100*1.5+BS7*1.5+BT7*2+BU7*0.5+BV7)/7.5</f>
        <v>84.280360367695351</v>
      </c>
      <c r="BX7" s="82">
        <v>80.8</v>
      </c>
      <c r="BY7" s="158">
        <f t="shared" ref="BY7:BY38" si="20">BX7</f>
        <v>80.8</v>
      </c>
      <c r="BZ7" s="72"/>
      <c r="CA7" s="153"/>
    </row>
    <row r="8" spans="1:79" s="5" customFormat="1" ht="15" customHeight="1" x14ac:dyDescent="0.25">
      <c r="A8" s="2">
        <v>2</v>
      </c>
      <c r="B8" s="6" t="s">
        <v>13</v>
      </c>
      <c r="C8" s="10" t="s">
        <v>19</v>
      </c>
      <c r="D8" s="162" t="s">
        <v>73</v>
      </c>
      <c r="E8" s="209">
        <f t="shared" si="0"/>
        <v>81.401498492930273</v>
      </c>
      <c r="F8" s="71">
        <f t="shared" si="1"/>
        <v>76.048260867426862</v>
      </c>
      <c r="G8" s="71">
        <f t="shared" si="2"/>
        <v>75.431362141307815</v>
      </c>
      <c r="H8" s="71">
        <f t="shared" si="3"/>
        <v>83.272144197601605</v>
      </c>
      <c r="I8" s="71">
        <f t="shared" si="4"/>
        <v>90.854226765384809</v>
      </c>
      <c r="J8" s="63"/>
      <c r="K8" s="85">
        <v>1.2024885118675277</v>
      </c>
      <c r="L8" s="208">
        <v>3.4</v>
      </c>
      <c r="M8" s="82">
        <f t="shared" si="5"/>
        <v>98.518518518518533</v>
      </c>
      <c r="N8" s="71">
        <f t="shared" si="6"/>
        <v>72.606417658523313</v>
      </c>
      <c r="O8" s="85">
        <v>35.400332774680336</v>
      </c>
      <c r="P8" s="87">
        <v>27.5</v>
      </c>
      <c r="Q8" s="70">
        <f t="shared" si="7"/>
        <v>74.111295985933523</v>
      </c>
      <c r="R8" s="90">
        <v>0.183</v>
      </c>
      <c r="S8" s="85">
        <v>1.0182458999999999</v>
      </c>
      <c r="T8" s="85">
        <v>0.86</v>
      </c>
      <c r="U8" s="90">
        <v>2.5830000000000002</v>
      </c>
      <c r="V8" s="70">
        <f t="shared" si="8"/>
        <v>70.052270357142859</v>
      </c>
      <c r="W8" s="85">
        <v>5.5289999999999999</v>
      </c>
      <c r="X8" s="87">
        <v>2.2000000000000002</v>
      </c>
      <c r="Y8" s="87">
        <v>92.24</v>
      </c>
      <c r="Z8" s="214">
        <v>0.6</v>
      </c>
      <c r="AA8" s="71">
        <f t="shared" si="9"/>
        <v>90.579158100452304</v>
      </c>
      <c r="AB8" s="63"/>
      <c r="AC8" s="85">
        <v>21.849994897528472</v>
      </c>
      <c r="AD8" s="87">
        <v>99.9</v>
      </c>
      <c r="AE8" s="88">
        <v>90</v>
      </c>
      <c r="AF8" s="85">
        <v>1.85</v>
      </c>
      <c r="AG8" s="88">
        <v>100</v>
      </c>
      <c r="AH8" s="70">
        <f t="shared" si="10"/>
        <v>79.07563762399333</v>
      </c>
      <c r="AI8" s="85">
        <v>1.36</v>
      </c>
      <c r="AJ8" s="85">
        <v>4.82</v>
      </c>
      <c r="AK8" s="87">
        <v>43.4</v>
      </c>
      <c r="AL8" s="86">
        <v>7.3261259975866864</v>
      </c>
      <c r="AM8" s="85">
        <v>100</v>
      </c>
      <c r="AN8" s="70">
        <f t="shared" si="11"/>
        <v>71.787086658622286</v>
      </c>
      <c r="AO8" s="63"/>
      <c r="AP8" s="89">
        <v>99.361583977774302</v>
      </c>
      <c r="AQ8" s="89">
        <v>87.613392976357432</v>
      </c>
      <c r="AR8" s="89">
        <v>0.62</v>
      </c>
      <c r="AS8" s="158">
        <f t="shared" si="12"/>
        <v>93.492092482622297</v>
      </c>
      <c r="AT8" s="89">
        <v>82.245199999999997</v>
      </c>
      <c r="AU8" s="89">
        <v>86.759799296275531</v>
      </c>
      <c r="AV8" s="89">
        <v>54.524952292348701</v>
      </c>
      <c r="AW8" s="100">
        <v>2.5</v>
      </c>
      <c r="AX8" s="71">
        <f t="shared" si="13"/>
        <v>85.258715809281398</v>
      </c>
      <c r="AY8" s="86">
        <v>78.381482174790236</v>
      </c>
      <c r="AZ8" s="71">
        <f t="shared" si="14"/>
        <v>78.381482174790236</v>
      </c>
      <c r="BA8" s="86">
        <v>29.92</v>
      </c>
      <c r="BB8" s="71">
        <f t="shared" si="15"/>
        <v>70.08</v>
      </c>
      <c r="BC8" s="86">
        <v>70.92</v>
      </c>
      <c r="BD8" s="86">
        <v>87.79</v>
      </c>
      <c r="BE8" s="86">
        <v>50.73</v>
      </c>
      <c r="BF8" s="71">
        <f t="shared" si="16"/>
        <v>69.591999999999999</v>
      </c>
      <c r="BG8" s="63"/>
      <c r="BH8" s="85">
        <v>0.84</v>
      </c>
      <c r="BI8" s="85">
        <v>4.0999999999999996</v>
      </c>
      <c r="BJ8" s="88">
        <v>156</v>
      </c>
      <c r="BK8" s="81">
        <v>90.909090909090907</v>
      </c>
      <c r="BL8" s="70">
        <f t="shared" si="17"/>
        <v>94.900561167227835</v>
      </c>
      <c r="BM8" s="90">
        <v>0.92208150354211049</v>
      </c>
      <c r="BN8" s="85">
        <v>88.47</v>
      </c>
      <c r="BO8" s="85">
        <v>91.288522930259845</v>
      </c>
      <c r="BP8" s="70">
        <f t="shared" si="18"/>
        <v>91.043705909670479</v>
      </c>
      <c r="BQ8" s="90">
        <v>0.9421204622120114</v>
      </c>
      <c r="BR8" s="90">
        <v>0.85041792705056829</v>
      </c>
      <c r="BS8" s="85">
        <v>94.156833700000007</v>
      </c>
      <c r="BT8" s="86">
        <v>88.534917199999995</v>
      </c>
      <c r="BU8" s="85">
        <v>79.028027600000001</v>
      </c>
      <c r="BV8" s="86">
        <v>85.312766699999997</v>
      </c>
      <c r="BW8" s="71">
        <f t="shared" si="19"/>
        <v>88.654213430504853</v>
      </c>
      <c r="BX8" s="86">
        <v>87.87</v>
      </c>
      <c r="BY8" s="158">
        <f t="shared" si="20"/>
        <v>87.87</v>
      </c>
      <c r="BZ8" s="54"/>
    </row>
    <row r="9" spans="1:79" s="5" customFormat="1" ht="15" customHeight="1" x14ac:dyDescent="0.25">
      <c r="A9" s="2">
        <v>3</v>
      </c>
      <c r="B9" s="6" t="s">
        <v>13</v>
      </c>
      <c r="C9" s="10" t="s">
        <v>19</v>
      </c>
      <c r="D9" s="162" t="s">
        <v>109</v>
      </c>
      <c r="E9" s="209">
        <f t="shared" si="0"/>
        <v>81.077902394706157</v>
      </c>
      <c r="F9" s="71">
        <f t="shared" si="1"/>
        <v>82.018191347289019</v>
      </c>
      <c r="G9" s="71">
        <f t="shared" si="2"/>
        <v>75.125029963686572</v>
      </c>
      <c r="H9" s="71">
        <f t="shared" si="3"/>
        <v>82.133236099833084</v>
      </c>
      <c r="I9" s="71">
        <f t="shared" si="4"/>
        <v>85.035152168015969</v>
      </c>
      <c r="J9" s="63"/>
      <c r="K9" s="85">
        <v>2.9977159912662366</v>
      </c>
      <c r="L9" s="208">
        <v>3.8200000000000003</v>
      </c>
      <c r="M9" s="82">
        <f t="shared" si="5"/>
        <v>96.962962962962962</v>
      </c>
      <c r="N9" s="71">
        <f t="shared" si="6"/>
        <v>81.802125877405018</v>
      </c>
      <c r="O9" s="85">
        <v>34.861749748706558</v>
      </c>
      <c r="P9" s="87">
        <v>32.9</v>
      </c>
      <c r="Q9" s="70">
        <f t="shared" si="7"/>
        <v>71.412083193725863</v>
      </c>
      <c r="R9" s="90">
        <v>0.33700000000000002</v>
      </c>
      <c r="S9" s="85">
        <v>1.1835933000000001</v>
      </c>
      <c r="T9" s="85">
        <v>0.91</v>
      </c>
      <c r="U9" s="90">
        <v>3.4529999999999998</v>
      </c>
      <c r="V9" s="70">
        <f t="shared" si="8"/>
        <v>79.442785621693119</v>
      </c>
      <c r="W9" s="85">
        <v>4.6319999999999997</v>
      </c>
      <c r="X9" s="87">
        <v>3.4</v>
      </c>
      <c r="Y9" s="87">
        <v>164.65</v>
      </c>
      <c r="Z9" s="214">
        <v>1.1000000000000001</v>
      </c>
      <c r="AA9" s="71">
        <f t="shared" si="9"/>
        <v>93.619093878572272</v>
      </c>
      <c r="AB9" s="63"/>
      <c r="AC9" s="85">
        <v>22.235802940205261</v>
      </c>
      <c r="AD9" s="87">
        <v>94.4</v>
      </c>
      <c r="AE9" s="88">
        <v>90</v>
      </c>
      <c r="AF9" s="85">
        <v>2.4</v>
      </c>
      <c r="AG9" s="88">
        <v>88</v>
      </c>
      <c r="AH9" s="70">
        <f t="shared" si="10"/>
        <v>76.275150678085566</v>
      </c>
      <c r="AI9" s="85">
        <v>1.47</v>
      </c>
      <c r="AJ9" s="85">
        <v>4.6500000000000004</v>
      </c>
      <c r="AK9" s="87">
        <v>77.7</v>
      </c>
      <c r="AL9" s="86">
        <v>7.7243264367987443</v>
      </c>
      <c r="AM9" s="85">
        <v>90.887926759750698</v>
      </c>
      <c r="AN9" s="70">
        <f t="shared" si="11"/>
        <v>73.974909249287592</v>
      </c>
      <c r="AO9" s="63"/>
      <c r="AP9" s="89">
        <v>96.775826556478293</v>
      </c>
      <c r="AQ9" s="89">
        <v>82.904536303196892</v>
      </c>
      <c r="AR9" s="89">
        <v>0.26</v>
      </c>
      <c r="AS9" s="158">
        <f t="shared" si="12"/>
        <v>90.581224790718025</v>
      </c>
      <c r="AT9" s="89">
        <v>82.7453</v>
      </c>
      <c r="AU9" s="89">
        <v>86.113400391764458</v>
      </c>
      <c r="AV9" s="89">
        <v>55.725203352217285</v>
      </c>
      <c r="AW9" s="100">
        <v>2.5</v>
      </c>
      <c r="AX9" s="71">
        <f t="shared" si="13"/>
        <v>85.820237079975271</v>
      </c>
      <c r="AY9" s="86">
        <v>77.04378769664892</v>
      </c>
      <c r="AZ9" s="71">
        <f t="shared" si="14"/>
        <v>77.04378769664892</v>
      </c>
      <c r="BA9" s="86">
        <v>28.97</v>
      </c>
      <c r="BB9" s="71">
        <f t="shared" si="15"/>
        <v>71.03</v>
      </c>
      <c r="BC9" s="86">
        <v>64.36</v>
      </c>
      <c r="BD9" s="86">
        <v>88.45</v>
      </c>
      <c r="BE9" s="86">
        <v>45.33</v>
      </c>
      <c r="BF9" s="71">
        <f t="shared" si="16"/>
        <v>66.383999999999986</v>
      </c>
      <c r="BG9" s="63"/>
      <c r="BH9" s="85">
        <v>0.7</v>
      </c>
      <c r="BI9" s="85">
        <v>4.97</v>
      </c>
      <c r="BJ9" s="88">
        <v>140</v>
      </c>
      <c r="BK9" s="81">
        <v>100</v>
      </c>
      <c r="BL9" s="70">
        <f t="shared" si="17"/>
        <v>91.684986061330136</v>
      </c>
      <c r="BM9" s="90">
        <v>0.87683228271745339</v>
      </c>
      <c r="BN9" s="85">
        <v>85.93</v>
      </c>
      <c r="BO9" s="85">
        <v>82.393780255383874</v>
      </c>
      <c r="BP9" s="70">
        <f t="shared" si="18"/>
        <v>85.922559199718634</v>
      </c>
      <c r="BQ9" s="90">
        <v>0.84133701319547016</v>
      </c>
      <c r="BR9" s="90">
        <v>0.73642652016985588</v>
      </c>
      <c r="BS9" s="85">
        <v>79.686442</v>
      </c>
      <c r="BT9" s="86">
        <v>82.675553199999996</v>
      </c>
      <c r="BU9" s="85">
        <v>78.021815399999994</v>
      </c>
      <c r="BV9" s="86">
        <v>83.163598399999998</v>
      </c>
      <c r="BW9" s="71">
        <f t="shared" si="19"/>
        <v>80.220393979336706</v>
      </c>
      <c r="BX9" s="86">
        <v>82.6</v>
      </c>
      <c r="BY9" s="158">
        <f t="shared" si="20"/>
        <v>82.6</v>
      </c>
      <c r="BZ9" s="54"/>
    </row>
    <row r="10" spans="1:79" s="5" customFormat="1" ht="15" customHeight="1" x14ac:dyDescent="0.25">
      <c r="A10" s="2">
        <v>4</v>
      </c>
      <c r="B10" s="6" t="s">
        <v>13</v>
      </c>
      <c r="C10" s="10" t="s">
        <v>19</v>
      </c>
      <c r="D10" s="162" t="s">
        <v>199</v>
      </c>
      <c r="E10" s="209">
        <f t="shared" si="0"/>
        <v>80.659580145145028</v>
      </c>
      <c r="F10" s="71">
        <f t="shared" si="1"/>
        <v>75.877932120561383</v>
      </c>
      <c r="G10" s="71">
        <f t="shared" si="2"/>
        <v>75.744039304629197</v>
      </c>
      <c r="H10" s="71">
        <f t="shared" si="3"/>
        <v>84.731834662177619</v>
      </c>
      <c r="I10" s="71">
        <f t="shared" si="4"/>
        <v>86.284514493211901</v>
      </c>
      <c r="J10" s="63"/>
      <c r="K10" s="85">
        <v>0.4676818969035379</v>
      </c>
      <c r="L10" s="208">
        <v>4.2600000000000007</v>
      </c>
      <c r="M10" s="82">
        <f t="shared" si="5"/>
        <v>95.333333333333329</v>
      </c>
      <c r="N10" s="71">
        <f t="shared" si="6"/>
        <v>66.931566093908543</v>
      </c>
      <c r="O10" s="85">
        <v>30.618091504993007</v>
      </c>
      <c r="P10" s="87">
        <v>34.9</v>
      </c>
      <c r="Q10" s="70">
        <f t="shared" si="7"/>
        <v>68.165606391662777</v>
      </c>
      <c r="R10" s="90">
        <v>0.17799999999999999</v>
      </c>
      <c r="S10" s="85">
        <v>1.2342116999999999</v>
      </c>
      <c r="T10" s="85">
        <v>0.97</v>
      </c>
      <c r="U10" s="90">
        <v>2.6789999999999998</v>
      </c>
      <c r="V10" s="70">
        <f t="shared" si="8"/>
        <v>73.491328796296301</v>
      </c>
      <c r="W10" s="85">
        <v>8.6940000000000008</v>
      </c>
      <c r="X10" s="87">
        <v>3.2</v>
      </c>
      <c r="Y10" s="87">
        <v>83.86</v>
      </c>
      <c r="Z10" s="214">
        <v>0.6</v>
      </c>
      <c r="AA10" s="71">
        <f t="shared" si="9"/>
        <v>88.857080617091839</v>
      </c>
      <c r="AB10" s="63"/>
      <c r="AC10" s="85">
        <v>25.228008539979747</v>
      </c>
      <c r="AD10" s="87">
        <v>96.2</v>
      </c>
      <c r="AE10" s="88">
        <v>85</v>
      </c>
      <c r="AF10" s="85">
        <v>1.75</v>
      </c>
      <c r="AG10" s="88">
        <v>99</v>
      </c>
      <c r="AH10" s="70">
        <f t="shared" si="10"/>
        <v>79.736621077935226</v>
      </c>
      <c r="AI10" s="85">
        <v>1.37</v>
      </c>
      <c r="AJ10" s="85">
        <v>4.8</v>
      </c>
      <c r="AK10" s="87">
        <v>51.6</v>
      </c>
      <c r="AL10" s="86">
        <v>7.1635497046992267</v>
      </c>
      <c r="AM10" s="85">
        <v>99.312751093954503</v>
      </c>
      <c r="AN10" s="70">
        <f t="shared" si="11"/>
        <v>71.751457531323169</v>
      </c>
      <c r="AO10" s="63"/>
      <c r="AP10" s="89">
        <v>96.957707521498293</v>
      </c>
      <c r="AQ10" s="89">
        <v>86.529108303558914</v>
      </c>
      <c r="AR10" s="89">
        <v>1.47</v>
      </c>
      <c r="AS10" s="158">
        <f t="shared" si="12"/>
        <v>92.136481032154023</v>
      </c>
      <c r="AT10" s="89">
        <v>83.576400000000007</v>
      </c>
      <c r="AU10" s="89">
        <v>87.305111960327935</v>
      </c>
      <c r="AV10" s="89">
        <v>51.264815069309734</v>
      </c>
      <c r="AW10" s="100">
        <v>2.5</v>
      </c>
      <c r="AX10" s="71">
        <f t="shared" si="13"/>
        <v>86.197750157626288</v>
      </c>
      <c r="AY10" s="86">
        <v>82.200407395879623</v>
      </c>
      <c r="AZ10" s="71">
        <f t="shared" si="14"/>
        <v>82.200407395879623</v>
      </c>
      <c r="BA10" s="86">
        <v>29.28</v>
      </c>
      <c r="BB10" s="71">
        <f t="shared" si="15"/>
        <v>70.72</v>
      </c>
      <c r="BC10" s="86">
        <v>67.459999999999994</v>
      </c>
      <c r="BD10" s="86">
        <v>96.79</v>
      </c>
      <c r="BE10" s="86">
        <v>55.54</v>
      </c>
      <c r="BF10" s="71">
        <f t="shared" si="16"/>
        <v>74.424000000000007</v>
      </c>
      <c r="BG10" s="63"/>
      <c r="BH10" s="85">
        <v>0.87</v>
      </c>
      <c r="BI10" s="85">
        <v>4.7300000000000004</v>
      </c>
      <c r="BJ10" s="88">
        <v>132</v>
      </c>
      <c r="BK10" s="81">
        <v>100</v>
      </c>
      <c r="BL10" s="70">
        <f t="shared" si="17"/>
        <v>88.934269215452005</v>
      </c>
      <c r="BM10" s="90">
        <v>0.88932728019615281</v>
      </c>
      <c r="BN10" s="85">
        <v>87.61</v>
      </c>
      <c r="BO10" s="85">
        <v>87.959913281917963</v>
      </c>
      <c r="BP10" s="70">
        <f t="shared" si="18"/>
        <v>88.358842330287132</v>
      </c>
      <c r="BQ10" s="90">
        <v>0.84878175164375724</v>
      </c>
      <c r="BR10" s="90">
        <v>0.80176134351312611</v>
      </c>
      <c r="BS10" s="85">
        <v>87.682174099999997</v>
      </c>
      <c r="BT10" s="86">
        <v>85.8476797</v>
      </c>
      <c r="BU10" s="85">
        <v>76.203335499999994</v>
      </c>
      <c r="BV10" s="86">
        <v>81.229359799999997</v>
      </c>
      <c r="BW10" s="71">
        <f t="shared" si="19"/>
        <v>83.69226997217929</v>
      </c>
      <c r="BX10" s="86">
        <v>82.51</v>
      </c>
      <c r="BY10" s="158">
        <f t="shared" si="20"/>
        <v>82.51</v>
      </c>
      <c r="BZ10" s="54"/>
    </row>
    <row r="11" spans="1:79" s="13" customFormat="1" ht="15" customHeight="1" x14ac:dyDescent="0.25">
      <c r="A11" s="2">
        <v>5</v>
      </c>
      <c r="B11" s="6" t="s">
        <v>13</v>
      </c>
      <c r="C11" s="10" t="s">
        <v>19</v>
      </c>
      <c r="D11" s="162" t="s">
        <v>87</v>
      </c>
      <c r="E11" s="209">
        <f t="shared" si="0"/>
        <v>79.556323295207875</v>
      </c>
      <c r="F11" s="71">
        <f t="shared" si="1"/>
        <v>67.291128740416184</v>
      </c>
      <c r="G11" s="71">
        <f t="shared" si="2"/>
        <v>75.06058343099005</v>
      </c>
      <c r="H11" s="71">
        <f t="shared" si="3"/>
        <v>85.588307928699365</v>
      </c>
      <c r="I11" s="71">
        <f t="shared" si="4"/>
        <v>90.285273080725915</v>
      </c>
      <c r="J11" s="63"/>
      <c r="K11" s="85">
        <v>-0.46776922456029935</v>
      </c>
      <c r="L11" s="208">
        <v>3.2800000000000002</v>
      </c>
      <c r="M11" s="82">
        <f t="shared" si="5"/>
        <v>98.962962962962962</v>
      </c>
      <c r="N11" s="71">
        <f t="shared" si="6"/>
        <v>63.549430233924262</v>
      </c>
      <c r="O11" s="85">
        <v>23.160584104573033</v>
      </c>
      <c r="P11" s="87">
        <v>89.3</v>
      </c>
      <c r="Q11" s="70">
        <f t="shared" si="7"/>
        <v>39.84476894698502</v>
      </c>
      <c r="R11" s="90">
        <v>0.121</v>
      </c>
      <c r="S11" s="85">
        <v>1.1517107</v>
      </c>
      <c r="T11" s="85">
        <v>0.9</v>
      </c>
      <c r="U11" s="90">
        <v>2.819</v>
      </c>
      <c r="V11" s="70">
        <f t="shared" si="8"/>
        <v>66.039937129629621</v>
      </c>
      <c r="W11" s="85">
        <v>9.4610000000000003</v>
      </c>
      <c r="X11" s="87">
        <v>1.5</v>
      </c>
      <c r="Y11" s="87">
        <v>80.459999999999994</v>
      </c>
      <c r="Z11" s="214">
        <v>1.4</v>
      </c>
      <c r="AA11" s="71">
        <f t="shared" si="9"/>
        <v>87.758007240644787</v>
      </c>
      <c r="AB11" s="63"/>
      <c r="AC11" s="85">
        <v>21.834123391666964</v>
      </c>
      <c r="AD11" s="87">
        <v>99.9</v>
      </c>
      <c r="AE11" s="88">
        <v>85</v>
      </c>
      <c r="AF11" s="85">
        <v>2.4</v>
      </c>
      <c r="AG11" s="88">
        <v>95</v>
      </c>
      <c r="AH11" s="70">
        <f t="shared" si="10"/>
        <v>77.257364312393364</v>
      </c>
      <c r="AI11" s="85">
        <v>1.08</v>
      </c>
      <c r="AJ11" s="85">
        <v>4.55</v>
      </c>
      <c r="AK11" s="87">
        <v>68.400000000000006</v>
      </c>
      <c r="AL11" s="86">
        <v>7.5366407648760241</v>
      </c>
      <c r="AM11" s="85">
        <v>100</v>
      </c>
      <c r="AN11" s="70">
        <f t="shared" si="11"/>
        <v>72.863802549586737</v>
      </c>
      <c r="AO11" s="63"/>
      <c r="AP11" s="89">
        <v>99.889587785567514</v>
      </c>
      <c r="AQ11" s="89">
        <v>85.786845486945325</v>
      </c>
      <c r="AR11" s="89">
        <v>0.44</v>
      </c>
      <c r="AS11" s="158">
        <f t="shared" si="12"/>
        <v>92.755819689864538</v>
      </c>
      <c r="AT11" s="89">
        <v>82.243700000000004</v>
      </c>
      <c r="AU11" s="89">
        <v>86.201461700943383</v>
      </c>
      <c r="AV11" s="89">
        <v>52.852500487665012</v>
      </c>
      <c r="AW11" s="100">
        <v>2.5</v>
      </c>
      <c r="AX11" s="71">
        <f t="shared" si="13"/>
        <v>84.800801331780804</v>
      </c>
      <c r="AY11" s="86">
        <v>85.951490160439803</v>
      </c>
      <c r="AZ11" s="71">
        <f t="shared" si="14"/>
        <v>85.951490160439803</v>
      </c>
      <c r="BA11" s="86">
        <v>27.4</v>
      </c>
      <c r="BB11" s="71">
        <f t="shared" si="15"/>
        <v>72.599999999999994</v>
      </c>
      <c r="BC11" s="86">
        <v>66.319999999999993</v>
      </c>
      <c r="BD11" s="86">
        <v>96.92</v>
      </c>
      <c r="BE11" s="86">
        <v>59.95</v>
      </c>
      <c r="BF11" s="71">
        <f t="shared" si="16"/>
        <v>76.011999999999986</v>
      </c>
      <c r="BG11" s="63"/>
      <c r="BH11" s="85">
        <v>0.93</v>
      </c>
      <c r="BI11" s="85">
        <v>3.25</v>
      </c>
      <c r="BJ11" s="88">
        <v>156</v>
      </c>
      <c r="BK11" s="81">
        <v>100</v>
      </c>
      <c r="BL11" s="70">
        <f t="shared" si="17"/>
        <v>98.438888888888897</v>
      </c>
      <c r="BM11" s="90">
        <v>0.90880651025859083</v>
      </c>
      <c r="BN11" s="85">
        <v>86.22</v>
      </c>
      <c r="BO11" s="85">
        <v>89.180225958287679</v>
      </c>
      <c r="BP11" s="70">
        <f t="shared" si="18"/>
        <v>89.29038200250146</v>
      </c>
      <c r="BQ11" s="90">
        <v>0.91540456909823364</v>
      </c>
      <c r="BR11" s="90">
        <v>0.81777479028021194</v>
      </c>
      <c r="BS11" s="85">
        <v>92.226017999999996</v>
      </c>
      <c r="BT11" s="86">
        <v>86.673395299999996</v>
      </c>
      <c r="BU11" s="85">
        <v>80.116012799999993</v>
      </c>
      <c r="BV11" s="86">
        <v>85.830277499999994</v>
      </c>
      <c r="BW11" s="71">
        <f t="shared" si="19"/>
        <v>86.904103593580672</v>
      </c>
      <c r="BX11" s="86">
        <v>84.72</v>
      </c>
      <c r="BY11" s="158">
        <f t="shared" si="20"/>
        <v>84.72</v>
      </c>
      <c r="BZ11" s="54"/>
      <c r="CA11" s="12"/>
    </row>
    <row r="12" spans="1:79" s="5" customFormat="1" ht="15" customHeight="1" x14ac:dyDescent="0.25">
      <c r="A12" s="2">
        <v>6</v>
      </c>
      <c r="B12" s="6" t="s">
        <v>13</v>
      </c>
      <c r="C12" s="10" t="s">
        <v>19</v>
      </c>
      <c r="D12" s="162" t="s">
        <v>155</v>
      </c>
      <c r="E12" s="209">
        <f t="shared" si="0"/>
        <v>79.335676841429759</v>
      </c>
      <c r="F12" s="71">
        <f t="shared" si="1"/>
        <v>77.281152283448804</v>
      </c>
      <c r="G12" s="71">
        <f t="shared" si="2"/>
        <v>74.383420757316756</v>
      </c>
      <c r="H12" s="71">
        <f t="shared" si="3"/>
        <v>83.654855061929212</v>
      </c>
      <c r="I12" s="71">
        <f t="shared" si="4"/>
        <v>82.023279263024293</v>
      </c>
      <c r="J12" s="63"/>
      <c r="K12" s="85">
        <v>1.0072740299193583</v>
      </c>
      <c r="L12" s="208">
        <v>4.9399999999999995</v>
      </c>
      <c r="M12" s="82">
        <f t="shared" si="5"/>
        <v>92.814814814814824</v>
      </c>
      <c r="N12" s="71">
        <f t="shared" si="6"/>
        <v>68.6700409069594</v>
      </c>
      <c r="O12" s="85">
        <v>28.827354506790844</v>
      </c>
      <c r="P12" s="87">
        <v>43.3</v>
      </c>
      <c r="Q12" s="70">
        <f t="shared" si="7"/>
        <v>63.437419170439362</v>
      </c>
      <c r="R12" s="90">
        <v>0.24299999999999999</v>
      </c>
      <c r="S12" s="85">
        <v>0.94748454999999998</v>
      </c>
      <c r="T12" s="85">
        <v>0.95</v>
      </c>
      <c r="U12" s="90">
        <v>2.7120000000000002</v>
      </c>
      <c r="V12" s="70">
        <f t="shared" si="8"/>
        <v>76.685869781746035</v>
      </c>
      <c r="W12" s="85">
        <v>3.8740000000000001</v>
      </c>
      <c r="X12" s="87">
        <v>5.0999999999999996</v>
      </c>
      <c r="Y12" s="87">
        <v>92.3</v>
      </c>
      <c r="Z12" s="214">
        <v>0.6</v>
      </c>
      <c r="AA12" s="71">
        <f t="shared" si="9"/>
        <v>90.22240170525582</v>
      </c>
      <c r="AB12" s="63"/>
      <c r="AC12" s="85">
        <v>19.797313681368898</v>
      </c>
      <c r="AD12" s="87">
        <v>96</v>
      </c>
      <c r="AE12" s="88">
        <v>90</v>
      </c>
      <c r="AF12" s="85">
        <v>2.4</v>
      </c>
      <c r="AG12" s="88">
        <v>100</v>
      </c>
      <c r="AH12" s="70">
        <f t="shared" si="10"/>
        <v>76.916157838861324</v>
      </c>
      <c r="AI12" s="85">
        <v>1.37</v>
      </c>
      <c r="AJ12" s="85">
        <v>4.91</v>
      </c>
      <c r="AK12" s="87">
        <v>54</v>
      </c>
      <c r="AL12" s="86">
        <v>7.0005756854579895</v>
      </c>
      <c r="AM12" s="85">
        <v>99.217588345473402</v>
      </c>
      <c r="AN12" s="70">
        <f t="shared" si="11"/>
        <v>71.850683675772203</v>
      </c>
      <c r="AO12" s="63"/>
      <c r="AP12" s="89">
        <v>99.531333791011875</v>
      </c>
      <c r="AQ12" s="89">
        <v>88.883890627233058</v>
      </c>
      <c r="AR12" s="89">
        <v>0.28999999999999998</v>
      </c>
      <c r="AS12" s="158">
        <f t="shared" si="12"/>
        <v>94.252278761369496</v>
      </c>
      <c r="AT12" s="89">
        <v>82.448499999999996</v>
      </c>
      <c r="AU12" s="89">
        <v>81.857587349666346</v>
      </c>
      <c r="AV12" s="89">
        <v>54.815254905951058</v>
      </c>
      <c r="AW12" s="100">
        <v>2.5</v>
      </c>
      <c r="AX12" s="71">
        <f t="shared" si="13"/>
        <v>84.185751987354649</v>
      </c>
      <c r="AY12" s="86">
        <v>79.163088704050836</v>
      </c>
      <c r="AZ12" s="71">
        <f t="shared" si="14"/>
        <v>79.163088704050836</v>
      </c>
      <c r="BA12" s="86">
        <v>25.74</v>
      </c>
      <c r="BB12" s="71">
        <f t="shared" si="15"/>
        <v>74.260000000000005</v>
      </c>
      <c r="BC12" s="86">
        <v>74.13</v>
      </c>
      <c r="BD12" s="86">
        <v>83.69</v>
      </c>
      <c r="BE12" s="86">
        <v>57.32</v>
      </c>
      <c r="BF12" s="71">
        <f t="shared" si="16"/>
        <v>71.22999999999999</v>
      </c>
      <c r="BG12" s="63"/>
      <c r="BH12" s="85">
        <v>0.66</v>
      </c>
      <c r="BI12" s="85">
        <v>5.17</v>
      </c>
      <c r="BJ12" s="88">
        <v>108</v>
      </c>
      <c r="BK12" s="81">
        <v>90.909090909090907</v>
      </c>
      <c r="BL12" s="70">
        <f t="shared" si="17"/>
        <v>77.069099598131857</v>
      </c>
      <c r="BM12" s="90">
        <v>0.82701017596174298</v>
      </c>
      <c r="BN12" s="85">
        <v>88.92</v>
      </c>
      <c r="BO12" s="85">
        <v>86.967663990059961</v>
      </c>
      <c r="BP12" s="70">
        <f t="shared" si="18"/>
        <v>85.322424795602146</v>
      </c>
      <c r="BQ12" s="90">
        <v>0.82744786287361249</v>
      </c>
      <c r="BR12" s="90">
        <v>0.78567781577149831</v>
      </c>
      <c r="BS12" s="85">
        <v>86.516427699999994</v>
      </c>
      <c r="BT12" s="86">
        <v>85.406351000000001</v>
      </c>
      <c r="BU12" s="85">
        <v>73.207361199999994</v>
      </c>
      <c r="BV12" s="86">
        <v>82.018451299999995</v>
      </c>
      <c r="BW12" s="71">
        <f t="shared" si="19"/>
        <v>82.640791213744791</v>
      </c>
      <c r="BX12" s="86">
        <v>82.35</v>
      </c>
      <c r="BY12" s="158">
        <f t="shared" si="20"/>
        <v>82.35</v>
      </c>
      <c r="BZ12" s="54"/>
    </row>
    <row r="13" spans="1:79" s="5" customFormat="1" ht="15" customHeight="1" x14ac:dyDescent="0.25">
      <c r="A13" s="2">
        <v>7</v>
      </c>
      <c r="B13" s="6" t="s">
        <v>13</v>
      </c>
      <c r="C13" s="10" t="s">
        <v>19</v>
      </c>
      <c r="D13" s="162" t="s">
        <v>161</v>
      </c>
      <c r="E13" s="209">
        <f t="shared" si="0"/>
        <v>79.125746467114411</v>
      </c>
      <c r="F13" s="71">
        <f t="shared" si="1"/>
        <v>69.354034451918977</v>
      </c>
      <c r="G13" s="71">
        <f t="shared" si="2"/>
        <v>75.413536850795992</v>
      </c>
      <c r="H13" s="71">
        <f t="shared" si="3"/>
        <v>84.49915993300327</v>
      </c>
      <c r="I13" s="71">
        <f t="shared" si="4"/>
        <v>87.23625463273936</v>
      </c>
      <c r="J13" s="63"/>
      <c r="K13" s="85">
        <v>0.79509689927312888</v>
      </c>
      <c r="L13" s="208">
        <v>4.2</v>
      </c>
      <c r="M13" s="82">
        <f t="shared" si="5"/>
        <v>95.555555555555557</v>
      </c>
      <c r="N13" s="71">
        <f t="shared" si="6"/>
        <v>68.861649440406268</v>
      </c>
      <c r="O13" s="85">
        <v>37.253702184835333</v>
      </c>
      <c r="P13" s="87">
        <v>45</v>
      </c>
      <c r="Q13" s="70">
        <f t="shared" si="7"/>
        <v>67.363167880464076</v>
      </c>
      <c r="R13" s="90">
        <v>7.5999999999999998E-2</v>
      </c>
      <c r="S13" s="85">
        <v>0.7417068</v>
      </c>
      <c r="T13" s="85">
        <v>0.86</v>
      </c>
      <c r="U13" s="90">
        <v>3.21</v>
      </c>
      <c r="V13" s="70">
        <f t="shared" si="8"/>
        <v>58.372465978835976</v>
      </c>
      <c r="W13" s="85">
        <v>4.6369999999999996</v>
      </c>
      <c r="X13" s="87">
        <v>3.2</v>
      </c>
      <c r="Y13" s="87">
        <v>125.62</v>
      </c>
      <c r="Z13" s="214">
        <v>0.5</v>
      </c>
      <c r="AA13" s="71">
        <f t="shared" si="9"/>
        <v>92.708645345563042</v>
      </c>
      <c r="AB13" s="63"/>
      <c r="AC13" s="85">
        <v>23.378783858629621</v>
      </c>
      <c r="AD13" s="87">
        <v>99.6</v>
      </c>
      <c r="AE13" s="88">
        <v>75</v>
      </c>
      <c r="AF13" s="85">
        <v>4.25</v>
      </c>
      <c r="AG13" s="88">
        <v>100</v>
      </c>
      <c r="AH13" s="70">
        <f t="shared" si="10"/>
        <v>76.929445649342824</v>
      </c>
      <c r="AI13" s="85">
        <v>1.63</v>
      </c>
      <c r="AJ13" s="85">
        <v>5.18</v>
      </c>
      <c r="AK13" s="87">
        <v>63.3</v>
      </c>
      <c r="AL13" s="86">
        <v>6.9921620530417421</v>
      </c>
      <c r="AM13" s="85">
        <v>97.017527252660201</v>
      </c>
      <c r="AN13" s="70">
        <f t="shared" si="11"/>
        <v>73.897628052249175</v>
      </c>
      <c r="AO13" s="63"/>
      <c r="AP13" s="89">
        <v>99.228978444445829</v>
      </c>
      <c r="AQ13" s="89">
        <v>85.518652731365449</v>
      </c>
      <c r="AR13" s="89">
        <v>0.35</v>
      </c>
      <c r="AS13" s="158">
        <f t="shared" si="12"/>
        <v>92.479070976794191</v>
      </c>
      <c r="AT13" s="89">
        <v>83.607200000000006</v>
      </c>
      <c r="AU13" s="89">
        <v>90.42835715952495</v>
      </c>
      <c r="AV13" s="89">
        <v>54.834695246870197</v>
      </c>
      <c r="AW13" s="100">
        <v>2.5</v>
      </c>
      <c r="AX13" s="71">
        <f t="shared" si="13"/>
        <v>87.730613426054646</v>
      </c>
      <c r="AY13" s="86">
        <v>78.281509958742376</v>
      </c>
      <c r="AZ13" s="71">
        <f t="shared" si="14"/>
        <v>78.281509958742376</v>
      </c>
      <c r="BA13" s="86">
        <v>26.53</v>
      </c>
      <c r="BB13" s="71">
        <f t="shared" si="15"/>
        <v>73.47</v>
      </c>
      <c r="BC13" s="86">
        <v>62.65</v>
      </c>
      <c r="BD13" s="86">
        <v>95.6</v>
      </c>
      <c r="BE13" s="86">
        <v>58.82</v>
      </c>
      <c r="BF13" s="71">
        <f t="shared" si="16"/>
        <v>74.298000000000002</v>
      </c>
      <c r="BG13" s="63"/>
      <c r="BH13" s="85">
        <v>0.7</v>
      </c>
      <c r="BI13" s="85">
        <v>3.83</v>
      </c>
      <c r="BJ13" s="88">
        <v>118</v>
      </c>
      <c r="BK13" s="81">
        <v>100</v>
      </c>
      <c r="BL13" s="70">
        <f t="shared" si="17"/>
        <v>84.503385105535642</v>
      </c>
      <c r="BM13" s="90">
        <v>0.90258020858018073</v>
      </c>
      <c r="BN13" s="85">
        <v>92.72</v>
      </c>
      <c r="BO13" s="85">
        <v>89.906382794204887</v>
      </c>
      <c r="BP13" s="70">
        <f t="shared" si="18"/>
        <v>90.785606127560257</v>
      </c>
      <c r="BQ13" s="90">
        <v>0.91985062538805273</v>
      </c>
      <c r="BR13" s="90">
        <v>0.84198645280139905</v>
      </c>
      <c r="BS13" s="85">
        <v>87.548648799999995</v>
      </c>
      <c r="BT13" s="86">
        <v>87.176915699999995</v>
      </c>
      <c r="BU13" s="85">
        <v>81.323598199999992</v>
      </c>
      <c r="BV13" s="86">
        <v>81.208219799999995</v>
      </c>
      <c r="BW13" s="71">
        <f t="shared" si="19"/>
        <v>86.110647194535346</v>
      </c>
      <c r="BX13" s="86">
        <v>87.36</v>
      </c>
      <c r="BY13" s="158">
        <f t="shared" si="20"/>
        <v>87.36</v>
      </c>
      <c r="BZ13" s="54"/>
    </row>
    <row r="14" spans="1:79" s="5" customFormat="1" ht="15" customHeight="1" x14ac:dyDescent="0.25">
      <c r="A14" s="2">
        <v>8</v>
      </c>
      <c r="B14" s="6" t="s">
        <v>13</v>
      </c>
      <c r="C14" s="10" t="s">
        <v>19</v>
      </c>
      <c r="D14" s="162" t="s">
        <v>92</v>
      </c>
      <c r="E14" s="209">
        <f t="shared" si="0"/>
        <v>78.545970932088636</v>
      </c>
      <c r="F14" s="71">
        <f t="shared" si="1"/>
        <v>82.948477329418949</v>
      </c>
      <c r="G14" s="71">
        <f t="shared" si="2"/>
        <v>73.714921930781998</v>
      </c>
      <c r="H14" s="71">
        <f t="shared" si="3"/>
        <v>80.279113233720963</v>
      </c>
      <c r="I14" s="71">
        <f t="shared" si="4"/>
        <v>77.241371234432634</v>
      </c>
      <c r="J14" s="63"/>
      <c r="K14" s="85">
        <v>7.6949482124666346E-2</v>
      </c>
      <c r="L14" s="208">
        <v>4.54</v>
      </c>
      <c r="M14" s="82">
        <f t="shared" si="5"/>
        <v>94.296296296296305</v>
      </c>
      <c r="N14" s="71">
        <f t="shared" si="6"/>
        <v>64.242311937729625</v>
      </c>
      <c r="O14" s="85">
        <v>26.36658279764789</v>
      </c>
      <c r="P14" s="87">
        <v>62.9</v>
      </c>
      <c r="Q14" s="70">
        <f t="shared" si="7"/>
        <v>53.359212665359941</v>
      </c>
      <c r="R14" s="90">
        <v>0.41399999999999998</v>
      </c>
      <c r="S14" s="85">
        <v>1.3551035</v>
      </c>
      <c r="T14" s="85">
        <v>0.93</v>
      </c>
      <c r="U14" s="90">
        <v>2.2130000000000001</v>
      </c>
      <c r="V14" s="70">
        <f t="shared" si="8"/>
        <v>92.194335119047608</v>
      </c>
      <c r="W14" s="85">
        <v>3.7109999999999999</v>
      </c>
      <c r="X14" s="87">
        <v>3.9</v>
      </c>
      <c r="Y14" s="87">
        <v>80.52</v>
      </c>
      <c r="Z14" s="214">
        <v>0.6</v>
      </c>
      <c r="AA14" s="71">
        <f t="shared" si="9"/>
        <v>89.692786705272752</v>
      </c>
      <c r="AB14" s="63"/>
      <c r="AC14" s="85">
        <v>20.312556628656953</v>
      </c>
      <c r="AD14" s="87">
        <v>95.5</v>
      </c>
      <c r="AE14" s="88">
        <v>60</v>
      </c>
      <c r="AF14" s="85">
        <v>2.4</v>
      </c>
      <c r="AG14" s="88">
        <v>100</v>
      </c>
      <c r="AH14" s="70">
        <f t="shared" si="10"/>
        <v>72.17631980372002</v>
      </c>
      <c r="AI14" s="85">
        <v>1.96</v>
      </c>
      <c r="AJ14" s="85">
        <v>4.82</v>
      </c>
      <c r="AK14" s="87">
        <v>60.5</v>
      </c>
      <c r="AL14" s="86">
        <v>7.6708421709743932</v>
      </c>
      <c r="AM14" s="85">
        <v>97.854300927576006</v>
      </c>
      <c r="AN14" s="70">
        <f t="shared" si="11"/>
        <v>75.253524057843975</v>
      </c>
      <c r="AO14" s="63"/>
      <c r="AP14" s="89">
        <v>99.650644158767108</v>
      </c>
      <c r="AQ14" s="89">
        <v>87.335325767671492</v>
      </c>
      <c r="AR14" s="89">
        <v>1.56</v>
      </c>
      <c r="AS14" s="158">
        <f t="shared" si="12"/>
        <v>93.190323923527515</v>
      </c>
      <c r="AT14" s="89">
        <v>81.706999999999994</v>
      </c>
      <c r="AU14" s="89">
        <v>84.922687712914183</v>
      </c>
      <c r="AV14" s="89">
        <v>51.978979072035685</v>
      </c>
      <c r="AW14" s="100">
        <v>2.5</v>
      </c>
      <c r="AX14" s="71">
        <f t="shared" si="13"/>
        <v>83.735612324411647</v>
      </c>
      <c r="AY14" s="86">
        <v>69.777071757180025</v>
      </c>
      <c r="AZ14" s="71">
        <f t="shared" si="14"/>
        <v>69.777071757180025</v>
      </c>
      <c r="BA14" s="86">
        <v>33.659999999999997</v>
      </c>
      <c r="BB14" s="71">
        <f t="shared" si="15"/>
        <v>66.34</v>
      </c>
      <c r="BC14" s="86">
        <v>73.040000000000006</v>
      </c>
      <c r="BD14" s="86">
        <v>74.41</v>
      </c>
      <c r="BE14" s="86">
        <v>61.89</v>
      </c>
      <c r="BF14" s="71">
        <f t="shared" si="16"/>
        <v>69.128</v>
      </c>
      <c r="BG14" s="63"/>
      <c r="BH14" s="85">
        <v>0.92</v>
      </c>
      <c r="BI14" s="85">
        <v>5.35</v>
      </c>
      <c r="BJ14" s="88">
        <v>59</v>
      </c>
      <c r="BK14" s="81">
        <v>93.939393939393938</v>
      </c>
      <c r="BL14" s="70">
        <f t="shared" si="17"/>
        <v>60.357217334636694</v>
      </c>
      <c r="BM14" s="90">
        <v>0.88058700258378042</v>
      </c>
      <c r="BN14" s="85">
        <v>82.17</v>
      </c>
      <c r="BO14" s="85">
        <v>88.415858717973506</v>
      </c>
      <c r="BP14" s="70">
        <f t="shared" si="18"/>
        <v>86.675814808682389</v>
      </c>
      <c r="BQ14" s="90">
        <v>0.85860509085066594</v>
      </c>
      <c r="BR14" s="90">
        <v>0.80528886779033004</v>
      </c>
      <c r="BS14" s="85">
        <v>83.751591899999994</v>
      </c>
      <c r="BT14" s="86">
        <v>81.40675499999999</v>
      </c>
      <c r="BU14" s="85">
        <v>68.017074199999996</v>
      </c>
      <c r="BV14" s="86">
        <v>78.489349899999993</v>
      </c>
      <c r="BW14" s="71">
        <f t="shared" si="19"/>
        <v>81.012349880482134</v>
      </c>
      <c r="BX14" s="86">
        <v>77.95</v>
      </c>
      <c r="BY14" s="158">
        <f t="shared" si="20"/>
        <v>77.95</v>
      </c>
      <c r="BZ14" s="54"/>
    </row>
    <row r="15" spans="1:79" s="5" customFormat="1" ht="15" customHeight="1" x14ac:dyDescent="0.25">
      <c r="A15" s="2">
        <v>9</v>
      </c>
      <c r="B15" s="3" t="s">
        <v>10</v>
      </c>
      <c r="C15" s="22" t="s">
        <v>49</v>
      </c>
      <c r="D15" s="162" t="s">
        <v>202</v>
      </c>
      <c r="E15" s="209">
        <f t="shared" si="0"/>
        <v>77.994720588374108</v>
      </c>
      <c r="F15" s="71">
        <f t="shared" si="1"/>
        <v>77.017373642354329</v>
      </c>
      <c r="G15" s="71">
        <f t="shared" si="2"/>
        <v>73.985586577328647</v>
      </c>
      <c r="H15" s="71">
        <f t="shared" si="3"/>
        <v>79.062479680171336</v>
      </c>
      <c r="I15" s="71">
        <f t="shared" si="4"/>
        <v>81.913442453642134</v>
      </c>
      <c r="J15" s="63"/>
      <c r="K15" s="202">
        <v>2.4849958273613901</v>
      </c>
      <c r="L15" s="207">
        <v>2.2600000000000002</v>
      </c>
      <c r="M15" s="82">
        <f t="shared" si="5"/>
        <v>100</v>
      </c>
      <c r="N15" s="71">
        <f t="shared" si="6"/>
        <v>80.472199040896612</v>
      </c>
      <c r="O15" s="92">
        <v>37.787218105119322</v>
      </c>
      <c r="P15" s="100">
        <v>22.4</v>
      </c>
      <c r="Q15" s="70">
        <f t="shared" si="7"/>
        <v>77.704010058399618</v>
      </c>
      <c r="R15" s="96">
        <v>0.21597974195326797</v>
      </c>
      <c r="S15" s="86">
        <v>1.5736562999999999</v>
      </c>
      <c r="T15" s="92">
        <v>0.89</v>
      </c>
      <c r="U15" s="167">
        <v>3.254</v>
      </c>
      <c r="V15" s="70">
        <f t="shared" si="8"/>
        <v>71.842782776961641</v>
      </c>
      <c r="W15" s="86">
        <v>3.8</v>
      </c>
      <c r="X15" s="93">
        <v>10</v>
      </c>
      <c r="Y15" s="100">
        <v>69.88</v>
      </c>
      <c r="Z15" s="107">
        <v>1.7</v>
      </c>
      <c r="AA15" s="71">
        <f t="shared" si="9"/>
        <v>85.572643364095612</v>
      </c>
      <c r="AB15" s="63"/>
      <c r="AC15" s="92">
        <v>24.499531863361078</v>
      </c>
      <c r="AD15" s="100">
        <v>83.4</v>
      </c>
      <c r="AE15" s="95">
        <v>70</v>
      </c>
      <c r="AF15" s="85">
        <v>2</v>
      </c>
      <c r="AG15" s="88">
        <v>90</v>
      </c>
      <c r="AH15" s="70">
        <f t="shared" si="10"/>
        <v>73.053534062753542</v>
      </c>
      <c r="AI15" s="86">
        <v>1.2</v>
      </c>
      <c r="AJ15" s="92">
        <v>4.6619318477357812</v>
      </c>
      <c r="AK15" s="100">
        <v>78.900000000000006</v>
      </c>
      <c r="AL15" s="86">
        <v>7.732460149798964</v>
      </c>
      <c r="AM15" s="92">
        <v>98.858335362048606</v>
      </c>
      <c r="AN15" s="70">
        <f t="shared" si="11"/>
        <v>74.917639091903737</v>
      </c>
      <c r="AO15" s="63"/>
      <c r="AP15" s="89">
        <v>99.386260144647821</v>
      </c>
      <c r="AQ15" s="89">
        <v>83.531170883934664</v>
      </c>
      <c r="AR15" s="89">
        <v>0.2</v>
      </c>
      <c r="AS15" s="158">
        <f t="shared" si="12"/>
        <v>91.562150478129283</v>
      </c>
      <c r="AT15" s="89">
        <v>80.941500000000005</v>
      </c>
      <c r="AU15" s="89">
        <v>80.694961851720322</v>
      </c>
      <c r="AV15" s="89">
        <v>56.55241724474017</v>
      </c>
      <c r="AW15" s="93">
        <v>2.5</v>
      </c>
      <c r="AX15" s="71">
        <f t="shared" si="13"/>
        <v>82.618805718344021</v>
      </c>
      <c r="AY15" s="86">
        <v>77.767440236874478</v>
      </c>
      <c r="AZ15" s="71">
        <f t="shared" si="14"/>
        <v>77.767440236874478</v>
      </c>
      <c r="BA15" s="86">
        <v>31.57</v>
      </c>
      <c r="BB15" s="71">
        <f t="shared" si="15"/>
        <v>68.430000000000007</v>
      </c>
      <c r="BC15" s="86">
        <v>47.54</v>
      </c>
      <c r="BD15" s="86">
        <v>48.86</v>
      </c>
      <c r="BE15" s="86">
        <v>37.17</v>
      </c>
      <c r="BF15" s="71">
        <f t="shared" si="16"/>
        <v>43.92</v>
      </c>
      <c r="BG15" s="63"/>
      <c r="BH15" s="161">
        <v>2.19458444878991</v>
      </c>
      <c r="BI15" s="92">
        <v>4.0864256102423138</v>
      </c>
      <c r="BJ15" s="95">
        <v>156</v>
      </c>
      <c r="BK15" s="82">
        <v>100</v>
      </c>
      <c r="BL15" s="70">
        <f t="shared" si="17"/>
        <v>97.688394478469576</v>
      </c>
      <c r="BM15" s="96">
        <v>0.789711071614289</v>
      </c>
      <c r="BN15" s="86">
        <v>75.44</v>
      </c>
      <c r="BO15" s="86">
        <v>79.38486279909192</v>
      </c>
      <c r="BP15" s="70">
        <f t="shared" si="18"/>
        <v>78.191769280487435</v>
      </c>
      <c r="BQ15" s="96">
        <v>0.74213755228217004</v>
      </c>
      <c r="BR15" s="96">
        <v>0.72495100503262488</v>
      </c>
      <c r="BS15" s="86">
        <v>71.799643899999992</v>
      </c>
      <c r="BT15" s="86">
        <v>80.413377499999996</v>
      </c>
      <c r="BU15" s="86">
        <v>81.552609500000003</v>
      </c>
      <c r="BV15" s="86">
        <v>75.294205199999993</v>
      </c>
      <c r="BW15" s="71">
        <f t="shared" si="19"/>
        <v>75.673751571081439</v>
      </c>
      <c r="BX15" s="92">
        <v>75.48</v>
      </c>
      <c r="BY15" s="158">
        <f t="shared" si="20"/>
        <v>75.48</v>
      </c>
      <c r="BZ15" s="54"/>
    </row>
    <row r="16" spans="1:79" s="5" customFormat="1" ht="15" customHeight="1" x14ac:dyDescent="0.25">
      <c r="A16" s="2">
        <v>10</v>
      </c>
      <c r="B16" s="3" t="s">
        <v>10</v>
      </c>
      <c r="C16" s="22" t="s">
        <v>49</v>
      </c>
      <c r="D16" s="162" t="s">
        <v>185</v>
      </c>
      <c r="E16" s="209">
        <f t="shared" si="0"/>
        <v>77.833070849245146</v>
      </c>
      <c r="F16" s="71">
        <f t="shared" si="1"/>
        <v>70.711003567599874</v>
      </c>
      <c r="G16" s="71">
        <f t="shared" si="2"/>
        <v>77.765655603297532</v>
      </c>
      <c r="H16" s="71">
        <f t="shared" si="3"/>
        <v>82.744946208381023</v>
      </c>
      <c r="I16" s="71">
        <f t="shared" si="4"/>
        <v>80.110678017702142</v>
      </c>
      <c r="J16" s="63"/>
      <c r="K16" s="85">
        <v>1.0293038474918914</v>
      </c>
      <c r="L16" s="208">
        <v>3.3</v>
      </c>
      <c r="M16" s="82">
        <f t="shared" si="5"/>
        <v>98.888888888888886</v>
      </c>
      <c r="N16" s="71">
        <f t="shared" si="6"/>
        <v>71.829465819399388</v>
      </c>
      <c r="O16" s="85">
        <v>39.975620914337306</v>
      </c>
      <c r="P16" s="87">
        <v>171.3</v>
      </c>
      <c r="Q16" s="70">
        <f t="shared" si="7"/>
        <v>22.208678285742948</v>
      </c>
      <c r="R16" s="90">
        <v>0.24399999999999999</v>
      </c>
      <c r="S16" s="85">
        <v>1.4509376</v>
      </c>
      <c r="T16" s="85">
        <v>0.94</v>
      </c>
      <c r="U16" s="90">
        <v>2.9780000000000002</v>
      </c>
      <c r="V16" s="70">
        <f t="shared" si="8"/>
        <v>76.558424550264547</v>
      </c>
      <c r="W16" s="85">
        <v>2.8180000000000001</v>
      </c>
      <c r="X16" s="98">
        <v>10</v>
      </c>
      <c r="Y16" s="87">
        <v>100.42</v>
      </c>
      <c r="Z16" s="214">
        <v>2.1</v>
      </c>
      <c r="AA16" s="71">
        <f t="shared" si="9"/>
        <v>87.670171870664902</v>
      </c>
      <c r="AB16" s="63"/>
      <c r="AC16" s="85">
        <v>22.084541015075821</v>
      </c>
      <c r="AD16" s="87">
        <v>89.2</v>
      </c>
      <c r="AE16" s="88">
        <v>90</v>
      </c>
      <c r="AF16" s="85">
        <v>1</v>
      </c>
      <c r="AG16" s="88">
        <v>98</v>
      </c>
      <c r="AH16" s="70">
        <f t="shared" si="10"/>
        <v>77.333283753640288</v>
      </c>
      <c r="AI16" s="85">
        <v>-0.33</v>
      </c>
      <c r="AJ16" s="85">
        <v>4.91</v>
      </c>
      <c r="AK16" s="87">
        <v>89.5</v>
      </c>
      <c r="AL16" s="86">
        <v>9.0478354263130747</v>
      </c>
      <c r="AM16" s="85">
        <v>99.856456191467203</v>
      </c>
      <c r="AN16" s="70">
        <f t="shared" si="11"/>
        <v>78.198027452954776</v>
      </c>
      <c r="AO16" s="63"/>
      <c r="AP16" s="89">
        <v>99.6195684810003</v>
      </c>
      <c r="AQ16" s="89">
        <v>88.941524046784892</v>
      </c>
      <c r="AR16" s="97">
        <v>0.38</v>
      </c>
      <c r="AS16" s="158">
        <f t="shared" si="12"/>
        <v>94.280654143642522</v>
      </c>
      <c r="AT16" s="89">
        <v>83.998099999999994</v>
      </c>
      <c r="AU16" s="89">
        <v>81.475526251273067</v>
      </c>
      <c r="AV16" s="89">
        <v>70.350998277353426</v>
      </c>
      <c r="AW16" s="100">
        <v>2.5</v>
      </c>
      <c r="AX16" s="71">
        <f t="shared" si="13"/>
        <v>88.516208144930928</v>
      </c>
      <c r="AY16" s="86">
        <v>80.070839286978313</v>
      </c>
      <c r="AZ16" s="71">
        <f t="shared" si="14"/>
        <v>80.070839286978313</v>
      </c>
      <c r="BA16" s="92">
        <v>32.340000000000003</v>
      </c>
      <c r="BB16" s="71">
        <f t="shared" si="15"/>
        <v>67.66</v>
      </c>
      <c r="BC16" s="86">
        <v>42.93</v>
      </c>
      <c r="BD16" s="86">
        <v>65.91</v>
      </c>
      <c r="BE16" s="86">
        <v>32.46</v>
      </c>
      <c r="BF16" s="71">
        <f t="shared" si="16"/>
        <v>47.934000000000005</v>
      </c>
      <c r="BG16" s="63"/>
      <c r="BH16" s="85">
        <v>0.17</v>
      </c>
      <c r="BI16" s="85">
        <v>3.72</v>
      </c>
      <c r="BJ16" s="88">
        <v>156</v>
      </c>
      <c r="BK16" s="81">
        <v>84.848484848484844</v>
      </c>
      <c r="BL16" s="70">
        <f t="shared" si="17"/>
        <v>93.239001122334457</v>
      </c>
      <c r="BM16" s="90">
        <v>0.68481238578942527</v>
      </c>
      <c r="BN16" s="85">
        <v>44.57</v>
      </c>
      <c r="BO16" s="85">
        <v>67.217285950766907</v>
      </c>
      <c r="BP16" s="70">
        <f t="shared" si="18"/>
        <v>62.18744077716299</v>
      </c>
      <c r="BQ16" s="90">
        <v>0.67839400666549576</v>
      </c>
      <c r="BR16" s="90">
        <v>0.78350784912342797</v>
      </c>
      <c r="BS16" s="85">
        <v>87.692638899999992</v>
      </c>
      <c r="BT16" s="86">
        <v>95.665585699999994</v>
      </c>
      <c r="BU16" s="85">
        <v>86.93683759999999</v>
      </c>
      <c r="BV16" s="86">
        <v>88.489348499999991</v>
      </c>
      <c r="BW16" s="71">
        <f t="shared" si="19"/>
        <v>85.359130011341833</v>
      </c>
      <c r="BX16" s="86">
        <v>82.69</v>
      </c>
      <c r="BY16" s="158">
        <f t="shared" si="20"/>
        <v>82.69</v>
      </c>
      <c r="BZ16" s="54"/>
    </row>
    <row r="17" spans="1:81" s="5" customFormat="1" ht="15" customHeight="1" x14ac:dyDescent="0.25">
      <c r="A17" s="2">
        <v>11</v>
      </c>
      <c r="B17" s="6" t="s">
        <v>13</v>
      </c>
      <c r="C17" s="10" t="s">
        <v>19</v>
      </c>
      <c r="D17" s="162" t="s">
        <v>133</v>
      </c>
      <c r="E17" s="209">
        <f t="shared" si="0"/>
        <v>77.52852941198951</v>
      </c>
      <c r="F17" s="71">
        <f t="shared" si="1"/>
        <v>67.716055021647534</v>
      </c>
      <c r="G17" s="71">
        <f t="shared" si="2"/>
        <v>75.495486956058045</v>
      </c>
      <c r="H17" s="71">
        <f t="shared" si="3"/>
        <v>78.470135184631587</v>
      </c>
      <c r="I17" s="71">
        <f t="shared" si="4"/>
        <v>88.432440485620859</v>
      </c>
      <c r="J17" s="63"/>
      <c r="K17" s="85">
        <v>-1.7550442986994597</v>
      </c>
      <c r="L17" s="208">
        <v>3.8600000000000003</v>
      </c>
      <c r="M17" s="82">
        <f t="shared" si="5"/>
        <v>96.814814814814824</v>
      </c>
      <c r="N17" s="71">
        <f t="shared" si="6"/>
        <v>55.323827970188191</v>
      </c>
      <c r="O17" s="85">
        <v>14.103997105844455</v>
      </c>
      <c r="P17" s="87">
        <v>27</v>
      </c>
      <c r="Q17" s="70">
        <f t="shared" si="7"/>
        <v>62.502220614358031</v>
      </c>
      <c r="R17" s="90">
        <v>6.3E-2</v>
      </c>
      <c r="S17" s="99">
        <v>0.9121933061665416</v>
      </c>
      <c r="T17" s="85">
        <v>0.87</v>
      </c>
      <c r="U17" s="90">
        <v>3.1459999999999999</v>
      </c>
      <c r="V17" s="70">
        <f t="shared" si="8"/>
        <v>58.521171882208648</v>
      </c>
      <c r="W17" s="85">
        <v>6.343</v>
      </c>
      <c r="X17" s="87">
        <v>4.4000000000000004</v>
      </c>
      <c r="Y17" s="87">
        <v>159.46</v>
      </c>
      <c r="Z17" s="218">
        <v>0</v>
      </c>
      <c r="AA17" s="71">
        <f t="shared" si="9"/>
        <v>94.191012765482725</v>
      </c>
      <c r="AB17" s="63"/>
      <c r="AC17" s="85">
        <v>14.974577235541048</v>
      </c>
      <c r="AD17" s="87">
        <v>96.6</v>
      </c>
      <c r="AE17" s="88">
        <v>95</v>
      </c>
      <c r="AF17" s="85">
        <v>2.4</v>
      </c>
      <c r="AG17" s="88">
        <v>100</v>
      </c>
      <c r="AH17" s="70">
        <f t="shared" si="10"/>
        <v>74.634333541642746</v>
      </c>
      <c r="AI17" s="85">
        <v>2.12</v>
      </c>
      <c r="AJ17" s="85">
        <v>4.7</v>
      </c>
      <c r="AK17" s="87">
        <v>62.3</v>
      </c>
      <c r="AL17" s="86">
        <v>7.9636664380338047</v>
      </c>
      <c r="AM17" s="85">
        <v>98.716513462163903</v>
      </c>
      <c r="AN17" s="70">
        <f t="shared" si="11"/>
        <v>76.356640370473329</v>
      </c>
      <c r="AO17" s="63"/>
      <c r="AP17" s="89">
        <v>99.473137311066012</v>
      </c>
      <c r="AQ17" s="89">
        <v>86.08961083793298</v>
      </c>
      <c r="AR17" s="89">
        <v>0.21</v>
      </c>
      <c r="AS17" s="158">
        <f t="shared" si="12"/>
        <v>92.860589746732998</v>
      </c>
      <c r="AT17" s="89">
        <v>82.494100000000003</v>
      </c>
      <c r="AU17" s="89">
        <v>87.353620765938373</v>
      </c>
      <c r="AV17" s="89">
        <v>55.470897404458682</v>
      </c>
      <c r="AW17" s="100">
        <v>2.5</v>
      </c>
      <c r="AX17" s="71">
        <f t="shared" si="13"/>
        <v>85.851254542170494</v>
      </c>
      <c r="AY17" s="86">
        <v>57.086194632754633</v>
      </c>
      <c r="AZ17" s="71">
        <f t="shared" si="14"/>
        <v>57.086194632754633</v>
      </c>
      <c r="BA17" s="86">
        <v>33.590000000000003</v>
      </c>
      <c r="BB17" s="71">
        <f t="shared" si="15"/>
        <v>66.41</v>
      </c>
      <c r="BC17" s="86">
        <v>73.67</v>
      </c>
      <c r="BD17" s="86">
        <v>89.07</v>
      </c>
      <c r="BE17" s="86">
        <v>64.47</v>
      </c>
      <c r="BF17" s="71">
        <f t="shared" si="16"/>
        <v>76.150000000000006</v>
      </c>
      <c r="BG17" s="63"/>
      <c r="BH17" s="85">
        <v>1.53</v>
      </c>
      <c r="BI17" s="85">
        <v>2.75</v>
      </c>
      <c r="BJ17" s="88">
        <v>156</v>
      </c>
      <c r="BK17" s="81">
        <v>100</v>
      </c>
      <c r="BL17" s="70">
        <f t="shared" si="17"/>
        <v>98.636419753086415</v>
      </c>
      <c r="BM17" s="90">
        <v>0.88186777738213407</v>
      </c>
      <c r="BN17" s="85">
        <v>84.14</v>
      </c>
      <c r="BO17" s="85">
        <v>87.848152705947314</v>
      </c>
      <c r="BP17" s="70">
        <f t="shared" si="18"/>
        <v>87.090427045593529</v>
      </c>
      <c r="BQ17" s="90">
        <v>0.822543173981514</v>
      </c>
      <c r="BR17" s="90">
        <v>0.75422225567963885</v>
      </c>
      <c r="BS17" s="85">
        <v>88.656892999999997</v>
      </c>
      <c r="BT17" s="86">
        <v>91.000712499999992</v>
      </c>
      <c r="BU17" s="85">
        <v>84.223859199999993</v>
      </c>
      <c r="BV17" s="86">
        <v>83.860952299999994</v>
      </c>
      <c r="BW17" s="71">
        <f t="shared" si="19"/>
        <v>84.8463069533463</v>
      </c>
      <c r="BX17" s="86">
        <v>79.5</v>
      </c>
      <c r="BY17" s="158">
        <f t="shared" si="20"/>
        <v>79.5</v>
      </c>
      <c r="BZ17" s="54"/>
    </row>
    <row r="18" spans="1:81" s="5" customFormat="1" ht="15" customHeight="1" x14ac:dyDescent="0.25">
      <c r="A18" s="2">
        <v>12</v>
      </c>
      <c r="B18" s="3" t="s">
        <v>10</v>
      </c>
      <c r="C18" s="22" t="s">
        <v>49</v>
      </c>
      <c r="D18" s="162" t="s">
        <v>121</v>
      </c>
      <c r="E18" s="209">
        <f t="shared" si="0"/>
        <v>77.183508030868353</v>
      </c>
      <c r="F18" s="71">
        <f t="shared" si="1"/>
        <v>77.572740721314773</v>
      </c>
      <c r="G18" s="71">
        <f t="shared" si="2"/>
        <v>72.481622394602695</v>
      </c>
      <c r="H18" s="71">
        <f t="shared" si="3"/>
        <v>81.173706688678692</v>
      </c>
      <c r="I18" s="71">
        <f t="shared" si="4"/>
        <v>77.505962318877252</v>
      </c>
      <c r="J18" s="63"/>
      <c r="K18" s="85">
        <v>1.870199573101794</v>
      </c>
      <c r="L18" s="208">
        <v>3.12</v>
      </c>
      <c r="M18" s="82">
        <f t="shared" si="5"/>
        <v>99.555555555555557</v>
      </c>
      <c r="N18" s="71">
        <f t="shared" si="6"/>
        <v>76.834442072787752</v>
      </c>
      <c r="O18" s="85">
        <v>35.598815295901332</v>
      </c>
      <c r="P18" s="87">
        <v>52.3</v>
      </c>
      <c r="Q18" s="70">
        <f t="shared" si="7"/>
        <v>63.199341831056294</v>
      </c>
      <c r="R18" s="90">
        <v>0.33700000000000002</v>
      </c>
      <c r="S18" s="85">
        <v>1.5620726</v>
      </c>
      <c r="T18" s="85">
        <v>0.93</v>
      </c>
      <c r="U18" s="90">
        <v>3.0750000000000002</v>
      </c>
      <c r="V18" s="70">
        <f t="shared" si="8"/>
        <v>82.960783677248685</v>
      </c>
      <c r="W18" s="85">
        <v>2.6829999999999998</v>
      </c>
      <c r="X18" s="87">
        <v>29.1</v>
      </c>
      <c r="Y18" s="87">
        <v>47.93</v>
      </c>
      <c r="Z18" s="214">
        <v>3.5</v>
      </c>
      <c r="AA18" s="71">
        <f t="shared" si="9"/>
        <v>75.716013603012826</v>
      </c>
      <c r="AB18" s="63"/>
      <c r="AC18" s="85">
        <v>28.329933970943127</v>
      </c>
      <c r="AD18" s="87">
        <v>89.6</v>
      </c>
      <c r="AE18" s="88">
        <v>60</v>
      </c>
      <c r="AF18" s="85">
        <v>2.5</v>
      </c>
      <c r="AG18" s="88">
        <v>86</v>
      </c>
      <c r="AH18" s="70">
        <f t="shared" si="10"/>
        <v>74.178930339603099</v>
      </c>
      <c r="AI18" s="85">
        <v>1.07</v>
      </c>
      <c r="AJ18" s="85">
        <v>4.5599999999999996</v>
      </c>
      <c r="AK18" s="87">
        <v>61.5</v>
      </c>
      <c r="AL18" s="86">
        <v>7.0790443348806829</v>
      </c>
      <c r="AM18" s="85">
        <v>100</v>
      </c>
      <c r="AN18" s="70">
        <f t="shared" si="11"/>
        <v>70.784314449602277</v>
      </c>
      <c r="AO18" s="63"/>
      <c r="AP18" s="89">
        <v>99.3209286186312</v>
      </c>
      <c r="AQ18" s="89">
        <v>86.458249787218563</v>
      </c>
      <c r="AR18" s="89">
        <v>0.38</v>
      </c>
      <c r="AS18" s="158">
        <f t="shared" si="12"/>
        <v>92.96435704826709</v>
      </c>
      <c r="AT18" s="89">
        <v>84.534800000000004</v>
      </c>
      <c r="AU18" s="89">
        <v>83.755680063728164</v>
      </c>
      <c r="AV18" s="89">
        <v>58.621310439142341</v>
      </c>
      <c r="AW18" s="100">
        <v>2.5</v>
      </c>
      <c r="AX18" s="71">
        <f t="shared" si="13"/>
        <v>87.563008149172532</v>
      </c>
      <c r="AY18" s="86">
        <v>74.815458297606128</v>
      </c>
      <c r="AZ18" s="71">
        <f t="shared" si="14"/>
        <v>74.815458297606128</v>
      </c>
      <c r="BA18" s="86">
        <v>32.909999999999997</v>
      </c>
      <c r="BB18" s="71">
        <f t="shared" si="15"/>
        <v>67.09</v>
      </c>
      <c r="BC18" s="86">
        <v>50.44</v>
      </c>
      <c r="BD18" s="86">
        <v>64.099999999999994</v>
      </c>
      <c r="BE18" s="86">
        <v>41.36</v>
      </c>
      <c r="BF18" s="71">
        <f t="shared" si="16"/>
        <v>52.272000000000006</v>
      </c>
      <c r="BG18" s="63"/>
      <c r="BH18" s="85">
        <v>0.49</v>
      </c>
      <c r="BI18" s="85">
        <v>4.42</v>
      </c>
      <c r="BJ18" s="88">
        <v>151</v>
      </c>
      <c r="BK18" s="81">
        <v>83.333333333333343</v>
      </c>
      <c r="BL18" s="70">
        <f t="shared" si="17"/>
        <v>90.450477897252085</v>
      </c>
      <c r="BM18" s="90">
        <v>0.77123516350634203</v>
      </c>
      <c r="BN18" s="85">
        <v>69.12</v>
      </c>
      <c r="BO18" s="85">
        <v>68.113857734426674</v>
      </c>
      <c r="BP18" s="70">
        <f t="shared" si="18"/>
        <v>72.870222608923768</v>
      </c>
      <c r="BQ18" s="90">
        <v>0.71318939985263541</v>
      </c>
      <c r="BR18" s="90">
        <v>0.73956266403449589</v>
      </c>
      <c r="BS18" s="85">
        <v>65.05119719999999</v>
      </c>
      <c r="BT18" s="86">
        <v>80.248363900000001</v>
      </c>
      <c r="BU18" s="85">
        <v>76.815505899999991</v>
      </c>
      <c r="BV18" s="86">
        <v>70.849870899999999</v>
      </c>
      <c r="BW18" s="71">
        <f t="shared" si="19"/>
        <v>73.277931605391728</v>
      </c>
      <c r="BX18" s="86">
        <v>73.849999999999994</v>
      </c>
      <c r="BY18" s="158">
        <f t="shared" si="20"/>
        <v>73.849999999999994</v>
      </c>
      <c r="BZ18" s="54"/>
    </row>
    <row r="19" spans="1:81" s="5" customFormat="1" ht="15" customHeight="1" x14ac:dyDescent="0.25">
      <c r="A19" s="2">
        <v>13</v>
      </c>
      <c r="B19" s="17" t="s">
        <v>29</v>
      </c>
      <c r="C19" s="18" t="s">
        <v>30</v>
      </c>
      <c r="D19" s="162" t="s">
        <v>31</v>
      </c>
      <c r="E19" s="209">
        <f t="shared" si="0"/>
        <v>76.848692850088312</v>
      </c>
      <c r="F19" s="71">
        <f t="shared" si="1"/>
        <v>64.616246492118151</v>
      </c>
      <c r="G19" s="71">
        <f t="shared" si="2"/>
        <v>74.353115950793153</v>
      </c>
      <c r="H19" s="71">
        <f t="shared" si="3"/>
        <v>84.512257576988389</v>
      </c>
      <c r="I19" s="71">
        <f t="shared" si="4"/>
        <v>83.913151380453527</v>
      </c>
      <c r="J19" s="63"/>
      <c r="K19" s="85">
        <v>0.79064709949374645</v>
      </c>
      <c r="L19" s="208">
        <v>4.22</v>
      </c>
      <c r="M19" s="82">
        <f t="shared" si="5"/>
        <v>95.481481481481495</v>
      </c>
      <c r="N19" s="71">
        <f t="shared" si="6"/>
        <v>68.799891293483782</v>
      </c>
      <c r="O19" s="85">
        <v>22.155512734817602</v>
      </c>
      <c r="P19" s="87">
        <v>51</v>
      </c>
      <c r="Q19" s="70">
        <f t="shared" si="7"/>
        <v>56.308618186009774</v>
      </c>
      <c r="R19" s="90">
        <v>9.5000000000000001E-2</v>
      </c>
      <c r="S19" s="85">
        <v>0.11708149</v>
      </c>
      <c r="T19" s="85">
        <v>0.87</v>
      </c>
      <c r="U19" s="90">
        <v>3.778</v>
      </c>
      <c r="V19" s="70">
        <f t="shared" si="8"/>
        <v>55.673374509259254</v>
      </c>
      <c r="W19" s="85">
        <v>4.09</v>
      </c>
      <c r="X19" s="98">
        <v>10</v>
      </c>
      <c r="Y19" s="87">
        <v>71.81</v>
      </c>
      <c r="Z19" s="214">
        <v>1.6</v>
      </c>
      <c r="AA19" s="71">
        <f t="shared" si="9"/>
        <v>85.813109520954725</v>
      </c>
      <c r="AB19" s="63"/>
      <c r="AC19" s="85">
        <v>24.328717473155717</v>
      </c>
      <c r="AD19" s="87">
        <v>88.2</v>
      </c>
      <c r="AE19" s="88">
        <v>80</v>
      </c>
      <c r="AF19" s="85">
        <v>4.3499999999999996</v>
      </c>
      <c r="AG19" s="88">
        <v>100</v>
      </c>
      <c r="AH19" s="70">
        <f t="shared" si="10"/>
        <v>76.47042703338586</v>
      </c>
      <c r="AI19" s="85">
        <v>1.44</v>
      </c>
      <c r="AJ19" s="85">
        <v>4.74</v>
      </c>
      <c r="AK19" s="87">
        <v>61.8</v>
      </c>
      <c r="AL19" s="86">
        <v>7.2385947583044352</v>
      </c>
      <c r="AM19" s="85">
        <v>96.242934043114005</v>
      </c>
      <c r="AN19" s="70">
        <f t="shared" si="11"/>
        <v>72.235804868200447</v>
      </c>
      <c r="AO19" s="63"/>
      <c r="AP19" s="89">
        <v>99.244927513678206</v>
      </c>
      <c r="AQ19" s="89">
        <v>84.0237169158749</v>
      </c>
      <c r="AR19" s="89">
        <v>1.4</v>
      </c>
      <c r="AS19" s="158">
        <f t="shared" si="12"/>
        <v>91.473090336356989</v>
      </c>
      <c r="AT19" s="89">
        <v>84.213499999999996</v>
      </c>
      <c r="AU19" s="89">
        <v>85.886920270540116</v>
      </c>
      <c r="AV19" s="89">
        <v>52.219846634122241</v>
      </c>
      <c r="AW19" s="100">
        <v>2.5</v>
      </c>
      <c r="AX19" s="71">
        <f t="shared" si="13"/>
        <v>86.646534786481212</v>
      </c>
      <c r="AY19" s="86">
        <v>85.627191270522886</v>
      </c>
      <c r="AZ19" s="71">
        <f t="shared" si="14"/>
        <v>85.627191270522886</v>
      </c>
      <c r="BA19" s="86">
        <v>33.83</v>
      </c>
      <c r="BB19" s="71">
        <f t="shared" si="15"/>
        <v>66.17</v>
      </c>
      <c r="BC19" s="86">
        <v>42.7</v>
      </c>
      <c r="BD19" s="86">
        <v>88.93</v>
      </c>
      <c r="BE19" s="86">
        <v>54.78</v>
      </c>
      <c r="BF19" s="71">
        <f t="shared" si="16"/>
        <v>66.024000000000001</v>
      </c>
      <c r="BG19" s="63"/>
      <c r="BH19" s="85">
        <v>0.94</v>
      </c>
      <c r="BI19" s="85">
        <v>4.07</v>
      </c>
      <c r="BJ19" s="88">
        <v>148</v>
      </c>
      <c r="BK19" s="81">
        <v>100</v>
      </c>
      <c r="BL19" s="70">
        <f t="shared" si="17"/>
        <v>95.063480684986061</v>
      </c>
      <c r="BM19" s="90">
        <v>0.8084206086754181</v>
      </c>
      <c r="BN19" s="85">
        <v>74.58</v>
      </c>
      <c r="BO19" s="85">
        <v>79.256169583286891</v>
      </c>
      <c r="BP19" s="70">
        <f t="shared" si="18"/>
        <v>78.880072829592621</v>
      </c>
      <c r="BQ19" s="90">
        <v>0.80838137391976306</v>
      </c>
      <c r="BR19" s="90">
        <v>0.72806367910052372</v>
      </c>
      <c r="BS19" s="85">
        <v>85.342546200000001</v>
      </c>
      <c r="BT19" s="86">
        <v>86.515589599999998</v>
      </c>
      <c r="BU19" s="85">
        <v>79.444702499999991</v>
      </c>
      <c r="BV19" s="86">
        <v>82.026232999999991</v>
      </c>
      <c r="BW19" s="71">
        <f t="shared" si="19"/>
        <v>81.712169600940641</v>
      </c>
      <c r="BX19" s="86">
        <v>78.84</v>
      </c>
      <c r="BY19" s="158">
        <f t="shared" si="20"/>
        <v>78.84</v>
      </c>
      <c r="BZ19" s="54"/>
    </row>
    <row r="20" spans="1:81" s="5" customFormat="1" ht="15" customHeight="1" x14ac:dyDescent="0.25">
      <c r="A20" s="2">
        <v>14</v>
      </c>
      <c r="B20" s="6" t="s">
        <v>13</v>
      </c>
      <c r="C20" s="10" t="s">
        <v>19</v>
      </c>
      <c r="D20" s="162" t="s">
        <v>40</v>
      </c>
      <c r="E20" s="209">
        <f t="shared" si="0"/>
        <v>76.647318161614308</v>
      </c>
      <c r="F20" s="71">
        <f t="shared" si="1"/>
        <v>70.23156577583363</v>
      </c>
      <c r="G20" s="71">
        <f t="shared" si="2"/>
        <v>72.89089003114384</v>
      </c>
      <c r="H20" s="71">
        <f t="shared" si="3"/>
        <v>81.944453489634199</v>
      </c>
      <c r="I20" s="71">
        <f t="shared" si="4"/>
        <v>81.522363349845534</v>
      </c>
      <c r="J20" s="63"/>
      <c r="K20" s="85">
        <v>1.1420009063493941</v>
      </c>
      <c r="L20" s="208">
        <v>4.62</v>
      </c>
      <c r="M20" s="82">
        <f t="shared" si="5"/>
        <v>94</v>
      </c>
      <c r="N20" s="71">
        <f t="shared" si="6"/>
        <v>70.011116146385518</v>
      </c>
      <c r="O20" s="85">
        <v>23.701016102122217</v>
      </c>
      <c r="P20" s="87">
        <v>106.3</v>
      </c>
      <c r="Q20" s="70">
        <f t="shared" si="7"/>
        <v>32.589453390067895</v>
      </c>
      <c r="R20" s="90">
        <v>0.19500000000000001</v>
      </c>
      <c r="S20" s="85">
        <v>0.99210273999999998</v>
      </c>
      <c r="T20" s="85">
        <v>0.9</v>
      </c>
      <c r="U20" s="90">
        <v>2.6739999999999999</v>
      </c>
      <c r="V20" s="70">
        <f t="shared" si="8"/>
        <v>71.768539357142856</v>
      </c>
      <c r="W20" s="85">
        <v>5.9059999999999997</v>
      </c>
      <c r="X20" s="87">
        <v>2.4</v>
      </c>
      <c r="Y20" s="87">
        <v>91.54</v>
      </c>
      <c r="Z20" s="214">
        <v>1</v>
      </c>
      <c r="AA20" s="71">
        <f t="shared" si="9"/>
        <v>89.831065896453865</v>
      </c>
      <c r="AB20" s="63"/>
      <c r="AC20" s="85">
        <v>23.894570736865617</v>
      </c>
      <c r="AD20" s="87">
        <v>91.1</v>
      </c>
      <c r="AE20" s="88">
        <v>85</v>
      </c>
      <c r="AF20" s="85">
        <v>2.4</v>
      </c>
      <c r="AG20" s="88">
        <v>85</v>
      </c>
      <c r="AH20" s="70">
        <f t="shared" si="10"/>
        <v>75.497662542525788</v>
      </c>
      <c r="AI20" s="85">
        <v>2.08</v>
      </c>
      <c r="AJ20" s="85">
        <v>4.5599999999999996</v>
      </c>
      <c r="AK20" s="87">
        <v>50.6</v>
      </c>
      <c r="AL20" s="86">
        <v>6.7292511958805594</v>
      </c>
      <c r="AM20" s="85">
        <v>96.819681200960204</v>
      </c>
      <c r="AN20" s="70">
        <f t="shared" si="11"/>
        <v>70.284117519761892</v>
      </c>
      <c r="AO20" s="63"/>
      <c r="AP20" s="89">
        <v>99.339382966839196</v>
      </c>
      <c r="AQ20" s="89">
        <v>84.813251377901594</v>
      </c>
      <c r="AR20" s="89">
        <v>0.25</v>
      </c>
      <c r="AS20" s="158">
        <f t="shared" si="12"/>
        <v>92.178971430660596</v>
      </c>
      <c r="AT20" s="89">
        <v>82.432299999999998</v>
      </c>
      <c r="AU20" s="89">
        <v>87.069358149663231</v>
      </c>
      <c r="AV20" s="89">
        <v>51.400746587556135</v>
      </c>
      <c r="AW20" s="100">
        <v>2.5</v>
      </c>
      <c r="AX20" s="71">
        <f t="shared" si="13"/>
        <v>84.969493160632638</v>
      </c>
      <c r="AY20" s="86">
        <v>76.724752102990522</v>
      </c>
      <c r="AZ20" s="71">
        <f t="shared" si="14"/>
        <v>76.724752102990522</v>
      </c>
      <c r="BA20" s="86">
        <v>26.82</v>
      </c>
      <c r="BB20" s="71">
        <f t="shared" si="15"/>
        <v>73.180000000000007</v>
      </c>
      <c r="BC20" s="86">
        <v>61.17</v>
      </c>
      <c r="BD20" s="86">
        <v>81.7</v>
      </c>
      <c r="BE20" s="86">
        <v>45.72</v>
      </c>
      <c r="BF20" s="71">
        <f t="shared" si="16"/>
        <v>63.201999999999998</v>
      </c>
      <c r="BG20" s="63"/>
      <c r="BH20" s="85">
        <v>1.08</v>
      </c>
      <c r="BI20" s="85">
        <v>4.82</v>
      </c>
      <c r="BJ20" s="88">
        <v>133</v>
      </c>
      <c r="BK20" s="81">
        <v>90.909090909090907</v>
      </c>
      <c r="BL20" s="70">
        <f t="shared" si="17"/>
        <v>86.167944679772631</v>
      </c>
      <c r="BM20" s="90">
        <v>0.8586273536269361</v>
      </c>
      <c r="BN20" s="85">
        <v>81.17</v>
      </c>
      <c r="BO20" s="85">
        <v>89.999795836414478</v>
      </c>
      <c r="BP20" s="70">
        <f t="shared" si="18"/>
        <v>85.723816640450423</v>
      </c>
      <c r="BQ20" s="90">
        <v>0.80519042277748143</v>
      </c>
      <c r="BR20" s="90">
        <v>0.71561319506747667</v>
      </c>
      <c r="BS20" s="85">
        <v>77.585212900000002</v>
      </c>
      <c r="BT20" s="86">
        <v>74.571017299999994</v>
      </c>
      <c r="BU20" s="85">
        <v>67.968998099999993</v>
      </c>
      <c r="BV20" s="86">
        <v>74.475315199999997</v>
      </c>
      <c r="BW20" s="71">
        <f t="shared" si="19"/>
        <v>74.912091965049285</v>
      </c>
      <c r="BX20" s="86">
        <v>80.44</v>
      </c>
      <c r="BY20" s="158">
        <f t="shared" si="20"/>
        <v>80.44</v>
      </c>
      <c r="BZ20" s="54"/>
    </row>
    <row r="21" spans="1:81" s="5" customFormat="1" ht="15" customHeight="1" x14ac:dyDescent="0.25">
      <c r="A21" s="2">
        <v>15</v>
      </c>
      <c r="B21" s="6" t="s">
        <v>13</v>
      </c>
      <c r="C21" s="10" t="s">
        <v>19</v>
      </c>
      <c r="D21" s="162" t="s">
        <v>146</v>
      </c>
      <c r="E21" s="209">
        <f t="shared" si="0"/>
        <v>76.446848412165494</v>
      </c>
      <c r="F21" s="71">
        <f t="shared" si="1"/>
        <v>68.187954249303345</v>
      </c>
      <c r="G21" s="71">
        <f t="shared" si="2"/>
        <v>70.954768929500304</v>
      </c>
      <c r="H21" s="71">
        <f t="shared" si="3"/>
        <v>84.784288975095336</v>
      </c>
      <c r="I21" s="71">
        <f t="shared" si="4"/>
        <v>81.860381494763018</v>
      </c>
      <c r="J21" s="63"/>
      <c r="K21" s="92">
        <v>0</v>
      </c>
      <c r="L21" s="207" t="s">
        <v>812</v>
      </c>
      <c r="M21" s="159">
        <v>100</v>
      </c>
      <c r="N21" s="71">
        <f t="shared" si="6"/>
        <v>66.666666666666657</v>
      </c>
      <c r="O21" s="92">
        <v>38.576978504216839</v>
      </c>
      <c r="P21" s="197">
        <v>0</v>
      </c>
      <c r="Q21" s="70">
        <f t="shared" si="7"/>
        <v>88.098321391231579</v>
      </c>
      <c r="R21" s="96">
        <v>1.2108112357482E-2</v>
      </c>
      <c r="S21" s="92">
        <v>0.79718332517526092</v>
      </c>
      <c r="T21" s="92">
        <v>0.80500000000000005</v>
      </c>
      <c r="U21" s="96">
        <v>4.18</v>
      </c>
      <c r="V21" s="70">
        <f t="shared" si="8"/>
        <v>47.341454067310906</v>
      </c>
      <c r="W21" s="185">
        <v>2</v>
      </c>
      <c r="X21" s="93">
        <v>0</v>
      </c>
      <c r="Y21" s="93">
        <v>216.83694351041936</v>
      </c>
      <c r="Z21" s="215">
        <v>0</v>
      </c>
      <c r="AA21" s="71">
        <f t="shared" si="9"/>
        <v>98.543249361185914</v>
      </c>
      <c r="AB21" s="63"/>
      <c r="AC21" s="92">
        <v>21.849994897528472</v>
      </c>
      <c r="AD21" s="93">
        <v>90.549494405375398</v>
      </c>
      <c r="AE21" s="94">
        <v>65</v>
      </c>
      <c r="AF21" s="85">
        <v>2.4</v>
      </c>
      <c r="AG21" s="91">
        <v>93.590472210571505</v>
      </c>
      <c r="AH21" s="70">
        <f t="shared" si="10"/>
        <v>72.141273085625514</v>
      </c>
      <c r="AI21" s="92">
        <v>1.1337379945378481</v>
      </c>
      <c r="AJ21" s="92">
        <v>5.0504624972173664</v>
      </c>
      <c r="AK21" s="198">
        <v>91.19</v>
      </c>
      <c r="AL21" s="92">
        <v>6.608013266033848</v>
      </c>
      <c r="AM21" s="86">
        <v>75.421035957416393</v>
      </c>
      <c r="AN21" s="70">
        <f t="shared" si="11"/>
        <v>69.768264773375094</v>
      </c>
      <c r="AO21" s="63"/>
      <c r="AP21" s="89">
        <v>100</v>
      </c>
      <c r="AQ21" s="89">
        <v>88.109943105418807</v>
      </c>
      <c r="AR21" s="97">
        <v>0</v>
      </c>
      <c r="AS21" s="158">
        <f t="shared" si="12"/>
        <v>94.054971552709404</v>
      </c>
      <c r="AT21" s="89">
        <v>86.610699999999994</v>
      </c>
      <c r="AU21" s="89">
        <v>93.685614906255665</v>
      </c>
      <c r="AV21" s="89">
        <v>51.804337676602103</v>
      </c>
      <c r="AW21" s="100">
        <v>2.5</v>
      </c>
      <c r="AX21" s="71">
        <f t="shared" si="13"/>
        <v>91.188501824724653</v>
      </c>
      <c r="AY21" s="86">
        <v>77.597481793057355</v>
      </c>
      <c r="AZ21" s="71">
        <f t="shared" si="14"/>
        <v>77.597481793057355</v>
      </c>
      <c r="BA21" s="199">
        <v>31.35</v>
      </c>
      <c r="BB21" s="71">
        <f t="shared" si="15"/>
        <v>68.650000000000006</v>
      </c>
      <c r="BC21" s="92">
        <v>63.174999999999997</v>
      </c>
      <c r="BD21" s="92">
        <v>75.53</v>
      </c>
      <c r="BE21" s="92">
        <v>55.95</v>
      </c>
      <c r="BF21" s="71">
        <f t="shared" si="16"/>
        <v>65.227000000000004</v>
      </c>
      <c r="BG21" s="63"/>
      <c r="BH21" s="86">
        <v>0</v>
      </c>
      <c r="BI21" s="86">
        <v>2.58</v>
      </c>
      <c r="BJ21" s="95">
        <v>156</v>
      </c>
      <c r="BK21" s="82">
        <v>100</v>
      </c>
      <c r="BL21" s="70">
        <f t="shared" si="17"/>
        <v>99.024691358024683</v>
      </c>
      <c r="BM21" s="96">
        <v>0.75199275488159045</v>
      </c>
      <c r="BN21" s="92">
        <v>70.211693728805798</v>
      </c>
      <c r="BO21" s="86">
        <v>68.139174905305495</v>
      </c>
      <c r="BP21" s="70">
        <f t="shared" si="18"/>
        <v>72.187354902607339</v>
      </c>
      <c r="BQ21" s="96">
        <v>0.71099365992271801</v>
      </c>
      <c r="BR21" s="96">
        <v>0.73407941516694675</v>
      </c>
      <c r="BS21" s="86">
        <v>84.295279499999992</v>
      </c>
      <c r="BT21" s="86">
        <v>85.115627899999993</v>
      </c>
      <c r="BU21" s="86">
        <v>87.053501499999996</v>
      </c>
      <c r="BV21" s="86">
        <v>72.244985599999993</v>
      </c>
      <c r="BW21" s="71">
        <f t="shared" si="19"/>
        <v>79.154291955641838</v>
      </c>
      <c r="BX21" s="92">
        <v>77.44</v>
      </c>
      <c r="BY21" s="158">
        <f t="shared" si="20"/>
        <v>77.44</v>
      </c>
      <c r="BZ21" s="54"/>
    </row>
    <row r="22" spans="1:81" s="13" customFormat="1" ht="15" customHeight="1" x14ac:dyDescent="0.25">
      <c r="A22" s="2">
        <v>16</v>
      </c>
      <c r="B22" s="6" t="s">
        <v>13</v>
      </c>
      <c r="C22" s="10" t="s">
        <v>19</v>
      </c>
      <c r="D22" s="162" t="s">
        <v>131</v>
      </c>
      <c r="E22" s="209">
        <f t="shared" si="0"/>
        <v>76.412437212317116</v>
      </c>
      <c r="F22" s="71">
        <f t="shared" si="1"/>
        <v>67.955932567185471</v>
      </c>
      <c r="G22" s="71">
        <f t="shared" si="2"/>
        <v>72.462613079207046</v>
      </c>
      <c r="H22" s="71">
        <f t="shared" si="3"/>
        <v>79.490646384362876</v>
      </c>
      <c r="I22" s="71">
        <f t="shared" si="4"/>
        <v>85.740556818513028</v>
      </c>
      <c r="J22" s="63"/>
      <c r="K22" s="92">
        <v>0</v>
      </c>
      <c r="L22" s="207">
        <v>1.3599999999999999</v>
      </c>
      <c r="M22" s="82">
        <f t="shared" ref="M22:M53" si="21">IF(L22&lt;-5, 0, IF(AND(L22&gt;=1, L22&lt;=3), 100, IF(L22&gt;30, 0, IF(L22&lt;1, 100 * ((L22 + 5) / 6), 100 * ((30 - L22) / (30 - 3))))))</f>
        <v>100</v>
      </c>
      <c r="N22" s="71">
        <f t="shared" si="6"/>
        <v>66.666666666666657</v>
      </c>
      <c r="O22" s="92">
        <v>38.576978504216839</v>
      </c>
      <c r="P22" s="100">
        <v>0.5</v>
      </c>
      <c r="Q22" s="70">
        <f t="shared" si="7"/>
        <v>87.876099169009365</v>
      </c>
      <c r="R22" s="96">
        <v>9.8536556152334209E-3</v>
      </c>
      <c r="S22" s="92">
        <v>0.79718332517526092</v>
      </c>
      <c r="T22" s="92">
        <v>0.80500000000000005</v>
      </c>
      <c r="U22" s="96">
        <v>4.18</v>
      </c>
      <c r="V22" s="70">
        <f t="shared" si="8"/>
        <v>47.174457271588786</v>
      </c>
      <c r="W22" s="185">
        <v>2</v>
      </c>
      <c r="X22" s="93">
        <v>0</v>
      </c>
      <c r="Y22" s="93">
        <v>202.185139406395</v>
      </c>
      <c r="Z22" s="215">
        <v>0</v>
      </c>
      <c r="AA22" s="71">
        <f t="shared" si="9"/>
        <v>98.082489557492039</v>
      </c>
      <c r="AB22" s="63"/>
      <c r="AC22" s="92">
        <v>21.849994897528472</v>
      </c>
      <c r="AD22" s="100">
        <v>93.1</v>
      </c>
      <c r="AE22" s="95">
        <v>80</v>
      </c>
      <c r="AF22" s="85">
        <v>0</v>
      </c>
      <c r="AG22" s="88">
        <v>100</v>
      </c>
      <c r="AH22" s="70">
        <f t="shared" si="10"/>
        <v>76.749996598352311</v>
      </c>
      <c r="AI22" s="92">
        <v>1.42714181406865</v>
      </c>
      <c r="AJ22" s="92">
        <v>4.8942279057791724</v>
      </c>
      <c r="AK22" s="100">
        <v>93.4</v>
      </c>
      <c r="AL22" s="92">
        <v>7.2590536971876691</v>
      </c>
      <c r="AM22" s="86">
        <v>51.975333096279797</v>
      </c>
      <c r="AN22" s="70">
        <f t="shared" si="11"/>
        <v>68.17522956006178</v>
      </c>
      <c r="AO22" s="63"/>
      <c r="AP22" s="89">
        <v>99.99</v>
      </c>
      <c r="AQ22" s="89">
        <v>85.999158481543589</v>
      </c>
      <c r="AR22" s="97">
        <v>0</v>
      </c>
      <c r="AS22" s="158">
        <f t="shared" si="12"/>
        <v>92.997079240771797</v>
      </c>
      <c r="AT22" s="89">
        <v>83.927999999999997</v>
      </c>
      <c r="AU22" s="89">
        <v>89.582204933563531</v>
      </c>
      <c r="AV22" s="89">
        <v>60.364113010848513</v>
      </c>
      <c r="AW22" s="100">
        <v>2.5</v>
      </c>
      <c r="AX22" s="71">
        <f t="shared" si="13"/>
        <v>88.838492022814449</v>
      </c>
      <c r="AY22" s="86">
        <v>60.770817464739523</v>
      </c>
      <c r="AZ22" s="71">
        <f t="shared" si="14"/>
        <v>60.770817464739523</v>
      </c>
      <c r="BA22" s="92">
        <v>31.35</v>
      </c>
      <c r="BB22" s="71">
        <f t="shared" si="15"/>
        <v>68.650000000000006</v>
      </c>
      <c r="BC22" s="92">
        <v>63.174999999999997</v>
      </c>
      <c r="BD22" s="92">
        <v>75.53</v>
      </c>
      <c r="BE22" s="92">
        <v>55.95</v>
      </c>
      <c r="BF22" s="71">
        <f t="shared" si="16"/>
        <v>65.227000000000004</v>
      </c>
      <c r="BG22" s="63"/>
      <c r="BH22" s="86">
        <v>2.5099999999999998</v>
      </c>
      <c r="BI22" s="86">
        <v>2.1</v>
      </c>
      <c r="BJ22" s="95">
        <v>156</v>
      </c>
      <c r="BK22" s="82">
        <v>100</v>
      </c>
      <c r="BL22" s="70">
        <f t="shared" si="17"/>
        <v>98.856172839506172</v>
      </c>
      <c r="BM22" s="96">
        <v>0.82932073143170215</v>
      </c>
      <c r="BN22" s="86">
        <v>82.62</v>
      </c>
      <c r="BO22" s="86">
        <v>77.909382126435247</v>
      </c>
      <c r="BP22" s="70">
        <f t="shared" si="18"/>
        <v>81.598382103193927</v>
      </c>
      <c r="BQ22" s="96">
        <v>0.80255659606863738</v>
      </c>
      <c r="BR22" s="96">
        <v>0.78538881328923649</v>
      </c>
      <c r="BS22" s="86">
        <v>83.379528199999996</v>
      </c>
      <c r="BT22" s="86">
        <v>84.262400999999997</v>
      </c>
      <c r="BU22" s="86">
        <v>92.923528499999989</v>
      </c>
      <c r="BV22" s="86">
        <v>79.087280800000002</v>
      </c>
      <c r="BW22" s="71">
        <f t="shared" si="19"/>
        <v>82.294282793366577</v>
      </c>
      <c r="BX22" s="92">
        <v>77.44</v>
      </c>
      <c r="BY22" s="158">
        <f t="shared" si="20"/>
        <v>77.44</v>
      </c>
      <c r="BZ22" s="54"/>
    </row>
    <row r="23" spans="1:81" s="5" customFormat="1" ht="15" customHeight="1" x14ac:dyDescent="0.25">
      <c r="A23" s="2">
        <v>17</v>
      </c>
      <c r="B23" s="3" t="s">
        <v>10</v>
      </c>
      <c r="C23" s="22" t="s">
        <v>49</v>
      </c>
      <c r="D23" s="162" t="s">
        <v>113</v>
      </c>
      <c r="E23" s="209">
        <f t="shared" si="0"/>
        <v>76.37250574120965</v>
      </c>
      <c r="F23" s="71">
        <f t="shared" si="1"/>
        <v>70.746456010526401</v>
      </c>
      <c r="G23" s="71">
        <f t="shared" si="2"/>
        <v>72.709273844728926</v>
      </c>
      <c r="H23" s="71">
        <f t="shared" si="3"/>
        <v>80.395399629635506</v>
      </c>
      <c r="I23" s="71">
        <f t="shared" si="4"/>
        <v>81.638893479947754</v>
      </c>
      <c r="J23" s="63"/>
      <c r="K23" s="85">
        <v>1.2188063457891696</v>
      </c>
      <c r="L23" s="208">
        <v>2.2999999999999998</v>
      </c>
      <c r="M23" s="82">
        <f t="shared" si="21"/>
        <v>100</v>
      </c>
      <c r="N23" s="71">
        <f t="shared" si="6"/>
        <v>73.437813032162055</v>
      </c>
      <c r="O23" s="85">
        <v>32.059241932893521</v>
      </c>
      <c r="P23" s="87">
        <v>206.5</v>
      </c>
      <c r="Q23" s="70">
        <f t="shared" si="7"/>
        <v>17.810689962718623</v>
      </c>
      <c r="R23" s="90">
        <v>0.309</v>
      </c>
      <c r="S23" s="85">
        <v>1.6889353</v>
      </c>
      <c r="T23" s="85">
        <v>0.84</v>
      </c>
      <c r="U23" s="90">
        <v>2.911</v>
      </c>
      <c r="V23" s="70">
        <f t="shared" si="8"/>
        <v>79.020058373015885</v>
      </c>
      <c r="W23" s="85">
        <v>2.4510000000000001</v>
      </c>
      <c r="X23" s="98">
        <v>10</v>
      </c>
      <c r="Y23" s="87">
        <v>52.71</v>
      </c>
      <c r="Z23" s="214">
        <v>1.1000000000000001</v>
      </c>
      <c r="AA23" s="71">
        <f t="shared" si="9"/>
        <v>84.884168105577828</v>
      </c>
      <c r="AB23" s="63"/>
      <c r="AC23" s="85">
        <v>27.813618489308229</v>
      </c>
      <c r="AD23" s="87">
        <v>94.2</v>
      </c>
      <c r="AE23" s="88">
        <v>60</v>
      </c>
      <c r="AF23" s="85">
        <v>1</v>
      </c>
      <c r="AG23" s="88">
        <v>77</v>
      </c>
      <c r="AH23" s="70">
        <f t="shared" si="10"/>
        <v>73.486002069795234</v>
      </c>
      <c r="AI23" s="85">
        <v>2.98</v>
      </c>
      <c r="AJ23" s="85">
        <v>4.1399999999999997</v>
      </c>
      <c r="AK23" s="87">
        <v>63</v>
      </c>
      <c r="AL23" s="86">
        <v>6.8386095718052422</v>
      </c>
      <c r="AM23" s="85">
        <v>97.573082281870995</v>
      </c>
      <c r="AN23" s="70">
        <f t="shared" si="11"/>
        <v>71.932545619662633</v>
      </c>
      <c r="AO23" s="63"/>
      <c r="AP23" s="89">
        <v>98.751631317773217</v>
      </c>
      <c r="AQ23" s="89">
        <v>86.629306394297032</v>
      </c>
      <c r="AR23" s="89">
        <v>3.12</v>
      </c>
      <c r="AS23" s="158">
        <f t="shared" si="12"/>
        <v>92.222561026591819</v>
      </c>
      <c r="AT23" s="89">
        <v>85.001199999999997</v>
      </c>
      <c r="AU23" s="89">
        <v>83.178099820142194</v>
      </c>
      <c r="AV23" s="89">
        <v>55.809976037454007</v>
      </c>
      <c r="AW23" s="100">
        <v>2.5</v>
      </c>
      <c r="AX23" s="71">
        <f t="shared" si="13"/>
        <v>87.378905983731727</v>
      </c>
      <c r="AY23" s="86">
        <v>67.850169114725773</v>
      </c>
      <c r="AZ23" s="71">
        <f t="shared" si="14"/>
        <v>67.850169114725773</v>
      </c>
      <c r="BA23" s="86">
        <v>32.340000000000003</v>
      </c>
      <c r="BB23" s="71">
        <f t="shared" si="15"/>
        <v>67.66</v>
      </c>
      <c r="BC23" s="86">
        <v>62.86</v>
      </c>
      <c r="BD23" s="86">
        <v>75.73</v>
      </c>
      <c r="BE23" s="86">
        <v>53.13</v>
      </c>
      <c r="BF23" s="71">
        <f t="shared" si="16"/>
        <v>64.116</v>
      </c>
      <c r="BG23" s="63"/>
      <c r="BH23" s="85">
        <v>0.23</v>
      </c>
      <c r="BI23" s="85">
        <v>4.25</v>
      </c>
      <c r="BJ23" s="88">
        <v>156</v>
      </c>
      <c r="BK23" s="81">
        <v>100</v>
      </c>
      <c r="BL23" s="70">
        <f t="shared" si="17"/>
        <v>97.951234567901238</v>
      </c>
      <c r="BM23" s="90">
        <v>0.78459595496721002</v>
      </c>
      <c r="BN23" s="85">
        <v>62.9</v>
      </c>
      <c r="BO23" s="85">
        <v>67.310505998087109</v>
      </c>
      <c r="BP23" s="70">
        <f t="shared" si="18"/>
        <v>71.78242424788229</v>
      </c>
      <c r="BQ23" s="90">
        <v>0.72149353353644174</v>
      </c>
      <c r="BR23" s="90">
        <v>0.75991485720538376</v>
      </c>
      <c r="BS23" s="85">
        <v>75.322856999999999</v>
      </c>
      <c r="BT23" s="86">
        <v>91.937844299999995</v>
      </c>
      <c r="BU23" s="85">
        <v>85.270442000000003</v>
      </c>
      <c r="BV23" s="86">
        <v>75.83302789999999</v>
      </c>
      <c r="BW23" s="71">
        <f t="shared" si="19"/>
        <v>80.195307324593557</v>
      </c>
      <c r="BX23" s="86">
        <v>75.48</v>
      </c>
      <c r="BY23" s="158">
        <f t="shared" si="20"/>
        <v>75.48</v>
      </c>
      <c r="BZ23" s="54"/>
      <c r="CA23" s="20"/>
      <c r="CB23" s="20"/>
      <c r="CC23" s="20"/>
    </row>
    <row r="24" spans="1:81" s="5" customFormat="1" ht="15" customHeight="1" x14ac:dyDescent="0.25">
      <c r="A24" s="2">
        <v>18</v>
      </c>
      <c r="B24" s="6" t="s">
        <v>13</v>
      </c>
      <c r="C24" s="10" t="s">
        <v>19</v>
      </c>
      <c r="D24" s="162" t="s">
        <v>104</v>
      </c>
      <c r="E24" s="209">
        <f t="shared" si="0"/>
        <v>75.716085086245002</v>
      </c>
      <c r="F24" s="71">
        <f t="shared" si="1"/>
        <v>62.173825596333081</v>
      </c>
      <c r="G24" s="71">
        <f t="shared" si="2"/>
        <v>71.324388413429304</v>
      </c>
      <c r="H24" s="71">
        <f t="shared" si="3"/>
        <v>82.451377396319316</v>
      </c>
      <c r="I24" s="71">
        <f t="shared" si="4"/>
        <v>86.914748938898342</v>
      </c>
      <c r="J24" s="63"/>
      <c r="K24" s="86">
        <v>2.0651733651667836</v>
      </c>
      <c r="L24" s="207">
        <v>6.3</v>
      </c>
      <c r="M24" s="82">
        <f t="shared" si="21"/>
        <v>87.777777777777771</v>
      </c>
      <c r="N24" s="71">
        <f t="shared" si="6"/>
        <v>72.02874091759324</v>
      </c>
      <c r="O24" s="86">
        <v>22.982690574027586</v>
      </c>
      <c r="P24" s="100">
        <v>56.1</v>
      </c>
      <c r="Q24" s="70">
        <f t="shared" si="7"/>
        <v>54.50149476334866</v>
      </c>
      <c r="R24" s="167">
        <v>2.8000000000000001E-2</v>
      </c>
      <c r="S24" s="92">
        <v>0.62804237098782889</v>
      </c>
      <c r="T24" s="86">
        <v>0.77</v>
      </c>
      <c r="U24" s="167">
        <v>3.7120000000000002</v>
      </c>
      <c r="V24" s="70">
        <f t="shared" si="8"/>
        <v>49.110699707770429</v>
      </c>
      <c r="W24" s="86">
        <v>3.625</v>
      </c>
      <c r="X24" s="100">
        <v>2</v>
      </c>
      <c r="Y24" s="100">
        <v>66.38</v>
      </c>
      <c r="Z24" s="215">
        <v>0.6</v>
      </c>
      <c r="AA24" s="71">
        <f t="shared" si="9"/>
        <v>88.961509744745001</v>
      </c>
      <c r="AB24" s="63"/>
      <c r="AC24" s="86">
        <v>26.661230015681753</v>
      </c>
      <c r="AD24" s="100">
        <v>94.9</v>
      </c>
      <c r="AE24" s="95">
        <v>70</v>
      </c>
      <c r="AF24" s="85">
        <v>7.75</v>
      </c>
      <c r="AG24" s="88">
        <v>80</v>
      </c>
      <c r="AH24" s="70">
        <f t="shared" si="10"/>
        <v>73.270307189941676</v>
      </c>
      <c r="AI24" s="86">
        <v>0.13</v>
      </c>
      <c r="AJ24" s="86">
        <v>4.3099999999999996</v>
      </c>
      <c r="AK24" s="100">
        <v>72.2</v>
      </c>
      <c r="AL24" s="86">
        <v>7.3484972490355425</v>
      </c>
      <c r="AM24" s="86">
        <v>98.825872840790794</v>
      </c>
      <c r="AN24" s="70">
        <f t="shared" si="11"/>
        <v>69.378469636916932</v>
      </c>
      <c r="AO24" s="63"/>
      <c r="AP24" s="89">
        <v>99.755600372589086</v>
      </c>
      <c r="AQ24" s="89">
        <v>83.802204620606801</v>
      </c>
      <c r="AR24" s="89">
        <v>0.32</v>
      </c>
      <c r="AS24" s="158">
        <f t="shared" si="12"/>
        <v>91.76000240345067</v>
      </c>
      <c r="AT24" s="89">
        <v>83.152600000000007</v>
      </c>
      <c r="AU24" s="89">
        <v>86.205105336270904</v>
      </c>
      <c r="AV24" s="89">
        <v>51.948706817252067</v>
      </c>
      <c r="AW24" s="100">
        <v>2.5</v>
      </c>
      <c r="AX24" s="71">
        <f t="shared" si="13"/>
        <v>85.581780616924917</v>
      </c>
      <c r="AY24" s="86">
        <v>76.950214318131742</v>
      </c>
      <c r="AZ24" s="71">
        <f t="shared" si="14"/>
        <v>76.950214318131742</v>
      </c>
      <c r="BA24" s="86">
        <v>26.8</v>
      </c>
      <c r="BB24" s="71">
        <f t="shared" si="15"/>
        <v>73.2</v>
      </c>
      <c r="BC24" s="86">
        <v>49.87</v>
      </c>
      <c r="BD24" s="86">
        <v>97.04</v>
      </c>
      <c r="BE24" s="86">
        <v>44.53</v>
      </c>
      <c r="BF24" s="71">
        <f t="shared" si="16"/>
        <v>66.602000000000004</v>
      </c>
      <c r="BG24" s="63"/>
      <c r="BH24" s="86">
        <v>2.0299999999999998</v>
      </c>
      <c r="BI24" s="86">
        <v>3.03</v>
      </c>
      <c r="BJ24" s="95">
        <v>156</v>
      </c>
      <c r="BK24" s="82">
        <v>100</v>
      </c>
      <c r="BL24" s="70">
        <f t="shared" si="17"/>
        <v>98.370987654320984</v>
      </c>
      <c r="BM24" s="96">
        <v>0.837752856850982</v>
      </c>
      <c r="BN24" s="86">
        <v>82.77</v>
      </c>
      <c r="BO24" s="86">
        <v>87.594126721917817</v>
      </c>
      <c r="BP24" s="70">
        <f t="shared" si="18"/>
        <v>84.478674523028545</v>
      </c>
      <c r="BQ24" s="96">
        <v>0.80545840637803678</v>
      </c>
      <c r="BR24" s="96">
        <v>0.76174785647314791</v>
      </c>
      <c r="BS24" s="86">
        <v>84.872910199999993</v>
      </c>
      <c r="BT24" s="86">
        <v>83.344810499999994</v>
      </c>
      <c r="BU24" s="86">
        <v>86.488028799999995</v>
      </c>
      <c r="BV24" s="86">
        <v>75.843258800000001</v>
      </c>
      <c r="BW24" s="71">
        <f t="shared" si="19"/>
        <v>81.052570481170093</v>
      </c>
      <c r="BX24" s="86">
        <v>86.1</v>
      </c>
      <c r="BY24" s="158">
        <f t="shared" si="20"/>
        <v>86.1</v>
      </c>
      <c r="BZ24" s="54"/>
    </row>
    <row r="25" spans="1:81" s="5" customFormat="1" ht="15" customHeight="1" x14ac:dyDescent="0.25">
      <c r="A25" s="2">
        <v>19</v>
      </c>
      <c r="B25" s="6" t="s">
        <v>13</v>
      </c>
      <c r="C25" s="7" t="s">
        <v>14</v>
      </c>
      <c r="D25" s="162" t="s">
        <v>82</v>
      </c>
      <c r="E25" s="209">
        <f t="shared" si="0"/>
        <v>75.457358621296422</v>
      </c>
      <c r="F25" s="71">
        <f t="shared" si="1"/>
        <v>62.259284470856826</v>
      </c>
      <c r="G25" s="71">
        <f t="shared" si="2"/>
        <v>75.061274939165699</v>
      </c>
      <c r="H25" s="71">
        <f t="shared" si="3"/>
        <v>79.055543593127837</v>
      </c>
      <c r="I25" s="71">
        <f t="shared" si="4"/>
        <v>85.453331482035338</v>
      </c>
      <c r="J25" s="63"/>
      <c r="K25" s="85">
        <v>-1.5280300740714403</v>
      </c>
      <c r="L25" s="208">
        <v>8.3000000000000007</v>
      </c>
      <c r="M25" s="82">
        <f t="shared" si="21"/>
        <v>80.370370370370367</v>
      </c>
      <c r="N25" s="71">
        <f t="shared" si="6"/>
        <v>48.362795884788291</v>
      </c>
      <c r="O25" s="85">
        <v>24.755195844283168</v>
      </c>
      <c r="P25" s="87">
        <v>24.2</v>
      </c>
      <c r="Q25" s="70">
        <f t="shared" si="7"/>
        <v>69.663997691268435</v>
      </c>
      <c r="R25" s="90">
        <v>5.2999999999999999E-2</v>
      </c>
      <c r="S25" s="85">
        <v>0.88679474999999996</v>
      </c>
      <c r="T25" s="85">
        <v>0.77</v>
      </c>
      <c r="U25" s="90">
        <v>3.2530000000000001</v>
      </c>
      <c r="V25" s="70">
        <f t="shared" si="8"/>
        <v>53.867022453703697</v>
      </c>
      <c r="W25" s="85">
        <v>8.3130000000000006</v>
      </c>
      <c r="X25" s="87">
        <v>6.1</v>
      </c>
      <c r="Y25" s="87">
        <v>51.33</v>
      </c>
      <c r="Z25" s="214">
        <v>4.0999999999999996</v>
      </c>
      <c r="AA25" s="71">
        <f t="shared" si="9"/>
        <v>80.159576007343517</v>
      </c>
      <c r="AB25" s="63"/>
      <c r="AC25" s="85">
        <v>24.224580539339584</v>
      </c>
      <c r="AD25" s="87">
        <v>93.6</v>
      </c>
      <c r="AE25" s="88">
        <v>90</v>
      </c>
      <c r="AF25" s="85">
        <v>2.4</v>
      </c>
      <c r="AG25" s="88">
        <v>80</v>
      </c>
      <c r="AH25" s="70">
        <f t="shared" si="10"/>
        <v>76.134335744175104</v>
      </c>
      <c r="AI25" s="85">
        <v>1.5</v>
      </c>
      <c r="AJ25" s="85">
        <v>4.09</v>
      </c>
      <c r="AK25" s="87">
        <v>77.900000000000006</v>
      </c>
      <c r="AL25" s="86">
        <v>8.1971108059650746</v>
      </c>
      <c r="AM25" s="85">
        <v>95.037068685636299</v>
      </c>
      <c r="AN25" s="70">
        <f t="shared" si="11"/>
        <v>73.988214134156294</v>
      </c>
      <c r="AO25" s="63"/>
      <c r="AP25" s="89">
        <v>99.753730672442956</v>
      </c>
      <c r="AQ25" s="89">
        <v>82.734044623063056</v>
      </c>
      <c r="AR25" s="89">
        <v>1.29</v>
      </c>
      <c r="AS25" s="158">
        <f t="shared" si="12"/>
        <v>90.982954979642258</v>
      </c>
      <c r="AT25" s="89">
        <v>79.476200000000006</v>
      </c>
      <c r="AU25" s="89">
        <v>76.260840692893112</v>
      </c>
      <c r="AV25" s="89">
        <v>46.540868754186285</v>
      </c>
      <c r="AW25" s="100">
        <v>2.5</v>
      </c>
      <c r="AX25" s="71">
        <f t="shared" si="13"/>
        <v>78.066828793628119</v>
      </c>
      <c r="AY25" s="86">
        <v>71.734059081789709</v>
      </c>
      <c r="AZ25" s="71">
        <f t="shared" si="14"/>
        <v>71.734059081789709</v>
      </c>
      <c r="BA25" s="86">
        <v>30.71</v>
      </c>
      <c r="BB25" s="71">
        <f t="shared" si="15"/>
        <v>69.289999999999992</v>
      </c>
      <c r="BC25" s="86">
        <v>90.58</v>
      </c>
      <c r="BD25" s="86">
        <v>80.760000000000005</v>
      </c>
      <c r="BE25" s="86">
        <v>63.66</v>
      </c>
      <c r="BF25" s="71">
        <f t="shared" si="16"/>
        <v>75.884</v>
      </c>
      <c r="BG25" s="63"/>
      <c r="BH25" s="85">
        <v>1.76</v>
      </c>
      <c r="BI25" s="85">
        <v>3.87</v>
      </c>
      <c r="BJ25" s="88">
        <v>156</v>
      </c>
      <c r="BK25" s="81">
        <v>100</v>
      </c>
      <c r="BL25" s="70">
        <f t="shared" si="17"/>
        <v>97.902469135802477</v>
      </c>
      <c r="BM25" s="90">
        <v>0.83291860051798727</v>
      </c>
      <c r="BN25" s="85">
        <v>88.54</v>
      </c>
      <c r="BO25" s="85">
        <v>88.968802751256476</v>
      </c>
      <c r="BP25" s="70">
        <f t="shared" si="18"/>
        <v>86.023130713713485</v>
      </c>
      <c r="BQ25" s="90">
        <v>0.82849086877297529</v>
      </c>
      <c r="BR25" s="90">
        <v>0.77464413876620886</v>
      </c>
      <c r="BS25" s="85">
        <v>81.64444619999999</v>
      </c>
      <c r="BT25" s="86">
        <v>76.5591936</v>
      </c>
      <c r="BU25" s="85">
        <v>77.844276100000002</v>
      </c>
      <c r="BV25" s="86">
        <v>76.906561699999997</v>
      </c>
      <c r="BW25" s="71">
        <f t="shared" si="19"/>
        <v>78.727928525630503</v>
      </c>
      <c r="BX25" s="86">
        <v>76.16</v>
      </c>
      <c r="BY25" s="158">
        <f t="shared" si="20"/>
        <v>76.16</v>
      </c>
      <c r="BZ25" s="54"/>
      <c r="CA25" s="20"/>
    </row>
    <row r="26" spans="1:81" s="5" customFormat="1" ht="15" customHeight="1" x14ac:dyDescent="0.25">
      <c r="A26" s="2">
        <v>20</v>
      </c>
      <c r="B26" s="17" t="s">
        <v>29</v>
      </c>
      <c r="C26" s="18" t="s">
        <v>30</v>
      </c>
      <c r="D26" s="162" t="s">
        <v>156</v>
      </c>
      <c r="E26" s="209">
        <f t="shared" si="0"/>
        <v>75.450701423814323</v>
      </c>
      <c r="F26" s="71">
        <f t="shared" si="1"/>
        <v>62.475326969830931</v>
      </c>
      <c r="G26" s="71">
        <f t="shared" si="2"/>
        <v>72.317429693706288</v>
      </c>
      <c r="H26" s="71">
        <f t="shared" si="3"/>
        <v>80.228134310926222</v>
      </c>
      <c r="I26" s="71">
        <f t="shared" si="4"/>
        <v>86.78191472079385</v>
      </c>
      <c r="J26" s="63"/>
      <c r="K26" s="85">
        <v>1.5853354224271143E-2</v>
      </c>
      <c r="L26" s="208">
        <v>4.5</v>
      </c>
      <c r="M26" s="82">
        <f t="shared" si="21"/>
        <v>94.444444444444443</v>
      </c>
      <c r="N26" s="71">
        <f t="shared" si="6"/>
        <v>63.976963079023726</v>
      </c>
      <c r="O26" s="85">
        <v>18.945180291738637</v>
      </c>
      <c r="P26" s="87">
        <v>54.7</v>
      </c>
      <c r="Q26" s="70">
        <f t="shared" si="7"/>
        <v>52.880655717632578</v>
      </c>
      <c r="R26" s="90">
        <v>5.2999999999999999E-2</v>
      </c>
      <c r="S26" s="85">
        <v>0.51546835999999996</v>
      </c>
      <c r="T26" s="85">
        <v>0.82</v>
      </c>
      <c r="U26" s="90">
        <v>3.23</v>
      </c>
      <c r="V26" s="70">
        <f t="shared" si="8"/>
        <v>54.611750735449732</v>
      </c>
      <c r="W26" s="85">
        <v>5.0759999999999996</v>
      </c>
      <c r="X26" s="98">
        <v>10</v>
      </c>
      <c r="Y26" s="87">
        <v>51.43</v>
      </c>
      <c r="Z26" s="214">
        <v>1.6</v>
      </c>
      <c r="AA26" s="71">
        <f t="shared" si="9"/>
        <v>83.3586277462352</v>
      </c>
      <c r="AB26" s="63"/>
      <c r="AC26" s="85">
        <v>23.373542495035572</v>
      </c>
      <c r="AD26" s="87">
        <v>85.4</v>
      </c>
      <c r="AE26" s="88">
        <v>70</v>
      </c>
      <c r="AF26" s="85">
        <v>2.25</v>
      </c>
      <c r="AG26" s="88">
        <v>97</v>
      </c>
      <c r="AH26" s="70">
        <f t="shared" si="10"/>
        <v>73.738771919767302</v>
      </c>
      <c r="AI26" s="85">
        <v>0.42</v>
      </c>
      <c r="AJ26" s="85">
        <v>4.82</v>
      </c>
      <c r="AK26" s="87">
        <v>66.099999999999994</v>
      </c>
      <c r="AL26" s="86">
        <v>7.9478156977855434</v>
      </c>
      <c r="AM26" s="85">
        <v>82.620210850160703</v>
      </c>
      <c r="AN26" s="70">
        <f t="shared" si="11"/>
        <v>70.896087467645259</v>
      </c>
      <c r="AO26" s="63"/>
      <c r="AP26" s="89">
        <v>99.6195684810003</v>
      </c>
      <c r="AQ26" s="89">
        <v>81.709941524474416</v>
      </c>
      <c r="AR26" s="97">
        <v>1.4</v>
      </c>
      <c r="AS26" s="158">
        <f t="shared" si="12"/>
        <v>90.409862882487289</v>
      </c>
      <c r="AT26" s="89">
        <v>82.388199999999998</v>
      </c>
      <c r="AU26" s="89">
        <v>83.530961504639123</v>
      </c>
      <c r="AV26" s="89">
        <v>52.802093371093925</v>
      </c>
      <c r="AW26" s="100">
        <v>2.5</v>
      </c>
      <c r="AX26" s="71">
        <f t="shared" si="13"/>
        <v>84.213448036269298</v>
      </c>
      <c r="AY26" s="86">
        <v>74.561847110440539</v>
      </c>
      <c r="AZ26" s="71">
        <f t="shared" si="14"/>
        <v>74.561847110440539</v>
      </c>
      <c r="BA26" s="92">
        <v>33.83</v>
      </c>
      <c r="BB26" s="71">
        <f t="shared" si="15"/>
        <v>66.17</v>
      </c>
      <c r="BC26" s="86">
        <v>51.52</v>
      </c>
      <c r="BD26" s="86">
        <v>86.66</v>
      </c>
      <c r="BE26" s="86">
        <v>42.63</v>
      </c>
      <c r="BF26" s="71">
        <f t="shared" si="16"/>
        <v>62.02</v>
      </c>
      <c r="BG26" s="63"/>
      <c r="BH26" s="85">
        <v>1.46</v>
      </c>
      <c r="BI26" s="85">
        <v>4.13</v>
      </c>
      <c r="BJ26" s="88">
        <v>156</v>
      </c>
      <c r="BK26" s="81">
        <v>100</v>
      </c>
      <c r="BL26" s="70">
        <f t="shared" si="17"/>
        <v>97.79753086419754</v>
      </c>
      <c r="BM26" s="90">
        <v>0.85833743231812576</v>
      </c>
      <c r="BN26" s="85">
        <v>77.38</v>
      </c>
      <c r="BO26" s="85">
        <v>82.319803446089836</v>
      </c>
      <c r="BP26" s="70">
        <f t="shared" si="18"/>
        <v>82.841822477428749</v>
      </c>
      <c r="BQ26" s="90">
        <v>0.86077266188385249</v>
      </c>
      <c r="BR26" s="90">
        <v>0.76472097553207452</v>
      </c>
      <c r="BS26" s="85">
        <v>86.89146079999999</v>
      </c>
      <c r="BT26" s="86">
        <v>87.296064799999996</v>
      </c>
      <c r="BU26" s="85">
        <v>85.549444399999999</v>
      </c>
      <c r="BV26" s="86">
        <v>83.953085799999997</v>
      </c>
      <c r="BW26" s="71">
        <f t="shared" si="19"/>
        <v>84.325672175759522</v>
      </c>
      <c r="BX26" s="86">
        <v>79.66</v>
      </c>
      <c r="BY26" s="158">
        <f t="shared" si="20"/>
        <v>79.66</v>
      </c>
      <c r="BZ26" s="54"/>
    </row>
    <row r="27" spans="1:81" s="5" customFormat="1" ht="15" customHeight="1" x14ac:dyDescent="0.25">
      <c r="A27" s="2">
        <v>21</v>
      </c>
      <c r="B27" s="6" t="s">
        <v>13</v>
      </c>
      <c r="C27" s="10" t="s">
        <v>19</v>
      </c>
      <c r="D27" s="162" t="s">
        <v>32</v>
      </c>
      <c r="E27" s="209">
        <f t="shared" si="0"/>
        <v>75.106532969574005</v>
      </c>
      <c r="F27" s="71">
        <f t="shared" si="1"/>
        <v>69.442155813988663</v>
      </c>
      <c r="G27" s="71">
        <f t="shared" si="2"/>
        <v>69.62442419066474</v>
      </c>
      <c r="H27" s="71">
        <f t="shared" si="3"/>
        <v>80.499989244780906</v>
      </c>
      <c r="I27" s="71">
        <f t="shared" si="4"/>
        <v>80.859562628861696</v>
      </c>
      <c r="J27" s="63"/>
      <c r="K27" s="85">
        <v>0.39528591395736612</v>
      </c>
      <c r="L27" s="208">
        <v>5.1199999999999992</v>
      </c>
      <c r="M27" s="82">
        <f t="shared" si="21"/>
        <v>92.148148148148152</v>
      </c>
      <c r="N27" s="71">
        <f t="shared" si="6"/>
        <v>64.936773596059453</v>
      </c>
      <c r="O27" s="85">
        <v>25.808857410079661</v>
      </c>
      <c r="P27" s="87">
        <v>80.5</v>
      </c>
      <c r="Q27" s="70">
        <f t="shared" si="7"/>
        <v>45.227143005599807</v>
      </c>
      <c r="R27" s="90">
        <v>0.191</v>
      </c>
      <c r="S27" s="85">
        <v>1.2525077</v>
      </c>
      <c r="T27" s="85">
        <v>0.81</v>
      </c>
      <c r="U27" s="90">
        <v>2.802</v>
      </c>
      <c r="V27" s="70">
        <f t="shared" si="8"/>
        <v>68.586066362433868</v>
      </c>
      <c r="W27" s="85">
        <v>5.5819999999999999</v>
      </c>
      <c r="X27" s="87">
        <v>5.5</v>
      </c>
      <c r="Y27" s="87">
        <v>86.71</v>
      </c>
      <c r="Z27" s="214">
        <v>1.9</v>
      </c>
      <c r="AA27" s="71">
        <f t="shared" si="9"/>
        <v>87.485495289303287</v>
      </c>
      <c r="AB27" s="63"/>
      <c r="AC27" s="85">
        <v>23.526710022966444</v>
      </c>
      <c r="AD27" s="87">
        <v>95.7</v>
      </c>
      <c r="AE27" s="88">
        <v>60</v>
      </c>
      <c r="AF27" s="85">
        <v>2.4</v>
      </c>
      <c r="AG27" s="88">
        <v>95</v>
      </c>
      <c r="AH27" s="70">
        <f t="shared" si="10"/>
        <v>73.519088733259679</v>
      </c>
      <c r="AI27" s="85">
        <v>0.48</v>
      </c>
      <c r="AJ27" s="85">
        <v>4.6500000000000004</v>
      </c>
      <c r="AK27" s="87">
        <v>45.7</v>
      </c>
      <c r="AL27" s="86">
        <v>6.7567908635340519</v>
      </c>
      <c r="AM27" s="85">
        <v>89.1427406177378</v>
      </c>
      <c r="AN27" s="70">
        <f t="shared" si="11"/>
        <v>65.729759648069816</v>
      </c>
      <c r="AO27" s="63"/>
      <c r="AP27" s="89">
        <v>99.659301867008409</v>
      </c>
      <c r="AQ27" s="89">
        <v>85.004245633456449</v>
      </c>
      <c r="AR27" s="89">
        <v>1.04</v>
      </c>
      <c r="AS27" s="158">
        <f t="shared" si="12"/>
        <v>92.156948283480318</v>
      </c>
      <c r="AT27" s="89">
        <v>82.2911</v>
      </c>
      <c r="AU27" s="89">
        <v>83.799615729552343</v>
      </c>
      <c r="AV27" s="89">
        <v>55.217097271604892</v>
      </c>
      <c r="AW27" s="100">
        <v>2.5</v>
      </c>
      <c r="AX27" s="71">
        <f t="shared" si="13"/>
        <v>84.624925871728152</v>
      </c>
      <c r="AY27" s="86">
        <v>70.931312475223862</v>
      </c>
      <c r="AZ27" s="71">
        <f t="shared" si="14"/>
        <v>70.931312475223862</v>
      </c>
      <c r="BA27" s="86">
        <v>31.2</v>
      </c>
      <c r="BB27" s="71">
        <f t="shared" si="15"/>
        <v>68.8</v>
      </c>
      <c r="BC27" s="86">
        <v>63.7</v>
      </c>
      <c r="BD27" s="86">
        <v>72.78</v>
      </c>
      <c r="BE27" s="86">
        <v>62.1</v>
      </c>
      <c r="BF27" s="71">
        <f t="shared" si="16"/>
        <v>66.691999999999993</v>
      </c>
      <c r="BG27" s="63"/>
      <c r="BH27" s="85">
        <v>0.99</v>
      </c>
      <c r="BI27" s="85">
        <v>4.3</v>
      </c>
      <c r="BJ27" s="88">
        <v>118</v>
      </c>
      <c r="BK27" s="81">
        <v>95.454545454545453</v>
      </c>
      <c r="BL27" s="70">
        <f t="shared" si="17"/>
        <v>82.644406429890296</v>
      </c>
      <c r="BM27" s="90">
        <v>0.85865451421503447</v>
      </c>
      <c r="BN27" s="85">
        <v>79.430000000000007</v>
      </c>
      <c r="BO27" s="85">
        <v>82.481288063394061</v>
      </c>
      <c r="BP27" s="70">
        <f t="shared" si="18"/>
        <v>83.410547726600242</v>
      </c>
      <c r="BQ27" s="90">
        <v>0.82179854528926721</v>
      </c>
      <c r="BR27" s="90">
        <v>0.75884235319892479</v>
      </c>
      <c r="BS27" s="85">
        <v>74.056419099999999</v>
      </c>
      <c r="BT27" s="86">
        <v>80.788652999999996</v>
      </c>
      <c r="BU27" s="85">
        <v>74.291672199999994</v>
      </c>
      <c r="BV27" s="86">
        <v>76.170951099999996</v>
      </c>
      <c r="BW27" s="71">
        <f t="shared" si="19"/>
        <v>77.59799058116873</v>
      </c>
      <c r="BX27" s="86">
        <v>80.16</v>
      </c>
      <c r="BY27" s="158">
        <f t="shared" si="20"/>
        <v>80.16</v>
      </c>
      <c r="BZ27" s="54"/>
    </row>
    <row r="28" spans="1:81" s="5" customFormat="1" ht="15" customHeight="1" x14ac:dyDescent="0.25">
      <c r="A28" s="2">
        <v>22</v>
      </c>
      <c r="B28" s="6" t="s">
        <v>13</v>
      </c>
      <c r="C28" s="10" t="s">
        <v>19</v>
      </c>
      <c r="D28" s="162" t="s">
        <v>216</v>
      </c>
      <c r="E28" s="209">
        <f t="shared" si="0"/>
        <v>74.569871846758389</v>
      </c>
      <c r="F28" s="71">
        <f t="shared" si="1"/>
        <v>68.065721418167996</v>
      </c>
      <c r="G28" s="71">
        <f t="shared" si="2"/>
        <v>71.369981732868169</v>
      </c>
      <c r="H28" s="71">
        <f t="shared" si="3"/>
        <v>83.065424967752136</v>
      </c>
      <c r="I28" s="71">
        <f t="shared" si="4"/>
        <v>75.778359268245225</v>
      </c>
      <c r="J28" s="63"/>
      <c r="K28" s="85">
        <v>1.0223403995800018</v>
      </c>
      <c r="L28" s="208">
        <v>4.9799999999999995</v>
      </c>
      <c r="M28" s="82">
        <f t="shared" si="21"/>
        <v>92.666666666666657</v>
      </c>
      <c r="N28" s="71">
        <f t="shared" si="6"/>
        <v>68.679668886555561</v>
      </c>
      <c r="O28" s="85">
        <v>17.17961400571669</v>
      </c>
      <c r="P28" s="87">
        <v>102.3</v>
      </c>
      <c r="Q28" s="70">
        <f t="shared" si="7"/>
        <v>30.744230003175939</v>
      </c>
      <c r="R28" s="90">
        <v>0.16600000000000001</v>
      </c>
      <c r="S28" s="85">
        <v>1.2450106000000001</v>
      </c>
      <c r="T28" s="85">
        <v>0.96</v>
      </c>
      <c r="U28" s="90">
        <v>2.734</v>
      </c>
      <c r="V28" s="70">
        <f t="shared" si="8"/>
        <v>72.037198756613762</v>
      </c>
      <c r="W28" s="85">
        <v>4.7460000000000004</v>
      </c>
      <c r="X28" s="87">
        <v>19.8</v>
      </c>
      <c r="Y28" s="87">
        <v>67.3</v>
      </c>
      <c r="Z28" s="214">
        <v>1.8</v>
      </c>
      <c r="AA28" s="71">
        <f t="shared" si="9"/>
        <v>82.270082602916688</v>
      </c>
      <c r="AB28" s="63"/>
      <c r="AC28" s="85">
        <v>18.883593690632566</v>
      </c>
      <c r="AD28" s="87">
        <v>93.6</v>
      </c>
      <c r="AE28" s="88">
        <v>70</v>
      </c>
      <c r="AF28" s="85">
        <v>3.75</v>
      </c>
      <c r="AG28" s="88">
        <v>87</v>
      </c>
      <c r="AH28" s="70">
        <f t="shared" si="10"/>
        <v>70.060857332216585</v>
      </c>
      <c r="AI28" s="85">
        <v>1.47</v>
      </c>
      <c r="AJ28" s="85">
        <v>4.82</v>
      </c>
      <c r="AK28" s="87">
        <v>61.7</v>
      </c>
      <c r="AL28" s="86">
        <v>7.0674818400559261</v>
      </c>
      <c r="AM28" s="85">
        <v>100</v>
      </c>
      <c r="AN28" s="70">
        <f t="shared" si="11"/>
        <v>72.679106133519753</v>
      </c>
      <c r="AO28" s="63"/>
      <c r="AP28" s="89">
        <v>99.8205318577361</v>
      </c>
      <c r="AQ28" s="89">
        <v>85.56719745789843</v>
      </c>
      <c r="AR28" s="89">
        <v>0.83</v>
      </c>
      <c r="AS28" s="158">
        <f t="shared" si="12"/>
        <v>92.531231693383248</v>
      </c>
      <c r="AT28" s="89">
        <v>81.599500000000006</v>
      </c>
      <c r="AU28" s="89">
        <v>84.359300910790779</v>
      </c>
      <c r="AV28" s="89">
        <v>47.141372765977678</v>
      </c>
      <c r="AW28" s="100">
        <v>2.5</v>
      </c>
      <c r="AX28" s="71">
        <f t="shared" si="13"/>
        <v>82.590708283770056</v>
      </c>
      <c r="AY28" s="86">
        <v>82.160276580347215</v>
      </c>
      <c r="AZ28" s="71">
        <f t="shared" si="14"/>
        <v>82.160276580347215</v>
      </c>
      <c r="BA28" s="86">
        <v>32.42</v>
      </c>
      <c r="BB28" s="71">
        <f t="shared" si="15"/>
        <v>67.58</v>
      </c>
      <c r="BC28" s="86">
        <v>71</v>
      </c>
      <c r="BD28" s="86">
        <v>77.47</v>
      </c>
      <c r="BE28" s="86">
        <v>64.7</v>
      </c>
      <c r="BF28" s="71">
        <f t="shared" si="16"/>
        <v>71.068000000000012</v>
      </c>
      <c r="BG28" s="63"/>
      <c r="BH28" s="85">
        <v>1</v>
      </c>
      <c r="BI28" s="85">
        <v>5.87</v>
      </c>
      <c r="BJ28" s="88">
        <v>91</v>
      </c>
      <c r="BK28" s="81">
        <v>90.909090909090907</v>
      </c>
      <c r="BL28" s="70">
        <f t="shared" si="17"/>
        <v>70.480847905579083</v>
      </c>
      <c r="BM28" s="90">
        <v>0.81619773244193927</v>
      </c>
      <c r="BN28" s="85">
        <v>79.45</v>
      </c>
      <c r="BO28" s="85">
        <v>76.469799883865235</v>
      </c>
      <c r="BP28" s="70">
        <f t="shared" si="18"/>
        <v>79.789836593063271</v>
      </c>
      <c r="BQ28" s="90">
        <v>0.82343991801958005</v>
      </c>
      <c r="BR28" s="90">
        <v>0.70007828602477584</v>
      </c>
      <c r="BS28" s="85">
        <v>78.414581400000003</v>
      </c>
      <c r="BT28" s="86">
        <v>74.3798903</v>
      </c>
      <c r="BU28" s="85">
        <v>70.296466899999999</v>
      </c>
      <c r="BV28" s="86">
        <v>78.697157300000001</v>
      </c>
      <c r="BW28" s="71">
        <f t="shared" si="19"/>
        <v>75.677703754089919</v>
      </c>
      <c r="BX28" s="86">
        <v>77.34</v>
      </c>
      <c r="BY28" s="158">
        <f t="shared" si="20"/>
        <v>77.34</v>
      </c>
      <c r="BZ28" s="54"/>
    </row>
    <row r="29" spans="1:81" s="5" customFormat="1" ht="15" customHeight="1" x14ac:dyDescent="0.25">
      <c r="A29" s="2">
        <v>23</v>
      </c>
      <c r="B29" s="14" t="s">
        <v>23</v>
      </c>
      <c r="C29" s="23" t="s">
        <v>57</v>
      </c>
      <c r="D29" s="162" t="s">
        <v>58</v>
      </c>
      <c r="E29" s="209">
        <f t="shared" si="0"/>
        <v>73.767361710579564</v>
      </c>
      <c r="F29" s="71">
        <f t="shared" si="1"/>
        <v>61.491713121297956</v>
      </c>
      <c r="G29" s="71">
        <f t="shared" si="2"/>
        <v>71.208008543765729</v>
      </c>
      <c r="H29" s="71">
        <f t="shared" si="3"/>
        <v>81.303647987515333</v>
      </c>
      <c r="I29" s="71">
        <f t="shared" si="4"/>
        <v>81.066077189739246</v>
      </c>
      <c r="J29" s="63"/>
      <c r="K29" s="85">
        <v>0.43338886806287835</v>
      </c>
      <c r="L29" s="208">
        <v>3.72</v>
      </c>
      <c r="M29" s="82">
        <f t="shared" si="21"/>
        <v>97.333333333333343</v>
      </c>
      <c r="N29" s="71">
        <f t="shared" si="6"/>
        <v>67.741049267015995</v>
      </c>
      <c r="O29" s="85">
        <v>22.225383894922185</v>
      </c>
      <c r="P29" s="87">
        <v>113.5</v>
      </c>
      <c r="Q29" s="70">
        <f t="shared" si="7"/>
        <v>28.569657719401217</v>
      </c>
      <c r="R29" s="90">
        <v>0.155</v>
      </c>
      <c r="S29" s="85">
        <v>0.78716240000000004</v>
      </c>
      <c r="T29" s="85">
        <v>0.89</v>
      </c>
      <c r="U29" s="90">
        <v>4.6369999999999996</v>
      </c>
      <c r="V29" s="70">
        <f t="shared" si="8"/>
        <v>58.555345291005288</v>
      </c>
      <c r="W29" s="85">
        <v>6.907</v>
      </c>
      <c r="X29" s="98">
        <v>10</v>
      </c>
      <c r="Y29" s="87">
        <v>69.760000000000005</v>
      </c>
      <c r="Z29" s="214">
        <v>1.8</v>
      </c>
      <c r="AA29" s="71">
        <f t="shared" si="9"/>
        <v>84.617947564734095</v>
      </c>
      <c r="AB29" s="63"/>
      <c r="AC29" s="85">
        <v>22.902328219974628</v>
      </c>
      <c r="AD29" s="87">
        <v>85.9</v>
      </c>
      <c r="AE29" s="88">
        <v>60</v>
      </c>
      <c r="AF29" s="85">
        <v>2.25</v>
      </c>
      <c r="AG29" s="88">
        <v>100</v>
      </c>
      <c r="AH29" s="70">
        <f t="shared" si="10"/>
        <v>72.341295736393349</v>
      </c>
      <c r="AI29" s="85">
        <v>0.87</v>
      </c>
      <c r="AJ29" s="85">
        <v>4.92</v>
      </c>
      <c r="AK29" s="87">
        <v>74.7</v>
      </c>
      <c r="AL29" s="86">
        <v>6.5522705547840525</v>
      </c>
      <c r="AM29" s="85">
        <v>93.177917011147599</v>
      </c>
      <c r="AN29" s="70">
        <f t="shared" si="11"/>
        <v>70.074721351138109</v>
      </c>
      <c r="AO29" s="63"/>
      <c r="AP29" s="89">
        <v>98.653249525774228</v>
      </c>
      <c r="AQ29" s="89">
        <v>85.718824424709851</v>
      </c>
      <c r="AR29" s="89">
        <v>0.6</v>
      </c>
      <c r="AS29" s="158">
        <f t="shared" si="12"/>
        <v>92.372724593798495</v>
      </c>
      <c r="AT29" s="89">
        <v>82.883399999999995</v>
      </c>
      <c r="AU29" s="89">
        <v>84.973886904268198</v>
      </c>
      <c r="AV29" s="89">
        <v>49.158200844791367</v>
      </c>
      <c r="AW29" s="100">
        <v>2.5</v>
      </c>
      <c r="AX29" s="71">
        <f t="shared" si="13"/>
        <v>84.45894073787936</v>
      </c>
      <c r="AY29" s="86">
        <v>75.608150323231769</v>
      </c>
      <c r="AZ29" s="71">
        <f t="shared" si="14"/>
        <v>75.608150323231769</v>
      </c>
      <c r="BA29" s="86">
        <v>31.5</v>
      </c>
      <c r="BB29" s="71">
        <f t="shared" si="15"/>
        <v>68.5</v>
      </c>
      <c r="BC29" s="86">
        <v>48.04</v>
      </c>
      <c r="BD29" s="86">
        <v>87.16</v>
      </c>
      <c r="BE29" s="86">
        <v>46.89</v>
      </c>
      <c r="BF29" s="71">
        <f t="shared" si="16"/>
        <v>63.227999999999994</v>
      </c>
      <c r="BG29" s="63"/>
      <c r="BH29" s="85">
        <v>1.98</v>
      </c>
      <c r="BI29" s="85">
        <v>4.17</v>
      </c>
      <c r="BJ29" s="88">
        <v>128</v>
      </c>
      <c r="BK29" s="81">
        <v>90.909090909090907</v>
      </c>
      <c r="BL29" s="70">
        <f t="shared" si="17"/>
        <v>84.610397885666714</v>
      </c>
      <c r="BM29" s="90">
        <v>0.84488405216159279</v>
      </c>
      <c r="BN29" s="85">
        <v>78.760000000000005</v>
      </c>
      <c r="BO29" s="85">
        <v>78.467577430937212</v>
      </c>
      <c r="BP29" s="70">
        <f t="shared" si="18"/>
        <v>81.55109696581394</v>
      </c>
      <c r="BQ29" s="90">
        <v>0.8200357166625033</v>
      </c>
      <c r="BR29" s="90">
        <v>0.69744244416476675</v>
      </c>
      <c r="BS29" s="85">
        <v>80.8871678</v>
      </c>
      <c r="BT29" s="86">
        <v>85.544938299999998</v>
      </c>
      <c r="BU29" s="85">
        <v>76.117336499999993</v>
      </c>
      <c r="BV29" s="86">
        <v>76.346807200000001</v>
      </c>
      <c r="BW29" s="71">
        <f t="shared" si="19"/>
        <v>79.126138938795364</v>
      </c>
      <c r="BX29" s="86">
        <v>77.540000000000006</v>
      </c>
      <c r="BY29" s="158">
        <f t="shared" si="20"/>
        <v>77.540000000000006</v>
      </c>
      <c r="BZ29" s="54"/>
    </row>
    <row r="30" spans="1:81" s="5" customFormat="1" ht="15" customHeight="1" x14ac:dyDescent="0.25">
      <c r="A30" s="2">
        <v>24</v>
      </c>
      <c r="B30" s="6" t="s">
        <v>13</v>
      </c>
      <c r="C30" s="7" t="s">
        <v>14</v>
      </c>
      <c r="D30" s="162" t="s">
        <v>72</v>
      </c>
      <c r="E30" s="209">
        <f t="shared" si="0"/>
        <v>73.6759228566102</v>
      </c>
      <c r="F30" s="71">
        <f t="shared" si="1"/>
        <v>69.787953325427878</v>
      </c>
      <c r="G30" s="71">
        <f t="shared" si="2"/>
        <v>70.438174027126934</v>
      </c>
      <c r="H30" s="71">
        <f t="shared" si="3"/>
        <v>78.81309298650163</v>
      </c>
      <c r="I30" s="71">
        <f t="shared" si="4"/>
        <v>75.664471087384356</v>
      </c>
      <c r="J30" s="63"/>
      <c r="K30" s="85">
        <v>0.77370357879431584</v>
      </c>
      <c r="L30" s="208">
        <v>6.92</v>
      </c>
      <c r="M30" s="82">
        <f t="shared" si="21"/>
        <v>85.481481481481481</v>
      </c>
      <c r="N30" s="71">
        <f t="shared" si="6"/>
        <v>63.705760622931386</v>
      </c>
      <c r="O30" s="85">
        <v>27.741352139237037</v>
      </c>
      <c r="P30" s="87">
        <v>44.6</v>
      </c>
      <c r="Q30" s="70">
        <f t="shared" si="7"/>
        <v>62.256306744020577</v>
      </c>
      <c r="R30" s="90">
        <v>0.19</v>
      </c>
      <c r="S30" s="85">
        <v>1.3334634000000001</v>
      </c>
      <c r="T30" s="85">
        <v>0.76</v>
      </c>
      <c r="U30" s="90">
        <v>2.8719999999999999</v>
      </c>
      <c r="V30" s="70">
        <f t="shared" si="8"/>
        <v>66.736869232804239</v>
      </c>
      <c r="W30" s="85">
        <v>2.8250000000000002</v>
      </c>
      <c r="X30" s="87">
        <v>3.3</v>
      </c>
      <c r="Y30" s="87">
        <v>56.48</v>
      </c>
      <c r="Z30" s="214">
        <v>4.2</v>
      </c>
      <c r="AA30" s="71">
        <f t="shared" si="9"/>
        <v>82.841986540518093</v>
      </c>
      <c r="AB30" s="63"/>
      <c r="AC30" s="85">
        <v>26.408399182277886</v>
      </c>
      <c r="AD30" s="87">
        <v>89.8</v>
      </c>
      <c r="AE30" s="88">
        <v>70</v>
      </c>
      <c r="AF30" s="85">
        <v>3.5</v>
      </c>
      <c r="AG30" s="88">
        <v>85</v>
      </c>
      <c r="AH30" s="70">
        <f t="shared" si="10"/>
        <v>74.174830224082697</v>
      </c>
      <c r="AI30" s="85">
        <v>1.91</v>
      </c>
      <c r="AJ30" s="85">
        <v>4.2300000000000004</v>
      </c>
      <c r="AK30" s="87">
        <v>78.8</v>
      </c>
      <c r="AL30" s="86">
        <v>5.9125035657672651</v>
      </c>
      <c r="AM30" s="85">
        <v>87.934035665681705</v>
      </c>
      <c r="AN30" s="70">
        <f t="shared" si="11"/>
        <v>66.70151783017117</v>
      </c>
      <c r="AO30" s="63"/>
      <c r="AP30" s="89">
        <v>98.062533011329108</v>
      </c>
      <c r="AQ30" s="89">
        <v>80.056554796704575</v>
      </c>
      <c r="AR30" s="89">
        <v>0.83</v>
      </c>
      <c r="AS30" s="158">
        <f t="shared" si="12"/>
        <v>89.336410651184565</v>
      </c>
      <c r="AT30" s="89">
        <v>80.106899999999996</v>
      </c>
      <c r="AU30" s="89">
        <v>83.668705108880857</v>
      </c>
      <c r="AV30" s="89">
        <v>53.824547644870101</v>
      </c>
      <c r="AW30" s="100">
        <v>2.5</v>
      </c>
      <c r="AX30" s="71">
        <f t="shared" si="13"/>
        <v>82.066733432658168</v>
      </c>
      <c r="AY30" s="86">
        <v>71.34693448910059</v>
      </c>
      <c r="AZ30" s="71">
        <f t="shared" si="14"/>
        <v>71.34693448910059</v>
      </c>
      <c r="BA30" s="86">
        <v>25.71</v>
      </c>
      <c r="BB30" s="71">
        <f t="shared" si="15"/>
        <v>74.289999999999992</v>
      </c>
      <c r="BC30" s="86">
        <v>66.459999999999994</v>
      </c>
      <c r="BD30" s="86">
        <v>64.540000000000006</v>
      </c>
      <c r="BE30" s="86">
        <v>57.34</v>
      </c>
      <c r="BF30" s="71">
        <f t="shared" si="16"/>
        <v>62.044000000000004</v>
      </c>
      <c r="BG30" s="63"/>
      <c r="BH30" s="85">
        <v>0.61</v>
      </c>
      <c r="BI30" s="85">
        <v>4.55</v>
      </c>
      <c r="BJ30" s="88">
        <v>103</v>
      </c>
      <c r="BK30" s="81">
        <v>81.818181818181813</v>
      </c>
      <c r="BL30" s="70">
        <f t="shared" si="17"/>
        <v>72.638657181130313</v>
      </c>
      <c r="BM30" s="90">
        <v>0.80341037141789406</v>
      </c>
      <c r="BN30" s="85">
        <v>83.01</v>
      </c>
      <c r="BO30" s="85">
        <v>79.119806788408241</v>
      </c>
      <c r="BP30" s="70">
        <f t="shared" si="18"/>
        <v>80.702970267996761</v>
      </c>
      <c r="BQ30" s="90">
        <v>0.74445963282690319</v>
      </c>
      <c r="BR30" s="90">
        <v>0.69635445431102783</v>
      </c>
      <c r="BS30" s="85">
        <v>66.701030000000003</v>
      </c>
      <c r="BT30" s="86">
        <v>74.2324658</v>
      </c>
      <c r="BU30" s="85">
        <v>82.496010900000002</v>
      </c>
      <c r="BV30" s="86">
        <v>74.291723199999993</v>
      </c>
      <c r="BW30" s="71">
        <f t="shared" si="19"/>
        <v>72.394044890579281</v>
      </c>
      <c r="BX30" s="86">
        <v>79.56</v>
      </c>
      <c r="BY30" s="158">
        <f t="shared" si="20"/>
        <v>79.56</v>
      </c>
      <c r="BZ30" s="54"/>
    </row>
    <row r="31" spans="1:81" s="5" customFormat="1" ht="15" customHeight="1" x14ac:dyDescent="0.25">
      <c r="A31" s="2">
        <v>25</v>
      </c>
      <c r="B31" s="3" t="s">
        <v>10</v>
      </c>
      <c r="C31" s="22" t="s">
        <v>49</v>
      </c>
      <c r="D31" s="162" t="s">
        <v>102</v>
      </c>
      <c r="E31" s="209">
        <f t="shared" si="0"/>
        <v>73.369222770561379</v>
      </c>
      <c r="F31" s="71">
        <f t="shared" si="1"/>
        <v>66.3889447809335</v>
      </c>
      <c r="G31" s="71">
        <f t="shared" si="2"/>
        <v>70.997730564596608</v>
      </c>
      <c r="H31" s="71">
        <f t="shared" si="3"/>
        <v>82.456209603597216</v>
      </c>
      <c r="I31" s="71">
        <f t="shared" si="4"/>
        <v>73.634006133118149</v>
      </c>
      <c r="J31" s="63"/>
      <c r="K31" s="85">
        <v>1.0605021492951838</v>
      </c>
      <c r="L31" s="208">
        <v>1.7399999999999998</v>
      </c>
      <c r="M31" s="82">
        <f t="shared" si="21"/>
        <v>100</v>
      </c>
      <c r="N31" s="71">
        <f t="shared" si="6"/>
        <v>72.55834527386213</v>
      </c>
      <c r="O31" s="85">
        <v>29.199739511088541</v>
      </c>
      <c r="P31" s="87">
        <v>11.9</v>
      </c>
      <c r="Q31" s="70">
        <f t="shared" si="7"/>
        <v>77.599855283938084</v>
      </c>
      <c r="R31" s="90">
        <v>1.7000000000000001E-2</v>
      </c>
      <c r="S31" s="85">
        <v>1.1119052</v>
      </c>
      <c r="T31" s="85">
        <v>0.89</v>
      </c>
      <c r="U31" s="90">
        <v>3.81</v>
      </c>
      <c r="V31" s="70">
        <f t="shared" si="8"/>
        <v>53.173281640211634</v>
      </c>
      <c r="W31" s="85">
        <v>2.7989999999999999</v>
      </c>
      <c r="X31" s="98">
        <v>10</v>
      </c>
      <c r="Y31" s="87">
        <v>62.77</v>
      </c>
      <c r="Z31" s="214">
        <v>2.8</v>
      </c>
      <c r="AA31" s="71">
        <f t="shared" si="9"/>
        <v>83.625964563403002</v>
      </c>
      <c r="AB31" s="63"/>
      <c r="AC31" s="85">
        <v>16.939144131624776</v>
      </c>
      <c r="AD31" s="87">
        <v>93.6</v>
      </c>
      <c r="AE31" s="88">
        <v>80</v>
      </c>
      <c r="AF31" s="85">
        <v>4</v>
      </c>
      <c r="AG31" s="88">
        <v>88</v>
      </c>
      <c r="AH31" s="70">
        <f t="shared" si="10"/>
        <v>70.533788395442159</v>
      </c>
      <c r="AI31" s="85">
        <v>0.87</v>
      </c>
      <c r="AJ31" s="85">
        <v>4.79</v>
      </c>
      <c r="AK31" s="87">
        <v>93</v>
      </c>
      <c r="AL31" s="86">
        <v>6.8748370176631237</v>
      </c>
      <c r="AM31" s="99">
        <v>89.148296049243854</v>
      </c>
      <c r="AN31" s="70">
        <f t="shared" si="11"/>
        <v>71.461672733751058</v>
      </c>
      <c r="AO31" s="63"/>
      <c r="AP31" s="89">
        <v>98.381403767408216</v>
      </c>
      <c r="AQ31" s="89">
        <v>87.695045618694635</v>
      </c>
      <c r="AR31" s="97">
        <v>0.38</v>
      </c>
      <c r="AS31" s="158">
        <f t="shared" si="12"/>
        <v>93.347873751199373</v>
      </c>
      <c r="AT31" s="89">
        <v>85.768600000000006</v>
      </c>
      <c r="AU31" s="89">
        <v>82.969916198086622</v>
      </c>
      <c r="AV31" s="89">
        <v>60.909687653728</v>
      </c>
      <c r="AW31" s="93">
        <v>2.5</v>
      </c>
      <c r="AX31" s="71">
        <f t="shared" si="13"/>
        <v>89.046647627428726</v>
      </c>
      <c r="AY31" s="86">
        <v>78.273257984789211</v>
      </c>
      <c r="AZ31" s="71">
        <f t="shared" si="14"/>
        <v>78.273257984789211</v>
      </c>
      <c r="BA31" s="92">
        <v>32.340000000000003</v>
      </c>
      <c r="BB31" s="71">
        <f t="shared" si="15"/>
        <v>67.66</v>
      </c>
      <c r="BC31" s="92">
        <v>47.54</v>
      </c>
      <c r="BD31" s="92">
        <v>64.099999999999994</v>
      </c>
      <c r="BE31" s="92">
        <v>37.17</v>
      </c>
      <c r="BF31" s="71">
        <f t="shared" si="16"/>
        <v>50.015999999999998</v>
      </c>
      <c r="BG31" s="63"/>
      <c r="BH31" s="85">
        <v>0.38</v>
      </c>
      <c r="BI31" s="99">
        <v>4.6578524168266631</v>
      </c>
      <c r="BJ31" s="91">
        <v>150.80930387178901</v>
      </c>
      <c r="BK31" s="160">
        <v>90.909090909090907</v>
      </c>
      <c r="BL31" s="70">
        <f t="shared" si="17"/>
        <v>92.780928446610062</v>
      </c>
      <c r="BM31" s="90">
        <v>0.57397001254716173</v>
      </c>
      <c r="BN31" s="85">
        <v>39.49</v>
      </c>
      <c r="BO31" s="85">
        <v>65.764143108203712</v>
      </c>
      <c r="BP31" s="70">
        <f t="shared" si="18"/>
        <v>55.012036404409017</v>
      </c>
      <c r="BQ31" s="90">
        <v>0.54969373886778305</v>
      </c>
      <c r="BR31" s="90">
        <v>0.69302550634665794</v>
      </c>
      <c r="BS31" s="85">
        <v>79.677703800000003</v>
      </c>
      <c r="BT31" s="86">
        <v>83.179151300000001</v>
      </c>
      <c r="BU31" s="85">
        <v>76.674565700000002</v>
      </c>
      <c r="BV31" s="86">
        <v>82.303868299999991</v>
      </c>
      <c r="BW31" s="71">
        <f t="shared" si="19"/>
        <v>75.391894571836929</v>
      </c>
      <c r="BX31" s="92">
        <v>75.48</v>
      </c>
      <c r="BY31" s="158">
        <f t="shared" si="20"/>
        <v>75.48</v>
      </c>
      <c r="BZ31" s="54"/>
    </row>
    <row r="32" spans="1:81" s="5" customFormat="1" ht="15" customHeight="1" x14ac:dyDescent="0.25">
      <c r="A32" s="2">
        <v>26</v>
      </c>
      <c r="B32" s="6" t="s">
        <v>13</v>
      </c>
      <c r="C32" s="10" t="s">
        <v>19</v>
      </c>
      <c r="D32" s="162" t="s">
        <v>20</v>
      </c>
      <c r="E32" s="209">
        <f t="shared" si="0"/>
        <v>72.672156276429135</v>
      </c>
      <c r="F32" s="71">
        <f t="shared" si="1"/>
        <v>65.810598640660956</v>
      </c>
      <c r="G32" s="71">
        <f t="shared" si="2"/>
        <v>67.062650879851333</v>
      </c>
      <c r="H32" s="71">
        <f t="shared" si="3"/>
        <v>77.644615845589584</v>
      </c>
      <c r="I32" s="71">
        <f t="shared" si="4"/>
        <v>80.170759739614695</v>
      </c>
      <c r="J32" s="63"/>
      <c r="K32" s="86">
        <v>3.46501291151049</v>
      </c>
      <c r="L32" s="207">
        <v>3.8</v>
      </c>
      <c r="M32" s="82">
        <f t="shared" si="21"/>
        <v>97.037037037037038</v>
      </c>
      <c r="N32" s="71">
        <f t="shared" si="6"/>
        <v>84.435256915799016</v>
      </c>
      <c r="O32" s="92">
        <v>38.576978504216839</v>
      </c>
      <c r="P32" s="100">
        <v>30.3</v>
      </c>
      <c r="Q32" s="70">
        <f t="shared" si="7"/>
        <v>74.63165472456491</v>
      </c>
      <c r="R32" s="96">
        <v>0</v>
      </c>
      <c r="S32" s="92">
        <v>0.79718332517526092</v>
      </c>
      <c r="T32" s="92">
        <v>0.80500000000000005</v>
      </c>
      <c r="U32" s="167">
        <v>4.18</v>
      </c>
      <c r="V32" s="70">
        <f t="shared" si="8"/>
        <v>46.444556855645573</v>
      </c>
      <c r="W32" s="186">
        <v>1.4</v>
      </c>
      <c r="X32" s="93">
        <v>0</v>
      </c>
      <c r="Y32" s="93">
        <v>76.066976238867397</v>
      </c>
      <c r="Z32" s="215">
        <v>0</v>
      </c>
      <c r="AA32" s="71">
        <f t="shared" si="9"/>
        <v>91.800185250294149</v>
      </c>
      <c r="AB32" s="63"/>
      <c r="AC32" s="92">
        <v>21.849994897528472</v>
      </c>
      <c r="AD32" s="93">
        <v>91.831078914727712</v>
      </c>
      <c r="AE32" s="94">
        <v>75</v>
      </c>
      <c r="AF32" s="85">
        <v>2.4</v>
      </c>
      <c r="AG32" s="88">
        <v>68</v>
      </c>
      <c r="AH32" s="70">
        <f t="shared" si="10"/>
        <v>69.756458468755653</v>
      </c>
      <c r="AI32" s="92">
        <v>1.1053060296407522</v>
      </c>
      <c r="AJ32" s="92">
        <v>3.7123984106901222</v>
      </c>
      <c r="AK32" s="131">
        <v>90.4375</v>
      </c>
      <c r="AL32" s="92">
        <v>6.6436485761917972</v>
      </c>
      <c r="AM32" s="86">
        <v>76.495052584083794</v>
      </c>
      <c r="AN32" s="70">
        <f t="shared" si="11"/>
        <v>64.368843290947027</v>
      </c>
      <c r="AO32" s="63"/>
      <c r="AP32" s="89">
        <v>100</v>
      </c>
      <c r="AQ32" s="89">
        <v>84.430274638661473</v>
      </c>
      <c r="AR32" s="97">
        <v>0</v>
      </c>
      <c r="AS32" s="158">
        <f t="shared" si="12"/>
        <v>92.215137319330736</v>
      </c>
      <c r="AT32" s="89">
        <v>84.330500000000001</v>
      </c>
      <c r="AU32" s="89">
        <v>85.487980958588281</v>
      </c>
      <c r="AV32" s="89">
        <v>57.54887379852854</v>
      </c>
      <c r="AW32" s="100">
        <v>2.5</v>
      </c>
      <c r="AX32" s="71">
        <f t="shared" si="13"/>
        <v>87.628205627399382</v>
      </c>
      <c r="AY32" s="86">
        <v>55.863038184668419</v>
      </c>
      <c r="AZ32" s="71">
        <f t="shared" si="14"/>
        <v>55.863038184668419</v>
      </c>
      <c r="BA32" s="92">
        <v>31.35</v>
      </c>
      <c r="BB32" s="71">
        <f t="shared" si="15"/>
        <v>68.650000000000006</v>
      </c>
      <c r="BC32" s="92">
        <v>63.174999999999997</v>
      </c>
      <c r="BD32" s="92">
        <v>75.53</v>
      </c>
      <c r="BE32" s="92">
        <v>55.95</v>
      </c>
      <c r="BF32" s="71">
        <f t="shared" si="16"/>
        <v>65.227000000000004</v>
      </c>
      <c r="BG32" s="63"/>
      <c r="BH32" s="86">
        <v>2.58</v>
      </c>
      <c r="BI32" s="86">
        <v>2.7</v>
      </c>
      <c r="BJ32" s="95">
        <v>156</v>
      </c>
      <c r="BK32" s="82">
        <v>100</v>
      </c>
      <c r="BL32" s="70">
        <f t="shared" si="17"/>
        <v>98.472839506172846</v>
      </c>
      <c r="BM32" s="96">
        <v>0.7484811151687456</v>
      </c>
      <c r="BN32" s="86">
        <v>63.91</v>
      </c>
      <c r="BO32" s="86">
        <v>77.248339202270088</v>
      </c>
      <c r="BP32" s="70">
        <f t="shared" si="18"/>
        <v>72.713640559004801</v>
      </c>
      <c r="BQ32" s="96">
        <v>0.71093975347877203</v>
      </c>
      <c r="BR32" s="96">
        <v>0.74869089082892037</v>
      </c>
      <c r="BS32" s="86">
        <v>71.663616699999992</v>
      </c>
      <c r="BT32" s="86">
        <v>73.876813299999995</v>
      </c>
      <c r="BU32" s="86">
        <v>92.264894499999997</v>
      </c>
      <c r="BV32" s="86">
        <v>72.244985599999993</v>
      </c>
      <c r="BW32" s="71">
        <f t="shared" si="19"/>
        <v>74.269879129628691</v>
      </c>
      <c r="BX32" s="92">
        <v>77.44</v>
      </c>
      <c r="BY32" s="158">
        <f t="shared" si="20"/>
        <v>77.44</v>
      </c>
      <c r="BZ32" s="54"/>
    </row>
    <row r="33" spans="1:81" s="5" customFormat="1" ht="15" customHeight="1" x14ac:dyDescent="0.25">
      <c r="A33" s="2">
        <v>27</v>
      </c>
      <c r="B33" s="6" t="s">
        <v>13</v>
      </c>
      <c r="C33" s="10" t="s">
        <v>19</v>
      </c>
      <c r="D33" s="162" t="s">
        <v>88</v>
      </c>
      <c r="E33" s="209">
        <f t="shared" si="0"/>
        <v>72.642499350709002</v>
      </c>
      <c r="F33" s="71">
        <f t="shared" si="1"/>
        <v>70.25046088031749</v>
      </c>
      <c r="G33" s="71">
        <f t="shared" si="2"/>
        <v>70.410586207548022</v>
      </c>
      <c r="H33" s="71">
        <f t="shared" si="3"/>
        <v>80.038747557086182</v>
      </c>
      <c r="I33" s="71">
        <f t="shared" si="4"/>
        <v>69.870202757884314</v>
      </c>
      <c r="J33" s="63"/>
      <c r="K33" s="85">
        <v>1.2186573627170905</v>
      </c>
      <c r="L33" s="208">
        <v>3.38</v>
      </c>
      <c r="M33" s="82">
        <f t="shared" si="21"/>
        <v>98.592592592592595</v>
      </c>
      <c r="N33" s="71">
        <f t="shared" si="6"/>
        <v>72.73328164472457</v>
      </c>
      <c r="O33" s="85">
        <v>21.458617092204261</v>
      </c>
      <c r="P33" s="87">
        <v>116</v>
      </c>
      <c r="Q33" s="70">
        <f t="shared" si="7"/>
        <v>27.032565051224584</v>
      </c>
      <c r="R33" s="90">
        <v>0.21299999999999999</v>
      </c>
      <c r="S33" s="85">
        <v>1.0865098</v>
      </c>
      <c r="T33" s="85">
        <v>0.9</v>
      </c>
      <c r="U33" s="90">
        <v>2.4430000000000001</v>
      </c>
      <c r="V33" s="70">
        <f t="shared" si="8"/>
        <v>74.464114523809528</v>
      </c>
      <c r="W33" s="85">
        <v>7.5419999999999998</v>
      </c>
      <c r="X33" s="87">
        <v>3.4</v>
      </c>
      <c r="Y33" s="87">
        <v>80.180000000000007</v>
      </c>
      <c r="Z33" s="214">
        <v>2.1</v>
      </c>
      <c r="AA33" s="71">
        <f t="shared" si="9"/>
        <v>86.76076278502633</v>
      </c>
      <c r="AB33" s="63"/>
      <c r="AC33" s="85">
        <v>22.019307202738183</v>
      </c>
      <c r="AD33" s="87">
        <v>91.2</v>
      </c>
      <c r="AE33" s="88">
        <v>75</v>
      </c>
      <c r="AF33" s="85">
        <v>2.4</v>
      </c>
      <c r="AG33" s="88">
        <v>83</v>
      </c>
      <c r="AH33" s="70">
        <f t="shared" si="10"/>
        <v>72.264153519774183</v>
      </c>
      <c r="AI33" s="85">
        <v>1.05</v>
      </c>
      <c r="AJ33" s="85">
        <v>4.55</v>
      </c>
      <c r="AK33" s="87">
        <v>54.6</v>
      </c>
      <c r="AL33" s="86">
        <v>6.6594722942884639</v>
      </c>
      <c r="AM33" s="85">
        <v>98.977667486161806</v>
      </c>
      <c r="AN33" s="70">
        <f t="shared" si="11"/>
        <v>68.55701889532186</v>
      </c>
      <c r="AO33" s="63"/>
      <c r="AP33" s="89">
        <v>99.728874222875191</v>
      </c>
      <c r="AQ33" s="89">
        <v>86.045757665333866</v>
      </c>
      <c r="AR33" s="89">
        <v>0.28000000000000003</v>
      </c>
      <c r="AS33" s="158">
        <f t="shared" si="12"/>
        <v>92.885097388385731</v>
      </c>
      <c r="AT33" s="89">
        <v>83.580399999999997</v>
      </c>
      <c r="AU33" s="89">
        <v>86.624284367075632</v>
      </c>
      <c r="AV33" s="89">
        <v>52.40727189219313</v>
      </c>
      <c r="AW33" s="100">
        <v>2.5</v>
      </c>
      <c r="AX33" s="71">
        <f t="shared" si="13"/>
        <v>86.223945171419373</v>
      </c>
      <c r="AY33" s="86">
        <v>64.361569599971858</v>
      </c>
      <c r="AZ33" s="71">
        <f t="shared" si="14"/>
        <v>64.361569599971858</v>
      </c>
      <c r="BA33" s="86">
        <v>31.81</v>
      </c>
      <c r="BB33" s="71">
        <f t="shared" si="15"/>
        <v>68.19</v>
      </c>
      <c r="BC33" s="86">
        <v>73.5</v>
      </c>
      <c r="BD33" s="86">
        <v>84.87</v>
      </c>
      <c r="BE33" s="86">
        <v>56.86</v>
      </c>
      <c r="BF33" s="71">
        <f t="shared" si="16"/>
        <v>71.39200000000001</v>
      </c>
      <c r="BG33" s="63"/>
      <c r="BH33" s="85">
        <v>1.33</v>
      </c>
      <c r="BI33" s="85">
        <v>5.92</v>
      </c>
      <c r="BJ33" s="88">
        <v>60</v>
      </c>
      <c r="BK33" s="81">
        <v>81.818181818181813</v>
      </c>
      <c r="BL33" s="70">
        <f t="shared" si="17"/>
        <v>56.247458455522967</v>
      </c>
      <c r="BM33" s="90">
        <v>0.76145868275173034</v>
      </c>
      <c r="BN33" s="85">
        <v>76.680000000000007</v>
      </c>
      <c r="BO33" s="85">
        <v>81.128652065992441</v>
      </c>
      <c r="BP33" s="70">
        <f t="shared" si="18"/>
        <v>77.525097154084619</v>
      </c>
      <c r="BQ33" s="90">
        <v>0.71982171239591664</v>
      </c>
      <c r="BR33" s="90">
        <v>0.65553516160912795</v>
      </c>
      <c r="BS33" s="85">
        <v>72.513548599999993</v>
      </c>
      <c r="BT33" s="86">
        <v>74.686930899999993</v>
      </c>
      <c r="BU33" s="85">
        <v>61.771485999999996</v>
      </c>
      <c r="BV33" s="86">
        <v>72.939248199999994</v>
      </c>
      <c r="BW33" s="71">
        <f t="shared" si="19"/>
        <v>70.97088285079478</v>
      </c>
      <c r="BX33" s="86">
        <v>77.11</v>
      </c>
      <c r="BY33" s="158">
        <f t="shared" si="20"/>
        <v>77.11</v>
      </c>
      <c r="BZ33" s="54"/>
    </row>
    <row r="34" spans="1:81" s="5" customFormat="1" ht="15" customHeight="1" x14ac:dyDescent="0.25">
      <c r="A34" s="2">
        <v>28</v>
      </c>
      <c r="B34" s="6" t="s">
        <v>13</v>
      </c>
      <c r="C34" s="10" t="s">
        <v>19</v>
      </c>
      <c r="D34" s="162" t="s">
        <v>192</v>
      </c>
      <c r="E34" s="209">
        <f t="shared" si="0"/>
        <v>72.481064356671681</v>
      </c>
      <c r="F34" s="71">
        <f t="shared" si="1"/>
        <v>68.060261349487149</v>
      </c>
      <c r="G34" s="71">
        <f t="shared" si="2"/>
        <v>66.974962437158752</v>
      </c>
      <c r="H34" s="71">
        <f t="shared" si="3"/>
        <v>81.610791717779335</v>
      </c>
      <c r="I34" s="71">
        <f t="shared" si="4"/>
        <v>73.278241922261472</v>
      </c>
      <c r="J34" s="63"/>
      <c r="K34" s="85">
        <v>2.7470095136947092</v>
      </c>
      <c r="L34" s="208">
        <v>4.0600000000000005</v>
      </c>
      <c r="M34" s="82">
        <f t="shared" si="21"/>
        <v>96.074074074074062</v>
      </c>
      <c r="N34" s="71">
        <f t="shared" si="6"/>
        <v>79.964867668674302</v>
      </c>
      <c r="O34" s="85">
        <v>24.324531738508973</v>
      </c>
      <c r="P34" s="87">
        <v>100.4</v>
      </c>
      <c r="Q34" s="70">
        <f t="shared" si="7"/>
        <v>35.55807318806054</v>
      </c>
      <c r="R34" s="90">
        <v>0.16300000000000001</v>
      </c>
      <c r="S34" s="85">
        <v>0.8229609</v>
      </c>
      <c r="T34" s="85">
        <v>0.84</v>
      </c>
      <c r="U34" s="90">
        <v>2.6219999999999999</v>
      </c>
      <c r="V34" s="70">
        <f t="shared" si="8"/>
        <v>67.175949589947095</v>
      </c>
      <c r="W34" s="85">
        <v>10.375999999999999</v>
      </c>
      <c r="X34" s="87">
        <v>3.8</v>
      </c>
      <c r="Y34" s="87">
        <v>68.11</v>
      </c>
      <c r="Z34" s="214">
        <v>2.2999999999999998</v>
      </c>
      <c r="AA34" s="71">
        <f t="shared" si="9"/>
        <v>84.568355237748364</v>
      </c>
      <c r="AB34" s="63"/>
      <c r="AC34" s="85">
        <v>20.608575872239136</v>
      </c>
      <c r="AD34" s="87">
        <v>88</v>
      </c>
      <c r="AE34" s="88">
        <v>60</v>
      </c>
      <c r="AF34" s="85">
        <v>2.4</v>
      </c>
      <c r="AG34" s="88">
        <v>72</v>
      </c>
      <c r="AH34" s="70">
        <f t="shared" si="10"/>
        <v>66.456999299441478</v>
      </c>
      <c r="AI34" s="85">
        <v>1.43</v>
      </c>
      <c r="AJ34" s="85">
        <v>4.4000000000000004</v>
      </c>
      <c r="AK34" s="87">
        <v>58.2</v>
      </c>
      <c r="AL34" s="86">
        <v>6.1621018243878929</v>
      </c>
      <c r="AM34" s="85">
        <v>99.7405169614984</v>
      </c>
      <c r="AN34" s="70">
        <f t="shared" si="11"/>
        <v>67.49292557487604</v>
      </c>
      <c r="AO34" s="63"/>
      <c r="AP34" s="89">
        <v>99.758757420004713</v>
      </c>
      <c r="AQ34" s="89">
        <v>85.648070514448392</v>
      </c>
      <c r="AR34" s="89">
        <v>2.2000000000000002</v>
      </c>
      <c r="AS34" s="158">
        <f t="shared" si="12"/>
        <v>92.213724612225377</v>
      </c>
      <c r="AT34" s="89">
        <v>83.959800000000001</v>
      </c>
      <c r="AU34" s="89">
        <v>84.629392876118999</v>
      </c>
      <c r="AV34" s="89">
        <v>52.06016182760338</v>
      </c>
      <c r="AW34" s="100">
        <v>2.5</v>
      </c>
      <c r="AX34" s="71">
        <f t="shared" si="13"/>
        <v>86.010954753051251</v>
      </c>
      <c r="AY34" s="86">
        <v>73.818505604620185</v>
      </c>
      <c r="AZ34" s="71">
        <f t="shared" si="14"/>
        <v>73.818505604620185</v>
      </c>
      <c r="BA34" s="86">
        <v>33.409999999999997</v>
      </c>
      <c r="BB34" s="71">
        <f t="shared" si="15"/>
        <v>66.59</v>
      </c>
      <c r="BC34" s="86">
        <v>67.45</v>
      </c>
      <c r="BD34" s="86">
        <v>76.650000000000006</v>
      </c>
      <c r="BE34" s="86">
        <v>56.36</v>
      </c>
      <c r="BF34" s="71">
        <f t="shared" si="16"/>
        <v>66.694000000000003</v>
      </c>
      <c r="BG34" s="63"/>
      <c r="BH34" s="85">
        <v>0.73</v>
      </c>
      <c r="BI34" s="85">
        <v>6.05</v>
      </c>
      <c r="BJ34" s="88">
        <v>90</v>
      </c>
      <c r="BK34" s="81">
        <v>96.969696969696983</v>
      </c>
      <c r="BL34" s="70">
        <f t="shared" si="17"/>
        <v>72.081515875601909</v>
      </c>
      <c r="BM34" s="90">
        <v>0.79878533685951914</v>
      </c>
      <c r="BN34" s="85">
        <v>75.42</v>
      </c>
      <c r="BO34" s="85">
        <v>86.873513356614907</v>
      </c>
      <c r="BP34" s="70">
        <f t="shared" si="18"/>
        <v>80.512645182129688</v>
      </c>
      <c r="BQ34" s="90">
        <v>0.68691895372206691</v>
      </c>
      <c r="BR34" s="90">
        <v>0.65727182605034951</v>
      </c>
      <c r="BS34" s="85">
        <v>62.3193026</v>
      </c>
      <c r="BT34" s="86">
        <v>72.939109799999997</v>
      </c>
      <c r="BU34" s="85">
        <v>65.843285100000003</v>
      </c>
      <c r="BV34" s="86">
        <v>64.654287499999995</v>
      </c>
      <c r="BW34" s="71">
        <f t="shared" si="19"/>
        <v>67.228769710634552</v>
      </c>
      <c r="BX34" s="86">
        <v>75.739999999999995</v>
      </c>
      <c r="BY34" s="158">
        <f t="shared" si="20"/>
        <v>75.739999999999995</v>
      </c>
      <c r="BZ34" s="54"/>
    </row>
    <row r="35" spans="1:81" s="5" customFormat="1" ht="15" customHeight="1" x14ac:dyDescent="0.25">
      <c r="A35" s="2">
        <v>29</v>
      </c>
      <c r="B35" s="14" t="s">
        <v>23</v>
      </c>
      <c r="C35" s="23" t="s">
        <v>57</v>
      </c>
      <c r="D35" s="162" t="s">
        <v>217</v>
      </c>
      <c r="E35" s="209">
        <f t="shared" si="0"/>
        <v>72.236345865852002</v>
      </c>
      <c r="F35" s="71">
        <f t="shared" si="1"/>
        <v>73.963062132149375</v>
      </c>
      <c r="G35" s="71">
        <f t="shared" si="2"/>
        <v>75.103701713263774</v>
      </c>
      <c r="H35" s="71">
        <f t="shared" si="3"/>
        <v>78.164446359237758</v>
      </c>
      <c r="I35" s="71">
        <f t="shared" si="4"/>
        <v>61.714173258757064</v>
      </c>
      <c r="J35" s="63"/>
      <c r="K35" s="85">
        <v>1.8681804916194755</v>
      </c>
      <c r="L35" s="208">
        <v>4.4999999999999991</v>
      </c>
      <c r="M35" s="82">
        <f t="shared" si="21"/>
        <v>94.444444444444443</v>
      </c>
      <c r="N35" s="71">
        <f t="shared" si="6"/>
        <v>74.267669397885967</v>
      </c>
      <c r="O35" s="85">
        <v>16.604760875763144</v>
      </c>
      <c r="P35" s="87">
        <v>123.9</v>
      </c>
      <c r="Q35" s="70">
        <f t="shared" si="7"/>
        <v>20.824867153201744</v>
      </c>
      <c r="R35" s="90">
        <v>0.31900000000000001</v>
      </c>
      <c r="S35" s="85">
        <v>1.1067898</v>
      </c>
      <c r="T35" s="85">
        <v>1</v>
      </c>
      <c r="U35" s="90">
        <v>2.6619999999999999</v>
      </c>
      <c r="V35" s="70">
        <f t="shared" si="8"/>
        <v>84.662775899470901</v>
      </c>
      <c r="W35" s="85">
        <v>4.1980000000000004</v>
      </c>
      <c r="X35" s="98">
        <v>10</v>
      </c>
      <c r="Y35" s="87">
        <v>81.8</v>
      </c>
      <c r="Z35" s="214">
        <v>3.3</v>
      </c>
      <c r="AA35" s="71">
        <f t="shared" si="9"/>
        <v>84.324708678580251</v>
      </c>
      <c r="AB35" s="63"/>
      <c r="AC35" s="85">
        <v>21.349833519426728</v>
      </c>
      <c r="AD35" s="87">
        <v>91.6</v>
      </c>
      <c r="AE35" s="88">
        <v>80</v>
      </c>
      <c r="AF35" s="85">
        <v>3.75</v>
      </c>
      <c r="AG35" s="88">
        <v>97</v>
      </c>
      <c r="AH35" s="70">
        <f t="shared" si="10"/>
        <v>74.705017218079362</v>
      </c>
      <c r="AI35" s="85">
        <v>1.75</v>
      </c>
      <c r="AJ35" s="85">
        <v>5.18</v>
      </c>
      <c r="AK35" s="87">
        <v>75.3</v>
      </c>
      <c r="AL35" s="86">
        <v>6.9566430529610965</v>
      </c>
      <c r="AM35" s="85">
        <v>99.856456191467203</v>
      </c>
      <c r="AN35" s="70">
        <f t="shared" si="11"/>
        <v>75.502386208448186</v>
      </c>
      <c r="AO35" s="63"/>
      <c r="AP35" s="89">
        <v>99.485507204110789</v>
      </c>
      <c r="AQ35" s="89">
        <v>86.062667585026844</v>
      </c>
      <c r="AR35" s="89">
        <v>1.78</v>
      </c>
      <c r="AS35" s="158">
        <f t="shared" si="12"/>
        <v>92.457710593541123</v>
      </c>
      <c r="AT35" s="89">
        <v>79.613500000000002</v>
      </c>
      <c r="AU35" s="89">
        <v>84.910013142183715</v>
      </c>
      <c r="AV35" s="89">
        <v>43.496890878737844</v>
      </c>
      <c r="AW35" s="100">
        <v>2.5</v>
      </c>
      <c r="AX35" s="71">
        <f t="shared" si="13"/>
        <v>80.014892834911521</v>
      </c>
      <c r="AY35" s="86">
        <v>71.686424874533785</v>
      </c>
      <c r="AZ35" s="71">
        <f t="shared" si="14"/>
        <v>71.686424874533785</v>
      </c>
      <c r="BA35" s="86">
        <v>41.76</v>
      </c>
      <c r="BB35" s="71">
        <f t="shared" si="15"/>
        <v>58.24</v>
      </c>
      <c r="BC35" s="86">
        <v>48.64</v>
      </c>
      <c r="BD35" s="86">
        <v>79.73</v>
      </c>
      <c r="BE35" s="86">
        <v>51.23</v>
      </c>
      <c r="BF35" s="71">
        <f t="shared" si="16"/>
        <v>62.112000000000002</v>
      </c>
      <c r="BG35" s="63"/>
      <c r="BH35" s="85">
        <v>5.72</v>
      </c>
      <c r="BI35" s="85">
        <v>5.87</v>
      </c>
      <c r="BJ35" s="88">
        <v>51</v>
      </c>
      <c r="BK35" s="81">
        <v>36.363636363636402</v>
      </c>
      <c r="BL35" s="70">
        <f t="shared" si="17"/>
        <v>37.088038086962833</v>
      </c>
      <c r="BM35" s="90">
        <v>0.67555957604831651</v>
      </c>
      <c r="BN35" s="85">
        <v>62.61</v>
      </c>
      <c r="BO35" s="85">
        <v>70.835002771210725</v>
      </c>
      <c r="BP35" s="70">
        <f t="shared" si="18"/>
        <v>67.139229495218501</v>
      </c>
      <c r="BQ35" s="90">
        <v>0.63129882280477478</v>
      </c>
      <c r="BR35" s="90">
        <v>0.59518802395645576</v>
      </c>
      <c r="BS35" s="85">
        <v>69.855177299999994</v>
      </c>
      <c r="BT35" s="86">
        <v>77.783931600000003</v>
      </c>
      <c r="BU35" s="85">
        <v>64.269719600000002</v>
      </c>
      <c r="BV35" s="86">
        <v>76.193458499999991</v>
      </c>
      <c r="BW35" s="71">
        <f t="shared" si="19"/>
        <v>69.478271109859449</v>
      </c>
      <c r="BX35" s="86">
        <v>79.83</v>
      </c>
      <c r="BY35" s="158">
        <f t="shared" si="20"/>
        <v>79.83</v>
      </c>
      <c r="BZ35" s="54"/>
    </row>
    <row r="36" spans="1:81" s="13" customFormat="1" ht="15" customHeight="1" x14ac:dyDescent="0.25">
      <c r="A36" s="2">
        <v>30</v>
      </c>
      <c r="B36" s="6" t="s">
        <v>13</v>
      </c>
      <c r="C36" s="7" t="s">
        <v>14</v>
      </c>
      <c r="D36" s="162" t="s">
        <v>132</v>
      </c>
      <c r="E36" s="209">
        <f t="shared" si="0"/>
        <v>72.055795520416268</v>
      </c>
      <c r="F36" s="71">
        <f t="shared" si="1"/>
        <v>63.644339399978634</v>
      </c>
      <c r="G36" s="71">
        <f t="shared" si="2"/>
        <v>69.743523111091775</v>
      </c>
      <c r="H36" s="71">
        <f t="shared" si="3"/>
        <v>74.143205597242726</v>
      </c>
      <c r="I36" s="71">
        <f t="shared" si="4"/>
        <v>80.692113973351937</v>
      </c>
      <c r="J36" s="63"/>
      <c r="K36" s="85">
        <v>1.5654379788687001</v>
      </c>
      <c r="L36" s="208">
        <v>7.3</v>
      </c>
      <c r="M36" s="82">
        <f t="shared" si="21"/>
        <v>84.074074074074062</v>
      </c>
      <c r="N36" s="71">
        <f t="shared" si="6"/>
        <v>67.400581364085355</v>
      </c>
      <c r="O36" s="85">
        <v>23.137174759731462</v>
      </c>
      <c r="P36" s="87">
        <v>39.799999999999997</v>
      </c>
      <c r="Q36" s="70">
        <f t="shared" si="7"/>
        <v>61.831763755406371</v>
      </c>
      <c r="R36" s="90">
        <v>7.5999999999999998E-2</v>
      </c>
      <c r="S36" s="85">
        <v>0.85616999999999999</v>
      </c>
      <c r="T36" s="85">
        <v>0.73</v>
      </c>
      <c r="U36" s="90">
        <v>2.87</v>
      </c>
      <c r="V36" s="70">
        <f t="shared" si="8"/>
        <v>55.976133597883596</v>
      </c>
      <c r="W36" s="85">
        <v>6.7309999999999999</v>
      </c>
      <c r="X36" s="87">
        <v>4.5</v>
      </c>
      <c r="Y36" s="87">
        <v>53.61</v>
      </c>
      <c r="Z36" s="214">
        <v>6.1</v>
      </c>
      <c r="AA36" s="71">
        <f t="shared" si="9"/>
        <v>78.56579960526939</v>
      </c>
      <c r="AB36" s="63"/>
      <c r="AC36" s="85">
        <v>22.941561129344258</v>
      </c>
      <c r="AD36" s="87">
        <v>91.8</v>
      </c>
      <c r="AE36" s="88">
        <v>70</v>
      </c>
      <c r="AF36" s="85">
        <v>2.4</v>
      </c>
      <c r="AG36" s="88">
        <v>75</v>
      </c>
      <c r="AH36" s="70">
        <f t="shared" si="10"/>
        <v>70.812322804178223</v>
      </c>
      <c r="AI36" s="85">
        <v>2.08</v>
      </c>
      <c r="AJ36" s="85">
        <v>4.05</v>
      </c>
      <c r="AK36" s="87">
        <v>76.2</v>
      </c>
      <c r="AL36" s="86">
        <v>6.448247006633899</v>
      </c>
      <c r="AM36" s="85">
        <v>92.733400375353995</v>
      </c>
      <c r="AN36" s="70">
        <f t="shared" si="11"/>
        <v>68.674723418005328</v>
      </c>
      <c r="AO36" s="63"/>
      <c r="AP36" s="89">
        <v>98.809638395447962</v>
      </c>
      <c r="AQ36" s="89">
        <v>79.133822516665958</v>
      </c>
      <c r="AR36" s="89">
        <v>3.19</v>
      </c>
      <c r="AS36" s="158">
        <f t="shared" si="12"/>
        <v>88.47182085719497</v>
      </c>
      <c r="AT36" s="89">
        <v>76.321600000000004</v>
      </c>
      <c r="AU36" s="89">
        <v>78.609909666935749</v>
      </c>
      <c r="AV36" s="89">
        <v>44.461384188018656</v>
      </c>
      <c r="AW36" s="100">
        <v>2.5</v>
      </c>
      <c r="AX36" s="71">
        <f t="shared" si="13"/>
        <v>75.051889371920936</v>
      </c>
      <c r="AY36" s="86">
        <v>67.47635641108667</v>
      </c>
      <c r="AZ36" s="71">
        <f t="shared" si="14"/>
        <v>67.47635641108667</v>
      </c>
      <c r="BA36" s="86">
        <v>35.96</v>
      </c>
      <c r="BB36" s="71">
        <f t="shared" si="15"/>
        <v>64.039999999999992</v>
      </c>
      <c r="BC36" s="86">
        <v>57.52</v>
      </c>
      <c r="BD36" s="86">
        <v>58.28</v>
      </c>
      <c r="BE36" s="86">
        <v>55.11</v>
      </c>
      <c r="BF36" s="71">
        <f t="shared" si="16"/>
        <v>56.86</v>
      </c>
      <c r="BG36" s="63"/>
      <c r="BH36" s="85">
        <v>2.66</v>
      </c>
      <c r="BI36" s="85">
        <v>4.08</v>
      </c>
      <c r="BJ36" s="88">
        <v>151</v>
      </c>
      <c r="BK36" s="81">
        <v>100</v>
      </c>
      <c r="BL36" s="70">
        <f t="shared" si="17"/>
        <v>95.814058144165671</v>
      </c>
      <c r="BM36" s="90">
        <v>0.79343337849697304</v>
      </c>
      <c r="BN36" s="85">
        <v>81.34</v>
      </c>
      <c r="BO36" s="85">
        <v>70.621174739628273</v>
      </c>
      <c r="BP36" s="70">
        <f t="shared" si="18"/>
        <v>77.661962609755719</v>
      </c>
      <c r="BQ36" s="90">
        <v>0.76386297686499394</v>
      </c>
      <c r="BR36" s="90">
        <v>0.73467533995435763</v>
      </c>
      <c r="BS36" s="85">
        <v>67.950404399999996</v>
      </c>
      <c r="BT36" s="86">
        <v>74.7023169</v>
      </c>
      <c r="BU36" s="85">
        <v>81.941602000000003</v>
      </c>
      <c r="BV36" s="86">
        <v>75.233016800000001</v>
      </c>
      <c r="BW36" s="71">
        <f t="shared" si="19"/>
        <v>73.882887583953732</v>
      </c>
      <c r="BX36" s="86">
        <v>75.81</v>
      </c>
      <c r="BY36" s="158">
        <f t="shared" si="20"/>
        <v>75.81</v>
      </c>
      <c r="BZ36" s="54"/>
    </row>
    <row r="37" spans="1:81" s="13" customFormat="1" ht="15" customHeight="1" x14ac:dyDescent="0.25">
      <c r="A37" s="2">
        <v>31</v>
      </c>
      <c r="B37" s="6" t="s">
        <v>13</v>
      </c>
      <c r="C37" s="7" t="s">
        <v>14</v>
      </c>
      <c r="D37" s="162" t="s">
        <v>187</v>
      </c>
      <c r="E37" s="209">
        <f t="shared" si="0"/>
        <v>72.001105653634198</v>
      </c>
      <c r="F37" s="71">
        <f t="shared" si="1"/>
        <v>65.695555852717192</v>
      </c>
      <c r="G37" s="71">
        <f t="shared" si="2"/>
        <v>65.891132059655448</v>
      </c>
      <c r="H37" s="71">
        <f t="shared" si="3"/>
        <v>79.129079270033401</v>
      </c>
      <c r="I37" s="71">
        <f t="shared" si="4"/>
        <v>77.288655432130767</v>
      </c>
      <c r="J37" s="63"/>
      <c r="K37" s="85">
        <v>1.6819213259746002</v>
      </c>
      <c r="L37" s="208">
        <v>4.5999999999999996</v>
      </c>
      <c r="M37" s="82">
        <f t="shared" si="21"/>
        <v>94.074074074074062</v>
      </c>
      <c r="N37" s="71">
        <f t="shared" si="6"/>
        <v>73.047711070229255</v>
      </c>
      <c r="O37" s="85">
        <v>25.495799748367666</v>
      </c>
      <c r="P37" s="87">
        <v>65.900000000000006</v>
      </c>
      <c r="Q37" s="70">
        <f t="shared" si="7"/>
        <v>51.542110971315367</v>
      </c>
      <c r="R37" s="90">
        <v>0.121</v>
      </c>
      <c r="S37" s="85">
        <v>1.2816951999999999</v>
      </c>
      <c r="T37" s="85">
        <v>0.78</v>
      </c>
      <c r="U37" s="90">
        <v>3.347</v>
      </c>
      <c r="V37" s="70">
        <f t="shared" si="8"/>
        <v>59.886719470899472</v>
      </c>
      <c r="W37" s="85">
        <v>3.1749999999999998</v>
      </c>
      <c r="X37" s="87">
        <v>3.3</v>
      </c>
      <c r="Y37" s="87">
        <v>59.89</v>
      </c>
      <c r="Z37" s="214">
        <v>4.4000000000000004</v>
      </c>
      <c r="AA37" s="71">
        <f t="shared" si="9"/>
        <v>82.864433458188927</v>
      </c>
      <c r="AB37" s="63"/>
      <c r="AC37" s="85">
        <v>21.125493109011753</v>
      </c>
      <c r="AD37" s="87">
        <v>87.6</v>
      </c>
      <c r="AE37" s="88">
        <v>70</v>
      </c>
      <c r="AF37" s="85">
        <v>2.4</v>
      </c>
      <c r="AG37" s="88">
        <v>78</v>
      </c>
      <c r="AH37" s="70">
        <f t="shared" si="10"/>
        <v>69.401610790623224</v>
      </c>
      <c r="AI37" s="85">
        <v>0.66</v>
      </c>
      <c r="AJ37" s="85">
        <v>3.68</v>
      </c>
      <c r="AK37" s="87">
        <v>55.5</v>
      </c>
      <c r="AL37" s="86">
        <v>6.2405195837083598</v>
      </c>
      <c r="AM37" s="85">
        <v>96.473528297958794</v>
      </c>
      <c r="AN37" s="70">
        <f t="shared" si="11"/>
        <v>62.380653328687664</v>
      </c>
      <c r="AO37" s="63"/>
      <c r="AP37" s="89">
        <v>99.02116909790459</v>
      </c>
      <c r="AQ37" s="89">
        <v>79.383768574046002</v>
      </c>
      <c r="AR37" s="89">
        <v>7.0000000000000007E-2</v>
      </c>
      <c r="AS37" s="158">
        <f t="shared" si="12"/>
        <v>89.42967656149915</v>
      </c>
      <c r="AT37" s="89">
        <v>81.935900000000004</v>
      </c>
      <c r="AU37" s="89">
        <v>82.865321732178984</v>
      </c>
      <c r="AV37" s="89">
        <v>57.998905106825951</v>
      </c>
      <c r="AW37" s="100">
        <v>2.5</v>
      </c>
      <c r="AX37" s="71">
        <f t="shared" si="13"/>
        <v>84.506862699627561</v>
      </c>
      <c r="AY37" s="86">
        <v>68.74583273915583</v>
      </c>
      <c r="AZ37" s="71">
        <f t="shared" si="14"/>
        <v>68.74583273915583</v>
      </c>
      <c r="BA37" s="86">
        <v>24.68</v>
      </c>
      <c r="BB37" s="71">
        <f t="shared" si="15"/>
        <v>75.319999999999993</v>
      </c>
      <c r="BC37" s="86">
        <v>59.85</v>
      </c>
      <c r="BD37" s="86">
        <v>62.06</v>
      </c>
      <c r="BE37" s="86">
        <v>64.06</v>
      </c>
      <c r="BF37" s="71">
        <f t="shared" si="16"/>
        <v>62.418000000000006</v>
      </c>
      <c r="BG37" s="63"/>
      <c r="BH37" s="85">
        <v>0.71</v>
      </c>
      <c r="BI37" s="85">
        <v>4.28</v>
      </c>
      <c r="BJ37" s="88">
        <v>135</v>
      </c>
      <c r="BK37" s="81">
        <v>100</v>
      </c>
      <c r="BL37" s="70">
        <f t="shared" si="17"/>
        <v>90.316945440063719</v>
      </c>
      <c r="BM37" s="90">
        <v>0.78101301237529508</v>
      </c>
      <c r="BN37" s="85">
        <v>72.88</v>
      </c>
      <c r="BO37" s="85">
        <v>83.455871822929865</v>
      </c>
      <c r="BP37" s="70">
        <f t="shared" si="18"/>
        <v>78.134618574497225</v>
      </c>
      <c r="BQ37" s="90">
        <v>0.64396369873540116</v>
      </c>
      <c r="BR37" s="90">
        <v>0.61346885166673193</v>
      </c>
      <c r="BS37" s="85">
        <v>61.504696199999998</v>
      </c>
      <c r="BT37" s="86">
        <v>72.521531999999993</v>
      </c>
      <c r="BU37" s="85">
        <v>78.208768399999997</v>
      </c>
      <c r="BV37" s="86">
        <v>67.450956300000001</v>
      </c>
      <c r="BW37" s="71">
        <f t="shared" si="19"/>
        <v>66.702952856473317</v>
      </c>
      <c r="BX37" s="86">
        <v>79.23</v>
      </c>
      <c r="BY37" s="158">
        <f t="shared" si="20"/>
        <v>79.23</v>
      </c>
      <c r="BZ37" s="54"/>
    </row>
    <row r="38" spans="1:81" s="13" customFormat="1" ht="15" customHeight="1" x14ac:dyDescent="0.25">
      <c r="A38" s="2">
        <v>32</v>
      </c>
      <c r="B38" s="3" t="s">
        <v>10</v>
      </c>
      <c r="C38" s="22" t="s">
        <v>49</v>
      </c>
      <c r="D38" s="162" t="s">
        <v>134</v>
      </c>
      <c r="E38" s="209">
        <f t="shared" si="0"/>
        <v>71.677435845318726</v>
      </c>
      <c r="F38" s="71">
        <f t="shared" si="1"/>
        <v>67.450384484756782</v>
      </c>
      <c r="G38" s="71">
        <f t="shared" si="2"/>
        <v>65.10750037329494</v>
      </c>
      <c r="H38" s="71">
        <f t="shared" si="3"/>
        <v>82.204953765845517</v>
      </c>
      <c r="I38" s="71">
        <f t="shared" si="4"/>
        <v>71.946904757377666</v>
      </c>
      <c r="J38" s="63"/>
      <c r="K38" s="86">
        <v>12.396143843050144</v>
      </c>
      <c r="L38" s="207">
        <v>0.57999999999999985</v>
      </c>
      <c r="M38" s="82">
        <f t="shared" si="21"/>
        <v>93</v>
      </c>
      <c r="N38" s="71">
        <f t="shared" si="6"/>
        <v>96.5</v>
      </c>
      <c r="O38" s="86">
        <v>47.81851177956198</v>
      </c>
      <c r="P38" s="100">
        <v>0</v>
      </c>
      <c r="Q38" s="70">
        <f t="shared" si="7"/>
        <v>93.232506544201101</v>
      </c>
      <c r="R38" s="167">
        <v>2E-3</v>
      </c>
      <c r="S38" s="92">
        <v>0.29613337195526945</v>
      </c>
      <c r="T38" s="92">
        <v>0.89</v>
      </c>
      <c r="U38" s="167">
        <v>4.9370000000000003</v>
      </c>
      <c r="V38" s="70">
        <f t="shared" si="8"/>
        <v>44.429471006754056</v>
      </c>
      <c r="W38" s="86">
        <v>2.347</v>
      </c>
      <c r="X38" s="93">
        <v>10</v>
      </c>
      <c r="Y38" s="100">
        <v>81.319999999999993</v>
      </c>
      <c r="Z38" s="215">
        <v>2.1</v>
      </c>
      <c r="AA38" s="71">
        <f t="shared" si="9"/>
        <v>86.403091998998349</v>
      </c>
      <c r="AB38" s="63"/>
      <c r="AC38" s="86">
        <v>11.937135202372978</v>
      </c>
      <c r="AD38" s="100">
        <v>60</v>
      </c>
      <c r="AE38" s="95">
        <v>85</v>
      </c>
      <c r="AF38" s="85">
        <v>4</v>
      </c>
      <c r="AG38" s="88">
        <v>87</v>
      </c>
      <c r="AH38" s="70">
        <f t="shared" si="10"/>
        <v>62.265782442607623</v>
      </c>
      <c r="AI38" s="92">
        <v>0.59909005802790016</v>
      </c>
      <c r="AJ38" s="92">
        <v>4.2680705056146309</v>
      </c>
      <c r="AK38" s="100">
        <v>75</v>
      </c>
      <c r="AL38" s="92">
        <v>7.6226333283880576</v>
      </c>
      <c r="AM38" s="92">
        <v>78.552254890417785</v>
      </c>
      <c r="AN38" s="70">
        <f t="shared" si="11"/>
        <v>67.949218303982249</v>
      </c>
      <c r="AO38" s="63"/>
      <c r="AP38" s="89">
        <v>99.677946062109271</v>
      </c>
      <c r="AQ38" s="89">
        <v>85.201616376486243</v>
      </c>
      <c r="AR38" s="97">
        <v>0.38</v>
      </c>
      <c r="AS38" s="158">
        <f t="shared" si="12"/>
        <v>92.425294703770447</v>
      </c>
      <c r="AT38" s="89">
        <v>83.415199999999999</v>
      </c>
      <c r="AU38" s="89">
        <v>80.276347603992775</v>
      </c>
      <c r="AV38" s="89">
        <v>58.860666519846916</v>
      </c>
      <c r="AW38" s="93">
        <v>2.5</v>
      </c>
      <c r="AX38" s="71">
        <f t="shared" si="13"/>
        <v>85.494397804697471</v>
      </c>
      <c r="AY38" s="86">
        <v>83.163963433035121</v>
      </c>
      <c r="AZ38" s="71">
        <f t="shared" si="14"/>
        <v>83.163963433035121</v>
      </c>
      <c r="BA38" s="206">
        <v>32.340000000000003</v>
      </c>
      <c r="BB38" s="71">
        <f t="shared" si="15"/>
        <v>67.66</v>
      </c>
      <c r="BC38" s="92">
        <v>47.54</v>
      </c>
      <c r="BD38" s="92">
        <v>64.099999999999994</v>
      </c>
      <c r="BE38" s="92">
        <v>37.17</v>
      </c>
      <c r="BF38" s="71">
        <f t="shared" si="16"/>
        <v>50.015999999999998</v>
      </c>
      <c r="BG38" s="63"/>
      <c r="BH38" s="86">
        <v>0.14000000000000001</v>
      </c>
      <c r="BI38" s="92">
        <v>4.625274576607751</v>
      </c>
      <c r="BJ38" s="94">
        <v>144.42103323299301</v>
      </c>
      <c r="BK38" s="159">
        <v>90.909090909090907</v>
      </c>
      <c r="BL38" s="70">
        <f t="shared" si="17"/>
        <v>90.555779931047709</v>
      </c>
      <c r="BM38" s="96">
        <v>0.62272090125942436</v>
      </c>
      <c r="BN38" s="92">
        <v>51.826573585093428</v>
      </c>
      <c r="BO38" s="86">
        <v>59.754533399396365</v>
      </c>
      <c r="BP38" s="70">
        <f t="shared" si="18"/>
        <v>59.031321809093662</v>
      </c>
      <c r="BQ38" s="96">
        <v>0.60907090616549775</v>
      </c>
      <c r="BR38" s="96">
        <v>0.67169176530218699</v>
      </c>
      <c r="BS38" s="86">
        <v>59.461007599999995</v>
      </c>
      <c r="BT38" s="86">
        <v>73.038583500000001</v>
      </c>
      <c r="BU38" s="86">
        <v>83.896213599999996</v>
      </c>
      <c r="BV38" s="86">
        <v>76.491571499999992</v>
      </c>
      <c r="BW38" s="71">
        <f t="shared" si="19"/>
        <v>68.71589494825038</v>
      </c>
      <c r="BX38" s="92">
        <v>75.48</v>
      </c>
      <c r="BY38" s="158">
        <f t="shared" si="20"/>
        <v>75.48</v>
      </c>
      <c r="BZ38" s="54"/>
    </row>
    <row r="39" spans="1:81" s="13" customFormat="1" ht="15" customHeight="1" x14ac:dyDescent="0.25">
      <c r="A39" s="2">
        <v>33</v>
      </c>
      <c r="B39" s="6" t="s">
        <v>13</v>
      </c>
      <c r="C39" s="10" t="s">
        <v>19</v>
      </c>
      <c r="D39" s="162" t="s">
        <v>111</v>
      </c>
      <c r="E39" s="209">
        <f t="shared" ref="E39:E70" si="22">(F39*25+G39*25+H39*25+I39*25)/100</f>
        <v>71.10497095796903</v>
      </c>
      <c r="F39" s="71">
        <f t="shared" ref="F39:F70" si="23">(N39*10+Q39*15+V39*50+AA39*25)/100</f>
        <v>68.232488329385959</v>
      </c>
      <c r="G39" s="71">
        <f t="shared" ref="G39:G70" si="24">(AH39*50+AN39*50)/100</f>
        <v>66.207525935809159</v>
      </c>
      <c r="H39" s="71">
        <f t="shared" ref="H39:H70" si="25">(AS39*25+AX39*35+AZ39*25+BB39*5+BF39*10)/100</f>
        <v>80.927751074465135</v>
      </c>
      <c r="I39" s="71">
        <f t="shared" ref="I39:I70" si="26">(BL39*25+BP39*30+BW39*35+BY39*10)/100</f>
        <v>69.052118492215854</v>
      </c>
      <c r="J39" s="63"/>
      <c r="K39" s="85">
        <v>1.8452611916593087</v>
      </c>
      <c r="L39" s="208">
        <v>3.8600000000000008</v>
      </c>
      <c r="M39" s="82">
        <f t="shared" si="21"/>
        <v>96.814814814814824</v>
      </c>
      <c r="N39" s="71">
        <f t="shared" ref="N39:N70" si="27">(((MIN(MAX(K39,-3),6)-(-3))/(6-(-3)))*100+M39)/2</f>
        <v>75.325525138848022</v>
      </c>
      <c r="O39" s="85">
        <v>23.432321004042123</v>
      </c>
      <c r="P39" s="87">
        <v>137.1</v>
      </c>
      <c r="Q39" s="70">
        <f t="shared" ref="Q39:Q70" si="28">((MIN(MAX(O39,-5),60)/60)*100+((150-MIN(P39,150))/(150))*100*2)/3</f>
        <v>18.75128944669007</v>
      </c>
      <c r="R39" s="90">
        <v>0.23599999999999999</v>
      </c>
      <c r="S39" s="85">
        <v>1.1183400999999999</v>
      </c>
      <c r="T39" s="85">
        <v>0.81</v>
      </c>
      <c r="U39" s="90">
        <v>2.286</v>
      </c>
      <c r="V39" s="70">
        <f t="shared" ref="V39:V70" si="29">((R39/0.45)*100*2+((S39-(-4))/(2-(-4)))*100+T39*100*2+((5.5-U39)/(5.5-2))*100)/6</f>
        <v>74.003854775132268</v>
      </c>
      <c r="W39" s="85">
        <v>6.391</v>
      </c>
      <c r="X39" s="87">
        <v>8.4</v>
      </c>
      <c r="Y39" s="87">
        <v>74.11</v>
      </c>
      <c r="Z39" s="214">
        <v>3.3</v>
      </c>
      <c r="AA39" s="71">
        <f t="shared" ref="AA39:AA70" si="30">(((35-W39)/(35))*100*0.5+(100-X39)*1.5+((LN(MIN(MAX(Y39,1),250))-LN(1))/(LN(250)-LN(1)))*100*2+((20-MIN(Z39,20))/(20))*100*1.5)/5.5</f>
        <v>83.541260043726083</v>
      </c>
      <c r="AB39" s="63"/>
      <c r="AC39" s="85">
        <v>21.83473722245229</v>
      </c>
      <c r="AD39" s="87">
        <v>84.8</v>
      </c>
      <c r="AE39" s="88">
        <v>80</v>
      </c>
      <c r="AF39" s="85">
        <v>2.4</v>
      </c>
      <c r="AG39" s="88">
        <v>66</v>
      </c>
      <c r="AH39" s="70">
        <f t="shared" ref="AH39:AH70" si="31">((AC39/50)*100*2+AD39*1+AE39+(1-(AF39/65))*100+AG39)/6</f>
        <v>69.074440199583577</v>
      </c>
      <c r="AI39" s="85">
        <v>1.37</v>
      </c>
      <c r="AJ39" s="85">
        <v>4.43</v>
      </c>
      <c r="AK39" s="87">
        <v>57.5</v>
      </c>
      <c r="AL39" s="86">
        <v>4.9209335016104232</v>
      </c>
      <c r="AM39" s="85">
        <v>100</v>
      </c>
      <c r="AN39" s="70">
        <f t="shared" ref="AN39:AN70" si="32">(((AI39-(-4))/(4-(-4)))*100+((AJ39-1)/(7-1))*100*1.5+AK39*0.5+(AL39/10)*100*2+AM39)/6</f>
        <v>63.340611672034747</v>
      </c>
      <c r="AO39" s="63"/>
      <c r="AP39" s="89">
        <v>99.606930266059209</v>
      </c>
      <c r="AQ39" s="89">
        <v>80.052784965806836</v>
      </c>
      <c r="AR39" s="89">
        <v>1.86</v>
      </c>
      <c r="AS39" s="158">
        <f t="shared" ref="AS39:AS70" si="33">(AP39+AQ39*2+(100-AR39))/4</f>
        <v>89.46312504941821</v>
      </c>
      <c r="AT39" s="89">
        <v>84.028499999999994</v>
      </c>
      <c r="AU39" s="89">
        <v>83.726042282151951</v>
      </c>
      <c r="AV39" s="89">
        <v>62.067385103663881</v>
      </c>
      <c r="AW39" s="100">
        <v>2.5</v>
      </c>
      <c r="AX39" s="71">
        <f t="shared" ref="AX39:AX70" si="34">(((AT39-50)/(85-50))*100*2+AU39*1.5+AV39+(1-((MIN(AW39,55)-2.5)/(55-2.5)))*100)/5.5</f>
        <v>87.655458173720589</v>
      </c>
      <c r="AY39" s="86">
        <v>74.207837805233481</v>
      </c>
      <c r="AZ39" s="71">
        <f t="shared" ref="AZ39:AZ70" si="35">AY39</f>
        <v>74.207837805233481</v>
      </c>
      <c r="BA39" s="86">
        <v>34.340000000000003</v>
      </c>
      <c r="BB39" s="71">
        <f t="shared" ref="BB39:BB70" si="36">100-BA39</f>
        <v>65.66</v>
      </c>
      <c r="BC39" s="86">
        <v>61.78</v>
      </c>
      <c r="BD39" s="86">
        <v>68.040000000000006</v>
      </c>
      <c r="BE39" s="86">
        <v>52.26</v>
      </c>
      <c r="BF39" s="71">
        <f t="shared" ref="BF39:BF70" si="37">(BC39*0.5+BD39+BE39)/2.5</f>
        <v>60.475999999999999</v>
      </c>
      <c r="BG39" s="63"/>
      <c r="BH39" s="85">
        <v>0.56999999999999995</v>
      </c>
      <c r="BI39" s="85">
        <v>6.37</v>
      </c>
      <c r="BJ39" s="88">
        <v>99</v>
      </c>
      <c r="BK39" s="81">
        <v>84.848484848484844</v>
      </c>
      <c r="BL39" s="70">
        <f t="shared" ref="BL39:BL70" si="38">(((30-MIN(BH39,30))/(30))*100*0.5+((10-BI39)/(10-1))*100*0.5+((BJ39-1)/(156-1))*100*5+(BK39)*3)/9</f>
        <v>71.099017052242857</v>
      </c>
      <c r="BM39" s="90">
        <v>0.73287786841509261</v>
      </c>
      <c r="BN39" s="85">
        <v>65.16</v>
      </c>
      <c r="BO39" s="85">
        <v>67.828498495047384</v>
      </c>
      <c r="BP39" s="70">
        <f t="shared" ref="BP39:BP70" si="39">(BM39*100*2+BN39+BO39)/4</f>
        <v>69.891018044516471</v>
      </c>
      <c r="BQ39" s="90">
        <v>0.70233130163678004</v>
      </c>
      <c r="BR39" s="90">
        <v>0.59404308683264972</v>
      </c>
      <c r="BS39" s="85">
        <v>59.0516772</v>
      </c>
      <c r="BT39" s="86">
        <v>66.745763600000004</v>
      </c>
      <c r="BU39" s="85">
        <v>71.167543100000003</v>
      </c>
      <c r="BV39" s="86">
        <v>64.9588526</v>
      </c>
      <c r="BW39" s="71">
        <f t="shared" ref="BW39:BW70" si="40">(BQ39*100+BR39*100*1.5+BS39*1.5+BT39*2+BU39*0.5+BV39)/7.5</f>
        <v>64.260168045143402</v>
      </c>
      <c r="BX39" s="86">
        <v>78.19</v>
      </c>
      <c r="BY39" s="158">
        <f t="shared" ref="BY39:BY70" si="41">BX39</f>
        <v>78.19</v>
      </c>
      <c r="BZ39" s="54"/>
    </row>
    <row r="40" spans="1:81" s="13" customFormat="1" ht="15" customHeight="1" x14ac:dyDescent="0.25">
      <c r="A40" s="2">
        <v>34</v>
      </c>
      <c r="B40" s="6" t="s">
        <v>13</v>
      </c>
      <c r="C40" s="10" t="s">
        <v>19</v>
      </c>
      <c r="D40" s="162" t="s">
        <v>172</v>
      </c>
      <c r="E40" s="209">
        <f t="shared" si="22"/>
        <v>71.092176295440922</v>
      </c>
      <c r="F40" s="71">
        <f t="shared" si="23"/>
        <v>62.447863410949687</v>
      </c>
      <c r="G40" s="71">
        <f t="shared" si="24"/>
        <v>66.943910337265095</v>
      </c>
      <c r="H40" s="71">
        <f t="shared" si="25"/>
        <v>79.832358401279777</v>
      </c>
      <c r="I40" s="71">
        <f t="shared" si="26"/>
        <v>75.144573032269136</v>
      </c>
      <c r="J40" s="63"/>
      <c r="K40" s="85">
        <v>2.4434929211896605</v>
      </c>
      <c r="L40" s="208">
        <v>3.84</v>
      </c>
      <c r="M40" s="82">
        <f t="shared" si="21"/>
        <v>96.888888888888886</v>
      </c>
      <c r="N40" s="71">
        <f t="shared" si="27"/>
        <v>78.686071784386996</v>
      </c>
      <c r="O40" s="85">
        <v>21.989711682193018</v>
      </c>
      <c r="P40" s="87">
        <v>89.9</v>
      </c>
      <c r="Q40" s="70">
        <f t="shared" si="28"/>
        <v>38.927617601218337</v>
      </c>
      <c r="R40" s="90">
        <v>0.09</v>
      </c>
      <c r="S40" s="85">
        <v>0.72070694000000002</v>
      </c>
      <c r="T40" s="85">
        <v>0.77</v>
      </c>
      <c r="U40" s="90">
        <v>3.2210000000000001</v>
      </c>
      <c r="V40" s="70">
        <f t="shared" si="29"/>
        <v>56.298789119047619</v>
      </c>
      <c r="W40" s="85">
        <v>6.1639999999999997</v>
      </c>
      <c r="X40" s="87">
        <v>2.2999999999999998</v>
      </c>
      <c r="Y40" s="87">
        <v>52.91</v>
      </c>
      <c r="Z40" s="214">
        <v>3.8</v>
      </c>
      <c r="AA40" s="71">
        <f t="shared" si="30"/>
        <v>82.362876131217703</v>
      </c>
      <c r="AB40" s="63"/>
      <c r="AC40" s="85">
        <v>20.695062549165204</v>
      </c>
      <c r="AD40" s="87">
        <v>88.9</v>
      </c>
      <c r="AE40" s="88">
        <v>70</v>
      </c>
      <c r="AF40" s="85">
        <v>2.4</v>
      </c>
      <c r="AG40" s="88">
        <v>75</v>
      </c>
      <c r="AH40" s="70">
        <f t="shared" si="31"/>
        <v>68.831323750725531</v>
      </c>
      <c r="AI40" s="85">
        <v>1.22</v>
      </c>
      <c r="AJ40" s="85">
        <v>4.0999999999999996</v>
      </c>
      <c r="AK40" s="87">
        <v>60.6</v>
      </c>
      <c r="AL40" s="86">
        <v>5.8716262675680415</v>
      </c>
      <c r="AM40" s="85">
        <v>99.856456191467203</v>
      </c>
      <c r="AN40" s="70">
        <f t="shared" si="32"/>
        <v>65.056496923804673</v>
      </c>
      <c r="AO40" s="63"/>
      <c r="AP40" s="89">
        <v>99.064632467133151</v>
      </c>
      <c r="AQ40" s="89">
        <v>84.849747447967175</v>
      </c>
      <c r="AR40" s="89">
        <v>2.13</v>
      </c>
      <c r="AS40" s="158">
        <f t="shared" si="33"/>
        <v>91.658531840766869</v>
      </c>
      <c r="AT40" s="89">
        <v>82.716499999999996</v>
      </c>
      <c r="AU40" s="89">
        <v>86.625916842589845</v>
      </c>
      <c r="AV40" s="89">
        <v>51.897073457009562</v>
      </c>
      <c r="AW40" s="100">
        <v>2.5</v>
      </c>
      <c r="AX40" s="71">
        <f t="shared" si="34"/>
        <v>85.234068598604168</v>
      </c>
      <c r="AY40" s="86">
        <v>69.223605726306403</v>
      </c>
      <c r="AZ40" s="71">
        <f t="shared" si="35"/>
        <v>69.223605726306403</v>
      </c>
      <c r="BA40" s="86">
        <v>33.85</v>
      </c>
      <c r="BB40" s="71">
        <f t="shared" si="36"/>
        <v>66.150000000000006</v>
      </c>
      <c r="BC40" s="86">
        <v>70.78</v>
      </c>
      <c r="BD40" s="86">
        <v>79.760000000000005</v>
      </c>
      <c r="BE40" s="86">
        <v>46.66</v>
      </c>
      <c r="BF40" s="71">
        <f t="shared" si="37"/>
        <v>64.724000000000004</v>
      </c>
      <c r="BG40" s="63"/>
      <c r="BH40" s="85">
        <v>0.71</v>
      </c>
      <c r="BI40" s="85">
        <v>4.97</v>
      </c>
      <c r="BJ40" s="88">
        <v>130</v>
      </c>
      <c r="BK40" s="81">
        <v>81.818181818181813</v>
      </c>
      <c r="BL40" s="70">
        <f t="shared" si="38"/>
        <v>82.038298758191232</v>
      </c>
      <c r="BM40" s="90">
        <v>0.75762715986398244</v>
      </c>
      <c r="BN40" s="85">
        <v>83.71</v>
      </c>
      <c r="BO40" s="85">
        <v>78.953004997671357</v>
      </c>
      <c r="BP40" s="70">
        <f t="shared" si="39"/>
        <v>78.547109242616969</v>
      </c>
      <c r="BQ40" s="90">
        <v>0.74619061898972616</v>
      </c>
      <c r="BR40" s="90">
        <v>0.59888948309297863</v>
      </c>
      <c r="BS40" s="85">
        <v>64.537258600000001</v>
      </c>
      <c r="BT40" s="86">
        <v>69.763390000000001</v>
      </c>
      <c r="BU40" s="85">
        <v>75.065965699999992</v>
      </c>
      <c r="BV40" s="86">
        <v>66.536127100000002</v>
      </c>
      <c r="BW40" s="71">
        <f t="shared" si="40"/>
        <v>67.313901628389246</v>
      </c>
      <c r="BX40" s="86">
        <v>75.11</v>
      </c>
      <c r="BY40" s="158">
        <f t="shared" si="41"/>
        <v>75.11</v>
      </c>
      <c r="BZ40" s="54"/>
    </row>
    <row r="41" spans="1:81" s="13" customFormat="1" ht="15" customHeight="1" x14ac:dyDescent="0.25">
      <c r="A41" s="2">
        <v>35</v>
      </c>
      <c r="B41" s="6" t="s">
        <v>13</v>
      </c>
      <c r="C41" s="10" t="s">
        <v>19</v>
      </c>
      <c r="D41" s="162" t="s">
        <v>140</v>
      </c>
      <c r="E41" s="209">
        <f t="shared" si="22"/>
        <v>70.957306190269733</v>
      </c>
      <c r="F41" s="71">
        <f t="shared" si="23"/>
        <v>65.25283908773639</v>
      </c>
      <c r="G41" s="71">
        <f t="shared" si="24"/>
        <v>64.891029659073723</v>
      </c>
      <c r="H41" s="71">
        <f t="shared" si="25"/>
        <v>80.369568550183217</v>
      </c>
      <c r="I41" s="71">
        <f t="shared" si="26"/>
        <v>73.315787464085631</v>
      </c>
      <c r="J41" s="63"/>
      <c r="K41" s="85">
        <v>2.8788422722219709</v>
      </c>
      <c r="L41" s="208">
        <v>3.44</v>
      </c>
      <c r="M41" s="82">
        <f t="shared" si="21"/>
        <v>98.370370370370367</v>
      </c>
      <c r="N41" s="71">
        <f t="shared" si="27"/>
        <v>81.845420030862797</v>
      </c>
      <c r="O41" s="85">
        <v>25.88887813545891</v>
      </c>
      <c r="P41" s="87">
        <v>46.8</v>
      </c>
      <c r="Q41" s="70">
        <f t="shared" si="28"/>
        <v>60.249376741921623</v>
      </c>
      <c r="R41" s="90">
        <v>0.03</v>
      </c>
      <c r="S41" s="99">
        <v>0.72574217626868731</v>
      </c>
      <c r="T41" s="85">
        <v>0.8</v>
      </c>
      <c r="U41" s="90">
        <v>3.2160000000000002</v>
      </c>
      <c r="V41" s="70">
        <f t="shared" si="29"/>
        <v>52.892140965825718</v>
      </c>
      <c r="W41" s="85">
        <v>2.8959999999999999</v>
      </c>
      <c r="X41" s="87">
        <v>0.6</v>
      </c>
      <c r="Y41" s="87">
        <v>71.489999999999995</v>
      </c>
      <c r="Z41" s="218">
        <v>3.3</v>
      </c>
      <c r="AA41" s="71">
        <f t="shared" si="30"/>
        <v>86.339280361796014</v>
      </c>
      <c r="AB41" s="63"/>
      <c r="AC41" s="85">
        <v>17.789251826896475</v>
      </c>
      <c r="AD41" s="87">
        <v>85.5</v>
      </c>
      <c r="AE41" s="88">
        <v>60</v>
      </c>
      <c r="AF41" s="85">
        <v>2.4</v>
      </c>
      <c r="AG41" s="88">
        <v>75</v>
      </c>
      <c r="AH41" s="70">
        <f t="shared" si="31"/>
        <v>64.660783269213042</v>
      </c>
      <c r="AI41" s="85">
        <v>0.65</v>
      </c>
      <c r="AJ41" s="85">
        <v>3.93</v>
      </c>
      <c r="AK41" s="87">
        <v>68.5</v>
      </c>
      <c r="AL41" s="86">
        <v>6.5843351748440195</v>
      </c>
      <c r="AM41" s="85">
        <v>93.415952796726003</v>
      </c>
      <c r="AN41" s="70">
        <f t="shared" si="32"/>
        <v>65.121276048934405</v>
      </c>
      <c r="AO41" s="63"/>
      <c r="AP41" s="89">
        <v>100</v>
      </c>
      <c r="AQ41" s="89">
        <v>83.457641121659421</v>
      </c>
      <c r="AR41" s="89">
        <v>1.08</v>
      </c>
      <c r="AS41" s="158">
        <f t="shared" si="33"/>
        <v>91.458820560829722</v>
      </c>
      <c r="AT41" s="89">
        <v>83.627700000000004</v>
      </c>
      <c r="AU41" s="89">
        <v>83.277436669898947</v>
      </c>
      <c r="AV41" s="89">
        <v>63.504990217541071</v>
      </c>
      <c r="AW41" s="100">
        <v>2.5</v>
      </c>
      <c r="AX41" s="71">
        <f t="shared" si="34"/>
        <v>87.37807835212277</v>
      </c>
      <c r="AY41" s="86">
        <v>69.725343946931261</v>
      </c>
      <c r="AZ41" s="71">
        <f t="shared" si="35"/>
        <v>69.725343946931261</v>
      </c>
      <c r="BA41" s="86">
        <v>31.78</v>
      </c>
      <c r="BB41" s="71">
        <f t="shared" si="36"/>
        <v>68.22</v>
      </c>
      <c r="BC41" s="86">
        <v>51.65</v>
      </c>
      <c r="BD41" s="86">
        <v>71.53</v>
      </c>
      <c r="BE41" s="86">
        <v>54.65</v>
      </c>
      <c r="BF41" s="71">
        <f t="shared" si="37"/>
        <v>60.802</v>
      </c>
      <c r="BG41" s="63"/>
      <c r="BH41" s="85">
        <v>0.93</v>
      </c>
      <c r="BI41" s="85">
        <v>4.87</v>
      </c>
      <c r="BJ41" s="88">
        <v>134</v>
      </c>
      <c r="BK41" s="81">
        <v>95.454545454545453</v>
      </c>
      <c r="BL41" s="70">
        <f t="shared" si="38"/>
        <v>88.03843271423915</v>
      </c>
      <c r="BM41" s="90">
        <v>0.77250167943514392</v>
      </c>
      <c r="BN41" s="85">
        <v>61.44</v>
      </c>
      <c r="BO41" s="85">
        <v>79.190320266094773</v>
      </c>
      <c r="BP41" s="70">
        <f t="shared" si="39"/>
        <v>73.782664038280899</v>
      </c>
      <c r="BQ41" s="90">
        <v>0.61201466822209705</v>
      </c>
      <c r="BR41" s="90">
        <v>0.61693222042930496</v>
      </c>
      <c r="BS41" s="85">
        <v>53.255139299999996</v>
      </c>
      <c r="BT41" s="86">
        <v>63.4443032</v>
      </c>
      <c r="BU41" s="85">
        <v>79.6436621</v>
      </c>
      <c r="BV41" s="86">
        <v>62.616555299999995</v>
      </c>
      <c r="BW41" s="71">
        <f t="shared" si="40"/>
        <v>61.726800211547392</v>
      </c>
      <c r="BX41" s="86">
        <v>75.67</v>
      </c>
      <c r="BY41" s="158">
        <f t="shared" si="41"/>
        <v>75.67</v>
      </c>
      <c r="BZ41" s="54"/>
      <c r="CA41" s="12"/>
      <c r="CB41" s="12"/>
      <c r="CC41" s="12"/>
    </row>
    <row r="42" spans="1:81" s="13" customFormat="1" ht="15" customHeight="1" x14ac:dyDescent="0.25">
      <c r="A42" s="2">
        <v>36</v>
      </c>
      <c r="B42" s="6" t="s">
        <v>13</v>
      </c>
      <c r="C42" s="7" t="s">
        <v>14</v>
      </c>
      <c r="D42" s="162" t="s">
        <v>126</v>
      </c>
      <c r="E42" s="209">
        <f t="shared" si="22"/>
        <v>70.105587323023457</v>
      </c>
      <c r="F42" s="71">
        <f t="shared" si="23"/>
        <v>61.165852365644412</v>
      </c>
      <c r="G42" s="71">
        <f t="shared" si="24"/>
        <v>69.799235619983577</v>
      </c>
      <c r="H42" s="71">
        <f t="shared" si="25"/>
        <v>73.314196071129359</v>
      </c>
      <c r="I42" s="71">
        <f t="shared" si="26"/>
        <v>76.143065235336465</v>
      </c>
      <c r="J42" s="63"/>
      <c r="K42" s="85">
        <v>1.2552422018385911</v>
      </c>
      <c r="L42" s="208">
        <v>6.92</v>
      </c>
      <c r="M42" s="82">
        <f t="shared" si="21"/>
        <v>85.481481481481481</v>
      </c>
      <c r="N42" s="71">
        <f t="shared" si="27"/>
        <v>66.380975195399586</v>
      </c>
      <c r="O42" s="85">
        <v>20.70965346404844</v>
      </c>
      <c r="P42" s="87">
        <v>46.9</v>
      </c>
      <c r="Q42" s="70">
        <f t="shared" si="28"/>
        <v>57.327585257804685</v>
      </c>
      <c r="R42" s="90">
        <v>4.5999999999999999E-2</v>
      </c>
      <c r="S42" s="85">
        <v>0.76167220000000002</v>
      </c>
      <c r="T42" s="85">
        <v>0.72</v>
      </c>
      <c r="U42" s="90">
        <v>3.141</v>
      </c>
      <c r="V42" s="70">
        <f t="shared" si="29"/>
        <v>51.867607962962971</v>
      </c>
      <c r="W42" s="85">
        <v>6.5679999999999996</v>
      </c>
      <c r="X42" s="87">
        <v>8.9</v>
      </c>
      <c r="Y42" s="87">
        <v>45.29</v>
      </c>
      <c r="Z42" s="214">
        <v>3.4</v>
      </c>
      <c r="AA42" s="71">
        <f t="shared" si="30"/>
        <v>79.979252303809076</v>
      </c>
      <c r="AB42" s="63"/>
      <c r="AC42" s="85">
        <v>23.468782618214625</v>
      </c>
      <c r="AD42" s="87">
        <v>88.8</v>
      </c>
      <c r="AE42" s="88">
        <v>80</v>
      </c>
      <c r="AF42" s="85">
        <v>2.4</v>
      </c>
      <c r="AG42" s="88">
        <v>72</v>
      </c>
      <c r="AH42" s="70">
        <f t="shared" si="31"/>
        <v>71.830470463425129</v>
      </c>
      <c r="AI42" s="85">
        <v>2.17</v>
      </c>
      <c r="AJ42" s="85">
        <v>3.5</v>
      </c>
      <c r="AK42" s="87">
        <v>70.900000000000006</v>
      </c>
      <c r="AL42" s="86">
        <v>7.4451979016884131</v>
      </c>
      <c r="AM42" s="85">
        <v>82.629046625483994</v>
      </c>
      <c r="AN42" s="70">
        <f t="shared" si="32"/>
        <v>67.768000776542024</v>
      </c>
      <c r="AO42" s="63"/>
      <c r="AP42" s="89">
        <v>97.442300050265246</v>
      </c>
      <c r="AQ42" s="89">
        <v>77.474397134885933</v>
      </c>
      <c r="AR42" s="89">
        <v>2.71</v>
      </c>
      <c r="AS42" s="158">
        <f t="shared" si="33"/>
        <v>87.42027358000928</v>
      </c>
      <c r="AT42" s="89">
        <v>76.476799999999997</v>
      </c>
      <c r="AU42" s="89">
        <v>78.161742761081015</v>
      </c>
      <c r="AV42" s="89">
        <v>48.508139816502627</v>
      </c>
      <c r="AW42" s="100">
        <v>2.5</v>
      </c>
      <c r="AX42" s="71">
        <f t="shared" si="34"/>
        <v>75.826682537840753</v>
      </c>
      <c r="AY42" s="86">
        <v>65.374755151531133</v>
      </c>
      <c r="AZ42" s="71">
        <f t="shared" si="35"/>
        <v>65.374755151531133</v>
      </c>
      <c r="BA42" s="86">
        <v>33.97</v>
      </c>
      <c r="BB42" s="71">
        <f t="shared" si="36"/>
        <v>66.03</v>
      </c>
      <c r="BC42" s="86">
        <v>53.53</v>
      </c>
      <c r="BD42" s="86">
        <v>47.43</v>
      </c>
      <c r="BE42" s="86">
        <v>57.67</v>
      </c>
      <c r="BF42" s="71">
        <f t="shared" si="37"/>
        <v>52.746000000000002</v>
      </c>
      <c r="BG42" s="63"/>
      <c r="BH42" s="85">
        <v>2.78</v>
      </c>
      <c r="BI42" s="85">
        <v>4.08</v>
      </c>
      <c r="BJ42" s="88">
        <v>126</v>
      </c>
      <c r="BK42" s="81">
        <v>100</v>
      </c>
      <c r="BL42" s="70">
        <f t="shared" si="38"/>
        <v>86.831262445240938</v>
      </c>
      <c r="BM42" s="90">
        <v>0.78220381556042085</v>
      </c>
      <c r="BN42" s="85">
        <v>81</v>
      </c>
      <c r="BO42" s="85">
        <v>73.543426318850905</v>
      </c>
      <c r="BP42" s="70">
        <f t="shared" si="39"/>
        <v>77.746047357733772</v>
      </c>
      <c r="BQ42" s="90">
        <v>0.70268124118361597</v>
      </c>
      <c r="BR42" s="90">
        <v>0.69505189183560234</v>
      </c>
      <c r="BS42" s="85">
        <v>64.556797700000004</v>
      </c>
      <c r="BT42" s="86">
        <v>65.790889199999995</v>
      </c>
      <c r="BU42" s="85">
        <v>76.487380399999992</v>
      </c>
      <c r="BV42" s="86">
        <v>72.208471599999996</v>
      </c>
      <c r="BW42" s="71">
        <f t="shared" si="40"/>
        <v>68.452672619160253</v>
      </c>
      <c r="BX42" s="86">
        <v>71.53</v>
      </c>
      <c r="BY42" s="158">
        <f t="shared" si="41"/>
        <v>71.53</v>
      </c>
      <c r="BZ42" s="54"/>
    </row>
    <row r="43" spans="1:81" s="5" customFormat="1" ht="15" customHeight="1" x14ac:dyDescent="0.25">
      <c r="A43" s="2">
        <v>37</v>
      </c>
      <c r="B43" s="6" t="s">
        <v>13</v>
      </c>
      <c r="C43" s="10" t="s">
        <v>19</v>
      </c>
      <c r="D43" s="162" t="s">
        <v>178</v>
      </c>
      <c r="E43" s="209">
        <f t="shared" si="22"/>
        <v>70.103394181329293</v>
      </c>
      <c r="F43" s="71">
        <f t="shared" si="23"/>
        <v>63.236771898720761</v>
      </c>
      <c r="G43" s="71">
        <f t="shared" si="24"/>
        <v>58.939841576333336</v>
      </c>
      <c r="H43" s="71">
        <f t="shared" si="25"/>
        <v>77.878830414729379</v>
      </c>
      <c r="I43" s="71">
        <f t="shared" si="26"/>
        <v>80.358132835533709</v>
      </c>
      <c r="J43" s="63"/>
      <c r="K43" s="86">
        <v>2.3149417910501846</v>
      </c>
      <c r="L43" s="207">
        <v>3.2600000000000002</v>
      </c>
      <c r="M43" s="82">
        <f t="shared" si="21"/>
        <v>99.037037037037038</v>
      </c>
      <c r="N43" s="71">
        <f t="shared" si="27"/>
        <v>79.045972913241769</v>
      </c>
      <c r="O43" s="86">
        <v>38.576978504216839</v>
      </c>
      <c r="P43" s="100">
        <v>60.6</v>
      </c>
      <c r="Q43" s="70">
        <f t="shared" si="28"/>
        <v>61.164988057898256</v>
      </c>
      <c r="R43" s="96">
        <v>0</v>
      </c>
      <c r="S43" s="92">
        <v>0.79718332517526103</v>
      </c>
      <c r="T43" s="92">
        <v>0.80500000000000005</v>
      </c>
      <c r="U43" s="96">
        <v>4.18</v>
      </c>
      <c r="V43" s="70">
        <f t="shared" si="29"/>
        <v>46.444556855645573</v>
      </c>
      <c r="W43" s="86">
        <v>4.9000000000000004</v>
      </c>
      <c r="X43" s="93">
        <v>0</v>
      </c>
      <c r="Y43" s="93">
        <v>86.539596672718218</v>
      </c>
      <c r="Z43" s="215">
        <v>0</v>
      </c>
      <c r="AA43" s="71">
        <f t="shared" si="30"/>
        <v>91.740591883556263</v>
      </c>
      <c r="AB43" s="63"/>
      <c r="AC43" s="86">
        <v>16.882882893454159</v>
      </c>
      <c r="AD43" s="93">
        <v>85.73831385186817</v>
      </c>
      <c r="AE43" s="94">
        <v>70</v>
      </c>
      <c r="AF43" s="85">
        <v>2.4</v>
      </c>
      <c r="AG43" s="88">
        <v>60</v>
      </c>
      <c r="AH43" s="70">
        <f t="shared" si="31"/>
        <v>63.262922955562857</v>
      </c>
      <c r="AI43" s="92">
        <v>1.3782654765563835</v>
      </c>
      <c r="AJ43" s="92">
        <v>3.7035090002510853</v>
      </c>
      <c r="AK43" s="132">
        <v>81.766872304559001</v>
      </c>
      <c r="AL43" s="92">
        <v>6.305898408687499</v>
      </c>
      <c r="AM43" s="86">
        <v>25.883113393361501</v>
      </c>
      <c r="AN43" s="70">
        <f t="shared" si="32"/>
        <v>54.616760197103822</v>
      </c>
      <c r="AO43" s="63"/>
      <c r="AP43" s="89">
        <v>99.999998473825713</v>
      </c>
      <c r="AQ43" s="89">
        <v>83.118958981827689</v>
      </c>
      <c r="AR43" s="97">
        <v>0</v>
      </c>
      <c r="AS43" s="158">
        <f t="shared" si="33"/>
        <v>91.559479109370272</v>
      </c>
      <c r="AT43" s="89">
        <v>85.924800000000005</v>
      </c>
      <c r="AU43" s="89">
        <v>82.987539650465436</v>
      </c>
      <c r="AV43" s="89">
        <v>55.596489947781969</v>
      </c>
      <c r="AW43" s="100">
        <v>2.5</v>
      </c>
      <c r="AX43" s="71">
        <f t="shared" si="34"/>
        <v>88.247703791282106</v>
      </c>
      <c r="AY43" s="86">
        <v>56.588257241752309</v>
      </c>
      <c r="AZ43" s="71">
        <f t="shared" si="35"/>
        <v>56.588257241752309</v>
      </c>
      <c r="BA43" s="92">
        <v>31.35</v>
      </c>
      <c r="BB43" s="71">
        <f t="shared" si="36"/>
        <v>68.650000000000006</v>
      </c>
      <c r="BC43" s="92">
        <v>63.174999999999997</v>
      </c>
      <c r="BD43" s="92">
        <v>75.53</v>
      </c>
      <c r="BE43" s="92">
        <v>55.95</v>
      </c>
      <c r="BF43" s="71">
        <f t="shared" si="37"/>
        <v>65.227000000000004</v>
      </c>
      <c r="BG43" s="63"/>
      <c r="BH43" s="86">
        <v>0</v>
      </c>
      <c r="BI43" s="86">
        <v>3.12</v>
      </c>
      <c r="BJ43" s="95">
        <v>156</v>
      </c>
      <c r="BK43" s="82">
        <v>100</v>
      </c>
      <c r="BL43" s="70">
        <f t="shared" si="38"/>
        <v>98.691358024691354</v>
      </c>
      <c r="BM43" s="96">
        <v>0.79660122804714217</v>
      </c>
      <c r="BN43" s="92">
        <v>78.222055551549488</v>
      </c>
      <c r="BO43" s="86">
        <v>69.102053524574629</v>
      </c>
      <c r="BP43" s="70">
        <f t="shared" si="39"/>
        <v>76.661088671388143</v>
      </c>
      <c r="BQ43" s="96">
        <v>0.74336599696130534</v>
      </c>
      <c r="BR43" s="96">
        <v>0.67927189182738146</v>
      </c>
      <c r="BS43" s="86">
        <v>71.663616699999992</v>
      </c>
      <c r="BT43" s="86">
        <v>68.793847</v>
      </c>
      <c r="BU43" s="86">
        <v>89.342480299999991</v>
      </c>
      <c r="BV43" s="86">
        <v>68.5104015</v>
      </c>
      <c r="BW43" s="71">
        <f t="shared" si="40"/>
        <v>71.265619222698376</v>
      </c>
      <c r="BX43" s="92">
        <v>77.44</v>
      </c>
      <c r="BY43" s="158">
        <f t="shared" si="41"/>
        <v>77.44</v>
      </c>
      <c r="BZ43" s="54"/>
    </row>
    <row r="44" spans="1:81" s="5" customFormat="1" ht="15" customHeight="1" x14ac:dyDescent="0.25">
      <c r="A44" s="2">
        <v>38</v>
      </c>
      <c r="B44" s="6" t="s">
        <v>13</v>
      </c>
      <c r="C44" s="7" t="s">
        <v>14</v>
      </c>
      <c r="D44" s="162" t="s">
        <v>186</v>
      </c>
      <c r="E44" s="209">
        <f t="shared" si="22"/>
        <v>68.722463232438798</v>
      </c>
      <c r="F44" s="71">
        <f t="shared" si="23"/>
        <v>62.957261908514958</v>
      </c>
      <c r="G44" s="71">
        <f t="shared" si="24"/>
        <v>66.347330774971809</v>
      </c>
      <c r="H44" s="71">
        <f t="shared" si="25"/>
        <v>76.274593086523907</v>
      </c>
      <c r="I44" s="71">
        <f t="shared" si="26"/>
        <v>69.310667159744568</v>
      </c>
      <c r="J44" s="63"/>
      <c r="K44" s="85">
        <v>1.5046351133345848</v>
      </c>
      <c r="L44" s="208">
        <v>6.6400000000000006</v>
      </c>
      <c r="M44" s="82">
        <f t="shared" si="21"/>
        <v>86.518518518518519</v>
      </c>
      <c r="N44" s="71">
        <f t="shared" si="27"/>
        <v>68.285009888895843</v>
      </c>
      <c r="O44" s="85">
        <v>16.229055448069371</v>
      </c>
      <c r="P44" s="87">
        <v>61.6</v>
      </c>
      <c r="Q44" s="70">
        <f t="shared" si="28"/>
        <v>48.305030804482989</v>
      </c>
      <c r="R44" s="90">
        <v>0.12</v>
      </c>
      <c r="S44" s="85">
        <v>1.1279026000000001</v>
      </c>
      <c r="T44" s="85">
        <v>0.74</v>
      </c>
      <c r="U44" s="90">
        <v>2.931</v>
      </c>
      <c r="V44" s="70">
        <f t="shared" si="29"/>
        <v>60.033062777777786</v>
      </c>
      <c r="W44" s="85">
        <v>5.359</v>
      </c>
      <c r="X44" s="87">
        <v>6.2</v>
      </c>
      <c r="Y44" s="87">
        <v>47.4</v>
      </c>
      <c r="Z44" s="214">
        <v>7.7</v>
      </c>
      <c r="AA44" s="71">
        <f t="shared" si="30"/>
        <v>75.465899640256112</v>
      </c>
      <c r="AB44" s="63"/>
      <c r="AC44" s="85">
        <v>20.531514940457598</v>
      </c>
      <c r="AD44" s="87">
        <v>82.6</v>
      </c>
      <c r="AE44" s="88">
        <v>75</v>
      </c>
      <c r="AF44" s="85">
        <v>2.4</v>
      </c>
      <c r="AG44" s="88">
        <v>73</v>
      </c>
      <c r="AH44" s="70">
        <f t="shared" si="31"/>
        <v>68.172292011587118</v>
      </c>
      <c r="AI44" s="85">
        <v>1.6</v>
      </c>
      <c r="AJ44" s="85">
        <v>3.74</v>
      </c>
      <c r="AK44" s="87">
        <v>75.400000000000006</v>
      </c>
      <c r="AL44" s="86">
        <v>5.8243885847725547</v>
      </c>
      <c r="AM44" s="85">
        <v>94.446445534688095</v>
      </c>
      <c r="AN44" s="70">
        <f t="shared" si="32"/>
        <v>64.522369538356529</v>
      </c>
      <c r="AO44" s="63"/>
      <c r="AP44" s="89">
        <v>98.777095340666179</v>
      </c>
      <c r="AQ44" s="89">
        <v>78.164244755490628</v>
      </c>
      <c r="AR44" s="89">
        <v>3.99</v>
      </c>
      <c r="AS44" s="158">
        <f t="shared" si="33"/>
        <v>87.77889621291186</v>
      </c>
      <c r="AT44" s="89">
        <v>78.653999999999996</v>
      </c>
      <c r="AU44" s="89">
        <v>80.354199867779613</v>
      </c>
      <c r="AV44" s="89">
        <v>58.853014850052368</v>
      </c>
      <c r="AW44" s="100">
        <v>3.1</v>
      </c>
      <c r="AX44" s="71">
        <f t="shared" si="34"/>
        <v>80.359745521092279</v>
      </c>
      <c r="AY44" s="86">
        <v>64.718232403654596</v>
      </c>
      <c r="AZ44" s="71">
        <f t="shared" si="35"/>
        <v>64.718232403654596</v>
      </c>
      <c r="BA44" s="86">
        <v>23.82</v>
      </c>
      <c r="BB44" s="71">
        <f t="shared" si="36"/>
        <v>76.180000000000007</v>
      </c>
      <c r="BC44" s="86">
        <v>56.87</v>
      </c>
      <c r="BD44" s="86">
        <v>63.12</v>
      </c>
      <c r="BE44" s="86">
        <v>63.83</v>
      </c>
      <c r="BF44" s="71">
        <f t="shared" si="37"/>
        <v>62.153999999999996</v>
      </c>
      <c r="BG44" s="63"/>
      <c r="BH44" s="85">
        <v>1.07</v>
      </c>
      <c r="BI44" s="85">
        <v>4.75</v>
      </c>
      <c r="BJ44" s="88">
        <v>117</v>
      </c>
      <c r="BK44" s="81">
        <v>86.36363636363636</v>
      </c>
      <c r="BL44" s="70">
        <f t="shared" si="38"/>
        <v>78.963087867926589</v>
      </c>
      <c r="BM44" s="90">
        <v>0.72334861905603931</v>
      </c>
      <c r="BN44" s="85">
        <v>72.709999999999994</v>
      </c>
      <c r="BO44" s="85">
        <v>65.03172586084834</v>
      </c>
      <c r="BP44" s="70">
        <f t="shared" si="39"/>
        <v>70.602862418014041</v>
      </c>
      <c r="BQ44" s="90">
        <v>0.62130580365534005</v>
      </c>
      <c r="BR44" s="90">
        <v>0.56044382123339709</v>
      </c>
      <c r="BS44" s="85">
        <v>50.0979964</v>
      </c>
      <c r="BT44" s="86">
        <v>64.126485000000002</v>
      </c>
      <c r="BU44" s="85">
        <v>76.730470299999993</v>
      </c>
      <c r="BV44" s="86">
        <v>61.245570999999998</v>
      </c>
      <c r="BW44" s="71">
        <f t="shared" si="40"/>
        <v>59.894389906739136</v>
      </c>
      <c r="BX44" s="86">
        <v>74.260000000000005</v>
      </c>
      <c r="BY44" s="158">
        <f t="shared" si="41"/>
        <v>74.260000000000005</v>
      </c>
      <c r="BZ44" s="54"/>
      <c r="CA44" s="20"/>
      <c r="CB44" s="20"/>
      <c r="CC44" s="20"/>
    </row>
    <row r="45" spans="1:81" s="5" customFormat="1" ht="15" customHeight="1" x14ac:dyDescent="0.25">
      <c r="A45" s="2">
        <v>39</v>
      </c>
      <c r="B45" s="6" t="s">
        <v>13</v>
      </c>
      <c r="C45" s="7" t="s">
        <v>14</v>
      </c>
      <c r="D45" s="162" t="s">
        <v>171</v>
      </c>
      <c r="E45" s="209">
        <f t="shared" si="22"/>
        <v>68.633380955989978</v>
      </c>
      <c r="F45" s="71">
        <f t="shared" si="23"/>
        <v>66.959377562777107</v>
      </c>
      <c r="G45" s="71">
        <f t="shared" si="24"/>
        <v>63.660376148660163</v>
      </c>
      <c r="H45" s="71">
        <f t="shared" si="25"/>
        <v>76.448044836761824</v>
      </c>
      <c r="I45" s="71">
        <f t="shared" si="26"/>
        <v>67.46572527576086</v>
      </c>
      <c r="J45" s="63"/>
      <c r="K45" s="85">
        <v>3.3942722085666288</v>
      </c>
      <c r="L45" s="208">
        <v>7.62</v>
      </c>
      <c r="M45" s="82">
        <f t="shared" si="21"/>
        <v>82.888888888888886</v>
      </c>
      <c r="N45" s="71">
        <f t="shared" si="27"/>
        <v>76.96817893648128</v>
      </c>
      <c r="O45" s="85">
        <v>17.089431663417734</v>
      </c>
      <c r="P45" s="87">
        <v>58.8</v>
      </c>
      <c r="Q45" s="70">
        <f t="shared" si="28"/>
        <v>50.027462035232077</v>
      </c>
      <c r="R45" s="90">
        <v>0.16</v>
      </c>
      <c r="S45" s="85">
        <v>0.99006039999999995</v>
      </c>
      <c r="T45" s="85">
        <v>0.78</v>
      </c>
      <c r="U45" s="90">
        <v>2.7109999999999999</v>
      </c>
      <c r="V45" s="70">
        <f t="shared" si="29"/>
        <v>64.994083121693123</v>
      </c>
      <c r="W45" s="85">
        <v>2.976</v>
      </c>
      <c r="X45" s="87">
        <v>14.4</v>
      </c>
      <c r="Y45" s="87">
        <v>48.84</v>
      </c>
      <c r="Z45" s="214">
        <v>5.5</v>
      </c>
      <c r="AA45" s="71">
        <f t="shared" si="30"/>
        <v>77.045595211990431</v>
      </c>
      <c r="AB45" s="63"/>
      <c r="AC45" s="85">
        <v>17.028641426190482</v>
      </c>
      <c r="AD45" s="87">
        <v>71.8</v>
      </c>
      <c r="AE45" s="88">
        <v>80</v>
      </c>
      <c r="AF45" s="85">
        <v>3.75</v>
      </c>
      <c r="AG45" s="88">
        <v>72</v>
      </c>
      <c r="AH45" s="70">
        <f t="shared" si="31"/>
        <v>64.357555822588523</v>
      </c>
      <c r="AI45" s="85">
        <v>1.03</v>
      </c>
      <c r="AJ45" s="85">
        <v>3.95</v>
      </c>
      <c r="AK45" s="87">
        <v>72.7</v>
      </c>
      <c r="AL45" s="86">
        <v>5.5633640841355891</v>
      </c>
      <c r="AM45" s="85">
        <v>93.536897165678994</v>
      </c>
      <c r="AN45" s="70">
        <f t="shared" si="32"/>
        <v>62.963196474731795</v>
      </c>
      <c r="AO45" s="63"/>
      <c r="AP45" s="89">
        <v>94.222601952641583</v>
      </c>
      <c r="AQ45" s="89">
        <v>77.358576449316885</v>
      </c>
      <c r="AR45" s="89">
        <v>1</v>
      </c>
      <c r="AS45" s="158">
        <f t="shared" si="33"/>
        <v>86.984938712818831</v>
      </c>
      <c r="AT45" s="89">
        <v>78.980699999999999</v>
      </c>
      <c r="AU45" s="89">
        <v>79.726842910117298</v>
      </c>
      <c r="AV45" s="89">
        <v>55.378597923831002</v>
      </c>
      <c r="AW45" s="100">
        <v>2.5</v>
      </c>
      <c r="AX45" s="71">
        <f t="shared" si="34"/>
        <v>80.104156779819448</v>
      </c>
      <c r="AY45" s="86">
        <v>68.851421142481215</v>
      </c>
      <c r="AZ45" s="71">
        <f t="shared" si="35"/>
        <v>68.851421142481215</v>
      </c>
      <c r="BA45" s="86">
        <v>28.47</v>
      </c>
      <c r="BB45" s="71">
        <f t="shared" si="36"/>
        <v>71.53</v>
      </c>
      <c r="BC45" s="86">
        <v>58.1</v>
      </c>
      <c r="BD45" s="86">
        <v>52.65</v>
      </c>
      <c r="BE45" s="86">
        <v>65.2</v>
      </c>
      <c r="BF45" s="71">
        <f t="shared" si="37"/>
        <v>58.760000000000005</v>
      </c>
      <c r="BG45" s="63"/>
      <c r="BH45" s="85">
        <v>0.68</v>
      </c>
      <c r="BI45" s="85">
        <v>4.67</v>
      </c>
      <c r="BJ45" s="88">
        <v>103</v>
      </c>
      <c r="BK45" s="81">
        <v>84.848484848484844</v>
      </c>
      <c r="BL45" s="70">
        <f t="shared" si="38"/>
        <v>73.561721154194274</v>
      </c>
      <c r="BM45" s="90">
        <v>0.64689056078525398</v>
      </c>
      <c r="BN45" s="85">
        <v>75.52</v>
      </c>
      <c r="BO45" s="85">
        <v>58.971021276082077</v>
      </c>
      <c r="BP45" s="70">
        <f t="shared" si="39"/>
        <v>65.967283358283211</v>
      </c>
      <c r="BQ45" s="90">
        <v>0.6202174093603271</v>
      </c>
      <c r="BR45" s="90">
        <v>0.58937435095892488</v>
      </c>
      <c r="BS45" s="85">
        <v>63.9280835</v>
      </c>
      <c r="BT45" s="86">
        <v>64.434134099999994</v>
      </c>
      <c r="BU45" s="85">
        <v>74.412218699999997</v>
      </c>
      <c r="BV45" s="86">
        <v>65.679388899999992</v>
      </c>
      <c r="BW45" s="71">
        <f t="shared" si="40"/>
        <v>63.74317137064952</v>
      </c>
      <c r="BX45" s="86">
        <v>69.75</v>
      </c>
      <c r="BY45" s="158">
        <f t="shared" si="41"/>
        <v>69.75</v>
      </c>
      <c r="BZ45" s="54"/>
    </row>
    <row r="46" spans="1:81" s="13" customFormat="1" ht="15" customHeight="1" x14ac:dyDescent="0.25">
      <c r="A46" s="2">
        <v>40</v>
      </c>
      <c r="B46" s="6" t="s">
        <v>13</v>
      </c>
      <c r="C46" s="10" t="s">
        <v>19</v>
      </c>
      <c r="D46" s="162" t="s">
        <v>71</v>
      </c>
      <c r="E46" s="209">
        <f t="shared" si="22"/>
        <v>68.164073479468286</v>
      </c>
      <c r="F46" s="71">
        <f t="shared" si="23"/>
        <v>58.478187156186962</v>
      </c>
      <c r="G46" s="71">
        <f t="shared" si="24"/>
        <v>69.535115750121932</v>
      </c>
      <c r="H46" s="71">
        <f t="shared" si="25"/>
        <v>77.801656497180318</v>
      </c>
      <c r="I46" s="71">
        <f t="shared" si="26"/>
        <v>66.841334514383959</v>
      </c>
      <c r="J46" s="63"/>
      <c r="K46" s="85">
        <v>3.2356883134611492</v>
      </c>
      <c r="L46" s="208">
        <v>3.4799999999999995</v>
      </c>
      <c r="M46" s="82">
        <f t="shared" si="21"/>
        <v>98.222222222222229</v>
      </c>
      <c r="N46" s="71">
        <f t="shared" si="27"/>
        <v>83.753823963673057</v>
      </c>
      <c r="O46" s="85">
        <v>12.847206085169594</v>
      </c>
      <c r="P46" s="87">
        <v>55.3</v>
      </c>
      <c r="Q46" s="70">
        <f t="shared" si="28"/>
        <v>49.226225602871999</v>
      </c>
      <c r="R46" s="90">
        <v>1.9E-2</v>
      </c>
      <c r="S46" s="85">
        <v>0.47239967999999999</v>
      </c>
      <c r="T46" s="85">
        <v>0.74</v>
      </c>
      <c r="U46" s="90">
        <v>3.4809999999999999</v>
      </c>
      <c r="V46" s="70">
        <f t="shared" si="29"/>
        <v>48.111692232804238</v>
      </c>
      <c r="W46" s="85">
        <v>4.9240000000000004</v>
      </c>
      <c r="X46" s="87">
        <v>2.9</v>
      </c>
      <c r="Y46" s="87">
        <v>38.22</v>
      </c>
      <c r="Z46" s="214">
        <v>8</v>
      </c>
      <c r="AA46" s="71">
        <f t="shared" si="30"/>
        <v>74.652099211946961</v>
      </c>
      <c r="AB46" s="63"/>
      <c r="AC46" s="85">
        <v>20.034482945762228</v>
      </c>
      <c r="AD46" s="87">
        <v>85.1</v>
      </c>
      <c r="AE46" s="88">
        <v>70</v>
      </c>
      <c r="AF46" s="85">
        <v>2.4</v>
      </c>
      <c r="AG46" s="88">
        <v>71</v>
      </c>
      <c r="AH46" s="70">
        <f t="shared" si="31"/>
        <v>67.090937348456876</v>
      </c>
      <c r="AI46" s="85">
        <v>1.85</v>
      </c>
      <c r="AJ46" s="85">
        <v>3.82</v>
      </c>
      <c r="AK46" s="87">
        <v>80.8</v>
      </c>
      <c r="AL46" s="86">
        <v>7.4918679217204183</v>
      </c>
      <c r="AM46" s="85">
        <v>98.013406476313506</v>
      </c>
      <c r="AN46" s="70">
        <f t="shared" si="32"/>
        <v>71.979294151786988</v>
      </c>
      <c r="AO46" s="63"/>
      <c r="AP46" s="89">
        <v>99.399920983774365</v>
      </c>
      <c r="AQ46" s="89">
        <v>81.053637539822404</v>
      </c>
      <c r="AR46" s="89">
        <v>0.06</v>
      </c>
      <c r="AS46" s="158">
        <f t="shared" si="33"/>
        <v>90.3617990158548</v>
      </c>
      <c r="AT46" s="89">
        <v>81.991100000000003</v>
      </c>
      <c r="AU46" s="89">
        <v>81.845317083944593</v>
      </c>
      <c r="AV46" s="89">
        <v>62.57685495203441</v>
      </c>
      <c r="AW46" s="100">
        <v>2.5</v>
      </c>
      <c r="AX46" s="71">
        <f t="shared" si="34"/>
        <v>85.118384780406728</v>
      </c>
      <c r="AY46" s="86">
        <v>66.011088280297031</v>
      </c>
      <c r="AZ46" s="71">
        <f t="shared" si="35"/>
        <v>66.011088280297031</v>
      </c>
      <c r="BA46" s="86">
        <v>31.84</v>
      </c>
      <c r="BB46" s="71">
        <f t="shared" si="36"/>
        <v>68.16</v>
      </c>
      <c r="BC46" s="86">
        <v>43.55</v>
      </c>
      <c r="BD46" s="86">
        <v>66.06</v>
      </c>
      <c r="BE46" s="86">
        <v>49.89</v>
      </c>
      <c r="BF46" s="71">
        <f t="shared" si="37"/>
        <v>55.090000000000011</v>
      </c>
      <c r="BG46" s="63"/>
      <c r="BH46" s="85">
        <v>0.96</v>
      </c>
      <c r="BI46" s="85">
        <v>4.5</v>
      </c>
      <c r="BJ46" s="88">
        <v>73</v>
      </c>
      <c r="BK46" s="81">
        <v>86.36363636363636</v>
      </c>
      <c r="BL46" s="70">
        <f t="shared" si="38"/>
        <v>63.367169906954842</v>
      </c>
      <c r="BM46" s="90">
        <v>0.7531634594829183</v>
      </c>
      <c r="BN46" s="85">
        <v>56.91</v>
      </c>
      <c r="BO46" s="85">
        <v>68.798028227828382</v>
      </c>
      <c r="BP46" s="70">
        <f t="shared" si="39"/>
        <v>69.085180031103008</v>
      </c>
      <c r="BQ46" s="90">
        <v>0.67035363308410822</v>
      </c>
      <c r="BR46" s="90">
        <v>0.64349457589359826</v>
      </c>
      <c r="BS46" s="85">
        <v>58.633007399999997</v>
      </c>
      <c r="BT46" s="86">
        <v>68.249723599999996</v>
      </c>
      <c r="BU46" s="85">
        <v>72.485521800000001</v>
      </c>
      <c r="BV46" s="86">
        <v>66.527045999999999</v>
      </c>
      <c r="BW46" s="71">
        <f t="shared" si="40"/>
        <v>65.437108652326728</v>
      </c>
      <c r="BX46" s="86">
        <v>73.709999999999994</v>
      </c>
      <c r="BY46" s="158">
        <f t="shared" si="41"/>
        <v>73.709999999999994</v>
      </c>
      <c r="BZ46" s="54"/>
    </row>
    <row r="47" spans="1:81" s="5" customFormat="1" ht="15" customHeight="1" x14ac:dyDescent="0.25">
      <c r="A47" s="2">
        <v>41</v>
      </c>
      <c r="B47" s="3" t="s">
        <v>10</v>
      </c>
      <c r="C47" s="19" t="s">
        <v>35</v>
      </c>
      <c r="D47" s="162" t="s">
        <v>110</v>
      </c>
      <c r="E47" s="209">
        <f t="shared" si="22"/>
        <v>68.133666704166615</v>
      </c>
      <c r="F47" s="71">
        <f t="shared" si="23"/>
        <v>67.106216725262584</v>
      </c>
      <c r="G47" s="71">
        <f t="shared" si="24"/>
        <v>70.58524370885587</v>
      </c>
      <c r="H47" s="71">
        <f t="shared" si="25"/>
        <v>77.291058757878048</v>
      </c>
      <c r="I47" s="71">
        <f t="shared" si="26"/>
        <v>57.552147624669921</v>
      </c>
      <c r="J47" s="63"/>
      <c r="K47" s="86">
        <v>1.0901083903049003</v>
      </c>
      <c r="L47" s="207">
        <v>3.2400000000000007</v>
      </c>
      <c r="M47" s="82">
        <f t="shared" si="21"/>
        <v>99.1111111111111</v>
      </c>
      <c r="N47" s="71">
        <f t="shared" si="27"/>
        <v>72.27837994613833</v>
      </c>
      <c r="O47" s="86">
        <v>25.725565804098494</v>
      </c>
      <c r="P47" s="100">
        <v>68.5</v>
      </c>
      <c r="Q47" s="70">
        <f t="shared" si="28"/>
        <v>50.51420322449917</v>
      </c>
      <c r="R47" s="167">
        <v>0.113</v>
      </c>
      <c r="S47" s="86">
        <v>1.3201844</v>
      </c>
      <c r="T47" s="86">
        <v>0.89</v>
      </c>
      <c r="U47" s="167">
        <v>3.2250000000000001</v>
      </c>
      <c r="V47" s="70">
        <f t="shared" si="29"/>
        <v>63.648660370370372</v>
      </c>
      <c r="W47" s="86">
        <v>3.4889999999999999</v>
      </c>
      <c r="X47" s="93">
        <v>10</v>
      </c>
      <c r="Y47" s="100">
        <v>61.12</v>
      </c>
      <c r="Z47" s="107">
        <v>3.8</v>
      </c>
      <c r="AA47" s="71">
        <f t="shared" si="30"/>
        <v>81.907672247154778</v>
      </c>
      <c r="AB47" s="63"/>
      <c r="AC47" s="86">
        <v>23.804534083676696</v>
      </c>
      <c r="AD47" s="100">
        <v>73.099999999999994</v>
      </c>
      <c r="AE47" s="95">
        <v>70</v>
      </c>
      <c r="AF47" s="85">
        <v>3.75</v>
      </c>
      <c r="AG47" s="88">
        <v>71</v>
      </c>
      <c r="AH47" s="70">
        <f t="shared" si="31"/>
        <v>67.258150927579337</v>
      </c>
      <c r="AI47" s="86">
        <v>1.23</v>
      </c>
      <c r="AJ47" s="86">
        <v>5.4</v>
      </c>
      <c r="AK47" s="100">
        <v>60.2</v>
      </c>
      <c r="AL47" s="86">
        <v>7.2120451672054395</v>
      </c>
      <c r="AM47" s="86">
        <v>93.758115596685499</v>
      </c>
      <c r="AN47" s="70">
        <f t="shared" si="32"/>
        <v>73.91233649013239</v>
      </c>
      <c r="AO47" s="63"/>
      <c r="AP47" s="89">
        <v>99.789268943813312</v>
      </c>
      <c r="AQ47" s="89">
        <v>81.690522013578786</v>
      </c>
      <c r="AR47" s="89">
        <v>4.78</v>
      </c>
      <c r="AS47" s="158">
        <f t="shared" si="33"/>
        <v>89.597578242742713</v>
      </c>
      <c r="AT47" s="89">
        <v>82.773600000000002</v>
      </c>
      <c r="AU47" s="89">
        <v>81.908810566945988</v>
      </c>
      <c r="AV47" s="89">
        <v>53.722276378542958</v>
      </c>
      <c r="AW47" s="100">
        <v>2.5</v>
      </c>
      <c r="AX47" s="71">
        <f t="shared" si="34"/>
        <v>84.33876482085023</v>
      </c>
      <c r="AY47" s="86">
        <v>68.071986039579173</v>
      </c>
      <c r="AZ47" s="71">
        <f t="shared" si="35"/>
        <v>68.071986039579173</v>
      </c>
      <c r="BA47" s="86">
        <v>38.31</v>
      </c>
      <c r="BB47" s="71">
        <f t="shared" si="36"/>
        <v>61.69</v>
      </c>
      <c r="BC47" s="86">
        <v>47.89</v>
      </c>
      <c r="BD47" s="86">
        <v>67.7</v>
      </c>
      <c r="BE47" s="86">
        <v>40.119999999999997</v>
      </c>
      <c r="BF47" s="71">
        <f t="shared" si="37"/>
        <v>52.706000000000003</v>
      </c>
      <c r="BG47" s="63"/>
      <c r="BH47" s="86">
        <v>3.72</v>
      </c>
      <c r="BI47" s="86">
        <v>5.07</v>
      </c>
      <c r="BJ47" s="95">
        <v>42</v>
      </c>
      <c r="BK47" s="82">
        <v>30.303030303030308</v>
      </c>
      <c r="BL47" s="70">
        <f t="shared" si="38"/>
        <v>32.70622714601209</v>
      </c>
      <c r="BM47" s="96">
        <v>0.66766043304139278</v>
      </c>
      <c r="BN47" s="86">
        <v>46.46</v>
      </c>
      <c r="BO47" s="86">
        <v>66.135032091721058</v>
      </c>
      <c r="BP47" s="70">
        <f t="shared" si="39"/>
        <v>61.531779674999903</v>
      </c>
      <c r="BQ47" s="96">
        <v>0.67290452857622052</v>
      </c>
      <c r="BR47" s="96">
        <v>0.55885731233017655</v>
      </c>
      <c r="BS47" s="86">
        <v>65.1273135</v>
      </c>
      <c r="BT47" s="86">
        <v>74.141010800000004</v>
      </c>
      <c r="BU47" s="86">
        <v>48.172207299999997</v>
      </c>
      <c r="BV47" s="86">
        <v>72.4302177</v>
      </c>
      <c r="BW47" s="71">
        <f t="shared" si="40"/>
        <v>65.814448387619805</v>
      </c>
      <c r="BX47" s="86">
        <v>78.81</v>
      </c>
      <c r="BY47" s="158">
        <f t="shared" si="41"/>
        <v>78.81</v>
      </c>
      <c r="BZ47" s="54"/>
    </row>
    <row r="48" spans="1:81" s="13" customFormat="1" ht="15" customHeight="1" x14ac:dyDescent="0.25">
      <c r="A48" s="2">
        <v>42</v>
      </c>
      <c r="B48" s="3" t="s">
        <v>10</v>
      </c>
      <c r="C48" s="19" t="s">
        <v>35</v>
      </c>
      <c r="D48" s="162" t="s">
        <v>215</v>
      </c>
      <c r="E48" s="209">
        <f t="shared" si="22"/>
        <v>68.015206289598979</v>
      </c>
      <c r="F48" s="71">
        <f t="shared" si="23"/>
        <v>62.281105221764186</v>
      </c>
      <c r="G48" s="71">
        <f t="shared" si="24"/>
        <v>71.21023684260966</v>
      </c>
      <c r="H48" s="71">
        <f t="shared" si="25"/>
        <v>76.43004418565009</v>
      </c>
      <c r="I48" s="71">
        <f t="shared" si="26"/>
        <v>62.139438908371979</v>
      </c>
      <c r="J48" s="63"/>
      <c r="K48" s="85">
        <v>0.40640051941513988</v>
      </c>
      <c r="L48" s="208">
        <v>1.86</v>
      </c>
      <c r="M48" s="82">
        <f t="shared" si="21"/>
        <v>100</v>
      </c>
      <c r="N48" s="71">
        <f t="shared" si="27"/>
        <v>68.924447330084107</v>
      </c>
      <c r="O48" s="85">
        <v>33.834716642162697</v>
      </c>
      <c r="P48" s="87">
        <v>34.299999999999997</v>
      </c>
      <c r="Q48" s="70">
        <f t="shared" si="28"/>
        <v>70.219287023423718</v>
      </c>
      <c r="R48" s="90">
        <v>0.112</v>
      </c>
      <c r="S48" s="85">
        <v>0.36940889999999998</v>
      </c>
      <c r="T48" s="85">
        <v>0.74</v>
      </c>
      <c r="U48" s="90">
        <v>2.9780000000000002</v>
      </c>
      <c r="V48" s="70">
        <f t="shared" si="29"/>
        <v>57.109733716931224</v>
      </c>
      <c r="W48" s="85">
        <v>2.1739999999999999</v>
      </c>
      <c r="X48" s="98">
        <v>15</v>
      </c>
      <c r="Y48" s="87">
        <v>41.24</v>
      </c>
      <c r="Z48" s="214">
        <v>13.4</v>
      </c>
      <c r="AA48" s="71">
        <f t="shared" si="30"/>
        <v>65.203602307106422</v>
      </c>
      <c r="AB48" s="63"/>
      <c r="AC48" s="85">
        <v>28.913002199202502</v>
      </c>
      <c r="AD48" s="87">
        <v>62.9</v>
      </c>
      <c r="AE48" s="88">
        <v>50</v>
      </c>
      <c r="AF48" s="85">
        <v>3.65</v>
      </c>
      <c r="AG48" s="88">
        <v>90</v>
      </c>
      <c r="AH48" s="70">
        <f t="shared" si="31"/>
        <v>68.822770696904229</v>
      </c>
      <c r="AI48" s="85">
        <v>-0.84</v>
      </c>
      <c r="AJ48" s="85">
        <v>5.1100000000000003</v>
      </c>
      <c r="AK48" s="87">
        <v>99.9</v>
      </c>
      <c r="AL48" s="86">
        <v>7.4693108964945303</v>
      </c>
      <c r="AM48" s="85">
        <v>100</v>
      </c>
      <c r="AN48" s="70">
        <f t="shared" si="32"/>
        <v>73.597702988315106</v>
      </c>
      <c r="AO48" s="63"/>
      <c r="AP48" s="89">
        <v>99.526752404453902</v>
      </c>
      <c r="AQ48" s="89">
        <v>88.189623229552438</v>
      </c>
      <c r="AR48" s="89">
        <v>0.24</v>
      </c>
      <c r="AS48" s="158">
        <f t="shared" si="33"/>
        <v>93.916499715889699</v>
      </c>
      <c r="AT48" s="89">
        <v>83.234999999999999</v>
      </c>
      <c r="AU48" s="89">
        <v>78.656037381274956</v>
      </c>
      <c r="AV48" s="89">
        <v>56.948178470580551</v>
      </c>
      <c r="AW48" s="100">
        <v>2.5</v>
      </c>
      <c r="AX48" s="71">
        <f t="shared" si="34"/>
        <v>84.517549137596134</v>
      </c>
      <c r="AY48" s="86">
        <v>59.40870823407613</v>
      </c>
      <c r="AZ48" s="71">
        <f t="shared" si="35"/>
        <v>59.40870823407613</v>
      </c>
      <c r="BA48" s="86">
        <v>26.4</v>
      </c>
      <c r="BB48" s="71">
        <f t="shared" si="36"/>
        <v>73.599999999999994</v>
      </c>
      <c r="BC48" s="86">
        <v>36.119999999999997</v>
      </c>
      <c r="BD48" s="86">
        <v>48.4</v>
      </c>
      <c r="BE48" s="86">
        <v>54.48</v>
      </c>
      <c r="BF48" s="71">
        <f t="shared" si="37"/>
        <v>48.375999999999998</v>
      </c>
      <c r="BG48" s="63"/>
      <c r="BH48" s="85">
        <v>0.52</v>
      </c>
      <c r="BI48" s="85">
        <v>6.35</v>
      </c>
      <c r="BJ48" s="88">
        <v>123</v>
      </c>
      <c r="BK48" s="81">
        <v>66.666666666666671</v>
      </c>
      <c r="BL48" s="70">
        <f t="shared" si="38"/>
        <v>73.662166467542818</v>
      </c>
      <c r="BM48" s="90">
        <v>0.43865365751435825</v>
      </c>
      <c r="BN48" s="85">
        <v>30.86</v>
      </c>
      <c r="BO48" s="85">
        <v>33.730524833260489</v>
      </c>
      <c r="BP48" s="70">
        <f t="shared" si="39"/>
        <v>38.080314084033034</v>
      </c>
      <c r="BQ48" s="90">
        <v>0.58706525607524052</v>
      </c>
      <c r="BR48" s="90">
        <v>0.67503362860836746</v>
      </c>
      <c r="BS48" s="85">
        <v>71.541839600000003</v>
      </c>
      <c r="BT48" s="86">
        <v>75.839280700000003</v>
      </c>
      <c r="BU48" s="85">
        <v>79.366145899999992</v>
      </c>
      <c r="BV48" s="86">
        <v>72.616959199999997</v>
      </c>
      <c r="BW48" s="71">
        <f t="shared" si="40"/>
        <v>70.833723046503891</v>
      </c>
      <c r="BX48" s="86">
        <v>75.08</v>
      </c>
      <c r="BY48" s="158">
        <f t="shared" si="41"/>
        <v>75.08</v>
      </c>
      <c r="BZ48" s="54"/>
    </row>
    <row r="49" spans="1:78" s="5" customFormat="1" ht="15" customHeight="1" x14ac:dyDescent="0.25">
      <c r="A49" s="2">
        <v>43</v>
      </c>
      <c r="B49" s="6" t="s">
        <v>13</v>
      </c>
      <c r="C49" s="7" t="s">
        <v>14</v>
      </c>
      <c r="D49" s="162" t="s">
        <v>69</v>
      </c>
      <c r="E49" s="209">
        <f t="shared" si="22"/>
        <v>67.114920448256512</v>
      </c>
      <c r="F49" s="71">
        <f t="shared" si="23"/>
        <v>60.655414907964079</v>
      </c>
      <c r="G49" s="71">
        <f t="shared" si="24"/>
        <v>63.006011166203301</v>
      </c>
      <c r="H49" s="71">
        <f t="shared" si="25"/>
        <v>74.468050233817053</v>
      </c>
      <c r="I49" s="71">
        <f t="shared" si="26"/>
        <v>70.330205485041631</v>
      </c>
      <c r="J49" s="63"/>
      <c r="K49" s="85">
        <v>4.5783592781273308</v>
      </c>
      <c r="L49" s="208">
        <v>6.0399999999999991</v>
      </c>
      <c r="M49" s="82">
        <f t="shared" si="21"/>
        <v>88.740740740740748</v>
      </c>
      <c r="N49" s="71">
        <f t="shared" si="27"/>
        <v>86.472366359966657</v>
      </c>
      <c r="O49" s="85">
        <v>22.136503194479474</v>
      </c>
      <c r="P49" s="87">
        <v>55.9</v>
      </c>
      <c r="Q49" s="70">
        <f t="shared" si="28"/>
        <v>54.12027955248859</v>
      </c>
      <c r="R49" s="90">
        <v>5.2999999999999999E-2</v>
      </c>
      <c r="S49" s="85">
        <v>0.83213559999999998</v>
      </c>
      <c r="T49" s="85">
        <v>0.62</v>
      </c>
      <c r="U49" s="90">
        <v>3.2429999999999999</v>
      </c>
      <c r="V49" s="70">
        <f t="shared" si="29"/>
        <v>48.762810529100534</v>
      </c>
      <c r="W49" s="85">
        <v>5.0019999999999998</v>
      </c>
      <c r="X49" s="87">
        <v>14.8</v>
      </c>
      <c r="Y49" s="87">
        <v>58.74</v>
      </c>
      <c r="Z49" s="214">
        <v>5.2</v>
      </c>
      <c r="AA49" s="71">
        <f t="shared" si="30"/>
        <v>78.034924298175426</v>
      </c>
      <c r="AB49" s="63"/>
      <c r="AC49" s="85">
        <v>25.734874966388816</v>
      </c>
      <c r="AD49" s="87">
        <v>81.099999999999994</v>
      </c>
      <c r="AE49" s="88">
        <v>60</v>
      </c>
      <c r="AF49" s="85">
        <v>2.4</v>
      </c>
      <c r="AG49" s="88">
        <v>71</v>
      </c>
      <c r="AH49" s="70">
        <f t="shared" si="31"/>
        <v>68.55786536220792</v>
      </c>
      <c r="AI49" s="85">
        <v>0.02</v>
      </c>
      <c r="AJ49" s="85">
        <v>3.76</v>
      </c>
      <c r="AK49" s="87">
        <v>70</v>
      </c>
      <c r="AL49" s="86">
        <v>5.1097091674816637</v>
      </c>
      <c r="AM49" s="85">
        <v>88.280758471558798</v>
      </c>
      <c r="AN49" s="70">
        <f t="shared" si="32"/>
        <v>57.454156970198675</v>
      </c>
      <c r="AO49" s="63"/>
      <c r="AP49" s="89">
        <v>97.386574838740827</v>
      </c>
      <c r="AQ49" s="89">
        <v>77.444517236049393</v>
      </c>
      <c r="AR49" s="89">
        <v>1.9</v>
      </c>
      <c r="AS49" s="158">
        <f t="shared" si="33"/>
        <v>87.593902327709912</v>
      </c>
      <c r="AT49" s="89">
        <v>78.915400000000005</v>
      </c>
      <c r="AU49" s="89">
        <v>80.925907012690004</v>
      </c>
      <c r="AV49" s="89">
        <v>55.351345872590365</v>
      </c>
      <c r="AW49" s="100">
        <v>2.5</v>
      </c>
      <c r="AX49" s="71">
        <f t="shared" si="34"/>
        <v>80.358375188087734</v>
      </c>
      <c r="AY49" s="86">
        <v>63.752973344235421</v>
      </c>
      <c r="AZ49" s="71">
        <f t="shared" si="35"/>
        <v>63.752973344235421</v>
      </c>
      <c r="BA49" s="86">
        <v>30.11</v>
      </c>
      <c r="BB49" s="71">
        <f t="shared" si="36"/>
        <v>69.89</v>
      </c>
      <c r="BC49" s="86">
        <v>47.21</v>
      </c>
      <c r="BD49" s="86">
        <v>47.85</v>
      </c>
      <c r="BE49" s="86">
        <v>53.83</v>
      </c>
      <c r="BF49" s="71">
        <f t="shared" si="37"/>
        <v>50.113999999999997</v>
      </c>
      <c r="BG49" s="63"/>
      <c r="BH49" s="85">
        <v>1.01</v>
      </c>
      <c r="BI49" s="85">
        <v>5.0199999999999996</v>
      </c>
      <c r="BJ49" s="88">
        <v>126</v>
      </c>
      <c r="BK49" s="81">
        <v>95.454545454545453</v>
      </c>
      <c r="BL49" s="70">
        <f t="shared" si="38"/>
        <v>85.063641794286951</v>
      </c>
      <c r="BM49" s="90">
        <v>0.69884319444090315</v>
      </c>
      <c r="BN49" s="85">
        <v>66.31</v>
      </c>
      <c r="BO49" s="85">
        <v>80.455510306441823</v>
      </c>
      <c r="BP49" s="70">
        <f t="shared" si="39"/>
        <v>71.633537298655611</v>
      </c>
      <c r="BQ49" s="90">
        <v>0.5693475719305825</v>
      </c>
      <c r="BR49" s="90">
        <v>0.52914266383768982</v>
      </c>
      <c r="BS49" s="85">
        <v>50.864365100000001</v>
      </c>
      <c r="BT49" s="86">
        <v>65.141114799999997</v>
      </c>
      <c r="BU49" s="85">
        <v>75.825787800000001</v>
      </c>
      <c r="BV49" s="86">
        <v>59.371468799999995</v>
      </c>
      <c r="BW49" s="71">
        <f t="shared" si="40"/>
        <v>58.689239562494897</v>
      </c>
      <c r="BX49" s="86">
        <v>70.33</v>
      </c>
      <c r="BY49" s="158">
        <f t="shared" si="41"/>
        <v>70.33</v>
      </c>
      <c r="BZ49" s="54"/>
    </row>
    <row r="50" spans="1:78" s="5" customFormat="1" ht="15" customHeight="1" x14ac:dyDescent="0.25">
      <c r="A50" s="2">
        <v>44</v>
      </c>
      <c r="B50" s="14" t="s">
        <v>23</v>
      </c>
      <c r="C50" s="16" t="s">
        <v>26</v>
      </c>
      <c r="D50" s="162" t="s">
        <v>218</v>
      </c>
      <c r="E50" s="209">
        <f t="shared" si="22"/>
        <v>66.692157708322299</v>
      </c>
      <c r="F50" s="71">
        <f t="shared" si="23"/>
        <v>54.911656567922861</v>
      </c>
      <c r="G50" s="71">
        <f t="shared" si="24"/>
        <v>62.892131084568447</v>
      </c>
      <c r="H50" s="71">
        <f t="shared" si="25"/>
        <v>69.727232637738666</v>
      </c>
      <c r="I50" s="71">
        <f t="shared" si="26"/>
        <v>79.237610543059219</v>
      </c>
      <c r="J50" s="63"/>
      <c r="K50" s="85">
        <v>2.7000317879943392</v>
      </c>
      <c r="L50" s="208">
        <v>6.44</v>
      </c>
      <c r="M50" s="82">
        <f t="shared" si="21"/>
        <v>87.259259259259252</v>
      </c>
      <c r="N50" s="71">
        <f t="shared" si="27"/>
        <v>75.296472896264845</v>
      </c>
      <c r="O50" s="85">
        <v>15.524823905022798</v>
      </c>
      <c r="P50" s="87">
        <v>65.7</v>
      </c>
      <c r="Q50" s="70">
        <f t="shared" si="28"/>
        <v>46.09156883612377</v>
      </c>
      <c r="R50" s="90">
        <v>2.4E-2</v>
      </c>
      <c r="S50" s="85">
        <v>0.16487212000000001</v>
      </c>
      <c r="T50" s="85">
        <v>0.67</v>
      </c>
      <c r="U50" s="90">
        <v>3.78</v>
      </c>
      <c r="V50" s="70">
        <f t="shared" si="29"/>
        <v>43.870676523809529</v>
      </c>
      <c r="W50" s="85">
        <v>7.516</v>
      </c>
      <c r="X50" s="87">
        <v>32.700000000000003</v>
      </c>
      <c r="Y50" s="87">
        <v>38</v>
      </c>
      <c r="Z50" s="214">
        <v>1.9</v>
      </c>
      <c r="AA50" s="71">
        <f t="shared" si="30"/>
        <v>74.131742763892206</v>
      </c>
      <c r="AB50" s="63"/>
      <c r="AC50" s="85">
        <v>15.837266159223063</v>
      </c>
      <c r="AD50" s="87">
        <v>87.4</v>
      </c>
      <c r="AE50" s="88">
        <v>50</v>
      </c>
      <c r="AF50" s="85">
        <v>5.75</v>
      </c>
      <c r="AG50" s="88">
        <v>61</v>
      </c>
      <c r="AH50" s="70">
        <f t="shared" si="31"/>
        <v>58.817151798456401</v>
      </c>
      <c r="AI50" s="85">
        <v>1.1499999999999999</v>
      </c>
      <c r="AJ50" s="85">
        <v>3.83</v>
      </c>
      <c r="AK50" s="87">
        <v>73.3</v>
      </c>
      <c r="AL50" s="86">
        <v>6.7664307823850329</v>
      </c>
      <c r="AM50" s="85">
        <v>94.699046576382301</v>
      </c>
      <c r="AN50" s="70">
        <f t="shared" si="32"/>
        <v>66.967110370680487</v>
      </c>
      <c r="AO50" s="63"/>
      <c r="AP50" s="89">
        <v>98.413664471391485</v>
      </c>
      <c r="AQ50" s="89">
        <v>75.018981619989106</v>
      </c>
      <c r="AR50" s="89">
        <v>5.85</v>
      </c>
      <c r="AS50" s="158">
        <f t="shared" si="33"/>
        <v>85.650406927842425</v>
      </c>
      <c r="AT50" s="89">
        <v>78.454099999999997</v>
      </c>
      <c r="AU50" s="89">
        <v>79.770757580972287</v>
      </c>
      <c r="AV50" s="89">
        <v>45.929544416090614</v>
      </c>
      <c r="AW50" s="100">
        <v>2.5</v>
      </c>
      <c r="AX50" s="71">
        <f t="shared" si="34"/>
        <v>77.851006896437482</v>
      </c>
      <c r="AY50" s="86">
        <v>56.034313968099788</v>
      </c>
      <c r="AZ50" s="71">
        <f t="shared" si="35"/>
        <v>56.034313968099788</v>
      </c>
      <c r="BA50" s="86">
        <v>39.979999999999997</v>
      </c>
      <c r="BB50" s="71">
        <f t="shared" si="36"/>
        <v>60.02</v>
      </c>
      <c r="BC50" s="86">
        <v>31.88</v>
      </c>
      <c r="BD50" s="86">
        <v>60.57</v>
      </c>
      <c r="BE50" s="86">
        <v>24.92</v>
      </c>
      <c r="BF50" s="71">
        <f t="shared" si="37"/>
        <v>40.572000000000003</v>
      </c>
      <c r="BG50" s="63"/>
      <c r="BH50" s="85">
        <v>11.28</v>
      </c>
      <c r="BI50" s="85">
        <v>3.57</v>
      </c>
      <c r="BJ50" s="88">
        <v>156</v>
      </c>
      <c r="BK50" s="81">
        <v>95.454545454545453</v>
      </c>
      <c r="BL50" s="70">
        <f t="shared" si="38"/>
        <v>94.809539842873178</v>
      </c>
      <c r="BM50" s="90">
        <v>0.80199950663711883</v>
      </c>
      <c r="BN50" s="85">
        <v>68.72</v>
      </c>
      <c r="BO50" s="85">
        <v>86.54680686900231</v>
      </c>
      <c r="BP50" s="70">
        <f t="shared" si="39"/>
        <v>78.916677049106525</v>
      </c>
      <c r="BQ50" s="90">
        <v>0.76042576346309476</v>
      </c>
      <c r="BR50" s="90">
        <v>0.64981856706397889</v>
      </c>
      <c r="BS50" s="85">
        <v>78.782386299999999</v>
      </c>
      <c r="BT50" s="86">
        <v>64.766183499999997</v>
      </c>
      <c r="BU50" s="85">
        <v>87.72361269999999</v>
      </c>
      <c r="BV50" s="86">
        <v>65.064510099999993</v>
      </c>
      <c r="BW50" s="71">
        <f t="shared" si="40"/>
        <v>70.686349907454172</v>
      </c>
      <c r="BX50" s="86">
        <v>71.2</v>
      </c>
      <c r="BY50" s="158">
        <f t="shared" si="41"/>
        <v>71.2</v>
      </c>
      <c r="BZ50" s="54"/>
    </row>
    <row r="51" spans="1:78" s="5" customFormat="1" ht="15" customHeight="1" x14ac:dyDescent="0.25">
      <c r="A51" s="2">
        <v>45</v>
      </c>
      <c r="B51" s="3" t="s">
        <v>10</v>
      </c>
      <c r="C51" s="19" t="s">
        <v>35</v>
      </c>
      <c r="D51" s="162" t="s">
        <v>173</v>
      </c>
      <c r="E51" s="209">
        <f t="shared" si="22"/>
        <v>66.048129090031111</v>
      </c>
      <c r="F51" s="71">
        <f t="shared" si="23"/>
        <v>59.555418218225405</v>
      </c>
      <c r="G51" s="71">
        <f t="shared" si="24"/>
        <v>70.447816478539323</v>
      </c>
      <c r="H51" s="71">
        <f t="shared" si="25"/>
        <v>72.964753748211621</v>
      </c>
      <c r="I51" s="71">
        <f t="shared" si="26"/>
        <v>61.22452791514808</v>
      </c>
      <c r="J51" s="63"/>
      <c r="K51" s="85">
        <v>-1.4648816259083097</v>
      </c>
      <c r="L51" s="208">
        <v>2.44</v>
      </c>
      <c r="M51" s="82">
        <f t="shared" si="21"/>
        <v>100</v>
      </c>
      <c r="N51" s="71">
        <f t="shared" si="27"/>
        <v>58.528435411620499</v>
      </c>
      <c r="O51" s="85">
        <v>57.42103842936622</v>
      </c>
      <c r="P51" s="87">
        <v>41.4</v>
      </c>
      <c r="Q51" s="70">
        <f t="shared" si="28"/>
        <v>80.167243571870117</v>
      </c>
      <c r="R51" s="90">
        <v>5.8000000000000003E-2</v>
      </c>
      <c r="S51" s="85">
        <v>6.1412950000000001E-2</v>
      </c>
      <c r="T51" s="85">
        <v>0.55000000000000004</v>
      </c>
      <c r="U51" s="90">
        <v>3.2410000000000001</v>
      </c>
      <c r="V51" s="70">
        <f t="shared" si="29"/>
        <v>44.668475125661381</v>
      </c>
      <c r="W51" s="85">
        <v>0.13</v>
      </c>
      <c r="X51" s="98">
        <v>15</v>
      </c>
      <c r="Y51" s="87">
        <v>60.3</v>
      </c>
      <c r="Z51" s="214">
        <v>6.7</v>
      </c>
      <c r="AA51" s="71">
        <f t="shared" si="30"/>
        <v>77.373002313808584</v>
      </c>
      <c r="AB51" s="63"/>
      <c r="AC51" s="99">
        <v>27.206289187626925</v>
      </c>
      <c r="AD51" s="87">
        <v>66.2</v>
      </c>
      <c r="AE51" s="88">
        <v>60</v>
      </c>
      <c r="AF51" s="85">
        <v>4.3499999999999996</v>
      </c>
      <c r="AG51" s="88">
        <v>88</v>
      </c>
      <c r="AH51" s="70">
        <f t="shared" si="31"/>
        <v>69.38880817636668</v>
      </c>
      <c r="AI51" s="85">
        <v>-1.47</v>
      </c>
      <c r="AJ51" s="85">
        <v>5</v>
      </c>
      <c r="AK51" s="87">
        <v>99.9</v>
      </c>
      <c r="AL51" s="86">
        <v>7.3732974342135833</v>
      </c>
      <c r="AM51" s="85">
        <v>100</v>
      </c>
      <c r="AN51" s="70">
        <f t="shared" si="32"/>
        <v>71.506824780711938</v>
      </c>
      <c r="AO51" s="63"/>
      <c r="AP51" s="89">
        <v>99.982897873450085</v>
      </c>
      <c r="AQ51" s="89">
        <v>82.003958060197277</v>
      </c>
      <c r="AR51" s="89">
        <v>0</v>
      </c>
      <c r="AS51" s="158">
        <f t="shared" si="33"/>
        <v>90.997703498461163</v>
      </c>
      <c r="AT51" s="89">
        <v>82.679699999999997</v>
      </c>
      <c r="AU51" s="89">
        <v>78.105250291467399</v>
      </c>
      <c r="AV51" s="89">
        <v>57.072452509582945</v>
      </c>
      <c r="AW51" s="100">
        <v>2.5</v>
      </c>
      <c r="AX51" s="71">
        <f t="shared" si="34"/>
        <v>83.812994691623075</v>
      </c>
      <c r="AY51" s="86">
        <v>52.539518926112969</v>
      </c>
      <c r="AZ51" s="71">
        <f t="shared" si="35"/>
        <v>52.539518926112969</v>
      </c>
      <c r="BA51" s="86">
        <v>35.130000000000003</v>
      </c>
      <c r="BB51" s="71">
        <f t="shared" si="36"/>
        <v>64.87</v>
      </c>
      <c r="BC51" s="86">
        <v>23.58</v>
      </c>
      <c r="BD51" s="86">
        <v>50.16</v>
      </c>
      <c r="BE51" s="86">
        <v>50.61</v>
      </c>
      <c r="BF51" s="71">
        <f t="shared" si="37"/>
        <v>45.024000000000001</v>
      </c>
      <c r="BG51" s="63"/>
      <c r="BH51" s="85">
        <v>7.0000000000000007E-2</v>
      </c>
      <c r="BI51" s="85">
        <v>5.37</v>
      </c>
      <c r="BJ51" s="88">
        <v>124</v>
      </c>
      <c r="BK51" s="81">
        <v>93.939393939393938</v>
      </c>
      <c r="BL51" s="70">
        <f t="shared" si="38"/>
        <v>83.799770102458268</v>
      </c>
      <c r="BM51" s="90">
        <v>0.41581792499083731</v>
      </c>
      <c r="BN51" s="85">
        <v>59.79</v>
      </c>
      <c r="BO51" s="85">
        <v>32.640578154670564</v>
      </c>
      <c r="BP51" s="70">
        <f t="shared" si="39"/>
        <v>43.898540788209502</v>
      </c>
      <c r="BQ51" s="90">
        <v>0.59234577986388104</v>
      </c>
      <c r="BR51" s="90">
        <v>0.59900356467227134</v>
      </c>
      <c r="BS51" s="85">
        <v>63.133730799999995</v>
      </c>
      <c r="BT51" s="86">
        <v>73.395251000000002</v>
      </c>
      <c r="BU51" s="85">
        <v>82.14198789999999</v>
      </c>
      <c r="BV51" s="86">
        <v>70.103291299999995</v>
      </c>
      <c r="BW51" s="71">
        <f t="shared" si="40"/>
        <v>66.900066151630497</v>
      </c>
      <c r="BX51" s="86">
        <v>36.9</v>
      </c>
      <c r="BY51" s="158">
        <f t="shared" si="41"/>
        <v>36.9</v>
      </c>
      <c r="BZ51" s="54"/>
    </row>
    <row r="52" spans="1:78" s="5" customFormat="1" ht="15" customHeight="1" x14ac:dyDescent="0.25">
      <c r="A52" s="2">
        <v>46</v>
      </c>
      <c r="B52" s="6" t="s">
        <v>13</v>
      </c>
      <c r="C52" s="7" t="s">
        <v>14</v>
      </c>
      <c r="D52" s="162" t="s">
        <v>174</v>
      </c>
      <c r="E52" s="209">
        <f t="shared" si="22"/>
        <v>65.411745154269042</v>
      </c>
      <c r="F52" s="71">
        <f t="shared" si="23"/>
        <v>61.39180253971287</v>
      </c>
      <c r="G52" s="71">
        <f t="shared" si="24"/>
        <v>64.585974899784446</v>
      </c>
      <c r="H52" s="71">
        <f t="shared" si="25"/>
        <v>70.019324933070607</v>
      </c>
      <c r="I52" s="71">
        <f t="shared" si="26"/>
        <v>65.64987824450823</v>
      </c>
      <c r="J52" s="63"/>
      <c r="K52" s="85">
        <v>2.1365369295930137</v>
      </c>
      <c r="L52" s="208">
        <v>8.42</v>
      </c>
      <c r="M52" s="82">
        <f t="shared" si="21"/>
        <v>79.925925925925924</v>
      </c>
      <c r="N52" s="71">
        <f t="shared" si="27"/>
        <v>68.499279238479701</v>
      </c>
      <c r="O52" s="85">
        <v>18.047651471524659</v>
      </c>
      <c r="P52" s="87">
        <v>60.6</v>
      </c>
      <c r="Q52" s="70">
        <f t="shared" si="28"/>
        <v>49.75980637306926</v>
      </c>
      <c r="R52" s="90">
        <v>9.0999999999999998E-2</v>
      </c>
      <c r="S52" s="85">
        <v>1.0010595</v>
      </c>
      <c r="T52" s="85">
        <v>0.69</v>
      </c>
      <c r="U52" s="90">
        <v>2.9580000000000002</v>
      </c>
      <c r="V52" s="70">
        <f t="shared" si="29"/>
        <v>55.737334589947096</v>
      </c>
      <c r="W52" s="85">
        <v>5.992</v>
      </c>
      <c r="X52" s="87">
        <v>3.2</v>
      </c>
      <c r="Y52" s="87">
        <v>50.71</v>
      </c>
      <c r="Z52" s="214">
        <v>7.5</v>
      </c>
      <c r="AA52" s="71">
        <f t="shared" si="30"/>
        <v>76.836945459723879</v>
      </c>
      <c r="AB52" s="63"/>
      <c r="AC52" s="85">
        <v>25.609024481204361</v>
      </c>
      <c r="AD52" s="87">
        <v>81</v>
      </c>
      <c r="AE52" s="88">
        <v>70</v>
      </c>
      <c r="AF52" s="85">
        <v>6.5</v>
      </c>
      <c r="AG52" s="88">
        <v>55</v>
      </c>
      <c r="AH52" s="70">
        <f t="shared" si="31"/>
        <v>66.406016320802905</v>
      </c>
      <c r="AI52" s="85">
        <v>0.89</v>
      </c>
      <c r="AJ52" s="85">
        <v>3.64</v>
      </c>
      <c r="AK52" s="87">
        <v>89.1</v>
      </c>
      <c r="AL52" s="86">
        <v>5.6650954494683665</v>
      </c>
      <c r="AM52" s="85">
        <v>91.618691883228607</v>
      </c>
      <c r="AN52" s="70">
        <f t="shared" si="32"/>
        <v>62.765933478765994</v>
      </c>
      <c r="AO52" s="63"/>
      <c r="AP52" s="89">
        <v>89.488460734897245</v>
      </c>
      <c r="AQ52" s="89">
        <v>74.043436104577481</v>
      </c>
      <c r="AR52" s="89">
        <v>4.6399999999999997</v>
      </c>
      <c r="AS52" s="158">
        <f t="shared" si="33"/>
        <v>83.233833236013055</v>
      </c>
      <c r="AT52" s="89">
        <v>76.2453</v>
      </c>
      <c r="AU52" s="89">
        <v>75.26323707126592</v>
      </c>
      <c r="AV52" s="89">
        <v>60.389369183977259</v>
      </c>
      <c r="AW52" s="100">
        <v>2.5</v>
      </c>
      <c r="AX52" s="71">
        <f t="shared" si="34"/>
        <v>76.95588502691254</v>
      </c>
      <c r="AY52" s="86">
        <v>54.907227458591748</v>
      </c>
      <c r="AZ52" s="71">
        <f t="shared" si="35"/>
        <v>54.907227458591748</v>
      </c>
      <c r="BA52" s="86">
        <v>29.83</v>
      </c>
      <c r="BB52" s="71">
        <f t="shared" si="36"/>
        <v>70.17</v>
      </c>
      <c r="BC52" s="86">
        <v>56.95</v>
      </c>
      <c r="BD52" s="86">
        <v>44.73</v>
      </c>
      <c r="BE52" s="86">
        <v>52.82</v>
      </c>
      <c r="BF52" s="71">
        <f t="shared" si="37"/>
        <v>50.410000000000004</v>
      </c>
      <c r="BG52" s="63"/>
      <c r="BH52" s="85">
        <v>1.1200000000000001</v>
      </c>
      <c r="BI52" s="85">
        <v>4.83</v>
      </c>
      <c r="BJ52" s="88">
        <v>103</v>
      </c>
      <c r="BK52" s="81">
        <v>86.36363636363636</v>
      </c>
      <c r="BL52" s="70">
        <f t="shared" si="38"/>
        <v>73.886524745664531</v>
      </c>
      <c r="BM52" s="90">
        <v>0.6631715149479952</v>
      </c>
      <c r="BN52" s="85">
        <v>67.709999999999994</v>
      </c>
      <c r="BO52" s="85">
        <v>65.158268792736791</v>
      </c>
      <c r="BP52" s="70">
        <f t="shared" si="39"/>
        <v>66.375642945583962</v>
      </c>
      <c r="BQ52" s="90">
        <v>0.57550155548392945</v>
      </c>
      <c r="BR52" s="90">
        <v>0.5633302508797966</v>
      </c>
      <c r="BS52" s="85">
        <v>48.380564899999996</v>
      </c>
      <c r="BT52" s="86">
        <v>59.470501599999999</v>
      </c>
      <c r="BU52" s="85">
        <v>68.608399899999995</v>
      </c>
      <c r="BV52" s="86">
        <v>60.910417199999998</v>
      </c>
      <c r="BW52" s="71">
        <f t="shared" si="40"/>
        <v>57.170154784048329</v>
      </c>
      <c r="BX52" s="86">
        <v>72.56</v>
      </c>
      <c r="BY52" s="158">
        <f t="shared" si="41"/>
        <v>72.56</v>
      </c>
      <c r="BZ52" s="54"/>
    </row>
    <row r="53" spans="1:78" s="5" customFormat="1" ht="15" customHeight="1" x14ac:dyDescent="0.25">
      <c r="A53" s="2">
        <v>47</v>
      </c>
      <c r="B53" s="3" t="s">
        <v>10</v>
      </c>
      <c r="C53" s="22" t="s">
        <v>49</v>
      </c>
      <c r="D53" s="162" t="s">
        <v>50</v>
      </c>
      <c r="E53" s="209">
        <f t="shared" si="22"/>
        <v>65.316623648013902</v>
      </c>
      <c r="F53" s="71">
        <f t="shared" si="23"/>
        <v>58.304141884064649</v>
      </c>
      <c r="G53" s="71">
        <f t="shared" si="24"/>
        <v>65.067458416889096</v>
      </c>
      <c r="H53" s="71">
        <f t="shared" si="25"/>
        <v>68.356892636189244</v>
      </c>
      <c r="I53" s="71">
        <f t="shared" si="26"/>
        <v>69.538001654912634</v>
      </c>
      <c r="J53" s="63"/>
      <c r="K53" s="86">
        <v>0.23442556873756182</v>
      </c>
      <c r="L53" s="207">
        <v>1.02</v>
      </c>
      <c r="M53" s="82">
        <f t="shared" si="21"/>
        <v>100</v>
      </c>
      <c r="N53" s="71">
        <f t="shared" si="27"/>
        <v>67.969030937430901</v>
      </c>
      <c r="O53" s="86">
        <v>45.334439892513203</v>
      </c>
      <c r="P53" s="100">
        <v>1.5</v>
      </c>
      <c r="Q53" s="70">
        <f t="shared" si="28"/>
        <v>91.185799940285108</v>
      </c>
      <c r="R53" s="167">
        <v>3.6999999999999998E-2</v>
      </c>
      <c r="S53" s="92">
        <v>-0.71374162498818361</v>
      </c>
      <c r="T53" s="86">
        <v>0.49</v>
      </c>
      <c r="U53" s="167">
        <v>4.1070000000000002</v>
      </c>
      <c r="V53" s="70">
        <f t="shared" si="29"/>
        <v>34.835902893551342</v>
      </c>
      <c r="W53" s="86">
        <v>5.2770000000000001</v>
      </c>
      <c r="X53" s="100">
        <v>21.4</v>
      </c>
      <c r="Y53" s="100">
        <v>71.069999999999993</v>
      </c>
      <c r="Z53" s="215">
        <v>2.1</v>
      </c>
      <c r="AA53" s="71">
        <f t="shared" si="30"/>
        <v>81.645669410012502</v>
      </c>
      <c r="AB53" s="63"/>
      <c r="AC53" s="86">
        <v>26.914522711646331</v>
      </c>
      <c r="AD53" s="100">
        <v>66.099999999999994</v>
      </c>
      <c r="AE53" s="95">
        <v>65</v>
      </c>
      <c r="AF53" s="85">
        <v>5.5</v>
      </c>
      <c r="AG53" s="91">
        <v>67.190321855018524</v>
      </c>
      <c r="AH53" s="70">
        <f t="shared" si="31"/>
        <v>66.247812373344232</v>
      </c>
      <c r="AI53" s="92">
        <v>-0.20108172123899681</v>
      </c>
      <c r="AJ53" s="86">
        <v>3.9</v>
      </c>
      <c r="AK53" s="100">
        <v>95</v>
      </c>
      <c r="AL53" s="86">
        <v>7.2719177135918462</v>
      </c>
      <c r="AM53" s="86">
        <v>70.397794006254202</v>
      </c>
      <c r="AN53" s="70">
        <f t="shared" si="32"/>
        <v>63.887104460433953</v>
      </c>
      <c r="AO53" s="63"/>
      <c r="AP53" s="89">
        <v>99.981412701597833</v>
      </c>
      <c r="AQ53" s="89">
        <v>72.996926263914503</v>
      </c>
      <c r="AR53" s="97">
        <v>0.38</v>
      </c>
      <c r="AS53" s="158">
        <f t="shared" si="33"/>
        <v>86.398816307356711</v>
      </c>
      <c r="AT53" s="89">
        <v>75.668499999999995</v>
      </c>
      <c r="AU53" s="89">
        <v>75.0010113007082</v>
      </c>
      <c r="AV53" s="89">
        <v>63.559000366816655</v>
      </c>
      <c r="AW53" s="100">
        <v>2.5</v>
      </c>
      <c r="AX53" s="71">
        <f t="shared" si="34"/>
        <v>76.861392759094869</v>
      </c>
      <c r="AY53" s="86">
        <v>49.442004374667412</v>
      </c>
      <c r="AZ53" s="71">
        <f t="shared" si="35"/>
        <v>49.442004374667412</v>
      </c>
      <c r="BA53" s="92">
        <v>32.340000000000003</v>
      </c>
      <c r="BB53" s="71">
        <f t="shared" si="36"/>
        <v>67.66</v>
      </c>
      <c r="BC53" s="86">
        <v>14.81</v>
      </c>
      <c r="BD53" s="86">
        <v>62.46</v>
      </c>
      <c r="BE53" s="86">
        <v>32.94</v>
      </c>
      <c r="BF53" s="71">
        <f t="shared" si="37"/>
        <v>41.122</v>
      </c>
      <c r="BG53" s="63"/>
      <c r="BH53" s="86">
        <v>0.49</v>
      </c>
      <c r="BI53" s="86">
        <v>2.9</v>
      </c>
      <c r="BJ53" s="95">
        <v>156</v>
      </c>
      <c r="BK53" s="82">
        <v>90.909090909090907</v>
      </c>
      <c r="BL53" s="70">
        <f t="shared" si="38"/>
        <v>95.706116722783392</v>
      </c>
      <c r="BM53" s="96">
        <v>0.51264903268568041</v>
      </c>
      <c r="BN53" s="86">
        <v>52.58</v>
      </c>
      <c r="BO53" s="86">
        <v>40.042180699598916</v>
      </c>
      <c r="BP53" s="70">
        <f t="shared" si="39"/>
        <v>48.787996809183753</v>
      </c>
      <c r="BQ53" s="96">
        <v>0.49552580777547783</v>
      </c>
      <c r="BR53" s="96">
        <v>0.64951840307277564</v>
      </c>
      <c r="BS53" s="86">
        <v>71.864878300000001</v>
      </c>
      <c r="BT53" s="86">
        <v>67.580100700000003</v>
      </c>
      <c r="BU53" s="86">
        <v>86.43885259999999</v>
      </c>
      <c r="BV53" s="86">
        <v>68.851429999999993</v>
      </c>
      <c r="BW53" s="71">
        <f t="shared" si="40"/>
        <v>66.934495518461887</v>
      </c>
      <c r="BX53" s="92">
        <v>75.48</v>
      </c>
      <c r="BY53" s="158">
        <f t="shared" si="41"/>
        <v>75.48</v>
      </c>
      <c r="BZ53" s="54"/>
    </row>
    <row r="54" spans="1:78" s="13" customFormat="1" ht="15" customHeight="1" x14ac:dyDescent="0.2">
      <c r="A54" s="2">
        <v>48</v>
      </c>
      <c r="B54" s="6" t="s">
        <v>13</v>
      </c>
      <c r="C54" s="7" t="s">
        <v>14</v>
      </c>
      <c r="D54" s="162" t="s">
        <v>103</v>
      </c>
      <c r="E54" s="209">
        <f t="shared" si="22"/>
        <v>64.510041662617809</v>
      </c>
      <c r="F54" s="71">
        <f t="shared" si="23"/>
        <v>63.372904687815144</v>
      </c>
      <c r="G54" s="71">
        <f t="shared" si="24"/>
        <v>60.251050530489458</v>
      </c>
      <c r="H54" s="71">
        <f t="shared" si="25"/>
        <v>73.90297963194503</v>
      </c>
      <c r="I54" s="71">
        <f t="shared" si="26"/>
        <v>60.513231800221583</v>
      </c>
      <c r="J54" s="130"/>
      <c r="K54" s="85">
        <v>1.4305759680216745</v>
      </c>
      <c r="L54" s="208">
        <v>8.98</v>
      </c>
      <c r="M54" s="82">
        <f t="shared" ref="M54:M85" si="42">IF(L54&lt;-5, 0, IF(AND(L54&gt;=1, L54&lt;=3), 100, IF(L54&gt;30, 0, IF(L54&lt;1, 100 * ((L54 + 5) / 6), 100 * ((30 - L54) / (30 - 3))))))</f>
        <v>77.851851851851848</v>
      </c>
      <c r="N54" s="71">
        <f t="shared" si="27"/>
        <v>63.540236859379675</v>
      </c>
      <c r="O54" s="85">
        <v>23.835198372282047</v>
      </c>
      <c r="P54" s="87">
        <v>75.2</v>
      </c>
      <c r="Q54" s="70">
        <f t="shared" si="28"/>
        <v>46.486221317934472</v>
      </c>
      <c r="R54" s="90">
        <v>0.124</v>
      </c>
      <c r="S54" s="85">
        <v>1.1648879999999999</v>
      </c>
      <c r="T54" s="85">
        <v>0.73</v>
      </c>
      <c r="U54" s="90">
        <v>2.7570000000000001</v>
      </c>
      <c r="V54" s="70">
        <f t="shared" si="29"/>
        <v>60.927334391534394</v>
      </c>
      <c r="W54" s="85">
        <v>4.5209999999999999</v>
      </c>
      <c r="X54" s="87">
        <v>0.9</v>
      </c>
      <c r="Y54" s="87">
        <v>45.29</v>
      </c>
      <c r="Z54" s="214">
        <v>6.6</v>
      </c>
      <c r="AA54" s="71">
        <f t="shared" si="30"/>
        <v>78.329122433679217</v>
      </c>
      <c r="AB54" s="130"/>
      <c r="AC54" s="85">
        <v>21.944583177677288</v>
      </c>
      <c r="AD54" s="87">
        <v>67.3</v>
      </c>
      <c r="AE54" s="88">
        <v>80</v>
      </c>
      <c r="AF54" s="85">
        <v>6.25</v>
      </c>
      <c r="AG54" s="88">
        <v>58</v>
      </c>
      <c r="AH54" s="70">
        <f t="shared" si="31"/>
        <v>63.910491349220763</v>
      </c>
      <c r="AI54" s="85">
        <v>-0.26</v>
      </c>
      <c r="AJ54" s="85">
        <v>3.25</v>
      </c>
      <c r="AK54" s="87">
        <v>85.1</v>
      </c>
      <c r="AL54" s="86">
        <v>5.2675509988298481</v>
      </c>
      <c r="AM54" s="85">
        <v>88.648638293951905</v>
      </c>
      <c r="AN54" s="70">
        <f t="shared" si="32"/>
        <v>56.591609711758146</v>
      </c>
      <c r="AO54" s="130"/>
      <c r="AP54" s="89">
        <v>97.31911294550693</v>
      </c>
      <c r="AQ54" s="89">
        <v>79.849545462848241</v>
      </c>
      <c r="AR54" s="89">
        <v>3.9</v>
      </c>
      <c r="AS54" s="158">
        <f t="shared" si="33"/>
        <v>88.279550967800844</v>
      </c>
      <c r="AT54" s="89">
        <v>77.332599999999999</v>
      </c>
      <c r="AU54" s="89">
        <v>81.844967938296364</v>
      </c>
      <c r="AV54" s="89">
        <v>51.919670937899639</v>
      </c>
      <c r="AW54" s="100">
        <v>2.5</v>
      </c>
      <c r="AX54" s="71">
        <f t="shared" si="34"/>
        <v>78.340619738114526</v>
      </c>
      <c r="AY54" s="86">
        <v>63.423499926618888</v>
      </c>
      <c r="AZ54" s="71">
        <f t="shared" si="35"/>
        <v>63.423499926618888</v>
      </c>
      <c r="BA54" s="86">
        <v>30.58</v>
      </c>
      <c r="BB54" s="71">
        <f t="shared" si="36"/>
        <v>69.42</v>
      </c>
      <c r="BC54" s="86">
        <v>58.53</v>
      </c>
      <c r="BD54" s="86">
        <v>43.25</v>
      </c>
      <c r="BE54" s="86">
        <v>54.66</v>
      </c>
      <c r="BF54" s="71">
        <f t="shared" si="37"/>
        <v>50.87</v>
      </c>
      <c r="BG54" s="130"/>
      <c r="BH54" s="85">
        <v>0.7</v>
      </c>
      <c r="BI54" s="85">
        <v>4.62</v>
      </c>
      <c r="BJ54" s="88">
        <v>96</v>
      </c>
      <c r="BK54" s="81">
        <v>84.848484848484844</v>
      </c>
      <c r="BL54" s="70">
        <f t="shared" si="38"/>
        <v>71.079921074544728</v>
      </c>
      <c r="BM54" s="90">
        <v>0.56262156297270449</v>
      </c>
      <c r="BN54" s="85">
        <v>59.85</v>
      </c>
      <c r="BO54" s="85">
        <v>59.43338493290878</v>
      </c>
      <c r="BP54" s="70">
        <f t="shared" si="39"/>
        <v>57.951924381862419</v>
      </c>
      <c r="BQ54" s="90">
        <v>0.35014158378508498</v>
      </c>
      <c r="BR54" s="90">
        <v>0.44671930990899256</v>
      </c>
      <c r="BS54" s="85">
        <v>48.653098899999996</v>
      </c>
      <c r="BT54" s="86">
        <v>61.099587700000001</v>
      </c>
      <c r="BU54" s="85">
        <v>73.347587500000003</v>
      </c>
      <c r="BV54" s="86">
        <v>60.146917999999999</v>
      </c>
      <c r="BW54" s="71">
        <f t="shared" si="40"/>
        <v>52.536212048647648</v>
      </c>
      <c r="BX54" s="86">
        <v>69.7</v>
      </c>
      <c r="BY54" s="158">
        <f t="shared" si="41"/>
        <v>69.7</v>
      </c>
      <c r="BZ54" s="54"/>
    </row>
    <row r="55" spans="1:78" s="5" customFormat="1" ht="15" customHeight="1" x14ac:dyDescent="0.25">
      <c r="A55" s="2">
        <v>49</v>
      </c>
      <c r="B55" s="6" t="s">
        <v>13</v>
      </c>
      <c r="C55" s="7" t="s">
        <v>14</v>
      </c>
      <c r="D55" s="162" t="s">
        <v>51</v>
      </c>
      <c r="E55" s="209">
        <f t="shared" si="22"/>
        <v>64.299399288682295</v>
      </c>
      <c r="F55" s="71">
        <f t="shared" si="23"/>
        <v>61.893403252195782</v>
      </c>
      <c r="G55" s="71">
        <f t="shared" si="24"/>
        <v>61.277482455005973</v>
      </c>
      <c r="H55" s="71">
        <f t="shared" si="25"/>
        <v>70.149015128985695</v>
      </c>
      <c r="I55" s="71">
        <f t="shared" si="26"/>
        <v>63.877696318541759</v>
      </c>
      <c r="J55" s="63"/>
      <c r="K55" s="85">
        <v>3.3535755054302285</v>
      </c>
      <c r="L55" s="208">
        <v>6.1</v>
      </c>
      <c r="M55" s="82">
        <f t="shared" si="42"/>
        <v>88.518518518518519</v>
      </c>
      <c r="N55" s="71">
        <f t="shared" si="27"/>
        <v>79.55690095609387</v>
      </c>
      <c r="O55" s="85">
        <v>16.722460585626877</v>
      </c>
      <c r="P55" s="87">
        <v>27.1</v>
      </c>
      <c r="Q55" s="70">
        <f t="shared" si="28"/>
        <v>63.912478103126041</v>
      </c>
      <c r="R55" s="90">
        <v>5.8999999999999997E-2</v>
      </c>
      <c r="S55" s="85">
        <v>0.79898309999999995</v>
      </c>
      <c r="T55" s="85">
        <v>0.66</v>
      </c>
      <c r="U55" s="90">
        <v>2.976</v>
      </c>
      <c r="V55" s="70">
        <f t="shared" si="29"/>
        <v>51.719926600529099</v>
      </c>
      <c r="W55" s="85">
        <v>3.536</v>
      </c>
      <c r="X55" s="87">
        <v>3.6</v>
      </c>
      <c r="Y55" s="87">
        <v>37.21</v>
      </c>
      <c r="Z55" s="214">
        <v>8.5</v>
      </c>
      <c r="AA55" s="71">
        <f t="shared" si="30"/>
        <v>73.963512563411783</v>
      </c>
      <c r="AB55" s="63"/>
      <c r="AC55" s="85">
        <v>20.132259515094127</v>
      </c>
      <c r="AD55" s="87">
        <v>75.8</v>
      </c>
      <c r="AE55" s="88">
        <v>60</v>
      </c>
      <c r="AF55" s="85">
        <v>2.4</v>
      </c>
      <c r="AG55" s="88">
        <v>65</v>
      </c>
      <c r="AH55" s="70">
        <f t="shared" si="31"/>
        <v>62.939455061344802</v>
      </c>
      <c r="AI55" s="85">
        <v>0.71</v>
      </c>
      <c r="AJ55" s="85">
        <v>4.1100000000000003</v>
      </c>
      <c r="AK55" s="87">
        <v>89.1</v>
      </c>
      <c r="AL55" s="86">
        <v>5.0980670674897386</v>
      </c>
      <c r="AM55" s="85">
        <v>74.556717742208093</v>
      </c>
      <c r="AN55" s="70">
        <f t="shared" si="32"/>
        <v>59.615509848667152</v>
      </c>
      <c r="AO55" s="63"/>
      <c r="AP55" s="89">
        <v>95.99873309261109</v>
      </c>
      <c r="AQ55" s="89">
        <v>74.681541778471825</v>
      </c>
      <c r="AR55" s="89">
        <v>4.1399999999999997</v>
      </c>
      <c r="AS55" s="158">
        <f t="shared" si="33"/>
        <v>85.305454162388685</v>
      </c>
      <c r="AT55" s="89">
        <v>75.961200000000005</v>
      </c>
      <c r="AU55" s="89">
        <v>80.638053141327134</v>
      </c>
      <c r="AV55" s="89">
        <v>55.78518445220169</v>
      </c>
      <c r="AW55" s="100">
        <v>2.5</v>
      </c>
      <c r="AX55" s="71">
        <f t="shared" si="34"/>
        <v>77.289450627255761</v>
      </c>
      <c r="AY55" s="86">
        <v>53.988975475396089</v>
      </c>
      <c r="AZ55" s="71">
        <f t="shared" si="35"/>
        <v>53.988975475396089</v>
      </c>
      <c r="BA55" s="86">
        <v>39.47</v>
      </c>
      <c r="BB55" s="71">
        <f t="shared" si="36"/>
        <v>60.53</v>
      </c>
      <c r="BC55" s="86">
        <v>64.180000000000007</v>
      </c>
      <c r="BD55" s="86">
        <v>34.97</v>
      </c>
      <c r="BE55" s="86">
        <v>64.13</v>
      </c>
      <c r="BF55" s="71">
        <f t="shared" si="37"/>
        <v>52.475999999999999</v>
      </c>
      <c r="BG55" s="63"/>
      <c r="BH55" s="85">
        <v>1.17</v>
      </c>
      <c r="BI55" s="85">
        <v>5.58</v>
      </c>
      <c r="BJ55" s="88">
        <v>136</v>
      </c>
      <c r="BK55" s="81">
        <v>81.818181818181813</v>
      </c>
      <c r="BL55" s="70">
        <f t="shared" si="38"/>
        <v>83.727107997538099</v>
      </c>
      <c r="BM55" s="90">
        <v>0.60288015768646663</v>
      </c>
      <c r="BN55" s="85">
        <v>60.28</v>
      </c>
      <c r="BO55" s="85">
        <v>59.584287140589062</v>
      </c>
      <c r="BP55" s="70">
        <f t="shared" si="39"/>
        <v>60.110079669470601</v>
      </c>
      <c r="BQ55" s="90">
        <v>0.49657125771451033</v>
      </c>
      <c r="BR55" s="90">
        <v>0.48894497885452459</v>
      </c>
      <c r="BS55" s="85">
        <v>42.996494800000001</v>
      </c>
      <c r="BT55" s="86">
        <v>52.173077299999996</v>
      </c>
      <c r="BU55" s="85">
        <v>66.576406899999995</v>
      </c>
      <c r="BV55" s="86">
        <v>59.405500399999994</v>
      </c>
      <c r="BW55" s="71">
        <f t="shared" si="40"/>
        <v>51.271129766617292</v>
      </c>
      <c r="BX55" s="86">
        <v>69.680000000000007</v>
      </c>
      <c r="BY55" s="158">
        <f t="shared" si="41"/>
        <v>69.680000000000007</v>
      </c>
      <c r="BZ55" s="54"/>
    </row>
    <row r="56" spans="1:78" s="5" customFormat="1" ht="15" customHeight="1" x14ac:dyDescent="0.25">
      <c r="A56" s="2">
        <v>50</v>
      </c>
      <c r="B56" s="3" t="s">
        <v>10</v>
      </c>
      <c r="C56" s="22" t="s">
        <v>49</v>
      </c>
      <c r="D56" s="162" t="s">
        <v>137</v>
      </c>
      <c r="E56" s="209">
        <f t="shared" si="22"/>
        <v>64.237456377225556</v>
      </c>
      <c r="F56" s="71">
        <f t="shared" si="23"/>
        <v>63.193796896505312</v>
      </c>
      <c r="G56" s="71">
        <f t="shared" si="24"/>
        <v>64.554886201196453</v>
      </c>
      <c r="H56" s="71">
        <f t="shared" si="25"/>
        <v>67.384803398965246</v>
      </c>
      <c r="I56" s="71">
        <f t="shared" si="26"/>
        <v>61.816339012235218</v>
      </c>
      <c r="J56" s="63"/>
      <c r="K56" s="85">
        <v>4.4243616030421817</v>
      </c>
      <c r="L56" s="208">
        <v>2.3200000000000003</v>
      </c>
      <c r="M56" s="82">
        <f t="shared" si="42"/>
        <v>100</v>
      </c>
      <c r="N56" s="71">
        <f t="shared" si="27"/>
        <v>91.246453350234333</v>
      </c>
      <c r="O56" s="85">
        <v>23.37808202621185</v>
      </c>
      <c r="P56" s="87">
        <v>70.7</v>
      </c>
      <c r="Q56" s="70">
        <f t="shared" si="28"/>
        <v>48.232267792339911</v>
      </c>
      <c r="R56" s="90">
        <v>0.154</v>
      </c>
      <c r="S56" s="85">
        <v>0.81823765999999998</v>
      </c>
      <c r="T56" s="85">
        <v>0.72</v>
      </c>
      <c r="U56" s="90">
        <v>3.0489999999999999</v>
      </c>
      <c r="V56" s="70">
        <f t="shared" si="29"/>
        <v>60.462829478835971</v>
      </c>
      <c r="W56" s="85">
        <v>3.7639999999999998</v>
      </c>
      <c r="X56" s="98">
        <v>37.200000000000003</v>
      </c>
      <c r="Y56" s="87">
        <v>30.41</v>
      </c>
      <c r="Z56" s="214">
        <v>6.3</v>
      </c>
      <c r="AA56" s="71">
        <f t="shared" si="30"/>
        <v>66.411586612851593</v>
      </c>
      <c r="AB56" s="63"/>
      <c r="AC56" s="85">
        <v>21.333661715859193</v>
      </c>
      <c r="AD56" s="87">
        <v>62.7</v>
      </c>
      <c r="AE56" s="88">
        <v>60</v>
      </c>
      <c r="AF56" s="85">
        <v>2.75</v>
      </c>
      <c r="AG56" s="88">
        <v>68</v>
      </c>
      <c r="AH56" s="70">
        <f t="shared" si="31"/>
        <v>61.967312938777923</v>
      </c>
      <c r="AI56" s="85">
        <v>-0.54</v>
      </c>
      <c r="AJ56" s="85">
        <v>4.45</v>
      </c>
      <c r="AK56" s="87">
        <v>83.5</v>
      </c>
      <c r="AL56" s="86">
        <v>6.6391396080751273</v>
      </c>
      <c r="AM56" s="85">
        <v>98.821964620187302</v>
      </c>
      <c r="AN56" s="70">
        <f t="shared" si="32"/>
        <v>67.142459463614983</v>
      </c>
      <c r="AO56" s="63"/>
      <c r="AP56" s="89">
        <v>94.982843119152037</v>
      </c>
      <c r="AQ56" s="89">
        <v>75.00240120429531</v>
      </c>
      <c r="AR56" s="89">
        <v>1.74</v>
      </c>
      <c r="AS56" s="158">
        <f t="shared" si="33"/>
        <v>85.811911381935658</v>
      </c>
      <c r="AT56" s="89">
        <v>76.986999999999995</v>
      </c>
      <c r="AU56" s="89">
        <v>70.117884422439204</v>
      </c>
      <c r="AV56" s="89">
        <v>54.019542828118972</v>
      </c>
      <c r="AW56" s="100">
        <v>2.5</v>
      </c>
      <c r="AX56" s="71">
        <f t="shared" si="34"/>
        <v>75.165054187855702</v>
      </c>
      <c r="AY56" s="86">
        <v>50.163026350927318</v>
      </c>
      <c r="AZ56" s="71">
        <f t="shared" si="35"/>
        <v>50.163026350927318</v>
      </c>
      <c r="BA56" s="86">
        <v>40.67</v>
      </c>
      <c r="BB56" s="71">
        <f t="shared" si="36"/>
        <v>59.33</v>
      </c>
      <c r="BC56" s="86">
        <v>36</v>
      </c>
      <c r="BD56" s="86">
        <v>49.07</v>
      </c>
      <c r="BE56" s="86">
        <v>35.85</v>
      </c>
      <c r="BF56" s="71">
        <f t="shared" si="37"/>
        <v>41.167999999999992</v>
      </c>
      <c r="BG56" s="63"/>
      <c r="BH56" s="85">
        <v>0.69</v>
      </c>
      <c r="BI56" s="85">
        <v>6.53</v>
      </c>
      <c r="BJ56" s="88">
        <v>121</v>
      </c>
      <c r="BK56" s="81">
        <v>57.575757575757578</v>
      </c>
      <c r="BL56" s="70">
        <f t="shared" si="38"/>
        <v>69.772424966510997</v>
      </c>
      <c r="BM56" s="90">
        <v>0.49958284652746499</v>
      </c>
      <c r="BN56" s="85">
        <v>52.73</v>
      </c>
      <c r="BO56" s="85">
        <v>40.402234771373308</v>
      </c>
      <c r="BP56" s="70">
        <f t="shared" si="39"/>
        <v>48.262201019216576</v>
      </c>
      <c r="BQ56" s="90">
        <v>0.56383711715517604</v>
      </c>
      <c r="BR56" s="90">
        <v>0.58706227611214579</v>
      </c>
      <c r="BS56" s="85">
        <v>57.943153599999995</v>
      </c>
      <c r="BT56" s="86">
        <v>69.127333300000004</v>
      </c>
      <c r="BU56" s="85">
        <v>72.467049799999998</v>
      </c>
      <c r="BV56" s="86">
        <v>65.594863500000002</v>
      </c>
      <c r="BW56" s="71">
        <f t="shared" si="40"/>
        <v>62.858778470978599</v>
      </c>
      <c r="BX56" s="86">
        <v>78.94</v>
      </c>
      <c r="BY56" s="158">
        <f t="shared" si="41"/>
        <v>78.94</v>
      </c>
      <c r="BZ56" s="54"/>
    </row>
    <row r="57" spans="1:78" s="5" customFormat="1" ht="15" customHeight="1" x14ac:dyDescent="0.25">
      <c r="A57" s="2">
        <v>51</v>
      </c>
      <c r="B57" s="14" t="s">
        <v>23</v>
      </c>
      <c r="C57" s="16" t="s">
        <v>26</v>
      </c>
      <c r="D57" s="162" t="s">
        <v>61</v>
      </c>
      <c r="E57" s="209">
        <f t="shared" si="22"/>
        <v>64.135449022173347</v>
      </c>
      <c r="F57" s="71">
        <f t="shared" si="23"/>
        <v>57.557635422740965</v>
      </c>
      <c r="G57" s="71">
        <f t="shared" si="24"/>
        <v>63.34403731774033</v>
      </c>
      <c r="H57" s="71">
        <f t="shared" si="25"/>
        <v>72.309435041642914</v>
      </c>
      <c r="I57" s="71">
        <f t="shared" si="26"/>
        <v>63.330688306569158</v>
      </c>
      <c r="J57" s="63"/>
      <c r="K57" s="85">
        <v>1.4759248086909427</v>
      </c>
      <c r="L57" s="208">
        <v>6.36</v>
      </c>
      <c r="M57" s="82">
        <f t="shared" si="42"/>
        <v>87.555555555555557</v>
      </c>
      <c r="N57" s="71">
        <f t="shared" si="27"/>
        <v>68.644026714949689</v>
      </c>
      <c r="O57" s="85">
        <v>22.814673761820657</v>
      </c>
      <c r="P57" s="87">
        <v>41.8</v>
      </c>
      <c r="Q57" s="70">
        <f t="shared" si="28"/>
        <v>60.763707645455924</v>
      </c>
      <c r="R57" s="90">
        <v>5.1999999999999998E-2</v>
      </c>
      <c r="S57" s="85">
        <v>-3.5130362999999998E-2</v>
      </c>
      <c r="T57" s="85">
        <v>0.7</v>
      </c>
      <c r="U57" s="90">
        <v>3.7280000000000002</v>
      </c>
      <c r="V57" s="70">
        <f t="shared" si="29"/>
        <v>46.636807192724866</v>
      </c>
      <c r="W57" s="85">
        <v>8.9740000000000002</v>
      </c>
      <c r="X57" s="87">
        <v>26.4</v>
      </c>
      <c r="Y57" s="87">
        <v>34.39</v>
      </c>
      <c r="Z57" s="214">
        <v>3.2</v>
      </c>
      <c r="AA57" s="71">
        <f t="shared" si="30"/>
        <v>73.041092032260707</v>
      </c>
      <c r="AB57" s="63"/>
      <c r="AC57" s="85">
        <v>24.086966752206525</v>
      </c>
      <c r="AD57" s="87">
        <v>69.7</v>
      </c>
      <c r="AE57" s="88">
        <v>60</v>
      </c>
      <c r="AF57" s="85">
        <v>4.5</v>
      </c>
      <c r="AG57" s="88">
        <v>73</v>
      </c>
      <c r="AH57" s="70">
        <f t="shared" si="31"/>
        <v>65.35413168095819</v>
      </c>
      <c r="AI57" s="85">
        <v>1.76</v>
      </c>
      <c r="AJ57" s="85">
        <v>3.79</v>
      </c>
      <c r="AK57" s="87">
        <v>72.5</v>
      </c>
      <c r="AL57" s="86">
        <v>5.988225902357688</v>
      </c>
      <c r="AM57" s="85">
        <v>70.239139679981093</v>
      </c>
      <c r="AN57" s="70">
        <f t="shared" si="32"/>
        <v>61.333942954522477</v>
      </c>
      <c r="AO57" s="63"/>
      <c r="AP57" s="89">
        <v>98.740999870776278</v>
      </c>
      <c r="AQ57" s="89">
        <v>75.116670517493901</v>
      </c>
      <c r="AR57" s="89">
        <v>4.5199999999999996</v>
      </c>
      <c r="AS57" s="158">
        <f t="shared" si="33"/>
        <v>86.113585226441018</v>
      </c>
      <c r="AT57" s="89">
        <v>81.538600000000002</v>
      </c>
      <c r="AU57" s="89">
        <v>80.232970818609104</v>
      </c>
      <c r="AV57" s="89">
        <v>50.047186103611629</v>
      </c>
      <c r="AW57" s="100">
        <v>2.5</v>
      </c>
      <c r="AX57" s="71">
        <f t="shared" si="34"/>
        <v>81.930402501835772</v>
      </c>
      <c r="AY57" s="86">
        <v>57.906391437560615</v>
      </c>
      <c r="AZ57" s="71">
        <f t="shared" si="35"/>
        <v>57.906391437560615</v>
      </c>
      <c r="BA57" s="86">
        <v>43.02</v>
      </c>
      <c r="BB57" s="71">
        <f t="shared" si="36"/>
        <v>56.98</v>
      </c>
      <c r="BC57" s="86">
        <v>44.47</v>
      </c>
      <c r="BD57" s="86">
        <v>47.9</v>
      </c>
      <c r="BE57" s="86">
        <v>49.36</v>
      </c>
      <c r="BF57" s="71">
        <f t="shared" si="37"/>
        <v>47.797999999999995</v>
      </c>
      <c r="BG57" s="63"/>
      <c r="BH57" s="85">
        <v>6.11</v>
      </c>
      <c r="BI57" s="85">
        <v>5.48</v>
      </c>
      <c r="BJ57" s="88">
        <v>46</v>
      </c>
      <c r="BK57" s="81">
        <v>72.727272727272734</v>
      </c>
      <c r="BL57" s="70">
        <f t="shared" si="38"/>
        <v>47.585654031352959</v>
      </c>
      <c r="BM57" s="90">
        <v>0.75827175794098911</v>
      </c>
      <c r="BN57" s="85">
        <v>60.84</v>
      </c>
      <c r="BO57" s="85">
        <v>68.147760963766785</v>
      </c>
      <c r="BP57" s="70">
        <f t="shared" si="39"/>
        <v>70.16052813799115</v>
      </c>
      <c r="BQ57" s="90">
        <v>0.71348217953868076</v>
      </c>
      <c r="BR57" s="90">
        <v>0.56786532764091269</v>
      </c>
      <c r="BS57" s="85">
        <v>70.237851599999999</v>
      </c>
      <c r="BT57" s="86">
        <v>70.093477499999992</v>
      </c>
      <c r="BU57" s="85">
        <v>67.967358199999993</v>
      </c>
      <c r="BV57" s="86">
        <v>67.1756362</v>
      </c>
      <c r="BW57" s="71">
        <f t="shared" si="40"/>
        <v>67.097475306667334</v>
      </c>
      <c r="BX57" s="86">
        <v>69.02</v>
      </c>
      <c r="BY57" s="158">
        <f t="shared" si="41"/>
        <v>69.02</v>
      </c>
      <c r="BZ57" s="54"/>
    </row>
    <row r="58" spans="1:78" s="5" customFormat="1" ht="15" customHeight="1" x14ac:dyDescent="0.25">
      <c r="A58" s="2">
        <v>52</v>
      </c>
      <c r="B58" s="3" t="s">
        <v>10</v>
      </c>
      <c r="C58" s="19" t="s">
        <v>35</v>
      </c>
      <c r="D58" s="162" t="s">
        <v>162</v>
      </c>
      <c r="E58" s="209">
        <f t="shared" si="22"/>
        <v>63.868002981033932</v>
      </c>
      <c r="F58" s="71">
        <f t="shared" si="23"/>
        <v>53.583634252599488</v>
      </c>
      <c r="G58" s="71">
        <f t="shared" si="24"/>
        <v>67.756577973432115</v>
      </c>
      <c r="H58" s="71">
        <f t="shared" si="25"/>
        <v>70.158136468536725</v>
      </c>
      <c r="I58" s="71">
        <f t="shared" si="26"/>
        <v>63.973663229567372</v>
      </c>
      <c r="J58" s="63"/>
      <c r="K58" s="86">
        <v>-1.706780171019362</v>
      </c>
      <c r="L58" s="207">
        <v>1.3599999999999999</v>
      </c>
      <c r="M58" s="82">
        <f t="shared" si="42"/>
        <v>100</v>
      </c>
      <c r="N58" s="71">
        <f t="shared" si="27"/>
        <v>57.184554605447985</v>
      </c>
      <c r="O58" s="86">
        <v>27.713341122397196</v>
      </c>
      <c r="P58" s="100">
        <v>35.799999999999997</v>
      </c>
      <c r="Q58" s="70">
        <f t="shared" si="28"/>
        <v>66.151856179109544</v>
      </c>
      <c r="R58" s="167">
        <v>4.7E-2</v>
      </c>
      <c r="S58" s="86">
        <v>-0.53910685000000003</v>
      </c>
      <c r="T58" s="86">
        <v>0.55000000000000004</v>
      </c>
      <c r="U58" s="167">
        <v>3.7850000000000001</v>
      </c>
      <c r="V58" s="70">
        <f t="shared" si="29"/>
        <v>39.595073564814818</v>
      </c>
      <c r="W58" s="86">
        <v>3.2509999999999999</v>
      </c>
      <c r="X58" s="93">
        <v>15</v>
      </c>
      <c r="Y58" s="100">
        <v>31.6</v>
      </c>
      <c r="Z58" s="107">
        <v>6.5</v>
      </c>
      <c r="AA58" s="71">
        <f t="shared" si="30"/>
        <v>72.579454331123372</v>
      </c>
      <c r="AB58" s="63"/>
      <c r="AC58" s="86">
        <v>25.536086369950894</v>
      </c>
      <c r="AD58" s="100">
        <v>71.8</v>
      </c>
      <c r="AE58" s="95">
        <v>70</v>
      </c>
      <c r="AF58" s="85">
        <v>4.25</v>
      </c>
      <c r="AG58" s="88">
        <v>53</v>
      </c>
      <c r="AH58" s="70">
        <f t="shared" si="31"/>
        <v>65.067647323557011</v>
      </c>
      <c r="AI58" s="86">
        <v>-0.47</v>
      </c>
      <c r="AJ58" s="86">
        <v>5.04</v>
      </c>
      <c r="AK58" s="100">
        <v>97.6</v>
      </c>
      <c r="AL58" s="86">
        <v>6.587277614468058</v>
      </c>
      <c r="AM58" s="86">
        <v>97.002499450482205</v>
      </c>
      <c r="AN58" s="70">
        <f t="shared" si="32"/>
        <v>70.445508623307219</v>
      </c>
      <c r="AO58" s="63"/>
      <c r="AP58" s="89">
        <v>96.842023420973391</v>
      </c>
      <c r="AQ58" s="89">
        <v>77.047394440066711</v>
      </c>
      <c r="AR58" s="97">
        <v>4.78</v>
      </c>
      <c r="AS58" s="158">
        <f t="shared" si="33"/>
        <v>86.539203075276703</v>
      </c>
      <c r="AT58" s="89">
        <v>80.4512</v>
      </c>
      <c r="AU58" s="89">
        <v>71.177463156869237</v>
      </c>
      <c r="AV58" s="89">
        <v>61.892105658631699</v>
      </c>
      <c r="AW58" s="100">
        <v>5.9</v>
      </c>
      <c r="AX58" s="71">
        <f t="shared" si="34"/>
        <v>79.307084920109503</v>
      </c>
      <c r="AY58" s="86">
        <v>50.600623910716912</v>
      </c>
      <c r="AZ58" s="71">
        <f t="shared" si="35"/>
        <v>50.600623910716912</v>
      </c>
      <c r="BA58" s="92">
        <v>35.130000000000003</v>
      </c>
      <c r="BB58" s="71">
        <f t="shared" si="36"/>
        <v>64.87</v>
      </c>
      <c r="BC58" s="86">
        <v>23.47</v>
      </c>
      <c r="BD58" s="86">
        <v>48.94</v>
      </c>
      <c r="BE58" s="86">
        <v>61.13</v>
      </c>
      <c r="BF58" s="71">
        <f t="shared" si="37"/>
        <v>48.722000000000001</v>
      </c>
      <c r="BG58" s="63"/>
      <c r="BH58" s="86">
        <v>0.14000000000000001</v>
      </c>
      <c r="BI58" s="86">
        <v>4.45</v>
      </c>
      <c r="BJ58" s="95">
        <v>156</v>
      </c>
      <c r="BK58" s="82">
        <v>77.272727272727266</v>
      </c>
      <c r="BL58" s="70">
        <f t="shared" si="38"/>
        <v>90.268686868686871</v>
      </c>
      <c r="BM58" s="96">
        <v>0.40782436929080995</v>
      </c>
      <c r="BN58" s="86">
        <v>43.67</v>
      </c>
      <c r="BO58" s="86">
        <v>34.646489098539178</v>
      </c>
      <c r="BP58" s="70">
        <f t="shared" si="39"/>
        <v>39.970340739175292</v>
      </c>
      <c r="BQ58" s="96">
        <v>0.52208788181801247</v>
      </c>
      <c r="BR58" s="96">
        <v>0.59413249183223837</v>
      </c>
      <c r="BS58" s="86">
        <v>58.122329699999995</v>
      </c>
      <c r="BT58" s="86">
        <v>62.3751465</v>
      </c>
      <c r="BU58" s="86">
        <v>76.608589699999996</v>
      </c>
      <c r="BV58" s="86">
        <v>65.705883299999996</v>
      </c>
      <c r="BW58" s="71">
        <f t="shared" si="40"/>
        <v>60.969683687551601</v>
      </c>
      <c r="BX58" s="86">
        <v>80.760000000000005</v>
      </c>
      <c r="BY58" s="158">
        <f t="shared" si="41"/>
        <v>80.760000000000005</v>
      </c>
      <c r="BZ58" s="54"/>
    </row>
    <row r="59" spans="1:78" s="5" customFormat="1" ht="15" customHeight="1" x14ac:dyDescent="0.25">
      <c r="A59" s="2">
        <v>53</v>
      </c>
      <c r="B59" s="6" t="s">
        <v>13</v>
      </c>
      <c r="C59" s="10" t="s">
        <v>19</v>
      </c>
      <c r="D59" s="162" t="s">
        <v>94</v>
      </c>
      <c r="E59" s="209">
        <f t="shared" si="22"/>
        <v>63.587447256940607</v>
      </c>
      <c r="F59" s="71">
        <f t="shared" si="23"/>
        <v>56.199363216245978</v>
      </c>
      <c r="G59" s="71">
        <f t="shared" si="24"/>
        <v>58.616241731691353</v>
      </c>
      <c r="H59" s="71">
        <f t="shared" si="25"/>
        <v>80.106331070792834</v>
      </c>
      <c r="I59" s="71">
        <f t="shared" si="26"/>
        <v>59.427853009032269</v>
      </c>
      <c r="J59" s="63"/>
      <c r="K59" s="85">
        <v>3.3276117857345744</v>
      </c>
      <c r="L59" s="208">
        <v>4</v>
      </c>
      <c r="M59" s="82">
        <f t="shared" si="42"/>
        <v>96.296296296296291</v>
      </c>
      <c r="N59" s="71">
        <f t="shared" si="27"/>
        <v>83.301546957784666</v>
      </c>
      <c r="O59" s="85">
        <v>10.775439055052569</v>
      </c>
      <c r="P59" s="87">
        <v>145.69999999999999</v>
      </c>
      <c r="Q59" s="70">
        <f t="shared" si="28"/>
        <v>7.897466141695876</v>
      </c>
      <c r="R59" s="90">
        <v>6.0999999999999999E-2</v>
      </c>
      <c r="S59" s="85">
        <v>0.52144676000000001</v>
      </c>
      <c r="T59" s="85">
        <v>0.72</v>
      </c>
      <c r="U59" s="90">
        <v>2.62</v>
      </c>
      <c r="V59" s="70">
        <f t="shared" si="29"/>
        <v>54.792378566137565</v>
      </c>
      <c r="W59" s="85">
        <v>8.5399999999999991</v>
      </c>
      <c r="X59" s="87">
        <v>4.2</v>
      </c>
      <c r="Y59" s="87">
        <v>48.83</v>
      </c>
      <c r="Z59" s="214">
        <v>6.4</v>
      </c>
      <c r="AA59" s="71">
        <f t="shared" si="30"/>
        <v>77.153597264577357</v>
      </c>
      <c r="AB59" s="63"/>
      <c r="AC59" s="85">
        <v>16.881202808615011</v>
      </c>
      <c r="AD59" s="87">
        <v>78</v>
      </c>
      <c r="AE59" s="88">
        <v>55</v>
      </c>
      <c r="AF59" s="85">
        <v>2.4</v>
      </c>
      <c r="AG59" s="88">
        <v>56</v>
      </c>
      <c r="AH59" s="70">
        <f t="shared" si="31"/>
        <v>58.805417257025397</v>
      </c>
      <c r="AI59" s="85">
        <v>1.01</v>
      </c>
      <c r="AJ59" s="85">
        <v>3.16</v>
      </c>
      <c r="AK59" s="87">
        <v>59.9</v>
      </c>
      <c r="AL59" s="86">
        <v>5.3398022434586654</v>
      </c>
      <c r="AM59" s="85">
        <v>97.191352368970499</v>
      </c>
      <c r="AN59" s="70">
        <f t="shared" si="32"/>
        <v>58.427066206357303</v>
      </c>
      <c r="AO59" s="63"/>
      <c r="AP59" s="89">
        <v>99.801452625600703</v>
      </c>
      <c r="AQ59" s="89">
        <v>82.088091885832711</v>
      </c>
      <c r="AR59" s="89">
        <v>3.03</v>
      </c>
      <c r="AS59" s="158">
        <f t="shared" si="33"/>
        <v>90.236909099316534</v>
      </c>
      <c r="AT59" s="89">
        <v>82.224699999999999</v>
      </c>
      <c r="AU59" s="89">
        <v>80.081971315815821</v>
      </c>
      <c r="AV59" s="89">
        <v>52.551076602978625</v>
      </c>
      <c r="AW59" s="100">
        <v>2.5</v>
      </c>
      <c r="AX59" s="71">
        <f t="shared" si="34"/>
        <v>83.057304806153681</v>
      </c>
      <c r="AY59" s="86">
        <v>74.717788455239656</v>
      </c>
      <c r="AZ59" s="71">
        <f t="shared" si="35"/>
        <v>74.717788455239656</v>
      </c>
      <c r="BA59" s="86">
        <v>33.44</v>
      </c>
      <c r="BB59" s="71">
        <f t="shared" si="36"/>
        <v>66.56</v>
      </c>
      <c r="BC59" s="86">
        <v>72.8</v>
      </c>
      <c r="BD59" s="86">
        <v>68.900000000000006</v>
      </c>
      <c r="BE59" s="86">
        <v>56.44</v>
      </c>
      <c r="BF59" s="71">
        <f t="shared" si="37"/>
        <v>64.695999999999998</v>
      </c>
      <c r="BG59" s="63"/>
      <c r="BH59" s="85">
        <v>0.85</v>
      </c>
      <c r="BI59" s="85">
        <v>5.55</v>
      </c>
      <c r="BJ59" s="88">
        <v>55</v>
      </c>
      <c r="BK59" s="81">
        <v>72.727272727272734</v>
      </c>
      <c r="BL59" s="70">
        <f t="shared" si="38"/>
        <v>51.742324680496722</v>
      </c>
      <c r="BM59" s="90">
        <v>0.64534100393154969</v>
      </c>
      <c r="BN59" s="85">
        <v>55.05</v>
      </c>
      <c r="BO59" s="85">
        <v>78.871890327867916</v>
      </c>
      <c r="BP59" s="70">
        <f t="shared" si="39"/>
        <v>65.747522778544464</v>
      </c>
      <c r="BQ59" s="90">
        <v>0.63484547443813477</v>
      </c>
      <c r="BR59" s="90">
        <v>0.53837941537620781</v>
      </c>
      <c r="BS59" s="85">
        <v>53.920836899999998</v>
      </c>
      <c r="BT59" s="86">
        <v>55.059596499999998</v>
      </c>
      <c r="BU59" s="85">
        <v>68.27591679999999</v>
      </c>
      <c r="BV59" s="86">
        <v>62.427597899999995</v>
      </c>
      <c r="BW59" s="71">
        <f t="shared" si="40"/>
        <v>57.574328586699281</v>
      </c>
      <c r="BX59" s="86">
        <v>66.17</v>
      </c>
      <c r="BY59" s="158">
        <f t="shared" si="41"/>
        <v>66.17</v>
      </c>
      <c r="BZ59" s="54"/>
    </row>
    <row r="60" spans="1:78" s="5" customFormat="1" ht="15" customHeight="1" x14ac:dyDescent="0.25">
      <c r="A60" s="2">
        <v>54</v>
      </c>
      <c r="B60" s="14" t="s">
        <v>23</v>
      </c>
      <c r="C60" s="16" t="s">
        <v>26</v>
      </c>
      <c r="D60" s="162" t="s">
        <v>67</v>
      </c>
      <c r="E60" s="209">
        <f t="shared" si="22"/>
        <v>63.232432369661481</v>
      </c>
      <c r="F60" s="71">
        <f t="shared" si="23"/>
        <v>55.451581485613168</v>
      </c>
      <c r="G60" s="71">
        <f t="shared" si="24"/>
        <v>58.228016913810841</v>
      </c>
      <c r="H60" s="71">
        <f t="shared" si="25"/>
        <v>69.893369514228368</v>
      </c>
      <c r="I60" s="71">
        <f t="shared" si="26"/>
        <v>69.356761564993533</v>
      </c>
      <c r="J60" s="63"/>
      <c r="K60" s="85">
        <v>4.2473634459659682</v>
      </c>
      <c r="L60" s="208">
        <v>2</v>
      </c>
      <c r="M60" s="82">
        <f t="shared" si="42"/>
        <v>100</v>
      </c>
      <c r="N60" s="71">
        <f t="shared" si="27"/>
        <v>90.263130255366491</v>
      </c>
      <c r="O60" s="85">
        <v>13.5859435408794</v>
      </c>
      <c r="P60" s="87">
        <v>60.4</v>
      </c>
      <c r="Q60" s="70">
        <f t="shared" si="28"/>
        <v>47.369968633821884</v>
      </c>
      <c r="R60" s="90">
        <v>4.7E-2</v>
      </c>
      <c r="S60" s="85">
        <v>0.338835</v>
      </c>
      <c r="T60" s="85">
        <v>0.61</v>
      </c>
      <c r="U60" s="90">
        <v>3.851</v>
      </c>
      <c r="V60" s="70">
        <f t="shared" si="29"/>
        <v>43.719515211640207</v>
      </c>
      <c r="W60" s="85">
        <v>6.843</v>
      </c>
      <c r="X60" s="87">
        <v>36.1</v>
      </c>
      <c r="Y60" s="87">
        <v>29.06</v>
      </c>
      <c r="Z60" s="214">
        <v>3.2</v>
      </c>
      <c r="AA60" s="71">
        <f t="shared" si="30"/>
        <v>69.840062236732507</v>
      </c>
      <c r="AB60" s="63"/>
      <c r="AC60" s="85">
        <v>16.254242732755799</v>
      </c>
      <c r="AD60" s="87">
        <v>66</v>
      </c>
      <c r="AE60" s="88">
        <v>50</v>
      </c>
      <c r="AF60" s="85">
        <v>3.25</v>
      </c>
      <c r="AG60" s="88">
        <v>43</v>
      </c>
      <c r="AH60" s="70">
        <f t="shared" si="31"/>
        <v>53.16949515517053</v>
      </c>
      <c r="AI60" s="85">
        <v>1.1599999999999999</v>
      </c>
      <c r="AJ60" s="85">
        <v>4.1900000000000004</v>
      </c>
      <c r="AK60" s="87">
        <v>78.599999999999994</v>
      </c>
      <c r="AL60" s="86">
        <v>6.0547180734756374</v>
      </c>
      <c r="AM60" s="85">
        <v>75.074870565194203</v>
      </c>
      <c r="AN60" s="70">
        <f t="shared" si="32"/>
        <v>63.286538672451165</v>
      </c>
      <c r="AO60" s="63"/>
      <c r="AP60" s="89">
        <v>98.830170578753581</v>
      </c>
      <c r="AQ60" s="89">
        <v>70.717466170200851</v>
      </c>
      <c r="AR60" s="89">
        <v>12.57</v>
      </c>
      <c r="AS60" s="158">
        <f t="shared" si="33"/>
        <v>81.923775729788815</v>
      </c>
      <c r="AT60" s="89">
        <v>81.190700000000007</v>
      </c>
      <c r="AU60" s="89">
        <v>81.410317505551021</v>
      </c>
      <c r="AV60" s="89">
        <v>50.638200444140629</v>
      </c>
      <c r="AW60" s="100">
        <v>2.5</v>
      </c>
      <c r="AX60" s="71">
        <f t="shared" si="34"/>
        <v>81.997499660188836</v>
      </c>
      <c r="AY60" s="86">
        <v>52.79160280286029</v>
      </c>
      <c r="AZ60" s="71">
        <f t="shared" si="35"/>
        <v>52.79160280286029</v>
      </c>
      <c r="BA60" s="86">
        <v>45.46</v>
      </c>
      <c r="BB60" s="71">
        <f t="shared" si="36"/>
        <v>54.54</v>
      </c>
      <c r="BC60" s="86">
        <v>36.78</v>
      </c>
      <c r="BD60" s="86">
        <v>46.79</v>
      </c>
      <c r="BE60" s="86">
        <v>54.53</v>
      </c>
      <c r="BF60" s="71">
        <f t="shared" si="37"/>
        <v>47.884</v>
      </c>
      <c r="BG60" s="63"/>
      <c r="BH60" s="85">
        <v>17.12</v>
      </c>
      <c r="BI60" s="85">
        <v>5.9</v>
      </c>
      <c r="BJ60" s="88">
        <v>84</v>
      </c>
      <c r="BK60" s="81">
        <v>100</v>
      </c>
      <c r="BL60" s="70">
        <f t="shared" si="38"/>
        <v>67.998486658701708</v>
      </c>
      <c r="BM60" s="90">
        <v>0.77533452445865381</v>
      </c>
      <c r="BN60" s="85">
        <v>72.349999999999994</v>
      </c>
      <c r="BO60" s="85">
        <v>79.226169466877096</v>
      </c>
      <c r="BP60" s="70">
        <f t="shared" si="39"/>
        <v>76.660768589651965</v>
      </c>
      <c r="BQ60" s="90">
        <v>0.75186673908641899</v>
      </c>
      <c r="BR60" s="90">
        <v>0.59070075824084223</v>
      </c>
      <c r="BS60" s="85">
        <v>61.603630699999997</v>
      </c>
      <c r="BT60" s="86">
        <v>56.918919299999999</v>
      </c>
      <c r="BU60" s="85">
        <v>85.976451900000001</v>
      </c>
      <c r="BV60" s="86">
        <v>64.039044399999995</v>
      </c>
      <c r="BW60" s="71">
        <f t="shared" si="40"/>
        <v>63.608312352635764</v>
      </c>
      <c r="BX60" s="86">
        <v>70.959999999999994</v>
      </c>
      <c r="BY60" s="158">
        <f t="shared" si="41"/>
        <v>70.959999999999994</v>
      </c>
      <c r="BZ60" s="54"/>
    </row>
    <row r="61" spans="1:78" s="5" customFormat="1" ht="15" customHeight="1" x14ac:dyDescent="0.25">
      <c r="A61" s="2">
        <v>55</v>
      </c>
      <c r="B61" s="8" t="s">
        <v>16</v>
      </c>
      <c r="C61" s="11" t="s">
        <v>21</v>
      </c>
      <c r="D61" s="162" t="s">
        <v>183</v>
      </c>
      <c r="E61" s="209">
        <f t="shared" si="22"/>
        <v>62.972561551527235</v>
      </c>
      <c r="F61" s="71">
        <f t="shared" si="23"/>
        <v>50.671833239350029</v>
      </c>
      <c r="G61" s="71">
        <f t="shared" si="24"/>
        <v>56.864782698488391</v>
      </c>
      <c r="H61" s="71">
        <f t="shared" si="25"/>
        <v>69.829188277888647</v>
      </c>
      <c r="I61" s="71">
        <f t="shared" si="26"/>
        <v>74.524441990381902</v>
      </c>
      <c r="J61" s="63"/>
      <c r="K61" s="86">
        <v>0.54497696513171601</v>
      </c>
      <c r="L61" s="207">
        <v>2.4000000000000004</v>
      </c>
      <c r="M61" s="82">
        <f t="shared" si="42"/>
        <v>100</v>
      </c>
      <c r="N61" s="71">
        <f t="shared" si="27"/>
        <v>69.694316472953972</v>
      </c>
      <c r="O61" s="86">
        <v>2.5399888096008358</v>
      </c>
      <c r="P61" s="100">
        <v>51.5</v>
      </c>
      <c r="Q61" s="70">
        <f t="shared" si="28"/>
        <v>45.18888267200046</v>
      </c>
      <c r="R61" s="96">
        <v>0</v>
      </c>
      <c r="S61" s="92">
        <v>-1.338384460469715</v>
      </c>
      <c r="T61" s="92">
        <v>0.53</v>
      </c>
      <c r="U61" s="167">
        <v>3.8490000000000002</v>
      </c>
      <c r="V61" s="70">
        <f t="shared" si="29"/>
        <v>32.921947927266665</v>
      </c>
      <c r="W61" s="86">
        <v>2.6</v>
      </c>
      <c r="X61" s="100">
        <v>8.9</v>
      </c>
      <c r="Y61" s="93">
        <v>34.730017305497945</v>
      </c>
      <c r="Z61" s="215">
        <v>1.5</v>
      </c>
      <c r="AA61" s="71">
        <f t="shared" si="30"/>
        <v>81.852380910484897</v>
      </c>
      <c r="AB61" s="63"/>
      <c r="AC61" s="86">
        <v>18.711237553342816</v>
      </c>
      <c r="AD61" s="100">
        <v>82.6</v>
      </c>
      <c r="AE61" s="95">
        <v>30</v>
      </c>
      <c r="AF61" s="85">
        <v>1.75</v>
      </c>
      <c r="AG61" s="88">
        <v>40</v>
      </c>
      <c r="AH61" s="70">
        <f t="shared" si="31"/>
        <v>54.125440420177263</v>
      </c>
      <c r="AI61" s="86">
        <v>-0.28999999999999998</v>
      </c>
      <c r="AJ61" s="86">
        <v>4.2</v>
      </c>
      <c r="AK61" s="100">
        <v>77.3</v>
      </c>
      <c r="AL61" s="86">
        <v>7.1096920276684052</v>
      </c>
      <c r="AM61" s="86">
        <v>50.405909307428999</v>
      </c>
      <c r="AN61" s="70">
        <f t="shared" si="32"/>
        <v>59.604124976799511</v>
      </c>
      <c r="AO61" s="63"/>
      <c r="AP61" s="89">
        <v>94.656007427305241</v>
      </c>
      <c r="AQ61" s="89">
        <v>74.040905670883973</v>
      </c>
      <c r="AR61" s="89">
        <v>8.4</v>
      </c>
      <c r="AS61" s="158">
        <f t="shared" si="33"/>
        <v>83.584454692268295</v>
      </c>
      <c r="AT61" s="89">
        <v>73.1404</v>
      </c>
      <c r="AU61" s="89">
        <v>75.598586090576049</v>
      </c>
      <c r="AV61" s="89">
        <v>52.527442183744618</v>
      </c>
      <c r="AW61" s="100">
        <v>2.5</v>
      </c>
      <c r="AX61" s="71">
        <f t="shared" si="34"/>
        <v>72.39203244772105</v>
      </c>
      <c r="AY61" s="86">
        <v>58.723052992476852</v>
      </c>
      <c r="AZ61" s="71">
        <f t="shared" si="35"/>
        <v>58.723052992476852</v>
      </c>
      <c r="BA61" s="86">
        <v>32.130000000000003</v>
      </c>
      <c r="BB61" s="71">
        <f t="shared" si="36"/>
        <v>67.87</v>
      </c>
      <c r="BC61" s="86">
        <v>31.5</v>
      </c>
      <c r="BD61" s="86">
        <v>68.7</v>
      </c>
      <c r="BE61" s="86">
        <v>53.59</v>
      </c>
      <c r="BF61" s="71">
        <f t="shared" si="37"/>
        <v>55.216000000000008</v>
      </c>
      <c r="BG61" s="63"/>
      <c r="BH61" s="86">
        <v>7.97</v>
      </c>
      <c r="BI61" s="86">
        <v>3.65</v>
      </c>
      <c r="BJ61" s="95">
        <v>156</v>
      </c>
      <c r="BK61" s="82">
        <v>100</v>
      </c>
      <c r="BL61" s="70">
        <f t="shared" si="38"/>
        <v>96.888271604938268</v>
      </c>
      <c r="BM61" s="96">
        <v>0.6520346336684707</v>
      </c>
      <c r="BN61" s="86">
        <v>73.040000000000006</v>
      </c>
      <c r="BO61" s="86">
        <v>58.300725919336521</v>
      </c>
      <c r="BP61" s="70">
        <f t="shared" si="39"/>
        <v>65.436913163257671</v>
      </c>
      <c r="BQ61" s="96">
        <v>0.67524965291607753</v>
      </c>
      <c r="BR61" s="96">
        <v>0.59761239555642909</v>
      </c>
      <c r="BS61" s="86">
        <v>72.768021099999999</v>
      </c>
      <c r="BT61" s="86">
        <v>63.527352499999999</v>
      </c>
      <c r="BU61" s="86">
        <v>81.54872859999999</v>
      </c>
      <c r="BV61" s="86">
        <v>61.008505999999997</v>
      </c>
      <c r="BW61" s="71">
        <f t="shared" si="40"/>
        <v>66.020857543342956</v>
      </c>
      <c r="BX61" s="92">
        <v>75.64</v>
      </c>
      <c r="BY61" s="158">
        <f t="shared" si="41"/>
        <v>75.64</v>
      </c>
      <c r="BZ61" s="54"/>
    </row>
    <row r="62" spans="1:78" s="5" customFormat="1" ht="15" customHeight="1" x14ac:dyDescent="0.25">
      <c r="A62" s="2">
        <v>56</v>
      </c>
      <c r="B62" s="8" t="s">
        <v>16</v>
      </c>
      <c r="C62" s="11" t="s">
        <v>21</v>
      </c>
      <c r="D62" s="162" t="s">
        <v>143</v>
      </c>
      <c r="E62" s="209">
        <f t="shared" si="22"/>
        <v>62.76657831733629</v>
      </c>
      <c r="F62" s="71">
        <f t="shared" si="23"/>
        <v>53.984556349859787</v>
      </c>
      <c r="G62" s="71">
        <f t="shared" si="24"/>
        <v>64.904108420966281</v>
      </c>
      <c r="H62" s="71">
        <f t="shared" si="25"/>
        <v>65.394888945932152</v>
      </c>
      <c r="I62" s="71">
        <f t="shared" si="26"/>
        <v>66.782759552586938</v>
      </c>
      <c r="J62" s="63"/>
      <c r="K62" s="85">
        <v>5.7433395580864577</v>
      </c>
      <c r="L62" s="208">
        <v>5.82</v>
      </c>
      <c r="M62" s="82">
        <f t="shared" si="42"/>
        <v>89.555555555555557</v>
      </c>
      <c r="N62" s="71">
        <f t="shared" si="27"/>
        <v>93.351886433813661</v>
      </c>
      <c r="O62" s="85">
        <v>21.107191018642883</v>
      </c>
      <c r="P62" s="87">
        <v>86.5</v>
      </c>
      <c r="Q62" s="70">
        <f t="shared" si="28"/>
        <v>39.948439454801608</v>
      </c>
      <c r="R62" s="90">
        <v>1.4E-2</v>
      </c>
      <c r="S62" s="85">
        <v>0.29317432999999998</v>
      </c>
      <c r="T62" s="85">
        <v>0.53</v>
      </c>
      <c r="U62" s="90">
        <v>3.6859999999999999</v>
      </c>
      <c r="V62" s="70">
        <f t="shared" si="29"/>
        <v>39.267283191798946</v>
      </c>
      <c r="W62" s="85">
        <v>5.6349999999999998</v>
      </c>
      <c r="X62" s="87">
        <v>23.5</v>
      </c>
      <c r="Y62" s="87">
        <v>29.89</v>
      </c>
      <c r="Z62" s="214">
        <v>1.5</v>
      </c>
      <c r="AA62" s="71">
        <f t="shared" si="30"/>
        <v>76.093840769434834</v>
      </c>
      <c r="AB62" s="63"/>
      <c r="AC62" s="85">
        <v>19.740450209227539</v>
      </c>
      <c r="AD62" s="87">
        <v>83.9</v>
      </c>
      <c r="AE62" s="88">
        <v>70</v>
      </c>
      <c r="AF62" s="85">
        <v>4.75</v>
      </c>
      <c r="AG62" s="88">
        <v>55</v>
      </c>
      <c r="AH62" s="70">
        <f t="shared" si="31"/>
        <v>63.425684754869643</v>
      </c>
      <c r="AI62" s="85">
        <v>0.76</v>
      </c>
      <c r="AJ62" s="85">
        <v>3.84</v>
      </c>
      <c r="AK62" s="87">
        <v>89.6</v>
      </c>
      <c r="AL62" s="86">
        <v>6.1497596261188763</v>
      </c>
      <c r="AM62" s="85">
        <v>100</v>
      </c>
      <c r="AN62" s="70">
        <f t="shared" si="32"/>
        <v>66.382532087062927</v>
      </c>
      <c r="AO62" s="63"/>
      <c r="AP62" s="89">
        <v>96.964736626362111</v>
      </c>
      <c r="AQ62" s="89">
        <v>71.251871512616049</v>
      </c>
      <c r="AR62" s="89">
        <v>17.54</v>
      </c>
      <c r="AS62" s="158">
        <f t="shared" si="33"/>
        <v>80.482119912898554</v>
      </c>
      <c r="AT62" s="89">
        <v>75.270799999999994</v>
      </c>
      <c r="AU62" s="89">
        <v>71.480080250174382</v>
      </c>
      <c r="AV62" s="89">
        <v>42.958995698854736</v>
      </c>
      <c r="AW62" s="100">
        <v>8.6999999999999993</v>
      </c>
      <c r="AX62" s="71">
        <f t="shared" si="34"/>
        <v>69.595302489666153</v>
      </c>
      <c r="AY62" s="86">
        <v>54.231212385297432</v>
      </c>
      <c r="AZ62" s="71">
        <f t="shared" si="35"/>
        <v>54.231212385297432</v>
      </c>
      <c r="BA62" s="86">
        <v>36.76</v>
      </c>
      <c r="BB62" s="71">
        <f t="shared" si="36"/>
        <v>63.24</v>
      </c>
      <c r="BC62" s="86">
        <v>40.049999999999997</v>
      </c>
      <c r="BD62" s="86">
        <v>50.99</v>
      </c>
      <c r="BE62" s="86">
        <v>33.89</v>
      </c>
      <c r="BF62" s="71">
        <f t="shared" si="37"/>
        <v>41.962000000000003</v>
      </c>
      <c r="BG62" s="63"/>
      <c r="BH62" s="85">
        <v>2.67</v>
      </c>
      <c r="BI62" s="85">
        <v>4.2300000000000004</v>
      </c>
      <c r="BJ62" s="88">
        <v>106</v>
      </c>
      <c r="BK62" s="81">
        <v>81.818181818181813</v>
      </c>
      <c r="BL62" s="70">
        <f t="shared" si="38"/>
        <v>73.529975381050633</v>
      </c>
      <c r="BM62" s="90">
        <v>0.64887220566530879</v>
      </c>
      <c r="BN62" s="85">
        <v>70.92</v>
      </c>
      <c r="BO62" s="85">
        <v>52.810367707302142</v>
      </c>
      <c r="BP62" s="70">
        <f t="shared" si="39"/>
        <v>63.37620221009098</v>
      </c>
      <c r="BQ62" s="90">
        <v>0.57760526956422853</v>
      </c>
      <c r="BR62" s="90">
        <v>0.57289553633294099</v>
      </c>
      <c r="BS62" s="85">
        <v>54.746703599999996</v>
      </c>
      <c r="BT62" s="86">
        <v>66.222023399999998</v>
      </c>
      <c r="BU62" s="85">
        <v>79.394871999999992</v>
      </c>
      <c r="BV62" s="86">
        <v>69.687998199999996</v>
      </c>
      <c r="BW62" s="71">
        <f t="shared" si="40"/>
        <v>62.352585840848526</v>
      </c>
      <c r="BX62" s="86">
        <v>75.64</v>
      </c>
      <c r="BY62" s="158">
        <f t="shared" si="41"/>
        <v>75.64</v>
      </c>
      <c r="BZ62" s="54"/>
    </row>
    <row r="63" spans="1:78" s="5" customFormat="1" ht="15" customHeight="1" x14ac:dyDescent="0.25">
      <c r="A63" s="2">
        <v>57</v>
      </c>
      <c r="B63" s="14" t="s">
        <v>23</v>
      </c>
      <c r="C63" s="15" t="s">
        <v>24</v>
      </c>
      <c r="D63" s="162" t="s">
        <v>38</v>
      </c>
      <c r="E63" s="209">
        <f t="shared" si="22"/>
        <v>62.584433505776339</v>
      </c>
      <c r="F63" s="71">
        <f t="shared" si="23"/>
        <v>50.737940580630074</v>
      </c>
      <c r="G63" s="71">
        <f t="shared" si="24"/>
        <v>56.103292631922322</v>
      </c>
      <c r="H63" s="71">
        <f t="shared" si="25"/>
        <v>68.401621554154985</v>
      </c>
      <c r="I63" s="71">
        <f t="shared" si="26"/>
        <v>75.094879256398002</v>
      </c>
      <c r="J63" s="63"/>
      <c r="K63" s="85">
        <v>5.7597492255344385</v>
      </c>
      <c r="L63" s="208">
        <v>2.2800000000000002</v>
      </c>
      <c r="M63" s="82">
        <f t="shared" si="42"/>
        <v>100</v>
      </c>
      <c r="N63" s="71">
        <f t="shared" si="27"/>
        <v>98.665273475191327</v>
      </c>
      <c r="O63" s="99">
        <v>18.344443559477522</v>
      </c>
      <c r="P63" s="87">
        <v>94.2</v>
      </c>
      <c r="Q63" s="70">
        <f t="shared" si="28"/>
        <v>34.991357533043072</v>
      </c>
      <c r="R63" s="90">
        <v>8.9999999999999993E-3</v>
      </c>
      <c r="S63" s="99">
        <v>0.16800117257391012</v>
      </c>
      <c r="T63" s="85">
        <v>0.62</v>
      </c>
      <c r="U63" s="90">
        <v>3.8170000000000002</v>
      </c>
      <c r="V63" s="70">
        <f t="shared" si="29"/>
        <v>40.925400082546581</v>
      </c>
      <c r="W63" s="85">
        <v>6.524</v>
      </c>
      <c r="X63" s="87">
        <v>61.8</v>
      </c>
      <c r="Y63" s="87">
        <v>22.82</v>
      </c>
      <c r="Z63" s="218">
        <v>3.7</v>
      </c>
      <c r="AA63" s="71">
        <f t="shared" si="30"/>
        <v>60.640038247524757</v>
      </c>
      <c r="AB63" s="63"/>
      <c r="AC63" s="99">
        <v>24.086966752206525</v>
      </c>
      <c r="AD63" s="87">
        <v>76.400000000000006</v>
      </c>
      <c r="AE63" s="88">
        <v>60</v>
      </c>
      <c r="AF63" s="85">
        <v>2</v>
      </c>
      <c r="AG63" s="88">
        <v>31</v>
      </c>
      <c r="AH63" s="70">
        <f t="shared" si="31"/>
        <v>60.111823988650507</v>
      </c>
      <c r="AI63" s="85">
        <v>0.63</v>
      </c>
      <c r="AJ63" s="85">
        <v>3.46</v>
      </c>
      <c r="AK63" s="87">
        <v>83.2</v>
      </c>
      <c r="AL63" s="86">
        <v>5.7494023404349939</v>
      </c>
      <c r="AM63" s="85">
        <v>36.605520842464998</v>
      </c>
      <c r="AN63" s="70">
        <f t="shared" si="32"/>
        <v>52.094761275194145</v>
      </c>
      <c r="AO63" s="63"/>
      <c r="AP63" s="89">
        <v>97.719000653556151</v>
      </c>
      <c r="AQ63" s="89">
        <v>77.785265257737791</v>
      </c>
      <c r="AR63" s="89">
        <v>14.64</v>
      </c>
      <c r="AS63" s="158">
        <f t="shared" si="33"/>
        <v>84.66238279225793</v>
      </c>
      <c r="AT63" s="89">
        <v>76.491699999999994</v>
      </c>
      <c r="AU63" s="89">
        <v>74.320344837718721</v>
      </c>
      <c r="AV63" s="89">
        <v>50.883304141116113</v>
      </c>
      <c r="AW63" s="100">
        <v>4.4000000000000004</v>
      </c>
      <c r="AX63" s="71">
        <f t="shared" si="34"/>
        <v>74.56834847923443</v>
      </c>
      <c r="AY63" s="86">
        <v>52.814415553433875</v>
      </c>
      <c r="AZ63" s="71">
        <f t="shared" si="35"/>
        <v>52.814415553433875</v>
      </c>
      <c r="BA63" s="86">
        <v>34.07</v>
      </c>
      <c r="BB63" s="71">
        <f t="shared" si="36"/>
        <v>65.930000000000007</v>
      </c>
      <c r="BC63" s="86">
        <v>48.73</v>
      </c>
      <c r="BD63" s="86">
        <v>70.400000000000006</v>
      </c>
      <c r="BE63" s="86">
        <v>21.16</v>
      </c>
      <c r="BF63" s="71">
        <f t="shared" si="37"/>
        <v>46.37</v>
      </c>
      <c r="BG63" s="63"/>
      <c r="BH63" s="85">
        <v>7.43</v>
      </c>
      <c r="BI63" s="85">
        <v>2.9</v>
      </c>
      <c r="BJ63" s="88">
        <v>156</v>
      </c>
      <c r="BK63" s="81">
        <v>100</v>
      </c>
      <c r="BL63" s="70">
        <f t="shared" si="38"/>
        <v>97.451234567901238</v>
      </c>
      <c r="BM63" s="90">
        <v>0.7571007956742043</v>
      </c>
      <c r="BN63" s="85">
        <v>64.599999999999994</v>
      </c>
      <c r="BO63" s="85">
        <v>58.627189430936369</v>
      </c>
      <c r="BP63" s="70">
        <f t="shared" si="39"/>
        <v>68.661837141444309</v>
      </c>
      <c r="BQ63" s="90">
        <v>0.65199044863169198</v>
      </c>
      <c r="BR63" s="90">
        <v>0.59817668805354707</v>
      </c>
      <c r="BS63" s="85">
        <v>72.666341799999998</v>
      </c>
      <c r="BT63" s="86">
        <v>63.095749699999999</v>
      </c>
      <c r="BU63" s="85">
        <v>87.625979399999991</v>
      </c>
      <c r="BV63" s="86">
        <v>61.810153099999994</v>
      </c>
      <c r="BW63" s="71">
        <f t="shared" si="40"/>
        <v>66.098627062826836</v>
      </c>
      <c r="BX63" s="92">
        <v>69.989999999999995</v>
      </c>
      <c r="BY63" s="158">
        <f t="shared" si="41"/>
        <v>69.989999999999995</v>
      </c>
      <c r="BZ63" s="54"/>
    </row>
    <row r="64" spans="1:78" s="5" customFormat="1" ht="15" customHeight="1" x14ac:dyDescent="0.25">
      <c r="A64" s="2">
        <v>58</v>
      </c>
      <c r="B64" s="3" t="s">
        <v>10</v>
      </c>
      <c r="C64" s="22" t="s">
        <v>49</v>
      </c>
      <c r="D64" s="162" t="s">
        <v>62</v>
      </c>
      <c r="E64" s="209">
        <f t="shared" si="22"/>
        <v>62.42876934688951</v>
      </c>
      <c r="F64" s="71">
        <f t="shared" si="23"/>
        <v>76.163690733167684</v>
      </c>
      <c r="G64" s="71">
        <f t="shared" si="24"/>
        <v>63.091105982713067</v>
      </c>
      <c r="H64" s="71">
        <f t="shared" si="25"/>
        <v>68.362885532150045</v>
      </c>
      <c r="I64" s="71">
        <f t="shared" si="26"/>
        <v>42.097395139527237</v>
      </c>
      <c r="J64" s="63"/>
      <c r="K64" s="85">
        <v>4.7205487337545593</v>
      </c>
      <c r="L64" s="208">
        <v>0.66</v>
      </c>
      <c r="M64" s="82">
        <f t="shared" si="42"/>
        <v>94.333333333333343</v>
      </c>
      <c r="N64" s="71">
        <f t="shared" si="27"/>
        <v>90.058604076414213</v>
      </c>
      <c r="O64" s="85">
        <v>42.715010919849497</v>
      </c>
      <c r="P64" s="87">
        <v>99.2</v>
      </c>
      <c r="Q64" s="70">
        <f t="shared" si="28"/>
        <v>46.308339399916385</v>
      </c>
      <c r="R64" s="90">
        <v>0.38200000000000001</v>
      </c>
      <c r="S64" s="85">
        <v>1.2594000999999999</v>
      </c>
      <c r="T64" s="85">
        <v>0.84</v>
      </c>
      <c r="U64" s="90">
        <v>2.1110000000000002</v>
      </c>
      <c r="V64" s="70">
        <f t="shared" si="29"/>
        <v>87.043836256613758</v>
      </c>
      <c r="W64" s="85">
        <v>4.6150000000000002</v>
      </c>
      <c r="X64" s="98">
        <v>37.200000000000003</v>
      </c>
      <c r="Y64" s="87">
        <v>20.59</v>
      </c>
      <c r="Z64" s="214">
        <v>4</v>
      </c>
      <c r="AA64" s="71">
        <f t="shared" si="30"/>
        <v>66.758645148927684</v>
      </c>
      <c r="AB64" s="63"/>
      <c r="AC64" s="85">
        <v>39.651932523788517</v>
      </c>
      <c r="AD64" s="87">
        <v>40.9</v>
      </c>
      <c r="AE64" s="88">
        <v>20</v>
      </c>
      <c r="AF64" s="85">
        <v>3</v>
      </c>
      <c r="AG64" s="88">
        <v>77</v>
      </c>
      <c r="AH64" s="70">
        <f t="shared" si="31"/>
        <v>65.315390913294905</v>
      </c>
      <c r="AI64" s="85">
        <v>-1.1299999999999999</v>
      </c>
      <c r="AJ64" s="85">
        <v>5.31</v>
      </c>
      <c r="AK64" s="87">
        <v>69.3</v>
      </c>
      <c r="AL64" s="86">
        <v>4.7599571686193052</v>
      </c>
      <c r="AM64" s="85">
        <v>91.726782940401307</v>
      </c>
      <c r="AN64" s="70">
        <f t="shared" si="32"/>
        <v>60.866821052131229</v>
      </c>
      <c r="AO64" s="63"/>
      <c r="AP64" s="89">
        <v>96.385022883048549</v>
      </c>
      <c r="AQ64" s="89">
        <v>76.201799118870866</v>
      </c>
      <c r="AR64" s="89">
        <v>16.54</v>
      </c>
      <c r="AS64" s="158">
        <f t="shared" si="33"/>
        <v>83.062155280197572</v>
      </c>
      <c r="AT64" s="89">
        <v>78.372299999999996</v>
      </c>
      <c r="AU64" s="89">
        <v>79.203632950138484</v>
      </c>
      <c r="AV64" s="89">
        <v>60.650259614304659</v>
      </c>
      <c r="AW64" s="100">
        <v>2.5</v>
      </c>
      <c r="AX64" s="71">
        <f t="shared" si="34"/>
        <v>80.287843201989261</v>
      </c>
      <c r="AY64" s="86">
        <v>53.411606365617672</v>
      </c>
      <c r="AZ64" s="71">
        <f t="shared" si="35"/>
        <v>53.411606365617672</v>
      </c>
      <c r="BA64" s="86">
        <v>35.93</v>
      </c>
      <c r="BB64" s="71">
        <f t="shared" si="36"/>
        <v>64.069999999999993</v>
      </c>
      <c r="BC64" s="86">
        <v>29.69</v>
      </c>
      <c r="BD64" s="86">
        <v>25.59</v>
      </c>
      <c r="BE64" s="86">
        <v>33.07</v>
      </c>
      <c r="BF64" s="71">
        <f t="shared" si="37"/>
        <v>29.401999999999997</v>
      </c>
      <c r="BG64" s="63"/>
      <c r="BH64" s="85">
        <v>0.5</v>
      </c>
      <c r="BI64" s="85">
        <v>6.32</v>
      </c>
      <c r="BJ64" s="88">
        <v>76</v>
      </c>
      <c r="BK64" s="81">
        <v>6.0606060606060632</v>
      </c>
      <c r="BL64" s="70">
        <f t="shared" si="38"/>
        <v>36.636490351544118</v>
      </c>
      <c r="BM64" s="90">
        <v>0.23848027913294292</v>
      </c>
      <c r="BN64" s="85">
        <v>13.85</v>
      </c>
      <c r="BO64" s="85">
        <v>41.852879442755999</v>
      </c>
      <c r="BP64" s="70">
        <f t="shared" si="39"/>
        <v>25.849733817336144</v>
      </c>
      <c r="BQ64" s="90">
        <v>0.31799006272413033</v>
      </c>
      <c r="BR64" s="90">
        <v>0.48703836672301293</v>
      </c>
      <c r="BS64" s="85">
        <v>49.649868999999995</v>
      </c>
      <c r="BT64" s="86">
        <v>68.7581244</v>
      </c>
      <c r="BU64" s="85">
        <v>63.275162199999997</v>
      </c>
      <c r="BV64" s="86">
        <v>53.738442599999999</v>
      </c>
      <c r="BW64" s="71">
        <f t="shared" si="40"/>
        <v>53.62957830411532</v>
      </c>
      <c r="BX64" s="86">
        <v>64.13</v>
      </c>
      <c r="BY64" s="158">
        <f t="shared" si="41"/>
        <v>64.13</v>
      </c>
      <c r="BZ64" s="54"/>
    </row>
    <row r="65" spans="1:79" s="5" customFormat="1" ht="15" customHeight="1" x14ac:dyDescent="0.25">
      <c r="A65" s="2">
        <v>59</v>
      </c>
      <c r="B65" s="3" t="s">
        <v>10</v>
      </c>
      <c r="C65" s="19" t="s">
        <v>35</v>
      </c>
      <c r="D65" s="162" t="s">
        <v>180</v>
      </c>
      <c r="E65" s="209">
        <f t="shared" si="22"/>
        <v>62.312701300816471</v>
      </c>
      <c r="F65" s="71">
        <f t="shared" si="23"/>
        <v>58.781310311009435</v>
      </c>
      <c r="G65" s="71">
        <f t="shared" si="24"/>
        <v>67.025616333041526</v>
      </c>
      <c r="H65" s="71">
        <f t="shared" si="25"/>
        <v>72.528108718252355</v>
      </c>
      <c r="I65" s="71">
        <f t="shared" si="26"/>
        <v>50.915769840962554</v>
      </c>
      <c r="J65" s="63"/>
      <c r="K65" s="86">
        <v>0.14347272350185847</v>
      </c>
      <c r="L65" s="207">
        <v>2.3199999999999998</v>
      </c>
      <c r="M65" s="82">
        <f t="shared" si="42"/>
        <v>100</v>
      </c>
      <c r="N65" s="71">
        <f t="shared" si="27"/>
        <v>67.463737352788101</v>
      </c>
      <c r="O65" s="86">
        <v>28.897290997501337</v>
      </c>
      <c r="P65" s="100">
        <v>31.7</v>
      </c>
      <c r="Q65" s="70">
        <f t="shared" si="28"/>
        <v>68.631828331945187</v>
      </c>
      <c r="R65" s="167">
        <v>9.8000000000000004E-2</v>
      </c>
      <c r="S65" s="86">
        <v>0.49866854999999999</v>
      </c>
      <c r="T65" s="86">
        <v>0.67</v>
      </c>
      <c r="U65" s="167">
        <v>3.0030000000000001</v>
      </c>
      <c r="V65" s="70">
        <f t="shared" si="29"/>
        <v>53.979370310846555</v>
      </c>
      <c r="W65" s="86">
        <v>3.0379999999999998</v>
      </c>
      <c r="X65" s="93">
        <v>15</v>
      </c>
      <c r="Y65" s="100">
        <v>65.260000000000005</v>
      </c>
      <c r="Z65" s="107">
        <v>21.3</v>
      </c>
      <c r="AA65" s="71">
        <f t="shared" si="30"/>
        <v>59.001908682062258</v>
      </c>
      <c r="AB65" s="63"/>
      <c r="AC65" s="86">
        <v>30.113671485397624</v>
      </c>
      <c r="AD65" s="100">
        <v>51.4</v>
      </c>
      <c r="AE65" s="95">
        <v>50</v>
      </c>
      <c r="AF65" s="85">
        <v>4.25</v>
      </c>
      <c r="AG65" s="88">
        <v>80</v>
      </c>
      <c r="AH65" s="70">
        <f t="shared" si="31"/>
        <v>65.886037400521488</v>
      </c>
      <c r="AI65" s="86">
        <v>-1.62</v>
      </c>
      <c r="AJ65" s="86">
        <v>5.2</v>
      </c>
      <c r="AK65" s="100">
        <v>99.2</v>
      </c>
      <c r="AL65" s="86">
        <v>6.2320585796684664</v>
      </c>
      <c r="AM65" s="86">
        <v>100</v>
      </c>
      <c r="AN65" s="70">
        <f t="shared" si="32"/>
        <v>68.165195265561564</v>
      </c>
      <c r="AO65" s="63"/>
      <c r="AP65" s="89">
        <v>96.027147922082506</v>
      </c>
      <c r="AQ65" s="89">
        <v>83.19826391879522</v>
      </c>
      <c r="AR65" s="97">
        <v>4.78</v>
      </c>
      <c r="AS65" s="158">
        <f t="shared" si="33"/>
        <v>89.410918939918247</v>
      </c>
      <c r="AT65" s="89">
        <v>79.195300000000003</v>
      </c>
      <c r="AU65" s="89">
        <v>79.488662488242923</v>
      </c>
      <c r="AV65" s="89">
        <v>50.156153280319046</v>
      </c>
      <c r="AW65" s="100">
        <v>2.5</v>
      </c>
      <c r="AX65" s="71">
        <f t="shared" si="34"/>
        <v>79.312624132176197</v>
      </c>
      <c r="AY65" s="86">
        <v>60.677042148044528</v>
      </c>
      <c r="AZ65" s="71">
        <f t="shared" si="35"/>
        <v>60.677042148044528</v>
      </c>
      <c r="BA65" s="92">
        <v>35.130000000000003</v>
      </c>
      <c r="BB65" s="71">
        <f t="shared" si="36"/>
        <v>64.87</v>
      </c>
      <c r="BC65" s="86">
        <v>30.6</v>
      </c>
      <c r="BD65" s="86">
        <v>46.73</v>
      </c>
      <c r="BE65" s="86">
        <v>38.049999999999997</v>
      </c>
      <c r="BF65" s="71">
        <f t="shared" si="37"/>
        <v>40.031999999999996</v>
      </c>
      <c r="BG65" s="63"/>
      <c r="BH65" s="86">
        <v>0.8</v>
      </c>
      <c r="BI65" s="86">
        <v>6.33</v>
      </c>
      <c r="BJ65" s="95">
        <v>136</v>
      </c>
      <c r="BK65" s="82">
        <v>12.121212121212123</v>
      </c>
      <c r="BL65" s="70">
        <f t="shared" si="38"/>
        <v>60.100340320770428</v>
      </c>
      <c r="BM65" s="96">
        <v>0.26267106320520744</v>
      </c>
      <c r="BN65" s="86">
        <v>19.11</v>
      </c>
      <c r="BO65" s="86">
        <v>29.918805837060336</v>
      </c>
      <c r="BP65" s="70">
        <f t="shared" si="39"/>
        <v>25.390754619525456</v>
      </c>
      <c r="BQ65" s="96">
        <v>0.42514511342618466</v>
      </c>
      <c r="BR65" s="96">
        <v>0.59046850956049335</v>
      </c>
      <c r="BS65" s="86">
        <v>63.0932113</v>
      </c>
      <c r="BT65" s="86">
        <v>66.5710105</v>
      </c>
      <c r="BU65" s="86">
        <v>65.071555500000002</v>
      </c>
      <c r="BV65" s="86">
        <v>66.064561699999999</v>
      </c>
      <c r="BW65" s="71">
        <f t="shared" si="40"/>
        <v>60.995595356892331</v>
      </c>
      <c r="BX65" s="86">
        <v>69.25</v>
      </c>
      <c r="BY65" s="158">
        <f t="shared" si="41"/>
        <v>69.25</v>
      </c>
      <c r="BZ65" s="54"/>
    </row>
    <row r="66" spans="1:79" s="5" customFormat="1" ht="15" customHeight="1" x14ac:dyDescent="0.25">
      <c r="A66" s="2">
        <v>60</v>
      </c>
      <c r="B66" s="17" t="s">
        <v>29</v>
      </c>
      <c r="C66" s="26" t="s">
        <v>118</v>
      </c>
      <c r="D66" s="162" t="s">
        <v>164</v>
      </c>
      <c r="E66" s="209">
        <f t="shared" si="22"/>
        <v>62.093860610117048</v>
      </c>
      <c r="F66" s="71">
        <f t="shared" si="23"/>
        <v>46.046373299473835</v>
      </c>
      <c r="G66" s="71">
        <f t="shared" si="24"/>
        <v>63.140526921409219</v>
      </c>
      <c r="H66" s="71">
        <f t="shared" si="25"/>
        <v>65.372058614678295</v>
      </c>
      <c r="I66" s="71">
        <f t="shared" si="26"/>
        <v>73.816483604906821</v>
      </c>
      <c r="J66" s="63"/>
      <c r="K66" s="86">
        <v>4.8288307818003418</v>
      </c>
      <c r="L66" s="207">
        <v>5.8000000000000007</v>
      </c>
      <c r="M66" s="82">
        <f t="shared" si="42"/>
        <v>89.629629629629619</v>
      </c>
      <c r="N66" s="71">
        <f t="shared" si="27"/>
        <v>88.308319158150042</v>
      </c>
      <c r="O66" s="86">
        <v>-12.986043600170524</v>
      </c>
      <c r="P66" s="100">
        <v>62.3</v>
      </c>
      <c r="Q66" s="70">
        <f t="shared" si="28"/>
        <v>36.200000000000003</v>
      </c>
      <c r="R66" s="96">
        <v>2.988573096903575E-3</v>
      </c>
      <c r="S66" s="92">
        <v>-1.1440723726655095</v>
      </c>
      <c r="T66" s="92">
        <v>0.43</v>
      </c>
      <c r="U66" s="167">
        <v>4.9020000000000001</v>
      </c>
      <c r="V66" s="70">
        <f t="shared" si="29"/>
        <v>25.335460464059565</v>
      </c>
      <c r="W66" s="86">
        <v>2.1</v>
      </c>
      <c r="X66" s="100">
        <v>7.3</v>
      </c>
      <c r="Y66" s="93">
        <v>21.299087260944379</v>
      </c>
      <c r="Z66" s="215">
        <v>3.5</v>
      </c>
      <c r="AA66" s="71">
        <f t="shared" si="30"/>
        <v>76.47124460651618</v>
      </c>
      <c r="AB66" s="63"/>
      <c r="AC66" s="86">
        <v>35.838044637378211</v>
      </c>
      <c r="AD66" s="93">
        <v>79.299180881329406</v>
      </c>
      <c r="AE66" s="94">
        <v>80</v>
      </c>
      <c r="AF66" s="85">
        <v>3.75</v>
      </c>
      <c r="AG66" s="94">
        <v>64.516698042766578</v>
      </c>
      <c r="AH66" s="70">
        <f t="shared" si="31"/>
        <v>76.899804450729675</v>
      </c>
      <c r="AI66" s="92">
        <v>0.83829543051751276</v>
      </c>
      <c r="AJ66" s="92">
        <v>2.7865237058604291</v>
      </c>
      <c r="AK66" s="137">
        <v>95.131135999999998</v>
      </c>
      <c r="AL66" s="92">
        <v>5.7514892113493623</v>
      </c>
      <c r="AM66" s="92">
        <v>28.550358597565605</v>
      </c>
      <c r="AN66" s="70">
        <f t="shared" si="32"/>
        <v>49.381249392088755</v>
      </c>
      <c r="AO66" s="63"/>
      <c r="AP66" s="89">
        <v>89.437494280881367</v>
      </c>
      <c r="AQ66" s="89">
        <v>70.825817846640916</v>
      </c>
      <c r="AR66" s="97">
        <v>5</v>
      </c>
      <c r="AS66" s="158">
        <f t="shared" si="33"/>
        <v>81.5222824935408</v>
      </c>
      <c r="AT66" s="89">
        <v>69.493499999999997</v>
      </c>
      <c r="AU66" s="89">
        <v>70.607009936714263</v>
      </c>
      <c r="AV66" s="89">
        <v>45.835219407461054</v>
      </c>
      <c r="AW66" s="100">
        <v>2.5</v>
      </c>
      <c r="AX66" s="71">
        <f t="shared" si="34"/>
        <v>66.024938706174737</v>
      </c>
      <c r="AY66" s="86">
        <v>53.278237776527789</v>
      </c>
      <c r="AZ66" s="71">
        <f t="shared" si="35"/>
        <v>53.278237776527789</v>
      </c>
      <c r="BA66" s="92">
        <v>32.36</v>
      </c>
      <c r="BB66" s="71">
        <f t="shared" si="36"/>
        <v>67.64</v>
      </c>
      <c r="BC66" s="86">
        <v>35.78</v>
      </c>
      <c r="BD66" s="86">
        <v>55.31</v>
      </c>
      <c r="BE66" s="86">
        <v>56.33</v>
      </c>
      <c r="BF66" s="71">
        <f t="shared" si="37"/>
        <v>51.811999999999998</v>
      </c>
      <c r="BG66" s="63"/>
      <c r="BH66" s="86">
        <v>11.23</v>
      </c>
      <c r="BI66" s="86">
        <v>2.83</v>
      </c>
      <c r="BJ66" s="95">
        <v>156</v>
      </c>
      <c r="BK66" s="82">
        <v>100</v>
      </c>
      <c r="BL66" s="70">
        <f t="shared" si="38"/>
        <v>96.790740740740745</v>
      </c>
      <c r="BM66" s="96">
        <v>0.77554039972150868</v>
      </c>
      <c r="BN66" s="92">
        <v>68.54138278767789</v>
      </c>
      <c r="BO66" s="86">
        <v>53.154836194714818</v>
      </c>
      <c r="BP66" s="70">
        <f t="shared" si="39"/>
        <v>69.2010747316736</v>
      </c>
      <c r="BQ66" s="96">
        <v>0.70965119986879377</v>
      </c>
      <c r="BR66" s="96">
        <v>0.69269364226169328</v>
      </c>
      <c r="BS66" s="86">
        <v>58.075460399999997</v>
      </c>
      <c r="BT66" s="86">
        <v>51.535447599999998</v>
      </c>
      <c r="BU66" s="86">
        <v>87.053501499999996</v>
      </c>
      <c r="BV66" s="86">
        <v>62.451625699999994</v>
      </c>
      <c r="BW66" s="71">
        <f t="shared" si="40"/>
        <v>62.804217143484451</v>
      </c>
      <c r="BX66" s="92">
        <v>68.77</v>
      </c>
      <c r="BY66" s="158">
        <f t="shared" si="41"/>
        <v>68.77</v>
      </c>
      <c r="BZ66" s="54"/>
    </row>
    <row r="67" spans="1:79" s="5" customFormat="1" ht="15" customHeight="1" x14ac:dyDescent="0.25">
      <c r="A67" s="2">
        <v>61</v>
      </c>
      <c r="B67" s="14" t="s">
        <v>23</v>
      </c>
      <c r="C67" s="15" t="s">
        <v>24</v>
      </c>
      <c r="D67" s="162" t="s">
        <v>194</v>
      </c>
      <c r="E67" s="209">
        <f t="shared" si="22"/>
        <v>62.089565326700594</v>
      </c>
      <c r="F67" s="71">
        <f t="shared" si="23"/>
        <v>50.618078696847732</v>
      </c>
      <c r="G67" s="71">
        <f t="shared" si="24"/>
        <v>57.915946546084854</v>
      </c>
      <c r="H67" s="71">
        <f t="shared" si="25"/>
        <v>67.818161406575157</v>
      </c>
      <c r="I67" s="71">
        <f t="shared" si="26"/>
        <v>72.006074657294647</v>
      </c>
      <c r="J67" s="63"/>
      <c r="K67" s="85">
        <v>3.9689372258042477</v>
      </c>
      <c r="L67" s="208">
        <v>1.98</v>
      </c>
      <c r="M67" s="82">
        <f t="shared" si="42"/>
        <v>100</v>
      </c>
      <c r="N67" s="71">
        <f t="shared" si="27"/>
        <v>88.716317921134703</v>
      </c>
      <c r="O67" s="99">
        <v>18.344443559477522</v>
      </c>
      <c r="P67" s="87">
        <v>58.4</v>
      </c>
      <c r="Q67" s="70">
        <f t="shared" si="28"/>
        <v>50.902468644154169</v>
      </c>
      <c r="R67" s="168">
        <v>0</v>
      </c>
      <c r="S67" s="99">
        <v>-0.52056430438598089</v>
      </c>
      <c r="T67" s="99">
        <v>0.56499999999999995</v>
      </c>
      <c r="U67" s="90">
        <v>4.5469999999999997</v>
      </c>
      <c r="V67" s="70">
        <f t="shared" si="29"/>
        <v>33.036527725911959</v>
      </c>
      <c r="W67" s="190">
        <v>4.99</v>
      </c>
      <c r="X67" s="98">
        <v>34.400000000000006</v>
      </c>
      <c r="Y67" s="98">
        <v>30.267264122027605</v>
      </c>
      <c r="Z67" s="218">
        <v>3.7</v>
      </c>
      <c r="AA67" s="71">
        <f t="shared" si="30"/>
        <v>70.37125098062063</v>
      </c>
      <c r="AB67" s="63"/>
      <c r="AC67" s="99">
        <v>24.086966752206525</v>
      </c>
      <c r="AD67" s="98">
        <v>71.637811344951103</v>
      </c>
      <c r="AE67" s="91">
        <v>65</v>
      </c>
      <c r="AF67" s="122">
        <v>3</v>
      </c>
      <c r="AG67" s="91">
        <v>46.836938793506377</v>
      </c>
      <c r="AH67" s="70">
        <f t="shared" si="31"/>
        <v>62.534538755316483</v>
      </c>
      <c r="AI67" s="99">
        <v>1.0669382532583578</v>
      </c>
      <c r="AJ67" s="99">
        <v>3.3605593020901905</v>
      </c>
      <c r="AK67" s="128">
        <v>86.788384934985899</v>
      </c>
      <c r="AL67" s="92">
        <v>6.1214966961320343</v>
      </c>
      <c r="AM67" s="85">
        <v>31.6092889130015</v>
      </c>
      <c r="AN67" s="70">
        <f t="shared" si="32"/>
        <v>53.297354336853225</v>
      </c>
      <c r="AO67" s="63"/>
      <c r="AP67" s="89">
        <v>95.849257661403769</v>
      </c>
      <c r="AQ67" s="89">
        <v>76.441003173598631</v>
      </c>
      <c r="AR67" s="97">
        <v>5.85</v>
      </c>
      <c r="AS67" s="158">
        <f t="shared" si="33"/>
        <v>85.72031600215027</v>
      </c>
      <c r="AT67" s="89">
        <v>72.424700000000001</v>
      </c>
      <c r="AU67" s="89">
        <v>77.332091629783292</v>
      </c>
      <c r="AV67" s="89">
        <v>53.120858554674015</v>
      </c>
      <c r="AW67" s="100">
        <v>2.5</v>
      </c>
      <c r="AX67" s="71">
        <f t="shared" si="34"/>
        <v>72.229116155725791</v>
      </c>
      <c r="AY67" s="86">
        <v>53.923167006134264</v>
      </c>
      <c r="AZ67" s="71">
        <f t="shared" si="35"/>
        <v>53.923167006134264</v>
      </c>
      <c r="BA67" s="92">
        <v>45.05</v>
      </c>
      <c r="BB67" s="71">
        <f t="shared" si="36"/>
        <v>54.95</v>
      </c>
      <c r="BC67" s="86">
        <v>37.340000000000003</v>
      </c>
      <c r="BD67" s="86">
        <v>64.44</v>
      </c>
      <c r="BE67" s="86">
        <v>38.880000000000003</v>
      </c>
      <c r="BF67" s="71">
        <f t="shared" si="37"/>
        <v>48.796000000000006</v>
      </c>
      <c r="BG67" s="63"/>
      <c r="BH67" s="85">
        <v>59.77</v>
      </c>
      <c r="BI67" s="85">
        <v>3.1</v>
      </c>
      <c r="BJ67" s="88">
        <v>156</v>
      </c>
      <c r="BK67" s="81">
        <v>100</v>
      </c>
      <c r="BL67" s="70">
        <f t="shared" si="38"/>
        <v>93.148148148148152</v>
      </c>
      <c r="BM67" s="90">
        <v>0.70789009145227866</v>
      </c>
      <c r="BN67" s="85">
        <v>64.599999999999994</v>
      </c>
      <c r="BO67" s="85">
        <v>55.576854885251954</v>
      </c>
      <c r="BP67" s="70">
        <f t="shared" si="39"/>
        <v>65.438718293926925</v>
      </c>
      <c r="BQ67" s="90">
        <v>0.62091161274941198</v>
      </c>
      <c r="BR67" s="90">
        <v>0.64095357584508816</v>
      </c>
      <c r="BS67" s="85">
        <v>54.900883399999998</v>
      </c>
      <c r="BT67" s="86">
        <v>64.783786199999994</v>
      </c>
      <c r="BU67" s="85">
        <v>81.475091499999991</v>
      </c>
      <c r="BV67" s="86">
        <v>62.4326905</v>
      </c>
      <c r="BW67" s="71">
        <f t="shared" si="40"/>
        <v>63.109777520227247</v>
      </c>
      <c r="BX67" s="92">
        <v>69.989999999999995</v>
      </c>
      <c r="BY67" s="158">
        <f t="shared" si="41"/>
        <v>69.989999999999995</v>
      </c>
      <c r="BZ67" s="54"/>
    </row>
    <row r="68" spans="1:79" s="5" customFormat="1" ht="15" customHeight="1" x14ac:dyDescent="0.25">
      <c r="A68" s="2">
        <v>62</v>
      </c>
      <c r="B68" s="14" t="s">
        <v>23</v>
      </c>
      <c r="C68" s="15" t="s">
        <v>24</v>
      </c>
      <c r="D68" s="162" t="s">
        <v>25</v>
      </c>
      <c r="E68" s="209">
        <f t="shared" si="22"/>
        <v>61.776475713081126</v>
      </c>
      <c r="F68" s="71">
        <f t="shared" si="23"/>
        <v>49.694290238702933</v>
      </c>
      <c r="G68" s="71">
        <f t="shared" si="24"/>
        <v>57.480290096505939</v>
      </c>
      <c r="H68" s="71">
        <f t="shared" si="25"/>
        <v>68.571079034952248</v>
      </c>
      <c r="I68" s="71">
        <f t="shared" si="26"/>
        <v>71.360243482163369</v>
      </c>
      <c r="J68" s="63"/>
      <c r="K68" s="85">
        <v>4.4304314207019857</v>
      </c>
      <c r="L68" s="208">
        <v>4.3599999999999994</v>
      </c>
      <c r="M68" s="82">
        <f t="shared" si="42"/>
        <v>94.962962962962962</v>
      </c>
      <c r="N68" s="71">
        <f t="shared" si="27"/>
        <v>88.761656040936955</v>
      </c>
      <c r="O68" s="99">
        <v>18.344443559477522</v>
      </c>
      <c r="P68" s="87">
        <v>69.7</v>
      </c>
      <c r="Q68" s="70">
        <f t="shared" si="28"/>
        <v>45.880246421931957</v>
      </c>
      <c r="R68" s="168">
        <v>0</v>
      </c>
      <c r="S68" s="99">
        <v>-1.3033077691623214</v>
      </c>
      <c r="T68" s="99">
        <v>0.56499999999999995</v>
      </c>
      <c r="U68" s="90">
        <v>4.5270000000000001</v>
      </c>
      <c r="V68" s="70">
        <f t="shared" si="29"/>
        <v>30.957478418993549</v>
      </c>
      <c r="W68" s="85">
        <v>5.5</v>
      </c>
      <c r="X68" s="87">
        <v>19</v>
      </c>
      <c r="Y68" s="98">
        <v>27.592304535666663</v>
      </c>
      <c r="Z68" s="218">
        <v>3.7</v>
      </c>
      <c r="AA68" s="71">
        <f t="shared" si="30"/>
        <v>73.829393847290675</v>
      </c>
      <c r="AB68" s="63"/>
      <c r="AC68" s="99">
        <v>24.086966752206525</v>
      </c>
      <c r="AD68" s="98">
        <v>73.705031337129114</v>
      </c>
      <c r="AE68" s="91">
        <v>75</v>
      </c>
      <c r="AF68" s="122">
        <v>3</v>
      </c>
      <c r="AG68" s="91">
        <v>38.723309584392993</v>
      </c>
      <c r="AH68" s="70">
        <f t="shared" si="31"/>
        <v>63.193470552493928</v>
      </c>
      <c r="AI68" s="99">
        <v>1.0991965200980167</v>
      </c>
      <c r="AJ68" s="99">
        <v>3.3869041158101174</v>
      </c>
      <c r="AK68" s="126">
        <v>91.322465551807895</v>
      </c>
      <c r="AL68" s="92">
        <v>6.16641036166346</v>
      </c>
      <c r="AM68" s="85">
        <v>18.2006584374565</v>
      </c>
      <c r="AN68" s="70">
        <f t="shared" si="32"/>
        <v>51.767109640517965</v>
      </c>
      <c r="AO68" s="63"/>
      <c r="AP68" s="89">
        <v>97.740935715114261</v>
      </c>
      <c r="AQ68" s="89">
        <v>70.170846242533116</v>
      </c>
      <c r="AR68" s="97">
        <v>5.85</v>
      </c>
      <c r="AS68" s="158">
        <f t="shared" si="33"/>
        <v>83.058157050045125</v>
      </c>
      <c r="AT68" s="89">
        <v>77.941400000000002</v>
      </c>
      <c r="AU68" s="89">
        <v>78.549796745403796</v>
      </c>
      <c r="AV68" s="89">
        <v>55.546269862621827</v>
      </c>
      <c r="AW68" s="100">
        <v>2.5</v>
      </c>
      <c r="AX68" s="71">
        <f t="shared" si="34"/>
        <v>78.733837788703696</v>
      </c>
      <c r="AY68" s="86">
        <v>48.903986185578717</v>
      </c>
      <c r="AZ68" s="71">
        <f t="shared" si="35"/>
        <v>48.903986185578717</v>
      </c>
      <c r="BA68" s="92">
        <v>45.05</v>
      </c>
      <c r="BB68" s="71">
        <f t="shared" si="36"/>
        <v>54.95</v>
      </c>
      <c r="BC68" s="86">
        <v>40.03</v>
      </c>
      <c r="BD68" s="86">
        <v>68.52</v>
      </c>
      <c r="BE68" s="86">
        <v>43.37</v>
      </c>
      <c r="BF68" s="71">
        <f t="shared" si="37"/>
        <v>52.762</v>
      </c>
      <c r="BG68" s="63"/>
      <c r="BH68" s="85">
        <v>12.8</v>
      </c>
      <c r="BI68" s="85">
        <v>3.03</v>
      </c>
      <c r="BJ68" s="88">
        <v>145</v>
      </c>
      <c r="BK68" s="81">
        <v>100</v>
      </c>
      <c r="BL68" s="70">
        <f t="shared" si="38"/>
        <v>92.433890880127436</v>
      </c>
      <c r="BM68" s="90">
        <v>0.72018752820749254</v>
      </c>
      <c r="BN68" s="85">
        <v>64.599999999999994</v>
      </c>
      <c r="BO68" s="85">
        <v>55.453279024110458</v>
      </c>
      <c r="BP68" s="70">
        <f t="shared" si="39"/>
        <v>66.022696166402241</v>
      </c>
      <c r="BQ68" s="90">
        <v>0.61657497621332047</v>
      </c>
      <c r="BR68" s="90">
        <v>0.6073076871260028</v>
      </c>
      <c r="BS68" s="85">
        <v>53.611268899999999</v>
      </c>
      <c r="BT68" s="86">
        <v>59.700819899999999</v>
      </c>
      <c r="BU68" s="85">
        <v>84.225493899999989</v>
      </c>
      <c r="BV68" s="86">
        <v>64.871385899999993</v>
      </c>
      <c r="BW68" s="71">
        <f t="shared" si="40"/>
        <v>61.274176892030987</v>
      </c>
      <c r="BX68" s="92">
        <v>69.989999999999995</v>
      </c>
      <c r="BY68" s="158">
        <f t="shared" si="41"/>
        <v>69.989999999999995</v>
      </c>
      <c r="BZ68" s="54"/>
      <c r="CA68" s="20"/>
    </row>
    <row r="69" spans="1:79" s="5" customFormat="1" ht="15" customHeight="1" x14ac:dyDescent="0.25">
      <c r="A69" s="2">
        <v>63</v>
      </c>
      <c r="B69" s="6" t="s">
        <v>13</v>
      </c>
      <c r="C69" s="7" t="s">
        <v>14</v>
      </c>
      <c r="D69" s="162" t="s">
        <v>15</v>
      </c>
      <c r="E69" s="209">
        <f t="shared" si="22"/>
        <v>61.608353049770216</v>
      </c>
      <c r="F69" s="71">
        <f t="shared" si="23"/>
        <v>50.278097377996922</v>
      </c>
      <c r="G69" s="71">
        <f t="shared" si="24"/>
        <v>63.65574025594934</v>
      </c>
      <c r="H69" s="71">
        <f t="shared" si="25"/>
        <v>67.970921311783584</v>
      </c>
      <c r="I69" s="71">
        <f t="shared" si="26"/>
        <v>64.528653253351024</v>
      </c>
      <c r="J69" s="63"/>
      <c r="K69" s="85">
        <v>5.6886744128781253</v>
      </c>
      <c r="L69" s="208">
        <v>3.5799999999999996</v>
      </c>
      <c r="M69" s="82">
        <f t="shared" si="42"/>
        <v>97.851851851851862</v>
      </c>
      <c r="N69" s="71">
        <f t="shared" si="27"/>
        <v>97.196339330804406</v>
      </c>
      <c r="O69" s="85">
        <v>22.809701268220206</v>
      </c>
      <c r="P69" s="87">
        <v>52.6</v>
      </c>
      <c r="Q69" s="70">
        <f t="shared" si="28"/>
        <v>55.960945149011231</v>
      </c>
      <c r="R69" s="90">
        <v>1.2E-2</v>
      </c>
      <c r="S69" s="85">
        <v>4.6849490000000001E-2</v>
      </c>
      <c r="T69" s="85">
        <v>0.45</v>
      </c>
      <c r="U69" s="90">
        <v>3.9609999999999999</v>
      </c>
      <c r="V69" s="70">
        <f t="shared" si="29"/>
        <v>34.458708900793653</v>
      </c>
      <c r="W69" s="85">
        <v>10.926</v>
      </c>
      <c r="X69" s="98">
        <v>15.600000000000001</v>
      </c>
      <c r="Y69" s="87">
        <v>18.7</v>
      </c>
      <c r="Z69" s="214">
        <v>11.8</v>
      </c>
      <c r="AA69" s="71">
        <f t="shared" si="30"/>
        <v>59.739868888671872</v>
      </c>
      <c r="AB69" s="63"/>
      <c r="AC69" s="85">
        <v>24.266415089127698</v>
      </c>
      <c r="AD69" s="87">
        <v>57.6</v>
      </c>
      <c r="AE69" s="88">
        <v>60</v>
      </c>
      <c r="AF69" s="85">
        <v>2.5</v>
      </c>
      <c r="AG69" s="88">
        <v>40</v>
      </c>
      <c r="AH69" s="70">
        <f t="shared" si="31"/>
        <v>58.469917751726165</v>
      </c>
      <c r="AI69" s="85">
        <v>1.51</v>
      </c>
      <c r="AJ69" s="85">
        <v>5.0999999999999996</v>
      </c>
      <c r="AK69" s="87">
        <v>89.3</v>
      </c>
      <c r="AL69" s="86">
        <v>5.525901920291755</v>
      </c>
      <c r="AM69" s="85">
        <v>86.506338155200098</v>
      </c>
      <c r="AN69" s="70">
        <f t="shared" si="32"/>
        <v>68.841562760172522</v>
      </c>
      <c r="AO69" s="63"/>
      <c r="AP69" s="89">
        <v>94.691729495743715</v>
      </c>
      <c r="AQ69" s="89">
        <v>64.575271993570055</v>
      </c>
      <c r="AR69" s="89">
        <v>12.57</v>
      </c>
      <c r="AS69" s="158">
        <f t="shared" si="33"/>
        <v>77.818068370720965</v>
      </c>
      <c r="AT69" s="89">
        <v>79.953299999999999</v>
      </c>
      <c r="AU69" s="89">
        <v>69.737680376856801</v>
      </c>
      <c r="AV69" s="89">
        <v>61.851297180247613</v>
      </c>
      <c r="AW69" s="100">
        <v>5.4</v>
      </c>
      <c r="AX69" s="71">
        <f t="shared" si="34"/>
        <v>78.562858637715919</v>
      </c>
      <c r="AY69" s="86">
        <v>52.448014783611107</v>
      </c>
      <c r="AZ69" s="71">
        <f t="shared" si="35"/>
        <v>52.448014783611107</v>
      </c>
      <c r="BA69" s="86">
        <v>29.42</v>
      </c>
      <c r="BB69" s="71">
        <f t="shared" si="36"/>
        <v>70.58</v>
      </c>
      <c r="BC69" s="86">
        <v>61.48</v>
      </c>
      <c r="BD69" s="86">
        <v>37.369999999999997</v>
      </c>
      <c r="BE69" s="86">
        <v>41.35</v>
      </c>
      <c r="BF69" s="71">
        <f t="shared" si="37"/>
        <v>43.784000000000006</v>
      </c>
      <c r="BG69" s="63"/>
      <c r="BH69" s="85">
        <v>1.76</v>
      </c>
      <c r="BI69" s="85">
        <v>5.2</v>
      </c>
      <c r="BJ69" s="88">
        <v>140</v>
      </c>
      <c r="BK69" s="81">
        <v>95.454545454545453</v>
      </c>
      <c r="BL69" s="70">
        <f t="shared" si="38"/>
        <v>89.831562941240364</v>
      </c>
      <c r="BM69" s="90">
        <v>0.58891477572433149</v>
      </c>
      <c r="BN69" s="85">
        <v>56.52</v>
      </c>
      <c r="BO69" s="85">
        <v>58.72385219792924</v>
      </c>
      <c r="BP69" s="70">
        <f t="shared" si="39"/>
        <v>58.256701835698884</v>
      </c>
      <c r="BQ69" s="90">
        <v>0.42778641890726576</v>
      </c>
      <c r="BR69" s="90">
        <v>0.43018375863295744</v>
      </c>
      <c r="BS69" s="85">
        <v>39.337997399999999</v>
      </c>
      <c r="BT69" s="86">
        <v>57.413695699999998</v>
      </c>
      <c r="BU69" s="85">
        <v>66.243999000000002</v>
      </c>
      <c r="BV69" s="86">
        <v>57.003520899999998</v>
      </c>
      <c r="BW69" s="71">
        <f t="shared" si="40"/>
        <v>49.50214847808936</v>
      </c>
      <c r="BX69" s="86">
        <v>72.680000000000007</v>
      </c>
      <c r="BY69" s="158">
        <f t="shared" si="41"/>
        <v>72.680000000000007</v>
      </c>
      <c r="BZ69" s="54"/>
    </row>
    <row r="70" spans="1:79" s="5" customFormat="1" ht="15" customHeight="1" x14ac:dyDescent="0.25">
      <c r="A70" s="2">
        <v>64</v>
      </c>
      <c r="B70" s="6" t="s">
        <v>13</v>
      </c>
      <c r="C70" s="7" t="s">
        <v>14</v>
      </c>
      <c r="D70" s="162" t="s">
        <v>182</v>
      </c>
      <c r="E70" s="209">
        <f t="shared" si="22"/>
        <v>61.294741944791369</v>
      </c>
      <c r="F70" s="71">
        <f t="shared" si="23"/>
        <v>59.694649893884417</v>
      </c>
      <c r="G70" s="71">
        <f t="shared" si="24"/>
        <v>62.104741149520322</v>
      </c>
      <c r="H70" s="71">
        <f t="shared" si="25"/>
        <v>67.917197908597757</v>
      </c>
      <c r="I70" s="71">
        <f t="shared" si="26"/>
        <v>55.462378827162986</v>
      </c>
      <c r="J70" s="63"/>
      <c r="K70" s="85">
        <v>4.2095185738314722</v>
      </c>
      <c r="L70" s="208">
        <v>7.42</v>
      </c>
      <c r="M70" s="82">
        <f t="shared" si="42"/>
        <v>83.629629629629619</v>
      </c>
      <c r="N70" s="71">
        <f t="shared" si="27"/>
        <v>81.867695780545205</v>
      </c>
      <c r="O70" s="85">
        <v>18.965746473619749</v>
      </c>
      <c r="P70" s="87">
        <v>42.4</v>
      </c>
      <c r="Q70" s="70">
        <f t="shared" si="28"/>
        <v>58.358748040899854</v>
      </c>
      <c r="R70" s="90">
        <v>5.0999999999999997E-2</v>
      </c>
      <c r="S70" s="85">
        <v>0.77276500000000004</v>
      </c>
      <c r="T70" s="85">
        <v>0.67</v>
      </c>
      <c r="U70" s="90">
        <v>3.153</v>
      </c>
      <c r="V70" s="70">
        <f t="shared" si="29"/>
        <v>50.544982142857144</v>
      </c>
      <c r="W70" s="85">
        <v>7.1230000000000002</v>
      </c>
      <c r="X70" s="87">
        <v>17.100000000000001</v>
      </c>
      <c r="Y70" s="87">
        <v>29.77</v>
      </c>
      <c r="Z70" s="214">
        <v>7</v>
      </c>
      <c r="AA70" s="71">
        <f t="shared" si="30"/>
        <v>69.926308153065392</v>
      </c>
      <c r="AB70" s="63"/>
      <c r="AC70" s="85">
        <v>22.839263073607956</v>
      </c>
      <c r="AD70" s="87">
        <v>57.2</v>
      </c>
      <c r="AE70" s="88">
        <v>70</v>
      </c>
      <c r="AF70" s="85">
        <v>5.75</v>
      </c>
      <c r="AG70" s="88">
        <v>50</v>
      </c>
      <c r="AH70" s="70">
        <f t="shared" si="31"/>
        <v>59.951816408046334</v>
      </c>
      <c r="AI70" s="85">
        <v>1.05</v>
      </c>
      <c r="AJ70" s="85">
        <v>3.75</v>
      </c>
      <c r="AK70" s="87">
        <v>88</v>
      </c>
      <c r="AL70" s="86">
        <v>5.642788325466376</v>
      </c>
      <c r="AM70" s="85">
        <v>96.815228836638397</v>
      </c>
      <c r="AN70" s="70">
        <f t="shared" si="32"/>
        <v>64.257665890994318</v>
      </c>
      <c r="AO70" s="63"/>
      <c r="AP70" s="89">
        <v>96.364661880343235</v>
      </c>
      <c r="AQ70" s="89">
        <v>67.373102487573647</v>
      </c>
      <c r="AR70" s="89">
        <v>7.92</v>
      </c>
      <c r="AS70" s="158">
        <f t="shared" si="33"/>
        <v>80.797716713872632</v>
      </c>
      <c r="AT70" s="89">
        <v>77.1387</v>
      </c>
      <c r="AU70" s="89">
        <v>69.693370887013685</v>
      </c>
      <c r="AV70" s="89">
        <v>57.129833351079718</v>
      </c>
      <c r="AW70" s="100">
        <v>2.5</v>
      </c>
      <c r="AX70" s="71">
        <f t="shared" si="34"/>
        <v>75.772395526524718</v>
      </c>
      <c r="AY70" s="86">
        <v>56.034521183383767</v>
      </c>
      <c r="AZ70" s="71">
        <f t="shared" si="35"/>
        <v>56.034521183383767</v>
      </c>
      <c r="BA70" s="86">
        <v>32.82</v>
      </c>
      <c r="BB70" s="71">
        <f t="shared" si="36"/>
        <v>67.180000000000007</v>
      </c>
      <c r="BC70" s="86">
        <v>49.69</v>
      </c>
      <c r="BD70" s="86">
        <v>28.56</v>
      </c>
      <c r="BE70" s="86">
        <v>42.34</v>
      </c>
      <c r="BF70" s="71">
        <f t="shared" si="37"/>
        <v>38.298000000000002</v>
      </c>
      <c r="BG70" s="63"/>
      <c r="BH70" s="85">
        <v>0.89</v>
      </c>
      <c r="BI70" s="85">
        <v>6.18</v>
      </c>
      <c r="BJ70" s="88">
        <v>72</v>
      </c>
      <c r="BK70" s="81">
        <v>81.818181818181813</v>
      </c>
      <c r="BL70" s="70">
        <f t="shared" si="38"/>
        <v>60.469521378661156</v>
      </c>
      <c r="BM70" s="90">
        <v>0.55723699903704527</v>
      </c>
      <c r="BN70" s="85">
        <v>50.79</v>
      </c>
      <c r="BO70" s="85">
        <v>62.668457947757872</v>
      </c>
      <c r="BP70" s="70">
        <f t="shared" si="39"/>
        <v>56.22646443879173</v>
      </c>
      <c r="BQ70" s="90">
        <v>0.32328523945851972</v>
      </c>
      <c r="BR70" s="90">
        <v>0.41873669443625089</v>
      </c>
      <c r="BS70" s="85">
        <v>36.502794000000002</v>
      </c>
      <c r="BT70" s="86">
        <v>53.322769099999995</v>
      </c>
      <c r="BU70" s="85">
        <v>63.0137693</v>
      </c>
      <c r="BV70" s="86">
        <v>56.098482699999998</v>
      </c>
      <c r="BW70" s="71">
        <f t="shared" si="40"/>
        <v>45.885883288171947</v>
      </c>
      <c r="BX70" s="86">
        <v>74.17</v>
      </c>
      <c r="BY70" s="158">
        <f t="shared" si="41"/>
        <v>74.17</v>
      </c>
      <c r="BZ70" s="54"/>
    </row>
    <row r="71" spans="1:79" s="5" customFormat="1" ht="15" customHeight="1" x14ac:dyDescent="0.25">
      <c r="A71" s="2">
        <v>65</v>
      </c>
      <c r="B71" s="3" t="s">
        <v>10</v>
      </c>
      <c r="C71" s="19" t="s">
        <v>35</v>
      </c>
      <c r="D71" s="162" t="s">
        <v>36</v>
      </c>
      <c r="E71" s="209">
        <f t="shared" ref="E71:E102" si="43">(F71*25+G71*25+H71*25+I71*25)/100</f>
        <v>61.062377971852591</v>
      </c>
      <c r="F71" s="71">
        <f t="shared" ref="F71:F102" si="44">(N71*10+Q71*15+V71*50+AA71*25)/100</f>
        <v>53.017048353480185</v>
      </c>
      <c r="G71" s="71">
        <f t="shared" ref="G71:G102" si="45">(AH71*50+AN71*50)/100</f>
        <v>66.680212594091486</v>
      </c>
      <c r="H71" s="71">
        <f t="shared" ref="H71:H102" si="46">(AS71*25+AX71*35+AZ71*25+BB71*5+BF71*10)/100</f>
        <v>70.210773443759649</v>
      </c>
      <c r="I71" s="71">
        <f t="shared" ref="I71:I102" si="47">(BL71*25+BP71*30+BW71*35+BY71*10)/100</f>
        <v>54.341477496079058</v>
      </c>
      <c r="J71" s="63"/>
      <c r="K71" s="86">
        <v>2.5042035321767075</v>
      </c>
      <c r="L71" s="207">
        <v>0.78</v>
      </c>
      <c r="M71" s="82">
        <f t="shared" si="42"/>
        <v>96.333333333333343</v>
      </c>
      <c r="N71" s="71">
        <f t="shared" ref="N71:N102" si="48">(((MIN(MAX(K71,-3),6)-(-3))/(6-(-3)))*100+M71)/2</f>
        <v>78.745575178759481</v>
      </c>
      <c r="O71" s="86">
        <v>33.407980531833971</v>
      </c>
      <c r="P71" s="100">
        <v>147.6</v>
      </c>
      <c r="Q71" s="70">
        <f t="shared" ref="Q71:Q102" si="49">((MIN(MAX(O71,-5),60)/60)*100+((150-MIN(P71,150))/(150))*100*2)/3</f>
        <v>19.626655851018878</v>
      </c>
      <c r="R71" s="167">
        <v>4.2000000000000003E-2</v>
      </c>
      <c r="S71" s="86">
        <v>0.26701742000000001</v>
      </c>
      <c r="T71" s="86">
        <v>0.6</v>
      </c>
      <c r="U71" s="167">
        <v>3.0779999999999998</v>
      </c>
      <c r="V71" s="70">
        <f t="shared" ref="V71:V102" si="50">((R71/0.45)*100*2+((S71-(-4))/(2-(-4)))*100+T71*100*2+((5.5-U71)/(5.5-2))*100)/6</f>
        <v>46.497270611111112</v>
      </c>
      <c r="W71" s="86">
        <v>1.1020000000000001</v>
      </c>
      <c r="X71" s="93">
        <v>15</v>
      </c>
      <c r="Y71" s="100">
        <v>49.34</v>
      </c>
      <c r="Z71" s="107">
        <v>6.7</v>
      </c>
      <c r="AA71" s="71">
        <f t="shared" ref="AA71:AA102" si="51">(((35-W71)/(35))*100*0.5+(100-X71)*1.5+((LN(MIN(MAX(Y71,1),250))-LN(1))/(LN(250)-LN(1)))*100*2+((20-MIN(Z71,20))/(20))*100*1.5)/5.5</f>
        <v>75.799428609583387</v>
      </c>
      <c r="AB71" s="63"/>
      <c r="AC71" s="86">
        <v>28.876492005302957</v>
      </c>
      <c r="AD71" s="100">
        <v>60.9</v>
      </c>
      <c r="AE71" s="95">
        <v>90</v>
      </c>
      <c r="AF71" s="85">
        <v>4.5</v>
      </c>
      <c r="AG71" s="88">
        <v>30</v>
      </c>
      <c r="AH71" s="70">
        <f t="shared" ref="AH71:AH102" si="52">((AC71/50)*100*2+AD71*1+AE71+(1-(AF71/65))*100+AG71)/6</f>
        <v>64.913815183022493</v>
      </c>
      <c r="AI71" s="86">
        <v>-0.81</v>
      </c>
      <c r="AJ71" s="86">
        <v>4.5599999999999996</v>
      </c>
      <c r="AK71" s="100">
        <v>99.9</v>
      </c>
      <c r="AL71" s="86">
        <v>6.6958266651426168</v>
      </c>
      <c r="AM71" s="86">
        <v>97.938126728110603</v>
      </c>
      <c r="AN71" s="70">
        <f t="shared" ref="AN71:AN102" si="53">(((AI71-(-4))/(4-(-4)))*100+((AJ71-1)/(7-1))*100*1.5+AK71*0.5+(AL71/10)*100*2+AM71)/6</f>
        <v>68.44661000516048</v>
      </c>
      <c r="AO71" s="63"/>
      <c r="AP71" s="89">
        <v>99.410098442405541</v>
      </c>
      <c r="AQ71" s="89">
        <v>82.542480282809407</v>
      </c>
      <c r="AR71" s="97">
        <v>4.78</v>
      </c>
      <c r="AS71" s="158">
        <f t="shared" ref="AS71:AS102" si="54">(AP71+AQ71*2+(100-AR71))/4</f>
        <v>89.928764752006089</v>
      </c>
      <c r="AT71" s="89">
        <v>81.5792</v>
      </c>
      <c r="AU71" s="89">
        <v>65.027387516540827</v>
      </c>
      <c r="AV71" s="89">
        <v>53.221948134258156</v>
      </c>
      <c r="AW71" s="100">
        <v>2.5</v>
      </c>
      <c r="AX71" s="71">
        <f t="shared" ref="AX71:AX102" si="55">(((AT71-50)/(85-50))*100*2+AU71*1.5+AV71+(1-((MIN(AW71,55)-2.5)/(55-2.5)))*100)/5.5</f>
        <v>78.402836515934681</v>
      </c>
      <c r="AY71" s="86">
        <v>56.038757900723994</v>
      </c>
      <c r="AZ71" s="71">
        <f t="shared" ref="AZ71:AZ102" si="56">AY71</f>
        <v>56.038757900723994</v>
      </c>
      <c r="BA71" s="92">
        <v>35.130000000000003</v>
      </c>
      <c r="BB71" s="71">
        <f t="shared" ref="BB71:BB102" si="57">100-BA71</f>
        <v>64.87</v>
      </c>
      <c r="BC71" s="86">
        <v>24.66</v>
      </c>
      <c r="BD71" s="86">
        <v>38.78</v>
      </c>
      <c r="BE71" s="86">
        <v>24.75</v>
      </c>
      <c r="BF71" s="71">
        <f t="shared" ref="BF71:BF102" si="58">(BC71*0.5+BD71+BE71)/2.5</f>
        <v>30.344000000000001</v>
      </c>
      <c r="BG71" s="63"/>
      <c r="BH71" s="86">
        <v>0.2</v>
      </c>
      <c r="BI71" s="86">
        <v>4.82</v>
      </c>
      <c r="BJ71" s="95">
        <v>111</v>
      </c>
      <c r="BK71" s="82">
        <v>57.575757575757578</v>
      </c>
      <c r="BL71" s="70">
        <f t="shared" ref="BL71:BL102" si="59">(((30-MIN(BH71,30))/(30))*100*0.5+((10-BI71)/(10-1))*100*0.5+((BJ71-1)/(156-1))*100*5+(BK71)*3)/9</f>
        <v>67.334491872126293</v>
      </c>
      <c r="BM71" s="96">
        <v>0.31214968185170366</v>
      </c>
      <c r="BN71" s="86">
        <v>24.84</v>
      </c>
      <c r="BO71" s="86">
        <v>39.417267508487093</v>
      </c>
      <c r="BP71" s="70">
        <f t="shared" ref="BP71:BP102" si="60">(BM71*100*2+BN71+BO71)/4</f>
        <v>31.671800969706958</v>
      </c>
      <c r="BQ71" s="96">
        <v>0.44804672807974527</v>
      </c>
      <c r="BR71" s="96">
        <v>0.57303946906141734</v>
      </c>
      <c r="BS71" s="86">
        <v>52.997517199999997</v>
      </c>
      <c r="BT71" s="86">
        <v>63.011800099999995</v>
      </c>
      <c r="BU71" s="86">
        <v>61.182139999999997</v>
      </c>
      <c r="BV71" s="86">
        <v>69.849480200000002</v>
      </c>
      <c r="BW71" s="71">
        <f t="shared" ref="BW71:BW102" si="61">(BQ71*100+BR71*100*1.5+BS71*1.5+BT71*2+BU71*0.5+BV71)/7.5</f>
        <v>58.229469248958281</v>
      </c>
      <c r="BX71" s="86">
        <v>76.260000000000005</v>
      </c>
      <c r="BY71" s="158">
        <f t="shared" ref="BY71:BY102" si="62">BX71</f>
        <v>76.260000000000005</v>
      </c>
      <c r="BZ71" s="54"/>
    </row>
    <row r="72" spans="1:79" s="5" customFormat="1" ht="15" customHeight="1" x14ac:dyDescent="0.25">
      <c r="A72" s="2">
        <v>66</v>
      </c>
      <c r="B72" s="6" t="s">
        <v>13</v>
      </c>
      <c r="C72" s="7" t="s">
        <v>14</v>
      </c>
      <c r="D72" s="162" t="s">
        <v>122</v>
      </c>
      <c r="E72" s="209">
        <f t="shared" si="43"/>
        <v>60.736262918152931</v>
      </c>
      <c r="F72" s="71">
        <f t="shared" si="44"/>
        <v>56.926033709852128</v>
      </c>
      <c r="G72" s="71">
        <f t="shared" si="45"/>
        <v>59.489196310886015</v>
      </c>
      <c r="H72" s="71">
        <f t="shared" si="46"/>
        <v>63.647518099527041</v>
      </c>
      <c r="I72" s="71">
        <f t="shared" si="47"/>
        <v>62.882303552346556</v>
      </c>
      <c r="J72" s="63"/>
      <c r="K72" s="85">
        <v>7.4212280051688229</v>
      </c>
      <c r="L72" s="208">
        <v>5.0599999999999996</v>
      </c>
      <c r="M72" s="82">
        <f t="shared" si="42"/>
        <v>92.370370370370381</v>
      </c>
      <c r="N72" s="71">
        <f t="shared" si="48"/>
        <v>96.18518518518519</v>
      </c>
      <c r="O72" s="85">
        <v>25.19759920508562</v>
      </c>
      <c r="P72" s="87">
        <v>17.5</v>
      </c>
      <c r="Q72" s="70">
        <f t="shared" si="49"/>
        <v>72.887555113936457</v>
      </c>
      <c r="R72" s="168">
        <v>3.7076230387846736E-3</v>
      </c>
      <c r="S72" s="99">
        <v>0.82886974850959327</v>
      </c>
      <c r="T72" s="99">
        <v>0.57499999999999996</v>
      </c>
      <c r="U72" s="168">
        <v>3.8819999999999997</v>
      </c>
      <c r="V72" s="70">
        <f t="shared" si="50"/>
        <v>40.55959439423556</v>
      </c>
      <c r="W72" s="85">
        <v>11.3</v>
      </c>
      <c r="X72" s="98">
        <v>15.600000000000001</v>
      </c>
      <c r="Y72" s="98">
        <v>17.475006012437728</v>
      </c>
      <c r="Z72" s="214">
        <v>8</v>
      </c>
      <c r="AA72" s="71">
        <f t="shared" si="51"/>
        <v>64.378338908501419</v>
      </c>
      <c r="AB72" s="63"/>
      <c r="AC72" s="85">
        <v>31.645390454640754</v>
      </c>
      <c r="AD72" s="87">
        <v>50.6</v>
      </c>
      <c r="AE72" s="88">
        <v>65</v>
      </c>
      <c r="AF72" s="85">
        <v>2.4</v>
      </c>
      <c r="AG72" s="91">
        <v>42.055852579483151</v>
      </c>
      <c r="AH72" s="70">
        <f t="shared" si="52"/>
        <v>63.42418445095641</v>
      </c>
      <c r="AI72" s="85">
        <v>0.93</v>
      </c>
      <c r="AJ72" s="99">
        <v>3.367825806154725</v>
      </c>
      <c r="AK72" s="87">
        <v>91.3</v>
      </c>
      <c r="AL72" s="92">
        <v>4.7386775799997922</v>
      </c>
      <c r="AM72" s="99">
        <v>72.081052271029833</v>
      </c>
      <c r="AN72" s="70">
        <f t="shared" si="53"/>
        <v>55.554208170815635</v>
      </c>
      <c r="AO72" s="63"/>
      <c r="AP72" s="89">
        <v>89.601837319334976</v>
      </c>
      <c r="AQ72" s="89">
        <v>65.698306154133988</v>
      </c>
      <c r="AR72" s="89">
        <v>29.92</v>
      </c>
      <c r="AS72" s="158">
        <f t="shared" si="54"/>
        <v>72.769612406900734</v>
      </c>
      <c r="AT72" s="89">
        <v>78.421599999999998</v>
      </c>
      <c r="AU72" s="89">
        <v>69.735115842366625</v>
      </c>
      <c r="AV72" s="89">
        <v>56.363920011431574</v>
      </c>
      <c r="AW72" s="93">
        <v>2.5</v>
      </c>
      <c r="AX72" s="71">
        <f t="shared" si="55"/>
        <v>76.977406660386251</v>
      </c>
      <c r="AY72" s="86">
        <v>45.904890666666667</v>
      </c>
      <c r="AZ72" s="71">
        <f t="shared" si="56"/>
        <v>45.904890666666667</v>
      </c>
      <c r="BA72" s="104">
        <v>38.31</v>
      </c>
      <c r="BB72" s="71">
        <f t="shared" si="57"/>
        <v>61.69</v>
      </c>
      <c r="BC72" s="92">
        <v>48.664999999999999</v>
      </c>
      <c r="BD72" s="92">
        <v>32.414999999999999</v>
      </c>
      <c r="BE72" s="92">
        <v>42.06</v>
      </c>
      <c r="BF72" s="71">
        <f t="shared" si="58"/>
        <v>39.523000000000003</v>
      </c>
      <c r="BG72" s="63"/>
      <c r="BH72" s="85">
        <v>1.89</v>
      </c>
      <c r="BI72" s="99">
        <v>5.486917803600357</v>
      </c>
      <c r="BJ72" s="88">
        <v>114</v>
      </c>
      <c r="BK72" s="81">
        <v>96.969696969696983</v>
      </c>
      <c r="BL72" s="70">
        <f t="shared" si="59"/>
        <v>80.816433201137315</v>
      </c>
      <c r="BM72" s="90">
        <v>0.61787407176576059</v>
      </c>
      <c r="BN72" s="85">
        <v>55.89</v>
      </c>
      <c r="BO72" s="85">
        <v>62.792846569976426</v>
      </c>
      <c r="BP72" s="70">
        <f t="shared" si="60"/>
        <v>60.564415230782139</v>
      </c>
      <c r="BQ72" s="90">
        <v>0.56470803383545365</v>
      </c>
      <c r="BR72" s="90">
        <v>0.47824277889459077</v>
      </c>
      <c r="BS72" s="85">
        <v>42.698735800000001</v>
      </c>
      <c r="BT72" s="86">
        <v>50.148657299999996</v>
      </c>
      <c r="BU72" s="85">
        <v>60.3959884</v>
      </c>
      <c r="BV72" s="86">
        <v>51.3465962</v>
      </c>
      <c r="BW72" s="71">
        <f t="shared" si="61"/>
        <v>49.879630522364529</v>
      </c>
      <c r="BX72" s="92">
        <v>70.510000000000005</v>
      </c>
      <c r="BY72" s="158">
        <f t="shared" si="62"/>
        <v>70.510000000000005</v>
      </c>
      <c r="BZ72" s="54"/>
    </row>
    <row r="73" spans="1:79" s="5" customFormat="1" ht="15" customHeight="1" x14ac:dyDescent="0.25">
      <c r="A73" s="2">
        <v>67</v>
      </c>
      <c r="B73" s="3" t="s">
        <v>10</v>
      </c>
      <c r="C73" s="22" t="s">
        <v>49</v>
      </c>
      <c r="D73" s="162" t="s">
        <v>222</v>
      </c>
      <c r="E73" s="209">
        <f t="shared" si="43"/>
        <v>60.735773977450464</v>
      </c>
      <c r="F73" s="71">
        <f t="shared" si="44"/>
        <v>61.190980401962406</v>
      </c>
      <c r="G73" s="71">
        <f t="shared" si="45"/>
        <v>60.711761894968006</v>
      </c>
      <c r="H73" s="71">
        <f t="shared" si="46"/>
        <v>63.746260837589681</v>
      </c>
      <c r="I73" s="71">
        <f t="shared" si="47"/>
        <v>57.294092775281761</v>
      </c>
      <c r="J73" s="63"/>
      <c r="K73" s="85">
        <v>6.4257922491439912</v>
      </c>
      <c r="L73" s="208">
        <v>3.04</v>
      </c>
      <c r="M73" s="82">
        <f t="shared" si="42"/>
        <v>99.851851851851862</v>
      </c>
      <c r="N73" s="71">
        <f t="shared" si="48"/>
        <v>99.925925925925924</v>
      </c>
      <c r="O73" s="85">
        <v>37.04114800096221</v>
      </c>
      <c r="P73" s="87">
        <v>30.3</v>
      </c>
      <c r="Q73" s="70">
        <f t="shared" si="49"/>
        <v>73.778415556090124</v>
      </c>
      <c r="R73" s="90">
        <v>0.115</v>
      </c>
      <c r="S73" s="85">
        <v>0.62897234999999996</v>
      </c>
      <c r="T73" s="85">
        <v>0.6</v>
      </c>
      <c r="U73" s="90">
        <v>3.226</v>
      </c>
      <c r="V73" s="70">
        <f t="shared" si="50"/>
        <v>52.205346474867724</v>
      </c>
      <c r="W73" s="85">
        <v>1.5229999999999999</v>
      </c>
      <c r="X73" s="87">
        <v>67</v>
      </c>
      <c r="Y73" s="87">
        <v>12.7</v>
      </c>
      <c r="Z73" s="214">
        <v>4.0999999999999996</v>
      </c>
      <c r="AA73" s="71">
        <f t="shared" si="51"/>
        <v>56.115808954089744</v>
      </c>
      <c r="AB73" s="63"/>
      <c r="AC73" s="85">
        <v>29.205497078016823</v>
      </c>
      <c r="AD73" s="87">
        <v>47.3</v>
      </c>
      <c r="AE73" s="88">
        <v>60</v>
      </c>
      <c r="AF73" s="85">
        <v>4.5</v>
      </c>
      <c r="AG73" s="88">
        <v>48</v>
      </c>
      <c r="AH73" s="70">
        <f t="shared" si="52"/>
        <v>60.866485231498395</v>
      </c>
      <c r="AI73" s="85">
        <v>-0.39</v>
      </c>
      <c r="AJ73" s="85">
        <v>4.72</v>
      </c>
      <c r="AK73" s="87">
        <v>80.900000000000006</v>
      </c>
      <c r="AL73" s="86">
        <v>4.2513357194563621</v>
      </c>
      <c r="AM73" s="85">
        <v>99.7405169614984</v>
      </c>
      <c r="AN73" s="70">
        <f t="shared" si="53"/>
        <v>60.557038558437604</v>
      </c>
      <c r="AO73" s="63"/>
      <c r="AP73" s="89">
        <v>87.473898905167971</v>
      </c>
      <c r="AQ73" s="89">
        <v>68.058531874406185</v>
      </c>
      <c r="AR73" s="89">
        <v>18.23</v>
      </c>
      <c r="AS73" s="158">
        <f t="shared" si="54"/>
        <v>76.340240663495081</v>
      </c>
      <c r="AT73" s="89">
        <v>74.881299999999996</v>
      </c>
      <c r="AU73" s="89">
        <v>65.866537109914319</v>
      </c>
      <c r="AV73" s="89">
        <v>54.62296621651565</v>
      </c>
      <c r="AW73" s="100">
        <v>5.3</v>
      </c>
      <c r="AX73" s="71">
        <f t="shared" si="55"/>
        <v>70.95787194380199</v>
      </c>
      <c r="AY73" s="86">
        <v>57.884981965540881</v>
      </c>
      <c r="AZ73" s="71">
        <f t="shared" si="56"/>
        <v>57.884981965540881</v>
      </c>
      <c r="BA73" s="86">
        <v>36.090000000000003</v>
      </c>
      <c r="BB73" s="71">
        <f t="shared" si="57"/>
        <v>63.91</v>
      </c>
      <c r="BC73" s="86">
        <v>15</v>
      </c>
      <c r="BD73" s="86">
        <v>23.95</v>
      </c>
      <c r="BE73" s="86">
        <v>22.53</v>
      </c>
      <c r="BF73" s="71">
        <f t="shared" si="58"/>
        <v>21.592000000000002</v>
      </c>
      <c r="BG73" s="63"/>
      <c r="BH73" s="85">
        <v>1.54</v>
      </c>
      <c r="BI73" s="85">
        <v>6.58</v>
      </c>
      <c r="BJ73" s="88">
        <v>156</v>
      </c>
      <c r="BK73" s="81">
        <v>45.454545454545453</v>
      </c>
      <c r="BL73" s="70">
        <f t="shared" si="59"/>
        <v>78.0885521885522</v>
      </c>
      <c r="BM73" s="90">
        <v>0.46250928448819534</v>
      </c>
      <c r="BN73" s="85">
        <v>21.15</v>
      </c>
      <c r="BO73" s="85">
        <v>56.937570597812964</v>
      </c>
      <c r="BP73" s="70">
        <f t="shared" si="60"/>
        <v>42.647356873863011</v>
      </c>
      <c r="BQ73" s="90">
        <v>0.45440789780476848</v>
      </c>
      <c r="BR73" s="90">
        <v>0.47485744046131806</v>
      </c>
      <c r="BS73" s="85">
        <v>42.7600555</v>
      </c>
      <c r="BT73" s="86">
        <v>49.545857699999999</v>
      </c>
      <c r="BU73" s="85">
        <v>65.991307399999997</v>
      </c>
      <c r="BV73" s="86">
        <v>50.654877499999998</v>
      </c>
      <c r="BW73" s="71">
        <f t="shared" si="61"/>
        <v>48.473564759956609</v>
      </c>
      <c r="BX73" s="86">
        <v>80.12</v>
      </c>
      <c r="BY73" s="158">
        <f t="shared" si="62"/>
        <v>80.12</v>
      </c>
      <c r="BZ73" s="54"/>
    </row>
    <row r="74" spans="1:79" s="13" customFormat="1" ht="15" customHeight="1" x14ac:dyDescent="0.25">
      <c r="A74" s="2">
        <v>68</v>
      </c>
      <c r="B74" s="6" t="s">
        <v>13</v>
      </c>
      <c r="C74" s="7" t="s">
        <v>14</v>
      </c>
      <c r="D74" s="162" t="s">
        <v>160</v>
      </c>
      <c r="E74" s="209">
        <f t="shared" si="43"/>
        <v>60.426298113718239</v>
      </c>
      <c r="F74" s="71">
        <f t="shared" si="44"/>
        <v>53.384254268409883</v>
      </c>
      <c r="G74" s="71">
        <f t="shared" si="45"/>
        <v>59.86195041913961</v>
      </c>
      <c r="H74" s="71">
        <f t="shared" si="46"/>
        <v>65.831472176866598</v>
      </c>
      <c r="I74" s="71">
        <f t="shared" si="47"/>
        <v>62.627515590456866</v>
      </c>
      <c r="J74" s="63"/>
      <c r="K74" s="85">
        <v>3.1763606927457833</v>
      </c>
      <c r="L74" s="208">
        <v>6.88</v>
      </c>
      <c r="M74" s="82">
        <f t="shared" si="42"/>
        <v>85.629629629629633</v>
      </c>
      <c r="N74" s="71">
        <f t="shared" si="48"/>
        <v>77.127929774513618</v>
      </c>
      <c r="O74" s="85">
        <v>27.54930501187587</v>
      </c>
      <c r="P74" s="87">
        <v>52.5</v>
      </c>
      <c r="Q74" s="70">
        <f t="shared" si="49"/>
        <v>58.638502784375483</v>
      </c>
      <c r="R74" s="90">
        <v>3.1E-2</v>
      </c>
      <c r="S74" s="85">
        <v>0.42283883999999999</v>
      </c>
      <c r="T74" s="85">
        <v>0.6</v>
      </c>
      <c r="U74" s="90">
        <v>3.9129999999999998</v>
      </c>
      <c r="V74" s="70">
        <f t="shared" si="50"/>
        <v>42.1391025978836</v>
      </c>
      <c r="W74" s="85">
        <v>12.256</v>
      </c>
      <c r="X74" s="87">
        <v>12</v>
      </c>
      <c r="Y74" s="87">
        <v>34.01</v>
      </c>
      <c r="Z74" s="214">
        <v>12.6</v>
      </c>
      <c r="AA74" s="71">
        <f t="shared" si="51"/>
        <v>63.224538297441605</v>
      </c>
      <c r="AB74" s="63"/>
      <c r="AC74" s="85">
        <v>23.491870596285583</v>
      </c>
      <c r="AD74" s="87">
        <v>56.2</v>
      </c>
      <c r="AE74" s="88">
        <v>65</v>
      </c>
      <c r="AF74" s="85">
        <v>4.25</v>
      </c>
      <c r="AG74" s="88">
        <v>45</v>
      </c>
      <c r="AH74" s="70">
        <f t="shared" si="52"/>
        <v>58.938170141113467</v>
      </c>
      <c r="AI74" s="85">
        <v>1.32</v>
      </c>
      <c r="AJ74" s="85">
        <v>3.57</v>
      </c>
      <c r="AK74" s="87">
        <v>94.9</v>
      </c>
      <c r="AL74" s="86">
        <v>6.0314115672635449</v>
      </c>
      <c r="AM74" s="85">
        <v>65.8861528377236</v>
      </c>
      <c r="AN74" s="70">
        <f t="shared" si="53"/>
        <v>60.785730697165747</v>
      </c>
      <c r="AO74" s="63"/>
      <c r="AP74" s="89">
        <v>96.50945454940036</v>
      </c>
      <c r="AQ74" s="89">
        <v>68.677552147577273</v>
      </c>
      <c r="AR74" s="89">
        <v>15.6</v>
      </c>
      <c r="AS74" s="158">
        <f t="shared" si="54"/>
        <v>79.566139711138732</v>
      </c>
      <c r="AT74" s="89">
        <v>77.675899999999999</v>
      </c>
      <c r="AU74" s="89">
        <v>68.159284137430916</v>
      </c>
      <c r="AV74" s="89">
        <v>55.978791726169327</v>
      </c>
      <c r="AW74" s="100">
        <v>2.5</v>
      </c>
      <c r="AX74" s="71">
        <f t="shared" si="55"/>
        <v>75.702857805875581</v>
      </c>
      <c r="AY74" s="86">
        <v>48.268148068101844</v>
      </c>
      <c r="AZ74" s="71">
        <f t="shared" si="56"/>
        <v>48.268148068101844</v>
      </c>
      <c r="BA74" s="86">
        <v>33.51</v>
      </c>
      <c r="BB74" s="71">
        <f t="shared" si="57"/>
        <v>66.490000000000009</v>
      </c>
      <c r="BC74" s="86">
        <v>49.44</v>
      </c>
      <c r="BD74" s="86">
        <v>30.21</v>
      </c>
      <c r="BE74" s="86">
        <v>46.38</v>
      </c>
      <c r="BF74" s="71">
        <f t="shared" si="58"/>
        <v>40.524000000000001</v>
      </c>
      <c r="BG74" s="63"/>
      <c r="BH74" s="85">
        <v>1.26</v>
      </c>
      <c r="BI74" s="85">
        <v>5</v>
      </c>
      <c r="BJ74" s="88">
        <v>110</v>
      </c>
      <c r="BK74" s="81">
        <v>81.818181818181813</v>
      </c>
      <c r="BL74" s="70">
        <f t="shared" si="59"/>
        <v>74.74946960645886</v>
      </c>
      <c r="BM74" s="90">
        <v>0.63419197750163714</v>
      </c>
      <c r="BN74" s="85">
        <v>69.489999999999995</v>
      </c>
      <c r="BO74" s="85">
        <v>64.370182867111751</v>
      </c>
      <c r="BP74" s="70">
        <f t="shared" si="60"/>
        <v>65.174644591859789</v>
      </c>
      <c r="BQ74" s="90">
        <v>0.49521944313810268</v>
      </c>
      <c r="BR74" s="90">
        <v>0.48091235737710514</v>
      </c>
      <c r="BS74" s="85">
        <v>41.190881099999999</v>
      </c>
      <c r="BT74" s="86">
        <v>50.711606400000001</v>
      </c>
      <c r="BU74" s="85">
        <v>68.555855199999996</v>
      </c>
      <c r="BV74" s="86">
        <v>59.062771699999999</v>
      </c>
      <c r="BW74" s="71">
        <f t="shared" si="61"/>
        <v>50.42787088938347</v>
      </c>
      <c r="BX74" s="86">
        <v>67.38</v>
      </c>
      <c r="BY74" s="158">
        <f t="shared" si="62"/>
        <v>67.38</v>
      </c>
      <c r="BZ74" s="54"/>
    </row>
    <row r="75" spans="1:79" s="5" customFormat="1" ht="15" customHeight="1" x14ac:dyDescent="0.25">
      <c r="A75" s="2">
        <v>69</v>
      </c>
      <c r="B75" s="3" t="s">
        <v>10</v>
      </c>
      <c r="C75" s="19" t="s">
        <v>35</v>
      </c>
      <c r="D75" s="162" t="s">
        <v>123</v>
      </c>
      <c r="E75" s="209">
        <f t="shared" si="43"/>
        <v>60.179542034299317</v>
      </c>
      <c r="F75" s="71">
        <f t="shared" si="44"/>
        <v>56.940206954371327</v>
      </c>
      <c r="G75" s="71">
        <f t="shared" si="45"/>
        <v>55.557333647025068</v>
      </c>
      <c r="H75" s="71">
        <f t="shared" si="46"/>
        <v>69.236842447362875</v>
      </c>
      <c r="I75" s="71">
        <f t="shared" si="47"/>
        <v>58.983785088438019</v>
      </c>
      <c r="J75" s="63"/>
      <c r="K75" s="85">
        <v>-1.2051763863423104</v>
      </c>
      <c r="L75" s="208">
        <v>3.2600000000000002</v>
      </c>
      <c r="M75" s="82">
        <f t="shared" si="42"/>
        <v>99.037037037037038</v>
      </c>
      <c r="N75" s="71">
        <f t="shared" si="48"/>
        <v>59.489760816616794</v>
      </c>
      <c r="O75" s="85">
        <v>44.126062728495754</v>
      </c>
      <c r="P75" s="87">
        <v>14.6</v>
      </c>
      <c r="Q75" s="70">
        <f t="shared" si="49"/>
        <v>84.69225707138655</v>
      </c>
      <c r="R75" s="90">
        <v>5.2999999999999999E-2</v>
      </c>
      <c r="S75" s="85">
        <v>0.26412882999999998</v>
      </c>
      <c r="T75" s="85">
        <v>0.63</v>
      </c>
      <c r="U75" s="90">
        <v>3.8889999999999998</v>
      </c>
      <c r="V75" s="70">
        <f t="shared" si="50"/>
        <v>44.442156802910056</v>
      </c>
      <c r="W75" s="85">
        <v>2.181</v>
      </c>
      <c r="X75" s="98">
        <v>15</v>
      </c>
      <c r="Y75" s="87">
        <v>32.93</v>
      </c>
      <c r="Z75" s="214">
        <v>13</v>
      </c>
      <c r="AA75" s="71">
        <f t="shared" si="51"/>
        <v>64.265255642186517</v>
      </c>
      <c r="AB75" s="63"/>
      <c r="AC75" s="85">
        <v>16.747156442099222</v>
      </c>
      <c r="AD75" s="87">
        <v>42</v>
      </c>
      <c r="AE75" s="88">
        <v>50</v>
      </c>
      <c r="AF75" s="85">
        <v>3.5</v>
      </c>
      <c r="AG75" s="88">
        <v>81</v>
      </c>
      <c r="AH75" s="70">
        <f t="shared" si="52"/>
        <v>55.767335063963593</v>
      </c>
      <c r="AI75" s="85">
        <v>-0.16</v>
      </c>
      <c r="AJ75" s="85">
        <v>4.03</v>
      </c>
      <c r="AK75" s="87">
        <v>97.7</v>
      </c>
      <c r="AL75" s="86">
        <v>4.9375666227137698</v>
      </c>
      <c r="AM75" s="85">
        <v>60.732660926243902</v>
      </c>
      <c r="AN75" s="70">
        <f t="shared" si="53"/>
        <v>55.34733223008655</v>
      </c>
      <c r="AO75" s="63"/>
      <c r="AP75" s="89">
        <v>99.020299306609303</v>
      </c>
      <c r="AQ75" s="89">
        <v>76.071961140554208</v>
      </c>
      <c r="AR75" s="97">
        <v>4.78</v>
      </c>
      <c r="AS75" s="158">
        <f t="shared" si="54"/>
        <v>86.59605539692943</v>
      </c>
      <c r="AT75" s="89">
        <v>80.7791</v>
      </c>
      <c r="AU75" s="89">
        <v>79.467893252835466</v>
      </c>
      <c r="AV75" s="89">
        <v>54.527268316807465</v>
      </c>
      <c r="AW75" s="100">
        <v>2.5</v>
      </c>
      <c r="AX75" s="71">
        <f t="shared" si="55"/>
        <v>81.747214477205844</v>
      </c>
      <c r="AY75" s="86">
        <v>46.51601412443388</v>
      </c>
      <c r="AZ75" s="71">
        <f t="shared" si="56"/>
        <v>46.51601412443388</v>
      </c>
      <c r="BA75" s="92">
        <v>35.130000000000003</v>
      </c>
      <c r="BB75" s="71">
        <f t="shared" si="57"/>
        <v>64.87</v>
      </c>
      <c r="BC75" s="86">
        <v>22.47</v>
      </c>
      <c r="BD75" s="86">
        <v>49.53</v>
      </c>
      <c r="BE75" s="86">
        <v>41.83</v>
      </c>
      <c r="BF75" s="71">
        <f t="shared" si="58"/>
        <v>41.037999999999997</v>
      </c>
      <c r="BG75" s="63"/>
      <c r="BH75" s="85">
        <v>0.78</v>
      </c>
      <c r="BI75" s="85">
        <v>5.0999999999999996</v>
      </c>
      <c r="BJ75" s="88">
        <v>156</v>
      </c>
      <c r="BK75" s="81">
        <v>59.090909090909093</v>
      </c>
      <c r="BL75" s="70">
        <f t="shared" si="59"/>
        <v>83.688327721661054</v>
      </c>
      <c r="BM75" s="90">
        <v>0.45260381588928073</v>
      </c>
      <c r="BN75" s="85">
        <v>40.44</v>
      </c>
      <c r="BO75" s="85">
        <v>29.476187543092141</v>
      </c>
      <c r="BP75" s="70">
        <f t="shared" si="60"/>
        <v>40.109237680237072</v>
      </c>
      <c r="BQ75" s="90">
        <v>0.51714610346617895</v>
      </c>
      <c r="BR75" s="90">
        <v>0.51565633815849399</v>
      </c>
      <c r="BS75" s="85">
        <v>52.274475499999994</v>
      </c>
      <c r="BT75" s="86">
        <v>57.716100699999998</v>
      </c>
      <c r="BU75" s="85">
        <v>70.915302499999996</v>
      </c>
      <c r="BV75" s="86">
        <v>61.226769900000001</v>
      </c>
      <c r="BW75" s="71">
        <f t="shared" si="61"/>
        <v>55.945519582718937</v>
      </c>
      <c r="BX75" s="86">
        <v>64.48</v>
      </c>
      <c r="BY75" s="158">
        <f t="shared" si="62"/>
        <v>64.48</v>
      </c>
      <c r="BZ75" s="54"/>
    </row>
    <row r="76" spans="1:79" s="5" customFormat="1" ht="15" customHeight="1" x14ac:dyDescent="0.25">
      <c r="A76" s="2">
        <v>70</v>
      </c>
      <c r="B76" s="6" t="s">
        <v>13</v>
      </c>
      <c r="C76" s="7" t="s">
        <v>14</v>
      </c>
      <c r="D76" s="162" t="s">
        <v>148</v>
      </c>
      <c r="E76" s="209">
        <f t="shared" si="43"/>
        <v>60.173586555547224</v>
      </c>
      <c r="F76" s="71">
        <f t="shared" si="44"/>
        <v>50.16590771292487</v>
      </c>
      <c r="G76" s="71">
        <f t="shared" si="45"/>
        <v>58.46408798113751</v>
      </c>
      <c r="H76" s="71">
        <f t="shared" si="46"/>
        <v>66.901611347405321</v>
      </c>
      <c r="I76" s="71">
        <f t="shared" si="47"/>
        <v>65.162739180721161</v>
      </c>
      <c r="J76" s="63"/>
      <c r="K76" s="85">
        <v>5.0910417466192737</v>
      </c>
      <c r="L76" s="208">
        <v>6.24</v>
      </c>
      <c r="M76" s="82">
        <f t="shared" si="42"/>
        <v>87.999999999999986</v>
      </c>
      <c r="N76" s="71">
        <f t="shared" si="48"/>
        <v>88.950231925662621</v>
      </c>
      <c r="O76" s="85">
        <v>7.0485914043762836</v>
      </c>
      <c r="P76" s="87">
        <v>67.099999999999994</v>
      </c>
      <c r="Q76" s="70">
        <f t="shared" si="49"/>
        <v>40.760328557986831</v>
      </c>
      <c r="R76" s="90">
        <v>7.0000000000000001E-3</v>
      </c>
      <c r="S76" s="99">
        <v>0.79938377124014504</v>
      </c>
      <c r="T76" s="85">
        <v>0.55000000000000004</v>
      </c>
      <c r="U76" s="90">
        <v>4.202</v>
      </c>
      <c r="V76" s="70">
        <f t="shared" si="50"/>
        <v>38.364425819582415</v>
      </c>
      <c r="W76" s="85">
        <v>13.571999999999999</v>
      </c>
      <c r="X76" s="98">
        <v>15.600000000000001</v>
      </c>
      <c r="Y76" s="87">
        <v>31.08</v>
      </c>
      <c r="Z76" s="218">
        <v>10.7</v>
      </c>
      <c r="AA76" s="71">
        <f t="shared" si="51"/>
        <v>63.89848930747749</v>
      </c>
      <c r="AB76" s="63"/>
      <c r="AC76" s="85">
        <v>22.330503026671106</v>
      </c>
      <c r="AD76" s="87">
        <v>60.9</v>
      </c>
      <c r="AE76" s="88">
        <v>50</v>
      </c>
      <c r="AF76" s="85">
        <v>2.4</v>
      </c>
      <c r="AG76" s="88">
        <v>37</v>
      </c>
      <c r="AH76" s="70">
        <f t="shared" si="52"/>
        <v>55.588284069062787</v>
      </c>
      <c r="AI76" s="85">
        <v>1.43</v>
      </c>
      <c r="AJ76" s="85">
        <v>3.28</v>
      </c>
      <c r="AK76" s="87">
        <v>88.7</v>
      </c>
      <c r="AL76" s="86">
        <v>6.1994419241237821</v>
      </c>
      <c r="AM76" s="85">
        <v>74.825512876797802</v>
      </c>
      <c r="AN76" s="70">
        <f t="shared" si="53"/>
        <v>61.33989189321224</v>
      </c>
      <c r="AO76" s="63"/>
      <c r="AP76" s="89">
        <v>97.369407911025576</v>
      </c>
      <c r="AQ76" s="89">
        <v>66.337785566039088</v>
      </c>
      <c r="AR76" s="89">
        <v>7.78</v>
      </c>
      <c r="AS76" s="158">
        <f t="shared" si="54"/>
        <v>80.56624476077593</v>
      </c>
      <c r="AT76" s="89">
        <v>77.433899999999994</v>
      </c>
      <c r="AU76" s="89">
        <v>57.327021683543677</v>
      </c>
      <c r="AV76" s="89">
        <v>56.6428507494808</v>
      </c>
      <c r="AW76" s="100">
        <v>2.5</v>
      </c>
      <c r="AX76" s="71">
        <f t="shared" si="55"/>
        <v>72.617913842170751</v>
      </c>
      <c r="AY76" s="86">
        <v>56.324721249806309</v>
      </c>
      <c r="AZ76" s="71">
        <f t="shared" si="56"/>
        <v>56.324721249806309</v>
      </c>
      <c r="BA76" s="86">
        <v>34.299999999999997</v>
      </c>
      <c r="BB76" s="71">
        <f t="shared" si="57"/>
        <v>65.7</v>
      </c>
      <c r="BC76" s="86">
        <v>44.34</v>
      </c>
      <c r="BD76" s="86">
        <v>29.29</v>
      </c>
      <c r="BE76" s="86">
        <v>47.98</v>
      </c>
      <c r="BF76" s="71">
        <f t="shared" si="58"/>
        <v>39.775999999999996</v>
      </c>
      <c r="BG76" s="63"/>
      <c r="BH76" s="85">
        <v>2.5099999999999998</v>
      </c>
      <c r="BI76" s="85">
        <v>5.82</v>
      </c>
      <c r="BJ76" s="88">
        <v>98</v>
      </c>
      <c r="BK76" s="81">
        <v>86.36363636363636</v>
      </c>
      <c r="BL76" s="70">
        <f t="shared" si="59"/>
        <v>71.225891531805516</v>
      </c>
      <c r="BM76" s="90">
        <v>0.68104276385230456</v>
      </c>
      <c r="BN76" s="85">
        <v>71.8</v>
      </c>
      <c r="BO76" s="85">
        <v>72.036435294641592</v>
      </c>
      <c r="BP76" s="70">
        <f t="shared" si="60"/>
        <v>70.011247016275618</v>
      </c>
      <c r="BQ76" s="90">
        <v>0.54434647575215944</v>
      </c>
      <c r="BR76" s="90">
        <v>0.50833231714909632</v>
      </c>
      <c r="BS76" s="85">
        <v>46.651783999999999</v>
      </c>
      <c r="BT76" s="86">
        <v>58.466610699999997</v>
      </c>
      <c r="BU76" s="85">
        <v>71.563029999999998</v>
      </c>
      <c r="BV76" s="86">
        <v>56.870782299999995</v>
      </c>
      <c r="BW76" s="71">
        <f t="shared" si="61"/>
        <v>54.699691979677382</v>
      </c>
      <c r="BX76" s="86">
        <v>72.08</v>
      </c>
      <c r="BY76" s="158">
        <f t="shared" si="62"/>
        <v>72.08</v>
      </c>
      <c r="BZ76" s="54"/>
    </row>
    <row r="77" spans="1:79" s="5" customFormat="1" ht="15" customHeight="1" x14ac:dyDescent="0.25">
      <c r="A77" s="2">
        <v>71</v>
      </c>
      <c r="B77" s="14" t="s">
        <v>23</v>
      </c>
      <c r="C77" s="16" t="s">
        <v>26</v>
      </c>
      <c r="D77" s="162" t="s">
        <v>166</v>
      </c>
      <c r="E77" s="209">
        <f t="shared" si="43"/>
        <v>59.892390227656477</v>
      </c>
      <c r="F77" s="71">
        <f t="shared" si="44"/>
        <v>53.409537251886867</v>
      </c>
      <c r="G77" s="71">
        <f t="shared" si="45"/>
        <v>60.14288225737846</v>
      </c>
      <c r="H77" s="71">
        <f t="shared" si="46"/>
        <v>63.897045146727287</v>
      </c>
      <c r="I77" s="71">
        <f t="shared" si="47"/>
        <v>62.120096254633282</v>
      </c>
      <c r="J77" s="63"/>
      <c r="K77" s="85">
        <v>4.9421539604020959</v>
      </c>
      <c r="L77" s="208">
        <v>1.34</v>
      </c>
      <c r="M77" s="82">
        <f t="shared" si="42"/>
        <v>100</v>
      </c>
      <c r="N77" s="71">
        <f t="shared" si="48"/>
        <v>94.123077557789429</v>
      </c>
      <c r="O77" s="85">
        <v>33.002101403086613</v>
      </c>
      <c r="P77" s="87">
        <v>56.6</v>
      </c>
      <c r="Q77" s="70">
        <f t="shared" si="49"/>
        <v>59.845611890603671</v>
      </c>
      <c r="R77" s="90">
        <v>8.0000000000000002E-3</v>
      </c>
      <c r="S77" s="85">
        <v>0.35527837000000001</v>
      </c>
      <c r="T77" s="85">
        <v>0.52</v>
      </c>
      <c r="U77" s="90">
        <v>3.8919999999999999</v>
      </c>
      <c r="V77" s="70">
        <f t="shared" si="50"/>
        <v>37.681064255291005</v>
      </c>
      <c r="W77" s="85">
        <v>8.36</v>
      </c>
      <c r="X77" s="87">
        <v>55.7</v>
      </c>
      <c r="Y77" s="87">
        <v>43.55</v>
      </c>
      <c r="Z77" s="214">
        <v>4.7</v>
      </c>
      <c r="AA77" s="71">
        <f t="shared" si="51"/>
        <v>64.719422339487508</v>
      </c>
      <c r="AB77" s="63"/>
      <c r="AC77" s="85">
        <v>31.396331469996269</v>
      </c>
      <c r="AD77" s="87">
        <v>56.7</v>
      </c>
      <c r="AE77" s="88">
        <v>60</v>
      </c>
      <c r="AF77" s="125">
        <v>2.14</v>
      </c>
      <c r="AG77" s="88">
        <v>53</v>
      </c>
      <c r="AH77" s="70">
        <f t="shared" si="52"/>
        <v>65.332169697946227</v>
      </c>
      <c r="AI77" s="85">
        <v>1.1499999999999999</v>
      </c>
      <c r="AJ77" s="85">
        <v>3.44</v>
      </c>
      <c r="AK77" s="87">
        <v>86.1</v>
      </c>
      <c r="AL77" s="86">
        <v>4.7378602704194552</v>
      </c>
      <c r="AM77" s="85">
        <v>66.539363492475005</v>
      </c>
      <c r="AN77" s="70">
        <f t="shared" si="53"/>
        <v>54.953594816810686</v>
      </c>
      <c r="AO77" s="63"/>
      <c r="AP77" s="89">
        <v>91.734424637639549</v>
      </c>
      <c r="AQ77" s="89">
        <v>72.396772328645355</v>
      </c>
      <c r="AR77" s="89">
        <v>19.79</v>
      </c>
      <c r="AS77" s="158">
        <f t="shared" si="54"/>
        <v>79.18449232373257</v>
      </c>
      <c r="AT77" s="89">
        <v>79.957099999999997</v>
      </c>
      <c r="AU77" s="89">
        <v>64.551370739386044</v>
      </c>
      <c r="AV77" s="89">
        <v>53.757080382335396</v>
      </c>
      <c r="AW77" s="100">
        <v>5.7</v>
      </c>
      <c r="AX77" s="71">
        <f t="shared" si="55"/>
        <v>75.576786721382717</v>
      </c>
      <c r="AY77" s="86">
        <v>41.656586853240739</v>
      </c>
      <c r="AZ77" s="71">
        <f t="shared" si="56"/>
        <v>41.656586853240739</v>
      </c>
      <c r="BA77" s="86">
        <v>49.73</v>
      </c>
      <c r="BB77" s="71">
        <f t="shared" si="57"/>
        <v>50.27</v>
      </c>
      <c r="BC77" s="86">
        <v>33.270000000000003</v>
      </c>
      <c r="BD77" s="86">
        <v>49.79</v>
      </c>
      <c r="BE77" s="86">
        <v>51.61</v>
      </c>
      <c r="BF77" s="71">
        <f t="shared" si="58"/>
        <v>47.213999999999999</v>
      </c>
      <c r="BG77" s="63"/>
      <c r="BH77" s="85">
        <v>12.78</v>
      </c>
      <c r="BI77" s="85">
        <v>6.93</v>
      </c>
      <c r="BJ77" s="88">
        <v>116</v>
      </c>
      <c r="BK77" s="81">
        <v>100</v>
      </c>
      <c r="BL77" s="70">
        <f t="shared" si="59"/>
        <v>79.635921943448821</v>
      </c>
      <c r="BM77" s="90">
        <v>0.6491385661469018</v>
      </c>
      <c r="BN77" s="85">
        <v>62.14</v>
      </c>
      <c r="BO77" s="85">
        <v>45.529010531216244</v>
      </c>
      <c r="BP77" s="70">
        <f t="shared" si="60"/>
        <v>59.374180940149152</v>
      </c>
      <c r="BQ77" s="90">
        <v>0.53145715852976927</v>
      </c>
      <c r="BR77" s="90">
        <v>0.40834055556010568</v>
      </c>
      <c r="BS77" s="85">
        <v>36.6386167</v>
      </c>
      <c r="BT77" s="86">
        <v>56.107125599999996</v>
      </c>
      <c r="BU77" s="85">
        <v>70.415568300000004</v>
      </c>
      <c r="BV77" s="86">
        <v>53.698843699999998</v>
      </c>
      <c r="BW77" s="71">
        <f t="shared" si="61"/>
        <v>49.396747104932373</v>
      </c>
      <c r="BX77" s="86">
        <v>71.099999999999994</v>
      </c>
      <c r="BY77" s="158">
        <f t="shared" si="62"/>
        <v>71.099999999999994</v>
      </c>
      <c r="BZ77" s="54"/>
    </row>
    <row r="78" spans="1:79" s="5" customFormat="1" ht="15" customHeight="1" x14ac:dyDescent="0.25">
      <c r="A78" s="2">
        <v>72</v>
      </c>
      <c r="B78" s="3" t="s">
        <v>10</v>
      </c>
      <c r="C78" s="22" t="s">
        <v>49</v>
      </c>
      <c r="D78" s="162" t="s">
        <v>204</v>
      </c>
      <c r="E78" s="209">
        <f t="shared" si="43"/>
        <v>59.756094275753725</v>
      </c>
      <c r="F78" s="71">
        <f t="shared" si="44"/>
        <v>58.928460904641994</v>
      </c>
      <c r="G78" s="71">
        <f t="shared" si="45"/>
        <v>60.351397390600177</v>
      </c>
      <c r="H78" s="71">
        <f t="shared" si="46"/>
        <v>66.511426242545113</v>
      </c>
      <c r="I78" s="71">
        <f t="shared" si="47"/>
        <v>53.233092565227608</v>
      </c>
      <c r="J78" s="63"/>
      <c r="K78" s="85">
        <v>2.6075678699394533</v>
      </c>
      <c r="L78" s="208">
        <v>1.7600000000000002</v>
      </c>
      <c r="M78" s="82">
        <f t="shared" si="42"/>
        <v>100</v>
      </c>
      <c r="N78" s="71">
        <f t="shared" si="48"/>
        <v>81.153154832996961</v>
      </c>
      <c r="O78" s="85">
        <v>23.934593509681388</v>
      </c>
      <c r="P78" s="87">
        <v>64.7</v>
      </c>
      <c r="Q78" s="70">
        <f t="shared" si="49"/>
        <v>51.208107505378543</v>
      </c>
      <c r="R78" s="90">
        <v>0.129</v>
      </c>
      <c r="S78" s="85">
        <v>0.78916379999999997</v>
      </c>
      <c r="T78" s="85">
        <v>0.68</v>
      </c>
      <c r="U78" s="90">
        <v>2.9740000000000002</v>
      </c>
      <c r="V78" s="70">
        <f t="shared" si="50"/>
        <v>57.554026428571433</v>
      </c>
      <c r="W78" s="85">
        <v>0.78100000000000003</v>
      </c>
      <c r="X78" s="87">
        <v>63.2</v>
      </c>
      <c r="Y78" s="87">
        <v>17.89</v>
      </c>
      <c r="Z78" s="214">
        <v>5.7</v>
      </c>
      <c r="AA78" s="71">
        <f t="shared" si="51"/>
        <v>57.419664324999232</v>
      </c>
      <c r="AB78" s="63"/>
      <c r="AC78" s="85">
        <v>22.66357094440523</v>
      </c>
      <c r="AD78" s="87">
        <v>41.8</v>
      </c>
      <c r="AE78" s="88">
        <v>55</v>
      </c>
      <c r="AF78" s="85">
        <v>1</v>
      </c>
      <c r="AG78" s="88">
        <v>65</v>
      </c>
      <c r="AH78" s="70">
        <f t="shared" si="52"/>
        <v>58.485970373193226</v>
      </c>
      <c r="AI78" s="85">
        <v>0.78</v>
      </c>
      <c r="AJ78" s="85">
        <v>3.84</v>
      </c>
      <c r="AK78" s="87">
        <v>80.8</v>
      </c>
      <c r="AL78" s="86">
        <v>5.1466094972200436</v>
      </c>
      <c r="AM78" s="85">
        <v>99.218756503641998</v>
      </c>
      <c r="AN78" s="70">
        <f t="shared" si="53"/>
        <v>62.216824408007142</v>
      </c>
      <c r="AO78" s="63"/>
      <c r="AP78" s="89">
        <v>91.871821350046574</v>
      </c>
      <c r="AQ78" s="89">
        <v>72.554288186729153</v>
      </c>
      <c r="AR78" s="89">
        <v>11.67</v>
      </c>
      <c r="AS78" s="158">
        <f t="shared" si="54"/>
        <v>81.327599430876219</v>
      </c>
      <c r="AT78" s="89">
        <v>76.824700000000007</v>
      </c>
      <c r="AU78" s="89">
        <v>69.279658294145719</v>
      </c>
      <c r="AV78" s="89">
        <v>50.34185568090799</v>
      </c>
      <c r="AW78" s="100">
        <v>4.5999999999999996</v>
      </c>
      <c r="AX78" s="71">
        <f t="shared" si="55"/>
        <v>73.371880567659389</v>
      </c>
      <c r="AY78" s="86">
        <v>52.471072744581114</v>
      </c>
      <c r="AZ78" s="71">
        <f t="shared" si="56"/>
        <v>52.471072744581114</v>
      </c>
      <c r="BA78" s="86">
        <v>33.32</v>
      </c>
      <c r="BB78" s="71">
        <f t="shared" si="57"/>
        <v>66.680000000000007</v>
      </c>
      <c r="BC78" s="86">
        <v>46.44</v>
      </c>
      <c r="BD78" s="86">
        <v>36.76</v>
      </c>
      <c r="BE78" s="86">
        <v>41.21</v>
      </c>
      <c r="BF78" s="71">
        <f t="shared" si="58"/>
        <v>40.475999999999999</v>
      </c>
      <c r="BG78" s="63"/>
      <c r="BH78" s="85">
        <v>4.79</v>
      </c>
      <c r="BI78" s="85">
        <v>6.37</v>
      </c>
      <c r="BJ78" s="88">
        <v>70</v>
      </c>
      <c r="BK78" s="81">
        <v>51.515151515151508</v>
      </c>
      <c r="BL78" s="70">
        <f t="shared" si="59"/>
        <v>48.812159226675348</v>
      </c>
      <c r="BM78" s="90">
        <v>0.48017301495271586</v>
      </c>
      <c r="BN78" s="85">
        <v>53.97</v>
      </c>
      <c r="BO78" s="85">
        <v>65.676483644517063</v>
      </c>
      <c r="BP78" s="70">
        <f t="shared" si="60"/>
        <v>53.92027165876506</v>
      </c>
      <c r="BQ78" s="90">
        <v>0.47242738806399681</v>
      </c>
      <c r="BR78" s="90">
        <v>0.46311892856627701</v>
      </c>
      <c r="BS78" s="85">
        <v>37.180543299999997</v>
      </c>
      <c r="BT78" s="86">
        <v>56.27225</v>
      </c>
      <c r="BU78" s="85">
        <v>54.222004499999997</v>
      </c>
      <c r="BV78" s="86">
        <v>56.541060299999998</v>
      </c>
      <c r="BW78" s="71">
        <f t="shared" si="61"/>
        <v>49.157060745512155</v>
      </c>
      <c r="BX78" s="86">
        <v>76.489999999999995</v>
      </c>
      <c r="BY78" s="158">
        <f t="shared" si="62"/>
        <v>76.489999999999995</v>
      </c>
      <c r="BZ78" s="54"/>
    </row>
    <row r="79" spans="1:79" s="13" customFormat="1" ht="15" customHeight="1" x14ac:dyDescent="0.25">
      <c r="A79" s="2">
        <v>73</v>
      </c>
      <c r="B79" s="14" t="s">
        <v>23</v>
      </c>
      <c r="C79" s="15" t="s">
        <v>24</v>
      </c>
      <c r="D79" s="162" t="s">
        <v>34</v>
      </c>
      <c r="E79" s="209">
        <f t="shared" si="43"/>
        <v>58.965855076805504</v>
      </c>
      <c r="F79" s="71">
        <f t="shared" si="44"/>
        <v>47.510944224133027</v>
      </c>
      <c r="G79" s="71">
        <f t="shared" si="45"/>
        <v>57.359086218944469</v>
      </c>
      <c r="H79" s="71">
        <f t="shared" si="46"/>
        <v>66.374885615028518</v>
      </c>
      <c r="I79" s="71">
        <f t="shared" si="47"/>
        <v>64.618504249116</v>
      </c>
      <c r="J79" s="63"/>
      <c r="K79" s="85">
        <v>3.9303647417504584</v>
      </c>
      <c r="L79" s="208">
        <v>2.52</v>
      </c>
      <c r="M79" s="82">
        <f t="shared" si="42"/>
        <v>100</v>
      </c>
      <c r="N79" s="71">
        <f t="shared" si="48"/>
        <v>88.502026343058105</v>
      </c>
      <c r="O79" s="85">
        <v>19.213439804961851</v>
      </c>
      <c r="P79" s="87">
        <v>73.8</v>
      </c>
      <c r="Q79" s="70">
        <f t="shared" si="49"/>
        <v>44.54079989164547</v>
      </c>
      <c r="R79" s="90">
        <v>2E-3</v>
      </c>
      <c r="S79" s="99">
        <v>-1.4836675005466538</v>
      </c>
      <c r="T79" s="85">
        <v>0.49</v>
      </c>
      <c r="U79" s="90">
        <v>4.8339999999999996</v>
      </c>
      <c r="V79" s="70">
        <f t="shared" si="50"/>
        <v>26.642722551391572</v>
      </c>
      <c r="W79" s="85">
        <v>9.2070000000000007</v>
      </c>
      <c r="X79" s="87">
        <v>18.3</v>
      </c>
      <c r="Y79" s="87">
        <v>35.049999999999997</v>
      </c>
      <c r="Z79" s="218">
        <v>3.7</v>
      </c>
      <c r="AA79" s="71">
        <f t="shared" si="51"/>
        <v>74.633041321538428</v>
      </c>
      <c r="AB79" s="63"/>
      <c r="AC79" s="85">
        <v>25.74970946389773</v>
      </c>
      <c r="AD79" s="87">
        <v>62.7</v>
      </c>
      <c r="AE79" s="88">
        <v>50</v>
      </c>
      <c r="AF79" s="85">
        <v>4</v>
      </c>
      <c r="AG79" s="88">
        <v>38</v>
      </c>
      <c r="AH79" s="70">
        <f t="shared" si="52"/>
        <v>57.92416528362412</v>
      </c>
      <c r="AI79" s="99">
        <v>1.1248636759457269</v>
      </c>
      <c r="AJ79" s="99">
        <v>3.7336190319467613</v>
      </c>
      <c r="AK79" s="87">
        <v>96.1</v>
      </c>
      <c r="AL79" s="86">
        <v>6.3156385993723534</v>
      </c>
      <c r="AM79" s="85">
        <v>33.9999991901512</v>
      </c>
      <c r="AN79" s="70">
        <f t="shared" si="53"/>
        <v>56.794007154264811</v>
      </c>
      <c r="AO79" s="63"/>
      <c r="AP79" s="89">
        <v>97.245303461105294</v>
      </c>
      <c r="AQ79" s="89">
        <v>71.425285515564084</v>
      </c>
      <c r="AR79" s="97">
        <v>5.85</v>
      </c>
      <c r="AS79" s="158">
        <f t="shared" si="54"/>
        <v>83.561468623058374</v>
      </c>
      <c r="AT79" s="89">
        <v>74.863</v>
      </c>
      <c r="AU79" s="89">
        <v>70.473578631650014</v>
      </c>
      <c r="AV79" s="89">
        <v>53.874879166430873</v>
      </c>
      <c r="AW79" s="100">
        <v>2.5</v>
      </c>
      <c r="AX79" s="71">
        <f t="shared" si="55"/>
        <v>73.029005968762107</v>
      </c>
      <c r="AY79" s="86">
        <v>47.067465480788769</v>
      </c>
      <c r="AZ79" s="71">
        <f t="shared" si="56"/>
        <v>47.067465480788769</v>
      </c>
      <c r="BA79" s="92">
        <v>45.05</v>
      </c>
      <c r="BB79" s="71">
        <f t="shared" si="57"/>
        <v>54.95</v>
      </c>
      <c r="BC79" s="86">
        <v>26.52</v>
      </c>
      <c r="BD79" s="86">
        <v>77.81</v>
      </c>
      <c r="BE79" s="86">
        <v>44.18</v>
      </c>
      <c r="BF79" s="71">
        <f t="shared" si="58"/>
        <v>54.1</v>
      </c>
      <c r="BG79" s="63"/>
      <c r="BH79" s="85">
        <v>29.9</v>
      </c>
      <c r="BI79" s="85">
        <v>3.88</v>
      </c>
      <c r="BJ79" s="88">
        <v>151</v>
      </c>
      <c r="BK79" s="81">
        <v>81.818181818181813</v>
      </c>
      <c r="BL79" s="70">
        <f t="shared" si="59"/>
        <v>84.832464429238627</v>
      </c>
      <c r="BM79" s="90">
        <v>0.63973531443389975</v>
      </c>
      <c r="BN79" s="99">
        <v>64.226597728018504</v>
      </c>
      <c r="BO79" s="85">
        <v>52.303112235421651</v>
      </c>
      <c r="BP79" s="70">
        <f t="shared" si="60"/>
        <v>61.119193212555025</v>
      </c>
      <c r="BQ79" s="90">
        <v>0.58019897268574705</v>
      </c>
      <c r="BR79" s="90">
        <v>0.56662334154852556</v>
      </c>
      <c r="BS79" s="85">
        <v>72.794205599999998</v>
      </c>
      <c r="BT79" s="86">
        <v>65.132094699999996</v>
      </c>
      <c r="BU79" s="85">
        <v>83.818278800000002</v>
      </c>
      <c r="BV79" s="86">
        <v>53.171182399999999</v>
      </c>
      <c r="BW79" s="71">
        <f t="shared" si="61"/>
        <v>63.673229080113813</v>
      </c>
      <c r="BX79" s="86">
        <v>27.89</v>
      </c>
      <c r="BY79" s="158">
        <f t="shared" si="62"/>
        <v>27.89</v>
      </c>
      <c r="BZ79" s="54"/>
    </row>
    <row r="80" spans="1:79" s="5" customFormat="1" ht="15" customHeight="1" x14ac:dyDescent="0.25">
      <c r="A80" s="2">
        <v>74</v>
      </c>
      <c r="B80" s="17" t="s">
        <v>29</v>
      </c>
      <c r="C80" s="26" t="s">
        <v>118</v>
      </c>
      <c r="D80" s="162" t="s">
        <v>177</v>
      </c>
      <c r="E80" s="209">
        <f t="shared" si="43"/>
        <v>58.803960523593702</v>
      </c>
      <c r="F80" s="71">
        <f t="shared" si="44"/>
        <v>50.104391292360695</v>
      </c>
      <c r="G80" s="71">
        <f t="shared" si="45"/>
        <v>57.813833263193999</v>
      </c>
      <c r="H80" s="71">
        <f t="shared" si="46"/>
        <v>53.479181008606659</v>
      </c>
      <c r="I80" s="71">
        <f t="shared" si="47"/>
        <v>73.818436530213489</v>
      </c>
      <c r="J80" s="63"/>
      <c r="K80" s="86">
        <v>5.8195017727400877</v>
      </c>
      <c r="L80" s="207">
        <v>4.6399999999999997</v>
      </c>
      <c r="M80" s="82">
        <f t="shared" si="42"/>
        <v>93.925925925925924</v>
      </c>
      <c r="N80" s="71">
        <f t="shared" si="48"/>
        <v>95.960195033741229</v>
      </c>
      <c r="O80" s="86">
        <v>30.027599106568108</v>
      </c>
      <c r="P80" s="100">
        <v>21.2</v>
      </c>
      <c r="Q80" s="70">
        <f t="shared" si="49"/>
        <v>73.926443948093393</v>
      </c>
      <c r="R80" s="96">
        <v>1.9359683437918107E-3</v>
      </c>
      <c r="S80" s="92">
        <v>-2.18372876107642E-2</v>
      </c>
      <c r="T80" s="92">
        <v>0.43</v>
      </c>
      <c r="U80" s="167">
        <v>4.6509999999999998</v>
      </c>
      <c r="V80" s="70">
        <f t="shared" si="50"/>
        <v>29.570047517552563</v>
      </c>
      <c r="W80" s="86">
        <v>4.9960000000000004</v>
      </c>
      <c r="X80" s="100">
        <v>51.5</v>
      </c>
      <c r="Y80" s="100">
        <v>13.34</v>
      </c>
      <c r="Z80" s="215">
        <v>5</v>
      </c>
      <c r="AA80" s="71">
        <f t="shared" si="51"/>
        <v>58.537525751985164</v>
      </c>
      <c r="AB80" s="63"/>
      <c r="AC80" s="86">
        <v>28.779676837376911</v>
      </c>
      <c r="AD80" s="100">
        <v>77.099999999999994</v>
      </c>
      <c r="AE80" s="95">
        <v>40</v>
      </c>
      <c r="AF80" s="138">
        <v>3.42</v>
      </c>
      <c r="AG80" s="91">
        <v>66.490459224842382</v>
      </c>
      <c r="AH80" s="70">
        <f t="shared" si="52"/>
        <v>65.574604685468586</v>
      </c>
      <c r="AI80" s="92">
        <v>0.80310537259599601</v>
      </c>
      <c r="AJ80" s="92">
        <v>2.9629655755836479</v>
      </c>
      <c r="AK80" s="100">
        <v>79.3</v>
      </c>
      <c r="AL80" s="92">
        <v>5.4165802586784793</v>
      </c>
      <c r="AM80" s="86">
        <v>43.223809324905801</v>
      </c>
      <c r="AN80" s="70">
        <f t="shared" si="53"/>
        <v>50.053061840919419</v>
      </c>
      <c r="AO80" s="63"/>
      <c r="AP80" s="89">
        <v>93.883278855736009</v>
      </c>
      <c r="AQ80" s="89">
        <v>42.458076477588065</v>
      </c>
      <c r="AR80" s="89">
        <v>39.119999999999997</v>
      </c>
      <c r="AS80" s="158">
        <f t="shared" si="54"/>
        <v>59.919857952728037</v>
      </c>
      <c r="AT80" s="89">
        <v>71.948400000000007</v>
      </c>
      <c r="AU80" s="89">
        <v>47.75743587929221</v>
      </c>
      <c r="AV80" s="89">
        <v>45.687475008898673</v>
      </c>
      <c r="AW80" s="100">
        <v>3.6</v>
      </c>
      <c r="AX80" s="71">
        <f t="shared" si="55"/>
        <v>61.935967146186819</v>
      </c>
      <c r="AY80" s="86">
        <v>39.59691207703704</v>
      </c>
      <c r="AZ80" s="71">
        <f t="shared" si="56"/>
        <v>39.59691207703704</v>
      </c>
      <c r="BA80" s="86">
        <v>38.74</v>
      </c>
      <c r="BB80" s="71">
        <f t="shared" si="57"/>
        <v>61.26</v>
      </c>
      <c r="BC80" s="86">
        <v>55.99</v>
      </c>
      <c r="BD80" s="86">
        <v>43.26</v>
      </c>
      <c r="BE80" s="86">
        <v>25.23</v>
      </c>
      <c r="BF80" s="71">
        <f t="shared" si="58"/>
        <v>38.594000000000001</v>
      </c>
      <c r="BG80" s="63"/>
      <c r="BH80" s="86">
        <v>6.26</v>
      </c>
      <c r="BI80" s="86">
        <v>2.38</v>
      </c>
      <c r="BJ80" s="95">
        <v>156</v>
      </c>
      <c r="BK80" s="82">
        <v>100</v>
      </c>
      <c r="BL80" s="70">
        <f t="shared" si="59"/>
        <v>97.98888888888888</v>
      </c>
      <c r="BM80" s="96">
        <v>0.75322757028194753</v>
      </c>
      <c r="BN80" s="86">
        <v>64.53</v>
      </c>
      <c r="BO80" s="86">
        <v>52.902017950027378</v>
      </c>
      <c r="BP80" s="70">
        <f t="shared" si="60"/>
        <v>67.019383001604226</v>
      </c>
      <c r="BQ80" s="96">
        <v>0.68071953324658918</v>
      </c>
      <c r="BR80" s="96">
        <v>0.67715232219417842</v>
      </c>
      <c r="BS80" s="86">
        <v>61.783304699999995</v>
      </c>
      <c r="BT80" s="86">
        <v>59.788708799999995</v>
      </c>
      <c r="BU80" s="86">
        <v>87.049140600000001</v>
      </c>
      <c r="BV80" s="86">
        <v>53.258240699999995</v>
      </c>
      <c r="BW80" s="71">
        <f t="shared" si="61"/>
        <v>63.823998307171422</v>
      </c>
      <c r="BX80" s="92">
        <v>68.77</v>
      </c>
      <c r="BY80" s="158">
        <f t="shared" si="62"/>
        <v>68.77</v>
      </c>
      <c r="BZ80" s="54"/>
    </row>
    <row r="81" spans="1:81" s="13" customFormat="1" ht="15" customHeight="1" x14ac:dyDescent="0.25">
      <c r="A81" s="2">
        <v>75</v>
      </c>
      <c r="B81" s="3" t="s">
        <v>10</v>
      </c>
      <c r="C81" s="19" t="s">
        <v>35</v>
      </c>
      <c r="D81" s="162" t="s">
        <v>114</v>
      </c>
      <c r="E81" s="209">
        <f t="shared" si="43"/>
        <v>58.578603242575589</v>
      </c>
      <c r="F81" s="71">
        <f t="shared" si="44"/>
        <v>45.829366595205578</v>
      </c>
      <c r="G81" s="71">
        <f t="shared" si="45"/>
        <v>65.722460026478473</v>
      </c>
      <c r="H81" s="71">
        <f t="shared" si="46"/>
        <v>66.340628052872617</v>
      </c>
      <c r="I81" s="71">
        <f t="shared" si="47"/>
        <v>56.421958295745711</v>
      </c>
      <c r="J81" s="63"/>
      <c r="K81" s="85">
        <v>1.7854370514076123</v>
      </c>
      <c r="L81" s="208">
        <v>2.2000000000000002</v>
      </c>
      <c r="M81" s="82">
        <f t="shared" si="42"/>
        <v>100</v>
      </c>
      <c r="N81" s="71">
        <f t="shared" si="48"/>
        <v>76.585761396708961</v>
      </c>
      <c r="O81" s="85">
        <v>12.837871774975063</v>
      </c>
      <c r="P81" s="87">
        <v>82.8</v>
      </c>
      <c r="Q81" s="70">
        <f t="shared" si="49"/>
        <v>36.998817652763925</v>
      </c>
      <c r="R81" s="90">
        <v>2.9000000000000001E-2</v>
      </c>
      <c r="S81" s="85">
        <v>9.2852519999999994E-2</v>
      </c>
      <c r="T81" s="85">
        <v>0.56000000000000005</v>
      </c>
      <c r="U81" s="90">
        <v>3.75</v>
      </c>
      <c r="V81" s="70">
        <f t="shared" si="50"/>
        <v>40.51718292592593</v>
      </c>
      <c r="W81" s="85">
        <v>16.535</v>
      </c>
      <c r="X81" s="87">
        <v>54.2</v>
      </c>
      <c r="Y81" s="87">
        <v>16.66</v>
      </c>
      <c r="Z81" s="214">
        <v>10</v>
      </c>
      <c r="AA81" s="71">
        <f t="shared" si="51"/>
        <v>49.449505378628494</v>
      </c>
      <c r="AB81" s="63"/>
      <c r="AC81" s="85">
        <v>27.483451897158588</v>
      </c>
      <c r="AD81" s="87">
        <v>52.3</v>
      </c>
      <c r="AE81" s="88">
        <v>70</v>
      </c>
      <c r="AF81" s="85">
        <v>5.75</v>
      </c>
      <c r="AG81" s="88">
        <v>38</v>
      </c>
      <c r="AH81" s="70">
        <f t="shared" si="52"/>
        <v>60.231275623746747</v>
      </c>
      <c r="AI81" s="85">
        <v>1.43</v>
      </c>
      <c r="AJ81" s="85">
        <v>4.9800000000000004</v>
      </c>
      <c r="AK81" s="87">
        <v>84.1</v>
      </c>
      <c r="AL81" s="86">
        <v>5.9629748925375949</v>
      </c>
      <c r="AM81" s="85">
        <v>98.597368724509295</v>
      </c>
      <c r="AN81" s="70">
        <f t="shared" si="53"/>
        <v>71.213644429210191</v>
      </c>
      <c r="AO81" s="63"/>
      <c r="AP81" s="89">
        <v>96.233183650308845</v>
      </c>
      <c r="AQ81" s="89">
        <v>67.710485170590019</v>
      </c>
      <c r="AR81" s="89">
        <v>20.88</v>
      </c>
      <c r="AS81" s="158">
        <f t="shared" si="54"/>
        <v>77.693538497872225</v>
      </c>
      <c r="AT81" s="89">
        <v>78.131100000000004</v>
      </c>
      <c r="AU81" s="89">
        <v>72.984886952911694</v>
      </c>
      <c r="AV81" s="89">
        <v>52.930321425499415</v>
      </c>
      <c r="AW81" s="100">
        <v>14.3</v>
      </c>
      <c r="AX81" s="71">
        <f t="shared" si="55"/>
        <v>72.851018951967163</v>
      </c>
      <c r="AY81" s="86">
        <v>53.952747180864208</v>
      </c>
      <c r="AZ81" s="71">
        <f t="shared" si="56"/>
        <v>53.952747180864208</v>
      </c>
      <c r="BA81" s="86">
        <v>33.659999999999997</v>
      </c>
      <c r="BB81" s="71">
        <f t="shared" si="57"/>
        <v>66.34</v>
      </c>
      <c r="BC81" s="86">
        <v>46.03</v>
      </c>
      <c r="BD81" s="86">
        <v>51.23</v>
      </c>
      <c r="BE81" s="86">
        <v>41.11</v>
      </c>
      <c r="BF81" s="71">
        <f t="shared" si="58"/>
        <v>46.142000000000003</v>
      </c>
      <c r="BG81" s="63"/>
      <c r="BH81" s="85">
        <v>0.84</v>
      </c>
      <c r="BI81" s="85">
        <v>5.08</v>
      </c>
      <c r="BJ81" s="88">
        <v>111</v>
      </c>
      <c r="BK81" s="81">
        <v>69.696969696969688</v>
      </c>
      <c r="BL81" s="70">
        <f t="shared" si="59"/>
        <v>71.095883566851313</v>
      </c>
      <c r="BM81" s="90">
        <v>0.44306701480156147</v>
      </c>
      <c r="BN81" s="85">
        <v>39.33</v>
      </c>
      <c r="BO81" s="85">
        <v>47.552243723372975</v>
      </c>
      <c r="BP81" s="70">
        <f t="shared" si="60"/>
        <v>43.873911670921316</v>
      </c>
      <c r="BQ81" s="90">
        <v>0.47622664472996573</v>
      </c>
      <c r="BR81" s="90">
        <v>0.58576899985952102</v>
      </c>
      <c r="BS81" s="85">
        <v>53.364439599999997</v>
      </c>
      <c r="BT81" s="86">
        <v>55.544497299999996</v>
      </c>
      <c r="BU81" s="85">
        <v>59.912951499999998</v>
      </c>
      <c r="BV81" s="86">
        <v>59.215868</v>
      </c>
      <c r="BW81" s="71">
        <f t="shared" si="61"/>
        <v>55.439468293589954</v>
      </c>
      <c r="BX81" s="86">
        <v>60.82</v>
      </c>
      <c r="BY81" s="158">
        <f t="shared" si="62"/>
        <v>60.82</v>
      </c>
      <c r="BZ81" s="54"/>
    </row>
    <row r="82" spans="1:81" s="13" customFormat="1" ht="15" customHeight="1" x14ac:dyDescent="0.25">
      <c r="A82" s="2">
        <v>76</v>
      </c>
      <c r="B82" s="6" t="s">
        <v>13</v>
      </c>
      <c r="C82" s="7" t="s">
        <v>14</v>
      </c>
      <c r="D82" s="162" t="s">
        <v>91</v>
      </c>
      <c r="E82" s="209">
        <f t="shared" si="43"/>
        <v>58.293951058048954</v>
      </c>
      <c r="F82" s="71">
        <f t="shared" si="44"/>
        <v>50.976971211429593</v>
      </c>
      <c r="G82" s="71">
        <f t="shared" si="45"/>
        <v>62.039477755213944</v>
      </c>
      <c r="H82" s="71">
        <f t="shared" si="46"/>
        <v>63.266165933320956</v>
      </c>
      <c r="I82" s="71">
        <f t="shared" si="47"/>
        <v>56.893189332231323</v>
      </c>
      <c r="J82" s="63"/>
      <c r="K82" s="85">
        <v>7.3662449897338833</v>
      </c>
      <c r="L82" s="208">
        <v>5.8</v>
      </c>
      <c r="M82" s="82">
        <f t="shared" si="42"/>
        <v>89.629629629629619</v>
      </c>
      <c r="N82" s="71">
        <f t="shared" si="48"/>
        <v>94.81481481481481</v>
      </c>
      <c r="O82" s="85">
        <v>18.52772259610455</v>
      </c>
      <c r="P82" s="87">
        <v>34.299999999999997</v>
      </c>
      <c r="Q82" s="70">
        <f t="shared" si="49"/>
        <v>61.715401442280303</v>
      </c>
      <c r="R82" s="90">
        <v>1.4E-2</v>
      </c>
      <c r="S82" s="85">
        <v>0.29734719999999998</v>
      </c>
      <c r="T82" s="85">
        <v>0.51</v>
      </c>
      <c r="U82" s="90">
        <v>4.0439999999999996</v>
      </c>
      <c r="V82" s="70">
        <f t="shared" si="50"/>
        <v>36.907445925925934</v>
      </c>
      <c r="W82" s="85">
        <v>12.097</v>
      </c>
      <c r="X82" s="87">
        <v>62.4</v>
      </c>
      <c r="Y82" s="87">
        <v>29.54</v>
      </c>
      <c r="Z82" s="214">
        <v>7.8</v>
      </c>
      <c r="AA82" s="71">
        <f t="shared" si="51"/>
        <v>55.137826202572406</v>
      </c>
      <c r="AB82" s="63"/>
      <c r="AC82" s="85">
        <v>19.018558474384495</v>
      </c>
      <c r="AD82" s="87">
        <v>53</v>
      </c>
      <c r="AE82" s="88">
        <v>60</v>
      </c>
      <c r="AF82" s="85">
        <v>8.25</v>
      </c>
      <c r="AG82" s="88">
        <v>45</v>
      </c>
      <c r="AH82" s="70">
        <f t="shared" si="52"/>
        <v>53.563654367538383</v>
      </c>
      <c r="AI82" s="85">
        <v>0.88</v>
      </c>
      <c r="AJ82" s="85">
        <v>4.46</v>
      </c>
      <c r="AK82" s="87">
        <v>87.8</v>
      </c>
      <c r="AL82" s="86">
        <v>6.9807712105080126</v>
      </c>
      <c r="AM82" s="85">
        <v>92.0763826471768</v>
      </c>
      <c r="AN82" s="70">
        <f t="shared" si="53"/>
        <v>70.515301142889513</v>
      </c>
      <c r="AO82" s="63"/>
      <c r="AP82" s="89">
        <v>94.677139369464072</v>
      </c>
      <c r="AQ82" s="89">
        <v>65.711595790317489</v>
      </c>
      <c r="AR82" s="89">
        <v>45.63</v>
      </c>
      <c r="AS82" s="158">
        <f t="shared" si="54"/>
        <v>70.117582737524756</v>
      </c>
      <c r="AT82" s="89">
        <v>74.816400000000002</v>
      </c>
      <c r="AU82" s="89">
        <v>67.924509835167498</v>
      </c>
      <c r="AV82" s="89">
        <v>46.255397142841929</v>
      </c>
      <c r="AW82" s="100">
        <v>2.5</v>
      </c>
      <c r="AX82" s="71">
        <f t="shared" si="55"/>
        <v>70.900029435562388</v>
      </c>
      <c r="AY82" s="86">
        <v>55.146639785971729</v>
      </c>
      <c r="AZ82" s="71">
        <f t="shared" si="56"/>
        <v>55.146639785971729</v>
      </c>
      <c r="BA82" s="86">
        <v>33.85</v>
      </c>
      <c r="BB82" s="71">
        <f t="shared" si="57"/>
        <v>66.150000000000006</v>
      </c>
      <c r="BC82" s="86">
        <v>37.74</v>
      </c>
      <c r="BD82" s="86">
        <v>28.83</v>
      </c>
      <c r="BE82" s="86">
        <v>47.99</v>
      </c>
      <c r="BF82" s="71">
        <f t="shared" si="58"/>
        <v>38.275999999999996</v>
      </c>
      <c r="BG82" s="63"/>
      <c r="BH82" s="85">
        <v>2.0299999999999998</v>
      </c>
      <c r="BI82" s="85">
        <v>3.87</v>
      </c>
      <c r="BJ82" s="88">
        <v>78</v>
      </c>
      <c r="BK82" s="81">
        <v>59.090909090909093</v>
      </c>
      <c r="BL82" s="70">
        <f t="shared" si="59"/>
        <v>56.259116252127001</v>
      </c>
      <c r="BM82" s="90">
        <v>0.56606442679252644</v>
      </c>
      <c r="BN82" s="85">
        <v>40.770000000000003</v>
      </c>
      <c r="BO82" s="85">
        <v>56.098405082943771</v>
      </c>
      <c r="BP82" s="70">
        <f t="shared" si="60"/>
        <v>52.520322610362264</v>
      </c>
      <c r="BQ82" s="90">
        <v>0.48796216030275658</v>
      </c>
      <c r="BR82" s="90">
        <v>0.50836454619209848</v>
      </c>
      <c r="BS82" s="85">
        <v>55.568594900000001</v>
      </c>
      <c r="BT82" s="86">
        <v>60.212147099999996</v>
      </c>
      <c r="BU82" s="85">
        <v>55.427485499999996</v>
      </c>
      <c r="BV82" s="86">
        <v>65.114890299999999</v>
      </c>
      <c r="BW82" s="71">
        <f t="shared" si="61"/>
        <v>56.220895674545396</v>
      </c>
      <c r="BX82" s="86">
        <v>73.95</v>
      </c>
      <c r="BY82" s="158">
        <f t="shared" si="62"/>
        <v>73.95</v>
      </c>
      <c r="BZ82" s="53"/>
    </row>
    <row r="83" spans="1:81" s="13" customFormat="1" ht="15" customHeight="1" x14ac:dyDescent="0.25">
      <c r="A83" s="2">
        <v>77</v>
      </c>
      <c r="B83" s="3" t="s">
        <v>10</v>
      </c>
      <c r="C83" s="25" t="s">
        <v>115</v>
      </c>
      <c r="D83" s="162" t="s">
        <v>116</v>
      </c>
      <c r="E83" s="209">
        <f t="shared" si="43"/>
        <v>57.627897638395389</v>
      </c>
      <c r="F83" s="71">
        <f t="shared" si="44"/>
        <v>54.19141690863168</v>
      </c>
      <c r="G83" s="71">
        <f t="shared" si="45"/>
        <v>57.519437286741386</v>
      </c>
      <c r="H83" s="71">
        <f t="shared" si="46"/>
        <v>66.854769815095096</v>
      </c>
      <c r="I83" s="71">
        <f t="shared" si="47"/>
        <v>51.945966543113407</v>
      </c>
      <c r="J83" s="63"/>
      <c r="K83" s="85">
        <v>3.5304132989559367</v>
      </c>
      <c r="L83" s="208">
        <v>11.52</v>
      </c>
      <c r="M83" s="82">
        <f t="shared" si="42"/>
        <v>68.444444444444443</v>
      </c>
      <c r="N83" s="71">
        <f t="shared" si="48"/>
        <v>70.502296105310762</v>
      </c>
      <c r="O83" s="85">
        <v>28.990568650236863</v>
      </c>
      <c r="P83" s="87">
        <v>24.6</v>
      </c>
      <c r="Q83" s="70">
        <f t="shared" si="49"/>
        <v>71.839204805687146</v>
      </c>
      <c r="R83" s="90">
        <v>4.3999999999999997E-2</v>
      </c>
      <c r="S83" s="85">
        <v>0.37895516000000001</v>
      </c>
      <c r="T83" s="85">
        <v>0.57999999999999996</v>
      </c>
      <c r="U83" s="90">
        <v>3.71</v>
      </c>
      <c r="V83" s="70">
        <f t="shared" si="50"/>
        <v>43.280166449735447</v>
      </c>
      <c r="W83" s="85">
        <v>4.7709999999999999</v>
      </c>
      <c r="X83" s="98">
        <v>47.3</v>
      </c>
      <c r="Y83" s="87">
        <v>41.52</v>
      </c>
      <c r="Z83" s="214">
        <v>11.1</v>
      </c>
      <c r="AA83" s="71">
        <f t="shared" si="51"/>
        <v>58.900893409519249</v>
      </c>
      <c r="AB83" s="63"/>
      <c r="AC83" s="85">
        <v>24.317581805313445</v>
      </c>
      <c r="AD83" s="87">
        <v>54.9</v>
      </c>
      <c r="AE83" s="88">
        <v>50</v>
      </c>
      <c r="AF83" s="85">
        <v>17</v>
      </c>
      <c r="AG83" s="88">
        <v>60</v>
      </c>
      <c r="AH83" s="70">
        <f t="shared" si="52"/>
        <v>56.002746844567945</v>
      </c>
      <c r="AI83" s="85">
        <v>0.27</v>
      </c>
      <c r="AJ83" s="85">
        <v>3.37</v>
      </c>
      <c r="AK83" s="87">
        <v>91.2</v>
      </c>
      <c r="AL83" s="86">
        <v>5.0969221562900788</v>
      </c>
      <c r="AM83" s="85">
        <v>94.053323247687402</v>
      </c>
      <c r="AN83" s="70">
        <f t="shared" si="53"/>
        <v>59.036127728914828</v>
      </c>
      <c r="AO83" s="63"/>
      <c r="AP83" s="89">
        <v>97.716598715665526</v>
      </c>
      <c r="AQ83" s="89">
        <v>69.385183849769248</v>
      </c>
      <c r="AR83" s="89">
        <v>9.08</v>
      </c>
      <c r="AS83" s="158">
        <f t="shared" si="54"/>
        <v>81.851741603801003</v>
      </c>
      <c r="AT83" s="89">
        <v>74.6708</v>
      </c>
      <c r="AU83" s="89">
        <v>76.45110069237677</v>
      </c>
      <c r="AV83" s="89">
        <v>48.805386395726472</v>
      </c>
      <c r="AW83" s="100">
        <v>2.5</v>
      </c>
      <c r="AX83" s="71">
        <f t="shared" si="55"/>
        <v>73.537824988053018</v>
      </c>
      <c r="AY83" s="86">
        <v>53.154782673305164</v>
      </c>
      <c r="AZ83" s="71">
        <f t="shared" si="56"/>
        <v>53.154782673305164</v>
      </c>
      <c r="BA83" s="86">
        <v>29.19</v>
      </c>
      <c r="BB83" s="71">
        <f t="shared" si="57"/>
        <v>70.81</v>
      </c>
      <c r="BC83" s="86">
        <v>43.3</v>
      </c>
      <c r="BD83" s="86">
        <v>36.26</v>
      </c>
      <c r="BE83" s="86">
        <v>37.700000000000003</v>
      </c>
      <c r="BF83" s="71">
        <f t="shared" si="58"/>
        <v>38.244</v>
      </c>
      <c r="BG83" s="63"/>
      <c r="BH83" s="85">
        <v>2.5499999999999998</v>
      </c>
      <c r="BI83" s="85">
        <v>4.45</v>
      </c>
      <c r="BJ83" s="88">
        <v>85</v>
      </c>
      <c r="BK83" s="81">
        <v>45.454545454545453</v>
      </c>
      <c r="BL83" s="70">
        <f t="shared" si="59"/>
        <v>53.76830129249484</v>
      </c>
      <c r="BM83" s="90">
        <v>0.45350927178090367</v>
      </c>
      <c r="BN83" s="85">
        <v>34.409999999999997</v>
      </c>
      <c r="BO83" s="85">
        <v>49.880731447204788</v>
      </c>
      <c r="BP83" s="70">
        <f t="shared" si="60"/>
        <v>43.748146450846377</v>
      </c>
      <c r="BQ83" s="90">
        <v>0.46030614286271088</v>
      </c>
      <c r="BR83" s="90">
        <v>0.53995989281568735</v>
      </c>
      <c r="BS83" s="85">
        <v>46.496816799999998</v>
      </c>
      <c r="BT83" s="86">
        <v>54.194162599999999</v>
      </c>
      <c r="BU83" s="85">
        <v>61.064471699999999</v>
      </c>
      <c r="BV83" s="86">
        <v>55.6049145</v>
      </c>
      <c r="BW83" s="71">
        <f t="shared" si="61"/>
        <v>52.172706527816558</v>
      </c>
      <c r="BX83" s="86">
        <v>71.19</v>
      </c>
      <c r="BY83" s="158">
        <f t="shared" si="62"/>
        <v>71.19</v>
      </c>
      <c r="BZ83" s="54"/>
    </row>
    <row r="84" spans="1:81" s="13" customFormat="1" ht="15" customHeight="1" x14ac:dyDescent="0.25">
      <c r="A84" s="2">
        <v>78</v>
      </c>
      <c r="B84" s="14" t="s">
        <v>23</v>
      </c>
      <c r="C84" s="15" t="s">
        <v>24</v>
      </c>
      <c r="D84" s="162" t="s">
        <v>195</v>
      </c>
      <c r="E84" s="209">
        <f t="shared" si="43"/>
        <v>57.550142928953264</v>
      </c>
      <c r="F84" s="71">
        <f t="shared" si="44"/>
        <v>47.961508982670324</v>
      </c>
      <c r="G84" s="71">
        <f t="shared" si="45"/>
        <v>52.044168649789597</v>
      </c>
      <c r="H84" s="71">
        <f t="shared" si="46"/>
        <v>60.225891058080144</v>
      </c>
      <c r="I84" s="71">
        <f t="shared" si="47"/>
        <v>69.969003025273011</v>
      </c>
      <c r="J84" s="63"/>
      <c r="K84" s="85">
        <v>6.3681579994902648</v>
      </c>
      <c r="L84" s="208">
        <v>3.44</v>
      </c>
      <c r="M84" s="82">
        <f t="shared" si="42"/>
        <v>98.370370370370367</v>
      </c>
      <c r="N84" s="71">
        <f t="shared" si="48"/>
        <v>99.18518518518519</v>
      </c>
      <c r="O84" s="99">
        <v>21.266096729436789</v>
      </c>
      <c r="P84" s="87">
        <v>77.099999999999994</v>
      </c>
      <c r="Q84" s="70">
        <f t="shared" si="49"/>
        <v>44.214498183020432</v>
      </c>
      <c r="R84" s="90">
        <v>3.0000000000000001E-3</v>
      </c>
      <c r="S84" s="99">
        <v>-5.0562836886906881E-2</v>
      </c>
      <c r="T84" s="85">
        <v>0.38</v>
      </c>
      <c r="U84" s="90">
        <v>4.1139999999999999</v>
      </c>
      <c r="V84" s="70">
        <f t="shared" si="50"/>
        <v>30.459547675314145</v>
      </c>
      <c r="W84" s="85">
        <v>9.452</v>
      </c>
      <c r="X84" s="87">
        <v>29.2</v>
      </c>
      <c r="Y84" s="87">
        <v>23.7</v>
      </c>
      <c r="Z84" s="218">
        <v>6.85</v>
      </c>
      <c r="AA84" s="71">
        <f t="shared" si="51"/>
        <v>64.724167596166666</v>
      </c>
      <c r="AB84" s="63"/>
      <c r="AC84" s="99">
        <v>20.515334279935164</v>
      </c>
      <c r="AD84" s="87">
        <v>64.3</v>
      </c>
      <c r="AE84" s="88">
        <v>50</v>
      </c>
      <c r="AF84" s="122">
        <v>3</v>
      </c>
      <c r="AG84" s="91">
        <v>35.140432692931256</v>
      </c>
      <c r="AH84" s="70">
        <f t="shared" si="52"/>
        <v>54.48106419954788</v>
      </c>
      <c r="AI84" s="99">
        <v>1.1610340601697051</v>
      </c>
      <c r="AJ84" s="99">
        <v>3.3570080413485224</v>
      </c>
      <c r="AK84" s="87">
        <v>77.7</v>
      </c>
      <c r="AL84" s="92">
        <v>5.4589088454487742</v>
      </c>
      <c r="AM84" s="85">
        <v>26.1773349053781</v>
      </c>
      <c r="AN84" s="70">
        <f t="shared" si="53"/>
        <v>49.607273100031314</v>
      </c>
      <c r="AO84" s="63"/>
      <c r="AP84" s="89">
        <v>93.43776900004859</v>
      </c>
      <c r="AQ84" s="89">
        <v>63.422134591172401</v>
      </c>
      <c r="AR84" s="97">
        <v>20.555</v>
      </c>
      <c r="AS84" s="158">
        <f t="shared" si="54"/>
        <v>74.931759545598339</v>
      </c>
      <c r="AT84" s="89">
        <v>72.998900000000006</v>
      </c>
      <c r="AU84" s="89">
        <v>74.269006916318148</v>
      </c>
      <c r="AV84" s="89">
        <v>48.847941540009998</v>
      </c>
      <c r="AW84" s="93">
        <v>6.4</v>
      </c>
      <c r="AX84" s="71">
        <f t="shared" si="55"/>
        <v>69.862757490945739</v>
      </c>
      <c r="AY84" s="86">
        <v>40.609144199398145</v>
      </c>
      <c r="AZ84" s="71">
        <f t="shared" si="56"/>
        <v>40.609144199398145</v>
      </c>
      <c r="BA84" s="86">
        <v>51.23</v>
      </c>
      <c r="BB84" s="71">
        <f t="shared" si="57"/>
        <v>48.77</v>
      </c>
      <c r="BC84" s="86">
        <v>39.229999999999997</v>
      </c>
      <c r="BD84" s="86">
        <v>50.48</v>
      </c>
      <c r="BE84" s="86">
        <v>41.16</v>
      </c>
      <c r="BF84" s="71">
        <f t="shared" si="58"/>
        <v>44.501999999999995</v>
      </c>
      <c r="BG84" s="63"/>
      <c r="BH84" s="85">
        <v>40.61</v>
      </c>
      <c r="BI84" s="85">
        <v>3.35</v>
      </c>
      <c r="BJ84" s="88">
        <v>156</v>
      </c>
      <c r="BK84" s="81">
        <v>100</v>
      </c>
      <c r="BL84" s="70">
        <f t="shared" si="59"/>
        <v>92.993827160493822</v>
      </c>
      <c r="BM84" s="90">
        <v>0.66298111766856471</v>
      </c>
      <c r="BN84" s="85">
        <v>64.599999999999994</v>
      </c>
      <c r="BO84" s="85">
        <v>57.684480452192993</v>
      </c>
      <c r="BP84" s="70">
        <f t="shared" si="60"/>
        <v>63.720175996476478</v>
      </c>
      <c r="BQ84" s="90">
        <v>0.60217466858864732</v>
      </c>
      <c r="BR84" s="90">
        <v>0.5955578556370853</v>
      </c>
      <c r="BS84" s="85">
        <v>56.9490008</v>
      </c>
      <c r="BT84" s="86">
        <v>56.555940199999995</v>
      </c>
      <c r="BU84" s="85">
        <v>83.62933919999999</v>
      </c>
      <c r="BV84" s="86">
        <v>57.730805799999999</v>
      </c>
      <c r="BW84" s="71">
        <f t="shared" si="61"/>
        <v>59.684266960590335</v>
      </c>
      <c r="BX84" s="92">
        <v>67.150000000000006</v>
      </c>
      <c r="BY84" s="158">
        <f t="shared" si="62"/>
        <v>67.150000000000006</v>
      </c>
      <c r="BZ84" s="54"/>
      <c r="CA84" s="157"/>
    </row>
    <row r="85" spans="1:81" s="13" customFormat="1" ht="15" customHeight="1" x14ac:dyDescent="0.25">
      <c r="A85" s="2">
        <v>79</v>
      </c>
      <c r="B85" s="6" t="s">
        <v>13</v>
      </c>
      <c r="C85" s="7" t="s">
        <v>14</v>
      </c>
      <c r="D85" s="162" t="s">
        <v>28</v>
      </c>
      <c r="E85" s="209">
        <f t="shared" si="43"/>
        <v>57.473015885590542</v>
      </c>
      <c r="F85" s="71">
        <f t="shared" si="44"/>
        <v>47.793989606594998</v>
      </c>
      <c r="G85" s="71">
        <f t="shared" si="45"/>
        <v>56.3973275896793</v>
      </c>
      <c r="H85" s="71">
        <f t="shared" si="46"/>
        <v>63.97984058769341</v>
      </c>
      <c r="I85" s="71">
        <f t="shared" si="47"/>
        <v>61.720905758394466</v>
      </c>
      <c r="J85" s="63"/>
      <c r="K85" s="86">
        <v>7.361371871695277</v>
      </c>
      <c r="L85" s="207">
        <v>4.28</v>
      </c>
      <c r="M85" s="82">
        <f t="shared" si="42"/>
        <v>95.259259259259252</v>
      </c>
      <c r="N85" s="71">
        <f t="shared" si="48"/>
        <v>97.629629629629619</v>
      </c>
      <c r="O85" s="86">
        <v>16.914667529465063</v>
      </c>
      <c r="P85" s="100">
        <v>49</v>
      </c>
      <c r="Q85" s="70">
        <f t="shared" si="49"/>
        <v>54.285926405258373</v>
      </c>
      <c r="R85" s="167">
        <v>1.9E-2</v>
      </c>
      <c r="S85" s="86">
        <v>0.58100635</v>
      </c>
      <c r="T85" s="86">
        <v>0.5</v>
      </c>
      <c r="U85" s="167">
        <v>4.5439999999999996</v>
      </c>
      <c r="V85" s="70">
        <f t="shared" si="50"/>
        <v>35.351472665343913</v>
      </c>
      <c r="W85" s="86">
        <v>12.871</v>
      </c>
      <c r="X85" s="100">
        <v>76.099999999999994</v>
      </c>
      <c r="Y85" s="100">
        <v>25.96</v>
      </c>
      <c r="Z85" s="107">
        <v>8.9</v>
      </c>
      <c r="AA85" s="71">
        <f t="shared" si="51"/>
        <v>48.849605400685277</v>
      </c>
      <c r="AB85" s="63"/>
      <c r="AC85" s="86">
        <v>21.415528489940545</v>
      </c>
      <c r="AD85" s="100">
        <v>48.6</v>
      </c>
      <c r="AE85" s="95">
        <v>70</v>
      </c>
      <c r="AF85" s="85">
        <v>6.5</v>
      </c>
      <c r="AG85" s="88">
        <v>40</v>
      </c>
      <c r="AH85" s="70">
        <f t="shared" si="52"/>
        <v>55.710352326627032</v>
      </c>
      <c r="AI85" s="86">
        <v>1.43</v>
      </c>
      <c r="AJ85" s="86">
        <v>3.63</v>
      </c>
      <c r="AK85" s="100">
        <v>87.2</v>
      </c>
      <c r="AL85" s="86">
        <v>5.56609643059004</v>
      </c>
      <c r="AM85" s="86">
        <v>53.958888504588501</v>
      </c>
      <c r="AN85" s="70">
        <f t="shared" si="53"/>
        <v>57.084302852731554</v>
      </c>
      <c r="AO85" s="63"/>
      <c r="AP85" s="89">
        <v>98.101376012247599</v>
      </c>
      <c r="AQ85" s="89">
        <v>64.774481167818379</v>
      </c>
      <c r="AR85" s="89">
        <v>47.41</v>
      </c>
      <c r="AS85" s="158">
        <f t="shared" si="54"/>
        <v>70.060084586971101</v>
      </c>
      <c r="AT85" s="89">
        <v>76.012299999999996</v>
      </c>
      <c r="AU85" s="89">
        <v>64.068740424186316</v>
      </c>
      <c r="AV85" s="89">
        <v>54.307669520762836</v>
      </c>
      <c r="AW85" s="100">
        <v>2.5</v>
      </c>
      <c r="AX85" s="71">
        <f t="shared" si="55"/>
        <v>72.554998989592107</v>
      </c>
      <c r="AY85" s="86">
        <v>52.64307917837354</v>
      </c>
      <c r="AZ85" s="71">
        <f t="shared" si="56"/>
        <v>52.64307917837354</v>
      </c>
      <c r="BA85" s="86">
        <v>27.44</v>
      </c>
      <c r="BB85" s="71">
        <f t="shared" si="57"/>
        <v>72.56</v>
      </c>
      <c r="BC85" s="86">
        <v>27.67</v>
      </c>
      <c r="BD85" s="86">
        <v>40.24</v>
      </c>
      <c r="BE85" s="86">
        <v>52.97</v>
      </c>
      <c r="BF85" s="71">
        <f t="shared" si="58"/>
        <v>42.817999999999998</v>
      </c>
      <c r="BG85" s="63"/>
      <c r="BH85" s="86">
        <v>2.19</v>
      </c>
      <c r="BI85" s="86">
        <v>3.02</v>
      </c>
      <c r="BJ85" s="95">
        <v>115</v>
      </c>
      <c r="BK85" s="82">
        <v>72.727272727272734</v>
      </c>
      <c r="BL85" s="70">
        <f t="shared" si="59"/>
        <v>74.561281271496327</v>
      </c>
      <c r="BM85" s="96">
        <v>0.62800125607634094</v>
      </c>
      <c r="BN85" s="86">
        <v>67.02</v>
      </c>
      <c r="BO85" s="86">
        <v>55.803750811974396</v>
      </c>
      <c r="BP85" s="70">
        <f t="shared" si="60"/>
        <v>62.106000506810645</v>
      </c>
      <c r="BQ85" s="96">
        <v>0.59100282163474516</v>
      </c>
      <c r="BR85" s="96">
        <v>0.45581597940691188</v>
      </c>
      <c r="BS85" s="86">
        <v>50.783390900000001</v>
      </c>
      <c r="BT85" s="86">
        <v>44.262283599999996</v>
      </c>
      <c r="BU85" s="86">
        <v>53.539317799999999</v>
      </c>
      <c r="BV85" s="86">
        <v>57.039121799999997</v>
      </c>
      <c r="BW85" s="71">
        <f t="shared" si="61"/>
        <v>50.130815109934836</v>
      </c>
      <c r="BX85" s="86">
        <v>69.03</v>
      </c>
      <c r="BY85" s="158">
        <f t="shared" si="62"/>
        <v>69.03</v>
      </c>
      <c r="BZ85" s="54"/>
      <c r="CA85" s="12"/>
      <c r="CB85" s="12"/>
      <c r="CC85" s="12"/>
    </row>
    <row r="86" spans="1:81" s="13" customFormat="1" ht="15" customHeight="1" x14ac:dyDescent="0.25">
      <c r="A86" s="2">
        <v>80</v>
      </c>
      <c r="B86" s="17" t="s">
        <v>29</v>
      </c>
      <c r="C86" s="26" t="s">
        <v>118</v>
      </c>
      <c r="D86" s="162" t="s">
        <v>207</v>
      </c>
      <c r="E86" s="209">
        <f t="shared" si="43"/>
        <v>57.446854078918321</v>
      </c>
      <c r="F86" s="71">
        <f t="shared" si="44"/>
        <v>44.768541381770682</v>
      </c>
      <c r="G86" s="71">
        <f t="shared" si="45"/>
        <v>54.223785585785343</v>
      </c>
      <c r="H86" s="71">
        <f t="shared" si="46"/>
        <v>61.003561420725291</v>
      </c>
      <c r="I86" s="71">
        <f t="shared" si="47"/>
        <v>69.791527927391954</v>
      </c>
      <c r="J86" s="63"/>
      <c r="K86" s="86">
        <v>1.6979548352805685</v>
      </c>
      <c r="L86" s="207">
        <v>6.18</v>
      </c>
      <c r="M86" s="82">
        <f t="shared" ref="M86:M117" si="63">IF(L86&lt;-5, 0, IF(AND(L86&gt;=1, L86&lt;=3), 100, IF(L86&gt;30, 0, IF(L86&lt;1, 100 * ((L86 + 5) / 6), 100 * ((30 - L86) / (30 - 3))))))</f>
        <v>88.222222222222229</v>
      </c>
      <c r="N86" s="71">
        <f t="shared" si="48"/>
        <v>70.210860196003168</v>
      </c>
      <c r="O86" s="86">
        <v>18.540963072269417</v>
      </c>
      <c r="P86" s="100">
        <v>27.4</v>
      </c>
      <c r="Q86" s="70">
        <f t="shared" si="49"/>
        <v>64.789423929038563</v>
      </c>
      <c r="R86" s="167">
        <v>1E-3</v>
      </c>
      <c r="S86" s="92">
        <v>-0.48628289397237268</v>
      </c>
      <c r="T86" s="92">
        <v>0.43</v>
      </c>
      <c r="U86" s="167">
        <v>4.8789999999999996</v>
      </c>
      <c r="V86" s="70">
        <f t="shared" si="50"/>
        <v>27.124875559071455</v>
      </c>
      <c r="W86" s="86">
        <v>2.008</v>
      </c>
      <c r="X86" s="100">
        <v>59.2</v>
      </c>
      <c r="Y86" s="100">
        <v>14.73</v>
      </c>
      <c r="Z86" s="215">
        <v>5</v>
      </c>
      <c r="AA86" s="71">
        <f t="shared" si="51"/>
        <v>57.86641597311538</v>
      </c>
      <c r="AB86" s="63"/>
      <c r="AC86" s="86">
        <v>26.151826880060014</v>
      </c>
      <c r="AD86" s="100">
        <v>71.099999999999994</v>
      </c>
      <c r="AE86" s="95">
        <v>40</v>
      </c>
      <c r="AF86" s="139">
        <v>2</v>
      </c>
      <c r="AG86" s="91">
        <v>52.903136439860063</v>
      </c>
      <c r="AH86" s="70">
        <f t="shared" si="52"/>
        <v>60.922253480529513</v>
      </c>
      <c r="AI86" s="92">
        <v>0.78725310641120572</v>
      </c>
      <c r="AJ86" s="92">
        <v>2.8306504477186021</v>
      </c>
      <c r="AK86" s="100">
        <v>85.6</v>
      </c>
      <c r="AL86" s="92">
        <v>5.147651002128411</v>
      </c>
      <c r="AM86" s="86">
        <v>33.791961080573699</v>
      </c>
      <c r="AN86" s="70">
        <f t="shared" si="53"/>
        <v>47.525317691041174</v>
      </c>
      <c r="AO86" s="63"/>
      <c r="AP86" s="89">
        <v>94.804538807348393</v>
      </c>
      <c r="AQ86" s="89">
        <v>58.576215285487123</v>
      </c>
      <c r="AR86" s="89">
        <v>21.67</v>
      </c>
      <c r="AS86" s="158">
        <f t="shared" si="54"/>
        <v>72.571742344580656</v>
      </c>
      <c r="AT86" s="89">
        <v>73.2256</v>
      </c>
      <c r="AU86" s="89">
        <v>61.661187443582129</v>
      </c>
      <c r="AV86" s="89">
        <v>48.428572118025443</v>
      </c>
      <c r="AW86" s="93">
        <v>5.2</v>
      </c>
      <c r="AX86" s="71">
        <f t="shared" si="55"/>
        <v>66.999129168410136</v>
      </c>
      <c r="AY86" s="86">
        <v>49.063722502546291</v>
      </c>
      <c r="AZ86" s="71">
        <f t="shared" si="56"/>
        <v>49.063722502546291</v>
      </c>
      <c r="BA86" s="86">
        <v>27.1</v>
      </c>
      <c r="BB86" s="71">
        <f t="shared" si="57"/>
        <v>72.900000000000006</v>
      </c>
      <c r="BC86" s="86">
        <v>34.520000000000003</v>
      </c>
      <c r="BD86" s="86">
        <v>45.73</v>
      </c>
      <c r="BE86" s="86">
        <v>24.51</v>
      </c>
      <c r="BF86" s="71">
        <f t="shared" si="58"/>
        <v>35</v>
      </c>
      <c r="BG86" s="63"/>
      <c r="BH86" s="86">
        <v>0.95</v>
      </c>
      <c r="BI86" s="86">
        <v>3.42</v>
      </c>
      <c r="BJ86" s="95">
        <v>156</v>
      </c>
      <c r="BK86" s="82">
        <v>100</v>
      </c>
      <c r="BL86" s="70">
        <f t="shared" si="59"/>
        <v>98.33024691358024</v>
      </c>
      <c r="BM86" s="96">
        <v>0.71098098449877067</v>
      </c>
      <c r="BN86" s="86">
        <v>66.62</v>
      </c>
      <c r="BO86" s="86">
        <v>44.1241255873515</v>
      </c>
      <c r="BP86" s="70">
        <f t="shared" si="60"/>
        <v>63.235080621776412</v>
      </c>
      <c r="BQ86" s="96">
        <v>0.65843557072278569</v>
      </c>
      <c r="BR86" s="96">
        <v>0.61795094467966316</v>
      </c>
      <c r="BS86" s="86">
        <v>39.7740182</v>
      </c>
      <c r="BT86" s="86">
        <v>50.615652099999998</v>
      </c>
      <c r="BU86" s="86">
        <v>87.328060899999997</v>
      </c>
      <c r="BV86" s="86">
        <v>51.795482399999997</v>
      </c>
      <c r="BW86" s="71">
        <f t="shared" si="61"/>
        <v>55.318405749897074</v>
      </c>
      <c r="BX86" s="92">
        <v>68.77</v>
      </c>
      <c r="BY86" s="158">
        <f t="shared" si="62"/>
        <v>68.77</v>
      </c>
      <c r="BZ86" s="54"/>
    </row>
    <row r="87" spans="1:81" s="13" customFormat="1" ht="15" customHeight="1" x14ac:dyDescent="0.25">
      <c r="A87" s="2">
        <v>81</v>
      </c>
      <c r="B87" s="14" t="s">
        <v>23</v>
      </c>
      <c r="C87" s="15" t="s">
        <v>24</v>
      </c>
      <c r="D87" s="162" t="s">
        <v>196</v>
      </c>
      <c r="E87" s="209">
        <f t="shared" si="43"/>
        <v>57.162921090586678</v>
      </c>
      <c r="F87" s="71">
        <f t="shared" si="44"/>
        <v>42.496128328612834</v>
      </c>
      <c r="G87" s="71">
        <f t="shared" si="45"/>
        <v>52.473034367717354</v>
      </c>
      <c r="H87" s="71">
        <f t="shared" si="46"/>
        <v>63.357878890479803</v>
      </c>
      <c r="I87" s="71">
        <f t="shared" si="47"/>
        <v>70.324642775536702</v>
      </c>
      <c r="J87" s="63"/>
      <c r="K87" s="85">
        <v>4.719906805353058</v>
      </c>
      <c r="L87" s="208">
        <v>3.28</v>
      </c>
      <c r="M87" s="82">
        <f t="shared" si="63"/>
        <v>98.962962962962962</v>
      </c>
      <c r="N87" s="71">
        <f t="shared" si="48"/>
        <v>92.369852622331805</v>
      </c>
      <c r="O87" s="99">
        <v>21.266096729436789</v>
      </c>
      <c r="P87" s="87">
        <v>113.4</v>
      </c>
      <c r="Q87" s="70">
        <f t="shared" si="49"/>
        <v>28.081164849687099</v>
      </c>
      <c r="R87" s="168">
        <v>0</v>
      </c>
      <c r="S87" s="99">
        <v>-0.59164203103990487</v>
      </c>
      <c r="T87" s="85">
        <v>0.42</v>
      </c>
      <c r="U87" s="90">
        <v>3.9940000000000002</v>
      </c>
      <c r="V87" s="70">
        <f t="shared" si="50"/>
        <v>30.639089596317728</v>
      </c>
      <c r="W87" s="85">
        <v>18.003</v>
      </c>
      <c r="X87" s="98">
        <v>55.3</v>
      </c>
      <c r="Y87" s="87">
        <v>22.05</v>
      </c>
      <c r="Z87" s="218">
        <v>6.85</v>
      </c>
      <c r="AA87" s="71">
        <f t="shared" si="51"/>
        <v>54.909694163070888</v>
      </c>
      <c r="AB87" s="63"/>
      <c r="AC87" s="99">
        <v>20.515334279935164</v>
      </c>
      <c r="AD87" s="87">
        <v>65.2</v>
      </c>
      <c r="AE87" s="88">
        <v>70</v>
      </c>
      <c r="AF87" s="122">
        <v>3</v>
      </c>
      <c r="AG87" s="88">
        <v>25</v>
      </c>
      <c r="AH87" s="70">
        <f t="shared" si="52"/>
        <v>56.274325417392674</v>
      </c>
      <c r="AI87" s="99">
        <v>1.0936510482915796</v>
      </c>
      <c r="AJ87" s="99">
        <v>3.1462762253803942</v>
      </c>
      <c r="AK87" s="87">
        <v>82</v>
      </c>
      <c r="AL87" s="92">
        <v>5.3574848067255836</v>
      </c>
      <c r="AM87" s="85">
        <v>26.553220035586001</v>
      </c>
      <c r="AN87" s="70">
        <f t="shared" si="53"/>
        <v>48.67174331804204</v>
      </c>
      <c r="AO87" s="63"/>
      <c r="AP87" s="89">
        <v>95.008352964030223</v>
      </c>
      <c r="AQ87" s="89">
        <v>68.802177197533368</v>
      </c>
      <c r="AR87" s="97">
        <v>20.555</v>
      </c>
      <c r="AS87" s="158">
        <f t="shared" si="54"/>
        <v>78.014426839774245</v>
      </c>
      <c r="AT87" s="89">
        <v>71.513400000000004</v>
      </c>
      <c r="AU87" s="89">
        <v>78.179001169551015</v>
      </c>
      <c r="AV87" s="89">
        <v>51.589783589665487</v>
      </c>
      <c r="AW87" s="100">
        <v>6.1</v>
      </c>
      <c r="AX87" s="71">
        <f t="shared" si="55"/>
        <v>69.988155776829728</v>
      </c>
      <c r="AY87" s="86">
        <v>47.495670634583327</v>
      </c>
      <c r="AZ87" s="71">
        <f t="shared" si="56"/>
        <v>47.495670634583327</v>
      </c>
      <c r="BA87" s="92">
        <v>42.63</v>
      </c>
      <c r="BB87" s="71">
        <f t="shared" si="57"/>
        <v>57.37</v>
      </c>
      <c r="BC87" s="86">
        <v>44.3</v>
      </c>
      <c r="BD87" s="86">
        <v>49.64</v>
      </c>
      <c r="BE87" s="86">
        <v>43.61</v>
      </c>
      <c r="BF87" s="71">
        <f t="shared" si="58"/>
        <v>46.16</v>
      </c>
      <c r="BG87" s="63"/>
      <c r="BH87" s="85">
        <v>50.69</v>
      </c>
      <c r="BI87" s="85">
        <v>2.87</v>
      </c>
      <c r="BJ87" s="88">
        <v>156</v>
      </c>
      <c r="BK87" s="81">
        <v>100</v>
      </c>
      <c r="BL87" s="70">
        <f t="shared" si="59"/>
        <v>93.290123456790127</v>
      </c>
      <c r="BM87" s="90">
        <v>0.71344379392966151</v>
      </c>
      <c r="BN87" s="85">
        <v>64.599999999999994</v>
      </c>
      <c r="BO87" s="85">
        <v>47.55261900239276</v>
      </c>
      <c r="BP87" s="70">
        <f t="shared" si="60"/>
        <v>63.710344447081262</v>
      </c>
      <c r="BQ87" s="90">
        <v>0.57436862362209185</v>
      </c>
      <c r="BR87" s="90">
        <v>0.61092888909214671</v>
      </c>
      <c r="BS87" s="85">
        <v>62.125522199999999</v>
      </c>
      <c r="BT87" s="86">
        <v>56.555940199999995</v>
      </c>
      <c r="BU87" s="85">
        <v>83.62933919999999</v>
      </c>
      <c r="BV87" s="86">
        <v>56.537726199999994</v>
      </c>
      <c r="BW87" s="71">
        <f t="shared" si="61"/>
        <v>60.497167363470822</v>
      </c>
      <c r="BX87" s="92">
        <v>67.150000000000006</v>
      </c>
      <c r="BY87" s="158">
        <f t="shared" si="62"/>
        <v>67.150000000000006</v>
      </c>
      <c r="BZ87" s="54"/>
    </row>
    <row r="88" spans="1:81" s="5" customFormat="1" ht="15" customHeight="1" x14ac:dyDescent="0.25">
      <c r="A88" s="2">
        <v>82</v>
      </c>
      <c r="B88" s="14" t="s">
        <v>23</v>
      </c>
      <c r="C88" s="15" t="s">
        <v>24</v>
      </c>
      <c r="D88" s="162" t="s">
        <v>95</v>
      </c>
      <c r="E88" s="209">
        <f t="shared" si="43"/>
        <v>56.998666992816325</v>
      </c>
      <c r="F88" s="71">
        <f t="shared" si="44"/>
        <v>45.933554948194313</v>
      </c>
      <c r="G88" s="71">
        <f t="shared" si="45"/>
        <v>48.848899166485261</v>
      </c>
      <c r="H88" s="71">
        <f t="shared" si="46"/>
        <v>64.523239027480145</v>
      </c>
      <c r="I88" s="71">
        <f t="shared" si="47"/>
        <v>68.688974829105589</v>
      </c>
      <c r="J88" s="63"/>
      <c r="K88" s="85">
        <v>4.5101494307001166</v>
      </c>
      <c r="L88" s="208">
        <v>1.64</v>
      </c>
      <c r="M88" s="82">
        <f t="shared" si="63"/>
        <v>100</v>
      </c>
      <c r="N88" s="71">
        <f t="shared" si="48"/>
        <v>91.723052392778428</v>
      </c>
      <c r="O88" s="99">
        <v>21.266096729436789</v>
      </c>
      <c r="P88" s="87">
        <v>71.599999999999994</v>
      </c>
      <c r="Q88" s="70">
        <f t="shared" si="49"/>
        <v>46.658942627464889</v>
      </c>
      <c r="R88" s="168">
        <v>0</v>
      </c>
      <c r="S88" s="99">
        <v>-9.2321001296087599E-2</v>
      </c>
      <c r="T88" s="99">
        <v>0.42</v>
      </c>
      <c r="U88" s="90">
        <v>4.4569999999999999</v>
      </c>
      <c r="V88" s="70">
        <f t="shared" si="50"/>
        <v>29.821330551955313</v>
      </c>
      <c r="W88" s="85">
        <v>6.3</v>
      </c>
      <c r="X88" s="87">
        <v>48</v>
      </c>
      <c r="Y88" s="98">
        <v>20.334631167092667</v>
      </c>
      <c r="Z88" s="218">
        <v>6.85</v>
      </c>
      <c r="AA88" s="71">
        <f t="shared" si="51"/>
        <v>59.406972155276343</v>
      </c>
      <c r="AB88" s="63"/>
      <c r="AC88" s="99">
        <v>20.515334279935164</v>
      </c>
      <c r="AD88" s="98">
        <v>65.604741546790592</v>
      </c>
      <c r="AE88" s="91">
        <v>60</v>
      </c>
      <c r="AF88" s="122">
        <v>3</v>
      </c>
      <c r="AG88" s="88">
        <v>0</v>
      </c>
      <c r="AH88" s="70">
        <f t="shared" si="52"/>
        <v>50.50844900852443</v>
      </c>
      <c r="AI88" s="99">
        <v>1.01650301241146</v>
      </c>
      <c r="AJ88" s="99">
        <v>3.1747470778843625</v>
      </c>
      <c r="AK88" s="127">
        <v>77.573586017247806</v>
      </c>
      <c r="AL88" s="92">
        <v>5.1278604828052554</v>
      </c>
      <c r="AM88" s="85">
        <v>24.7171286796952</v>
      </c>
      <c r="AN88" s="70">
        <f t="shared" si="53"/>
        <v>47.189349324446084</v>
      </c>
      <c r="AO88" s="63"/>
      <c r="AP88" s="89">
        <v>93.438761998647053</v>
      </c>
      <c r="AQ88" s="89">
        <v>67.98318315975915</v>
      </c>
      <c r="AR88" s="89">
        <v>18.760000000000002</v>
      </c>
      <c r="AS88" s="158">
        <f t="shared" si="54"/>
        <v>77.661282079541337</v>
      </c>
      <c r="AT88" s="89">
        <v>75.5184</v>
      </c>
      <c r="AU88" s="89">
        <v>69.73969971371838</v>
      </c>
      <c r="AV88" s="89">
        <v>50.303105713778805</v>
      </c>
      <c r="AW88" s="93">
        <v>6.4</v>
      </c>
      <c r="AX88" s="71">
        <f t="shared" si="55"/>
        <v>71.509729532220632</v>
      </c>
      <c r="AY88" s="86">
        <v>54.878852685270388</v>
      </c>
      <c r="AZ88" s="71">
        <f t="shared" si="56"/>
        <v>54.878852685270388</v>
      </c>
      <c r="BA88" s="86">
        <v>43.82</v>
      </c>
      <c r="BB88" s="71">
        <f t="shared" si="57"/>
        <v>56.18</v>
      </c>
      <c r="BC88" s="86">
        <v>27.08</v>
      </c>
      <c r="BD88" s="86">
        <v>41.55</v>
      </c>
      <c r="BE88" s="86">
        <v>33.68</v>
      </c>
      <c r="BF88" s="71">
        <f t="shared" si="58"/>
        <v>35.507999999999996</v>
      </c>
      <c r="BG88" s="63"/>
      <c r="BH88" s="85">
        <v>13.67</v>
      </c>
      <c r="BI88" s="85">
        <v>2.72</v>
      </c>
      <c r="BJ88" s="88">
        <v>156</v>
      </c>
      <c r="BK88" s="81">
        <v>100</v>
      </c>
      <c r="BL88" s="70">
        <f t="shared" si="59"/>
        <v>96.406790123456787</v>
      </c>
      <c r="BM88" s="90">
        <v>0.61176221615530113</v>
      </c>
      <c r="BN88" s="85">
        <v>64.599999999999994</v>
      </c>
      <c r="BO88" s="85">
        <v>49.155080156571444</v>
      </c>
      <c r="BP88" s="70">
        <f t="shared" si="60"/>
        <v>59.026880846907915</v>
      </c>
      <c r="BQ88" s="90">
        <v>0.58078899230744774</v>
      </c>
      <c r="BR88" s="90">
        <v>0.56921225658108598</v>
      </c>
      <c r="BS88" s="85">
        <v>57.550532599999997</v>
      </c>
      <c r="BT88" s="86">
        <v>51.732166599999999</v>
      </c>
      <c r="BU88" s="85">
        <v>86.379739999999998</v>
      </c>
      <c r="BV88" s="86">
        <v>55.649539699999998</v>
      </c>
      <c r="BW88" s="71">
        <f t="shared" si="61"/>
        <v>57.612037269054348</v>
      </c>
      <c r="BX88" s="92">
        <v>67.150000000000006</v>
      </c>
      <c r="BY88" s="158">
        <f t="shared" si="62"/>
        <v>67.150000000000006</v>
      </c>
      <c r="BZ88" s="54"/>
    </row>
    <row r="89" spans="1:81" s="13" customFormat="1" ht="15" customHeight="1" x14ac:dyDescent="0.25">
      <c r="A89" s="2">
        <v>83</v>
      </c>
      <c r="B89" s="6" t="s">
        <v>13</v>
      </c>
      <c r="C89" s="7" t="s">
        <v>14</v>
      </c>
      <c r="D89" s="162" t="s">
        <v>46</v>
      </c>
      <c r="E89" s="209">
        <f t="shared" si="43"/>
        <v>56.848070367600805</v>
      </c>
      <c r="F89" s="71">
        <f t="shared" si="44"/>
        <v>55.034957010084817</v>
      </c>
      <c r="G89" s="71">
        <f t="shared" si="45"/>
        <v>50.622422302083521</v>
      </c>
      <c r="H89" s="71">
        <f t="shared" si="46"/>
        <v>64.072378929603062</v>
      </c>
      <c r="I89" s="71">
        <f t="shared" si="47"/>
        <v>57.662523228631798</v>
      </c>
      <c r="J89" s="63"/>
      <c r="K89" s="85">
        <v>3.7382191305201706</v>
      </c>
      <c r="L89" s="208">
        <v>5.5600000000000005</v>
      </c>
      <c r="M89" s="82">
        <f t="shared" si="63"/>
        <v>90.518518518518505</v>
      </c>
      <c r="N89" s="71">
        <f t="shared" si="48"/>
        <v>82.693809984371313</v>
      </c>
      <c r="O89" s="85">
        <v>20.291247121044552</v>
      </c>
      <c r="P89" s="87">
        <v>29.9</v>
      </c>
      <c r="Q89" s="70">
        <f t="shared" si="49"/>
        <v>64.65069284502475</v>
      </c>
      <c r="R89" s="90">
        <v>2.8000000000000001E-2</v>
      </c>
      <c r="S89" s="85">
        <v>0.67544550000000003</v>
      </c>
      <c r="T89" s="85">
        <v>0.51</v>
      </c>
      <c r="U89" s="90">
        <v>3.4569999999999999</v>
      </c>
      <c r="V89" s="70">
        <f t="shared" si="50"/>
        <v>41.789994113756613</v>
      </c>
      <c r="W89" s="85">
        <v>11.037000000000001</v>
      </c>
      <c r="X89" s="87">
        <v>14.1</v>
      </c>
      <c r="Y89" s="87">
        <v>26.33</v>
      </c>
      <c r="Z89" s="214">
        <v>10.1</v>
      </c>
      <c r="AA89" s="71">
        <f t="shared" si="51"/>
        <v>64.691900112062683</v>
      </c>
      <c r="AB89" s="63"/>
      <c r="AC89" s="85">
        <v>24.365123971606963</v>
      </c>
      <c r="AD89" s="87">
        <v>46.9</v>
      </c>
      <c r="AE89" s="88">
        <v>65</v>
      </c>
      <c r="AF89" s="85">
        <v>3.76</v>
      </c>
      <c r="AG89" s="88">
        <v>27</v>
      </c>
      <c r="AH89" s="70">
        <f t="shared" si="52"/>
        <v>55.095980083635403</v>
      </c>
      <c r="AI89" s="85">
        <v>0.72</v>
      </c>
      <c r="AJ89" s="85">
        <v>3.41</v>
      </c>
      <c r="AK89" s="87">
        <v>93.9</v>
      </c>
      <c r="AL89" s="86">
        <v>3.8542275642440265</v>
      </c>
      <c r="AM89" s="85">
        <v>33.608635838309397</v>
      </c>
      <c r="AN89" s="70">
        <f t="shared" si="53"/>
        <v>46.148864520531653</v>
      </c>
      <c r="AO89" s="63"/>
      <c r="AP89" s="89">
        <v>97.066953450022169</v>
      </c>
      <c r="AQ89" s="89">
        <v>56.850824240857904</v>
      </c>
      <c r="AR89" s="89">
        <v>8.23</v>
      </c>
      <c r="AS89" s="158">
        <f t="shared" si="54"/>
        <v>75.634650482934489</v>
      </c>
      <c r="AT89" s="89">
        <v>78.237099999999998</v>
      </c>
      <c r="AU89" s="89">
        <v>62.534215716764827</v>
      </c>
      <c r="AV89" s="89">
        <v>55.125429108331318</v>
      </c>
      <c r="AW89" s="100">
        <v>2.5</v>
      </c>
      <c r="AX89" s="71">
        <f t="shared" si="55"/>
        <v>74.596656332061031</v>
      </c>
      <c r="AY89" s="86">
        <v>47.827946370592315</v>
      </c>
      <c r="AZ89" s="71">
        <f t="shared" si="56"/>
        <v>47.827946370592315</v>
      </c>
      <c r="BA89" s="86">
        <v>30.31</v>
      </c>
      <c r="BB89" s="71">
        <f t="shared" si="57"/>
        <v>69.69</v>
      </c>
      <c r="BC89" s="86">
        <v>47.89</v>
      </c>
      <c r="BD89" s="86">
        <v>24.61</v>
      </c>
      <c r="BE89" s="86">
        <v>41.78</v>
      </c>
      <c r="BF89" s="71">
        <f t="shared" si="58"/>
        <v>36.134</v>
      </c>
      <c r="BG89" s="63"/>
      <c r="BH89" s="85">
        <v>0.98</v>
      </c>
      <c r="BI89" s="85">
        <v>5.92</v>
      </c>
      <c r="BJ89" s="88">
        <v>89</v>
      </c>
      <c r="BK89" s="81">
        <v>93.939393939393938</v>
      </c>
      <c r="BL89" s="70">
        <f t="shared" si="59"/>
        <v>70.746942543716742</v>
      </c>
      <c r="BM89" s="90">
        <v>0.61707799908773142</v>
      </c>
      <c r="BN89" s="85">
        <v>54.29</v>
      </c>
      <c r="BO89" s="85">
        <v>56.66138802490169</v>
      </c>
      <c r="BP89" s="70">
        <f t="shared" si="60"/>
        <v>58.591746960611992</v>
      </c>
      <c r="BQ89" s="90">
        <v>0.46856296706252049</v>
      </c>
      <c r="BR89" s="90">
        <v>0.46543728622294012</v>
      </c>
      <c r="BS89" s="85">
        <v>37.473588100000001</v>
      </c>
      <c r="BT89" s="86">
        <v>38.987375700000001</v>
      </c>
      <c r="BU89" s="85">
        <v>57.335462700000001</v>
      </c>
      <c r="BV89" s="86">
        <v>49.345177700000001</v>
      </c>
      <c r="BW89" s="71">
        <f t="shared" si="61"/>
        <v>43.849324298625746</v>
      </c>
      <c r="BX89" s="86">
        <v>70.510000000000005</v>
      </c>
      <c r="BY89" s="158">
        <f t="shared" si="62"/>
        <v>70.510000000000005</v>
      </c>
      <c r="BZ89" s="54"/>
    </row>
    <row r="90" spans="1:81" s="13" customFormat="1" ht="15" customHeight="1" x14ac:dyDescent="0.25">
      <c r="A90" s="2">
        <v>84</v>
      </c>
      <c r="B90" s="17" t="s">
        <v>29</v>
      </c>
      <c r="C90" s="24" t="s">
        <v>85</v>
      </c>
      <c r="D90" s="162" t="s">
        <v>86</v>
      </c>
      <c r="E90" s="209">
        <f t="shared" si="43"/>
        <v>56.508138764648983</v>
      </c>
      <c r="F90" s="71">
        <f t="shared" si="44"/>
        <v>47.560459171442382</v>
      </c>
      <c r="G90" s="71">
        <f t="shared" si="45"/>
        <v>55.221247034909851</v>
      </c>
      <c r="H90" s="71">
        <f t="shared" si="46"/>
        <v>52.40862733782231</v>
      </c>
      <c r="I90" s="71">
        <f t="shared" si="47"/>
        <v>70.842221514421411</v>
      </c>
      <c r="J90" s="63"/>
      <c r="K90" s="86">
        <v>7.8411690361252839</v>
      </c>
      <c r="L90" s="207">
        <v>2.62</v>
      </c>
      <c r="M90" s="82">
        <f t="shared" si="63"/>
        <v>100</v>
      </c>
      <c r="N90" s="71">
        <f t="shared" si="48"/>
        <v>100</v>
      </c>
      <c r="O90" s="86">
        <v>13.055758283258424</v>
      </c>
      <c r="P90" s="100">
        <v>78.7</v>
      </c>
      <c r="Q90" s="70">
        <f t="shared" si="49"/>
        <v>38.942087935143569</v>
      </c>
      <c r="R90" s="167">
        <v>6.0000000000000001E-3</v>
      </c>
      <c r="S90" s="92">
        <v>5.8022137917475902E-2</v>
      </c>
      <c r="T90" s="86">
        <v>0.43</v>
      </c>
      <c r="U90" s="167">
        <v>4.1959999999999997</v>
      </c>
      <c r="V90" s="70">
        <f t="shared" si="50"/>
        <v>32.259585303739023</v>
      </c>
      <c r="W90" s="86">
        <v>5.3470000000000004</v>
      </c>
      <c r="X90" s="100">
        <v>45.7</v>
      </c>
      <c r="Y90" s="100">
        <v>19</v>
      </c>
      <c r="Z90" s="215">
        <v>5</v>
      </c>
      <c r="AA90" s="71">
        <f t="shared" si="51"/>
        <v>62.357413317205349</v>
      </c>
      <c r="AB90" s="63"/>
      <c r="AC90" s="86">
        <v>20.087903970452448</v>
      </c>
      <c r="AD90" s="100">
        <v>59.9</v>
      </c>
      <c r="AE90" s="95">
        <v>55</v>
      </c>
      <c r="AF90" s="85">
        <v>0.25</v>
      </c>
      <c r="AG90" s="88">
        <v>35</v>
      </c>
      <c r="AH90" s="70">
        <f t="shared" si="52"/>
        <v>54.977833416199068</v>
      </c>
      <c r="AI90" s="86">
        <v>1.05</v>
      </c>
      <c r="AJ90" s="92">
        <v>3.3412786520779187</v>
      </c>
      <c r="AK90" s="100">
        <v>87.8</v>
      </c>
      <c r="AL90" s="86">
        <v>5.6699598328758034</v>
      </c>
      <c r="AM90" s="86">
        <v>53.831800962259699</v>
      </c>
      <c r="AN90" s="70">
        <f t="shared" si="53"/>
        <v>55.464660653620626</v>
      </c>
      <c r="AO90" s="63"/>
      <c r="AP90" s="89">
        <v>89.274458972791948</v>
      </c>
      <c r="AQ90" s="89">
        <v>51.028335082584626</v>
      </c>
      <c r="AR90" s="89">
        <v>57.7</v>
      </c>
      <c r="AS90" s="158">
        <f t="shared" si="54"/>
        <v>58.407782284490295</v>
      </c>
      <c r="AT90" s="89">
        <v>67.619</v>
      </c>
      <c r="AU90" s="89">
        <v>52.199252184767161</v>
      </c>
      <c r="AV90" s="89">
        <v>43.501565509978718</v>
      </c>
      <c r="AW90" s="100">
        <v>6.8</v>
      </c>
      <c r="AX90" s="71">
        <f t="shared" si="55"/>
        <v>57.143630472118772</v>
      </c>
      <c r="AY90" s="86">
        <v>44.119644405832645</v>
      </c>
      <c r="AZ90" s="71">
        <f t="shared" si="56"/>
        <v>44.119644405832645</v>
      </c>
      <c r="BA90" s="86">
        <v>30.71</v>
      </c>
      <c r="BB90" s="71">
        <f t="shared" si="57"/>
        <v>69.289999999999992</v>
      </c>
      <c r="BC90" s="86">
        <v>42.26</v>
      </c>
      <c r="BD90" s="86">
        <v>31.83</v>
      </c>
      <c r="BE90" s="86">
        <v>29.84</v>
      </c>
      <c r="BF90" s="71">
        <f t="shared" si="58"/>
        <v>33.119999999999997</v>
      </c>
      <c r="BG90" s="63"/>
      <c r="BH90" s="86">
        <v>2.37</v>
      </c>
      <c r="BI90" s="86">
        <v>4.0199999999999996</v>
      </c>
      <c r="BJ90" s="95">
        <v>156</v>
      </c>
      <c r="BK90" s="82">
        <v>86.36363636363636</v>
      </c>
      <c r="BL90" s="70">
        <f t="shared" si="59"/>
        <v>93.151459034792367</v>
      </c>
      <c r="BM90" s="96">
        <v>0.63765684452298499</v>
      </c>
      <c r="BN90" s="86">
        <v>76.760000000000005</v>
      </c>
      <c r="BO90" s="86">
        <v>57.205886654076728</v>
      </c>
      <c r="BP90" s="70">
        <f t="shared" si="60"/>
        <v>65.374313889668429</v>
      </c>
      <c r="BQ90" s="96">
        <v>0.56347825383232231</v>
      </c>
      <c r="BR90" s="96">
        <v>0.56677152732456393</v>
      </c>
      <c r="BS90" s="86">
        <v>59.244485900000001</v>
      </c>
      <c r="BT90" s="86">
        <v>63.181126499999998</v>
      </c>
      <c r="BU90" s="86">
        <v>77.824862799999991</v>
      </c>
      <c r="BV90" s="86">
        <v>55.889230599999998</v>
      </c>
      <c r="BW90" s="71">
        <f t="shared" si="61"/>
        <v>60.185893110922251</v>
      </c>
      <c r="BX90" s="86">
        <v>68.77</v>
      </c>
      <c r="BY90" s="158">
        <f t="shared" si="62"/>
        <v>68.77</v>
      </c>
      <c r="BZ90" s="54"/>
    </row>
    <row r="91" spans="1:81" s="13" customFormat="1" ht="15" customHeight="1" x14ac:dyDescent="0.25">
      <c r="A91" s="2">
        <v>85</v>
      </c>
      <c r="B91" s="6" t="s">
        <v>13</v>
      </c>
      <c r="C91" s="7" t="s">
        <v>14</v>
      </c>
      <c r="D91" s="162" t="s">
        <v>324</v>
      </c>
      <c r="E91" s="209">
        <f t="shared" si="43"/>
        <v>56.466527881542845</v>
      </c>
      <c r="F91" s="71">
        <f t="shared" si="44"/>
        <v>46.184984213314465</v>
      </c>
      <c r="G91" s="71">
        <f t="shared" si="45"/>
        <v>54.372703824720318</v>
      </c>
      <c r="H91" s="71">
        <f t="shared" si="46"/>
        <v>64.099088135035288</v>
      </c>
      <c r="I91" s="71">
        <f t="shared" si="47"/>
        <v>61.209335353101267</v>
      </c>
      <c r="J91" s="63"/>
      <c r="K91" s="85">
        <v>2.1684480277516904</v>
      </c>
      <c r="L91" s="208">
        <v>11.94</v>
      </c>
      <c r="M91" s="82">
        <f t="shared" si="63"/>
        <v>66.8888888888889</v>
      </c>
      <c r="N91" s="71">
        <f t="shared" si="48"/>
        <v>62.158044598620506</v>
      </c>
      <c r="O91" s="85">
        <v>4.0976958110207882</v>
      </c>
      <c r="P91" s="87">
        <v>36.6</v>
      </c>
      <c r="Q91" s="70">
        <f t="shared" si="49"/>
        <v>52.676497672789317</v>
      </c>
      <c r="R91" s="90">
        <v>1.0999999999999999E-2</v>
      </c>
      <c r="S91" s="85">
        <v>0.21007992</v>
      </c>
      <c r="T91" s="85">
        <v>0.54</v>
      </c>
      <c r="U91" s="90">
        <v>3.851</v>
      </c>
      <c r="V91" s="70">
        <f t="shared" si="50"/>
        <v>38.361862211640208</v>
      </c>
      <c r="W91" s="85">
        <v>1.5049999999999999</v>
      </c>
      <c r="X91" s="87">
        <v>55.4</v>
      </c>
      <c r="Y91" s="87">
        <v>12</v>
      </c>
      <c r="Z91" s="214">
        <v>9.5</v>
      </c>
      <c r="AA91" s="71">
        <f t="shared" si="51"/>
        <v>51.547095986855645</v>
      </c>
      <c r="AB91" s="63"/>
      <c r="AC91" s="85">
        <v>22.038203915160459</v>
      </c>
      <c r="AD91" s="87">
        <v>40.4</v>
      </c>
      <c r="AE91" s="88">
        <v>55</v>
      </c>
      <c r="AF91" s="85">
        <v>6.5</v>
      </c>
      <c r="AG91" s="88">
        <v>33</v>
      </c>
      <c r="AH91" s="70">
        <f t="shared" si="52"/>
        <v>51.092135943440304</v>
      </c>
      <c r="AI91" s="85">
        <v>0.97</v>
      </c>
      <c r="AJ91" s="85">
        <v>3.13</v>
      </c>
      <c r="AK91" s="87">
        <v>87.9</v>
      </c>
      <c r="AL91" s="86">
        <v>6.0670435157988409</v>
      </c>
      <c r="AM91" s="85">
        <v>65.253759920025203</v>
      </c>
      <c r="AN91" s="70">
        <f t="shared" si="53"/>
        <v>57.653271706000339</v>
      </c>
      <c r="AO91" s="63"/>
      <c r="AP91" s="89">
        <v>91.227135039713431</v>
      </c>
      <c r="AQ91" s="89">
        <v>63.230765317615123</v>
      </c>
      <c r="AR91" s="89">
        <v>16.96</v>
      </c>
      <c r="AS91" s="158">
        <f t="shared" si="54"/>
        <v>75.182166418735918</v>
      </c>
      <c r="AT91" s="89">
        <v>71.467200000000005</v>
      </c>
      <c r="AU91" s="89">
        <v>74.485441612718049</v>
      </c>
      <c r="AV91" s="89">
        <v>49.977795333409219</v>
      </c>
      <c r="AW91" s="100">
        <v>2.5</v>
      </c>
      <c r="AX91" s="71">
        <f t="shared" si="55"/>
        <v>69.88648582512738</v>
      </c>
      <c r="AY91" s="86">
        <v>54.265105966226855</v>
      </c>
      <c r="AZ91" s="71">
        <f t="shared" si="56"/>
        <v>54.265105966226855</v>
      </c>
      <c r="BA91" s="86">
        <v>26.76</v>
      </c>
      <c r="BB91" s="71">
        <f t="shared" si="57"/>
        <v>73.239999999999995</v>
      </c>
      <c r="BC91" s="86">
        <v>44.31</v>
      </c>
      <c r="BD91" s="86">
        <v>34.619999999999997</v>
      </c>
      <c r="BE91" s="86">
        <v>33.6</v>
      </c>
      <c r="BF91" s="71">
        <f t="shared" si="58"/>
        <v>36.15</v>
      </c>
      <c r="BG91" s="63"/>
      <c r="BH91" s="85">
        <v>2.0099999999999998</v>
      </c>
      <c r="BI91" s="85">
        <v>5.53</v>
      </c>
      <c r="BJ91" s="88">
        <v>101</v>
      </c>
      <c r="BK91" s="81">
        <v>72.727272727272734</v>
      </c>
      <c r="BL91" s="70">
        <f t="shared" si="59"/>
        <v>68.027310741826867</v>
      </c>
      <c r="BM91" s="90">
        <v>0.62185441238812911</v>
      </c>
      <c r="BN91" s="85">
        <v>74.77</v>
      </c>
      <c r="BO91" s="85">
        <v>62.974510073395834</v>
      </c>
      <c r="BP91" s="70">
        <f t="shared" si="60"/>
        <v>65.528848137755418</v>
      </c>
      <c r="BQ91" s="90">
        <v>0.51644634037154613</v>
      </c>
      <c r="BR91" s="90">
        <v>0.455834934607245</v>
      </c>
      <c r="BS91" s="85">
        <v>41.952794799999999</v>
      </c>
      <c r="BT91" s="86">
        <v>56.349995</v>
      </c>
      <c r="BU91" s="85">
        <v>60.0013863</v>
      </c>
      <c r="BV91" s="86">
        <v>54.1256767</v>
      </c>
      <c r="BW91" s="71">
        <f t="shared" si="61"/>
        <v>50.636723503765516</v>
      </c>
      <c r="BX91" s="86">
        <v>68.209999999999994</v>
      </c>
      <c r="BY91" s="158">
        <f t="shared" si="62"/>
        <v>68.209999999999994</v>
      </c>
      <c r="BZ91" s="54"/>
    </row>
    <row r="92" spans="1:81" s="5" customFormat="1" ht="15" customHeight="1" x14ac:dyDescent="0.25">
      <c r="A92" s="2">
        <v>86</v>
      </c>
      <c r="B92" s="14" t="s">
        <v>23</v>
      </c>
      <c r="C92" s="15" t="s">
        <v>24</v>
      </c>
      <c r="D92" s="162" t="s">
        <v>75</v>
      </c>
      <c r="E92" s="209">
        <f t="shared" si="43"/>
        <v>56.383567004409613</v>
      </c>
      <c r="F92" s="71">
        <f t="shared" si="44"/>
        <v>44.636350840116251</v>
      </c>
      <c r="G92" s="71">
        <f t="shared" si="45"/>
        <v>51.368489305365472</v>
      </c>
      <c r="H92" s="71">
        <f t="shared" si="46"/>
        <v>60.879153324126136</v>
      </c>
      <c r="I92" s="71">
        <f t="shared" si="47"/>
        <v>68.650274548030609</v>
      </c>
      <c r="J92" s="63"/>
      <c r="K92" s="85">
        <v>5.2631807326889879</v>
      </c>
      <c r="L92" s="208">
        <v>3.7800000000000002</v>
      </c>
      <c r="M92" s="82">
        <f t="shared" si="63"/>
        <v>97.1111111111111</v>
      </c>
      <c r="N92" s="71">
        <f t="shared" si="48"/>
        <v>94.462115181605469</v>
      </c>
      <c r="O92" s="99">
        <v>21.266096729436789</v>
      </c>
      <c r="P92" s="87">
        <v>102.6</v>
      </c>
      <c r="Q92" s="70">
        <f t="shared" si="49"/>
        <v>32.88116484968711</v>
      </c>
      <c r="R92" s="168">
        <v>0</v>
      </c>
      <c r="S92" s="99">
        <v>0.52427827742670496</v>
      </c>
      <c r="T92" s="99">
        <v>0.42</v>
      </c>
      <c r="U92" s="90">
        <v>4.1689999999999996</v>
      </c>
      <c r="V92" s="70">
        <f t="shared" si="50"/>
        <v>32.905534897613862</v>
      </c>
      <c r="W92" s="187">
        <v>13.04</v>
      </c>
      <c r="X92" s="98">
        <v>55.3</v>
      </c>
      <c r="Y92" s="98">
        <v>19.007116155772874</v>
      </c>
      <c r="Z92" s="218">
        <v>6.85</v>
      </c>
      <c r="AA92" s="71">
        <f t="shared" si="51"/>
        <v>55.220788582782802</v>
      </c>
      <c r="AB92" s="63"/>
      <c r="AC92" s="99">
        <v>20.515334279935164</v>
      </c>
      <c r="AD92" s="87">
        <v>65.8</v>
      </c>
      <c r="AE92" s="88">
        <v>60</v>
      </c>
      <c r="AF92" s="122">
        <v>3</v>
      </c>
      <c r="AG92" s="91">
        <v>32.95262880702122</v>
      </c>
      <c r="AH92" s="70">
        <f t="shared" si="52"/>
        <v>56.033096885229533</v>
      </c>
      <c r="AI92" s="99">
        <v>1.01717713087246</v>
      </c>
      <c r="AJ92" s="99">
        <v>3.0876673118260398</v>
      </c>
      <c r="AK92" s="87">
        <v>76.099999999999994</v>
      </c>
      <c r="AL92" s="92">
        <v>5.2212635288888114</v>
      </c>
      <c r="AM92" s="85">
        <v>22.841622843675498</v>
      </c>
      <c r="AN92" s="70">
        <f t="shared" si="53"/>
        <v>46.703881725501411</v>
      </c>
      <c r="AO92" s="63"/>
      <c r="AP92" s="89">
        <v>92.876996509115983</v>
      </c>
      <c r="AQ92" s="89">
        <v>62.739405128824203</v>
      </c>
      <c r="AR92" s="97">
        <v>20.555</v>
      </c>
      <c r="AS92" s="158">
        <f t="shared" si="54"/>
        <v>74.450201691691092</v>
      </c>
      <c r="AT92" s="89">
        <v>71.4512</v>
      </c>
      <c r="AU92" s="89">
        <v>69.83088880152539</v>
      </c>
      <c r="AV92" s="89">
        <v>51.397153280122247</v>
      </c>
      <c r="AW92" s="100">
        <v>3.6</v>
      </c>
      <c r="AX92" s="71">
        <f t="shared" si="55"/>
        <v>68.47755165481054</v>
      </c>
      <c r="AY92" s="86">
        <v>44.099039288078693</v>
      </c>
      <c r="AZ92" s="71">
        <f t="shared" si="56"/>
        <v>44.099039288078693</v>
      </c>
      <c r="BA92" s="92">
        <v>42.63</v>
      </c>
      <c r="BB92" s="71">
        <f t="shared" si="57"/>
        <v>57.37</v>
      </c>
      <c r="BC92" s="86">
        <v>48.65</v>
      </c>
      <c r="BD92" s="86">
        <v>44.87</v>
      </c>
      <c r="BE92" s="86">
        <v>40.96</v>
      </c>
      <c r="BF92" s="71">
        <f t="shared" si="58"/>
        <v>44.061999999999998</v>
      </c>
      <c r="BG92" s="63"/>
      <c r="BH92" s="85">
        <v>18.13</v>
      </c>
      <c r="BI92" s="85">
        <v>2.3199999999999998</v>
      </c>
      <c r="BJ92" s="88">
        <v>156</v>
      </c>
      <c r="BK92" s="81">
        <v>100</v>
      </c>
      <c r="BL92" s="70">
        <f t="shared" si="59"/>
        <v>95.827777777777783</v>
      </c>
      <c r="BM92" s="90">
        <v>0.65387688875769001</v>
      </c>
      <c r="BN92" s="85">
        <v>64.599999999999994</v>
      </c>
      <c r="BO92" s="85">
        <v>42.487599838510839</v>
      </c>
      <c r="BP92" s="70">
        <f t="shared" si="60"/>
        <v>59.465744397512211</v>
      </c>
      <c r="BQ92" s="90">
        <v>0.52365227999834307</v>
      </c>
      <c r="BR92" s="90">
        <v>0.55627233333431914</v>
      </c>
      <c r="BS92" s="85">
        <v>58.642881199999998</v>
      </c>
      <c r="BT92" s="86">
        <v>54.238457999999994</v>
      </c>
      <c r="BU92" s="85">
        <v>86.975894699999998</v>
      </c>
      <c r="BV92" s="86">
        <v>55.806310799999999</v>
      </c>
      <c r="BW92" s="71">
        <f t="shared" si="61"/>
        <v>57.538876526664289</v>
      </c>
      <c r="BX92" s="92">
        <v>67.150000000000006</v>
      </c>
      <c r="BY92" s="158">
        <f t="shared" si="62"/>
        <v>67.150000000000006</v>
      </c>
      <c r="BZ92" s="54"/>
    </row>
    <row r="93" spans="1:81" s="5" customFormat="1" ht="15" customHeight="1" x14ac:dyDescent="0.25">
      <c r="A93" s="2">
        <v>87</v>
      </c>
      <c r="B93" s="3" t="s">
        <v>10</v>
      </c>
      <c r="C93" s="19" t="s">
        <v>35</v>
      </c>
      <c r="D93" s="162" t="s">
        <v>210</v>
      </c>
      <c r="E93" s="209">
        <f t="shared" si="43"/>
        <v>56.243137404601512</v>
      </c>
      <c r="F93" s="71">
        <f t="shared" si="44"/>
        <v>59.593251297397295</v>
      </c>
      <c r="G93" s="71">
        <f t="shared" si="45"/>
        <v>55.323654613423386</v>
      </c>
      <c r="H93" s="71">
        <f t="shared" si="46"/>
        <v>70.011917893234681</v>
      </c>
      <c r="I93" s="71">
        <f t="shared" si="47"/>
        <v>40.043725814350694</v>
      </c>
      <c r="J93" s="63"/>
      <c r="K93" s="85">
        <v>3.8207990318745999</v>
      </c>
      <c r="L93" s="208">
        <v>47.84</v>
      </c>
      <c r="M93" s="82">
        <f t="shared" si="63"/>
        <v>0</v>
      </c>
      <c r="N93" s="71">
        <f t="shared" si="48"/>
        <v>37.89332795485889</v>
      </c>
      <c r="O93" s="85">
        <v>29.914320623024111</v>
      </c>
      <c r="P93" s="87">
        <v>23.5</v>
      </c>
      <c r="Q93" s="70">
        <f t="shared" si="49"/>
        <v>72.841289235013406</v>
      </c>
      <c r="R93" s="90">
        <v>0.122</v>
      </c>
      <c r="S93" s="85">
        <v>0.70451224000000001</v>
      </c>
      <c r="T93" s="85">
        <v>0.7</v>
      </c>
      <c r="U93" s="90">
        <v>2.214</v>
      </c>
      <c r="V93" s="70">
        <f t="shared" si="50"/>
        <v>61.086078973544971</v>
      </c>
      <c r="W93" s="85">
        <v>8.52</v>
      </c>
      <c r="X93" s="87">
        <v>26.6</v>
      </c>
      <c r="Y93" s="87">
        <v>40.909999999999997</v>
      </c>
      <c r="Z93" s="214">
        <v>15.6</v>
      </c>
      <c r="AA93" s="71">
        <f t="shared" si="51"/>
        <v>57.338742519547623</v>
      </c>
      <c r="AB93" s="63"/>
      <c r="AC93" s="85">
        <v>30.591356070049798</v>
      </c>
      <c r="AD93" s="87">
        <v>36.4</v>
      </c>
      <c r="AE93" s="88">
        <v>70</v>
      </c>
      <c r="AF93" s="85">
        <v>37</v>
      </c>
      <c r="AG93" s="88">
        <v>40</v>
      </c>
      <c r="AH93" s="70">
        <f t="shared" si="52"/>
        <v>51.973724559520377</v>
      </c>
      <c r="AI93" s="85">
        <v>0.93</v>
      </c>
      <c r="AJ93" s="85">
        <v>3.94</v>
      </c>
      <c r="AK93" s="87">
        <v>72</v>
      </c>
      <c r="AL93" s="86">
        <v>4.0458254001979217</v>
      </c>
      <c r="AM93" s="85">
        <v>100</v>
      </c>
      <c r="AN93" s="70">
        <f t="shared" si="53"/>
        <v>58.673584667326402</v>
      </c>
      <c r="AO93" s="63"/>
      <c r="AP93" s="89">
        <v>96.916192619364622</v>
      </c>
      <c r="AQ93" s="89">
        <v>71.061923962345901</v>
      </c>
      <c r="AR93" s="89">
        <v>3.66</v>
      </c>
      <c r="AS93" s="158">
        <f t="shared" si="54"/>
        <v>83.84501013601411</v>
      </c>
      <c r="AT93" s="89">
        <v>77.823899999999995</v>
      </c>
      <c r="AU93" s="89">
        <v>74.24369046470305</v>
      </c>
      <c r="AV93" s="89">
        <v>48.061169885335566</v>
      </c>
      <c r="AW93" s="100">
        <v>2.5</v>
      </c>
      <c r="AX93" s="71">
        <f t="shared" si="55"/>
        <v>76.076439976018975</v>
      </c>
      <c r="AY93" s="86">
        <v>63.963645470498058</v>
      </c>
      <c r="AZ93" s="71">
        <f t="shared" si="56"/>
        <v>63.963645470498058</v>
      </c>
      <c r="BA93" s="86">
        <v>43.68</v>
      </c>
      <c r="BB93" s="71">
        <f t="shared" si="57"/>
        <v>56.32</v>
      </c>
      <c r="BC93" s="86">
        <v>29.71</v>
      </c>
      <c r="BD93" s="86">
        <v>48.9</v>
      </c>
      <c r="BE93" s="86">
        <v>26.67</v>
      </c>
      <c r="BF93" s="71">
        <f t="shared" si="58"/>
        <v>36.17</v>
      </c>
      <c r="BG93" s="63"/>
      <c r="BH93" s="85">
        <v>2.41</v>
      </c>
      <c r="BI93" s="85">
        <v>7.2</v>
      </c>
      <c r="BJ93" s="88">
        <v>61</v>
      </c>
      <c r="BK93" s="81">
        <v>30.303030303030308</v>
      </c>
      <c r="BL93" s="70">
        <f t="shared" si="59"/>
        <v>38.444040766083781</v>
      </c>
      <c r="BM93" s="90">
        <v>0.28708171777388514</v>
      </c>
      <c r="BN93" s="85">
        <v>27.94</v>
      </c>
      <c r="BO93" s="85">
        <v>42.59782415234293</v>
      </c>
      <c r="BP93" s="70">
        <f t="shared" si="60"/>
        <v>31.988541926779988</v>
      </c>
      <c r="BQ93" s="90">
        <v>0.28126498572081998</v>
      </c>
      <c r="BR93" s="90">
        <v>0.36741308263313344</v>
      </c>
      <c r="BS93" s="85">
        <v>36.454485499999997</v>
      </c>
      <c r="BT93" s="86">
        <v>49.965488799999996</v>
      </c>
      <c r="BU93" s="85">
        <v>49.3131044</v>
      </c>
      <c r="BV93" s="86">
        <v>51.531274799999998</v>
      </c>
      <c r="BW93" s="71">
        <f t="shared" si="61"/>
        <v>41.8718658422736</v>
      </c>
      <c r="BX93" s="86">
        <v>61.81</v>
      </c>
      <c r="BY93" s="158">
        <f t="shared" si="62"/>
        <v>61.81</v>
      </c>
      <c r="BZ93" s="54"/>
    </row>
    <row r="94" spans="1:81" s="5" customFormat="1" ht="15" customHeight="1" x14ac:dyDescent="0.25">
      <c r="A94" s="2">
        <v>88</v>
      </c>
      <c r="B94" s="8" t="s">
        <v>16</v>
      </c>
      <c r="C94" s="21" t="s">
        <v>42</v>
      </c>
      <c r="D94" s="162" t="s">
        <v>54</v>
      </c>
      <c r="E94" s="209">
        <f t="shared" si="43"/>
        <v>56.016938397023431</v>
      </c>
      <c r="F94" s="71">
        <f t="shared" si="44"/>
        <v>41.247186814609393</v>
      </c>
      <c r="G94" s="71">
        <f t="shared" si="45"/>
        <v>58.134703365348216</v>
      </c>
      <c r="H94" s="71">
        <f t="shared" si="46"/>
        <v>52.988561397403871</v>
      </c>
      <c r="I94" s="71">
        <f t="shared" si="47"/>
        <v>71.69730201073223</v>
      </c>
      <c r="J94" s="63"/>
      <c r="K94" s="86">
        <v>7.844245790758575</v>
      </c>
      <c r="L94" s="207">
        <v>3.38</v>
      </c>
      <c r="M94" s="82">
        <f t="shared" si="63"/>
        <v>98.592592592592595</v>
      </c>
      <c r="N94" s="71">
        <f t="shared" si="48"/>
        <v>99.296296296296305</v>
      </c>
      <c r="O94" s="86">
        <v>21.134258479907587</v>
      </c>
      <c r="P94" s="100">
        <v>101</v>
      </c>
      <c r="Q94" s="70">
        <f t="shared" si="49"/>
        <v>33.519032488837546</v>
      </c>
      <c r="R94" s="167">
        <v>3.0000000000000001E-3</v>
      </c>
      <c r="S94" s="92">
        <v>-0.93672675751441892</v>
      </c>
      <c r="T94" s="86">
        <v>0.3</v>
      </c>
      <c r="U94" s="167">
        <v>4.306</v>
      </c>
      <c r="V94" s="70">
        <f t="shared" si="50"/>
        <v>24.417028848174237</v>
      </c>
      <c r="W94" s="86">
        <v>11.939</v>
      </c>
      <c r="X94" s="100">
        <v>60.6</v>
      </c>
      <c r="Y94" s="100">
        <v>11.35</v>
      </c>
      <c r="Z94" s="215">
        <v>2.7</v>
      </c>
      <c r="AA94" s="71">
        <f t="shared" si="51"/>
        <v>56.324751550268068</v>
      </c>
      <c r="AB94" s="63"/>
      <c r="AC94" s="92">
        <v>19.740450209227539</v>
      </c>
      <c r="AD94" s="100">
        <v>72.7</v>
      </c>
      <c r="AE94" s="95">
        <v>60</v>
      </c>
      <c r="AF94" s="85">
        <v>2.5</v>
      </c>
      <c r="AG94" s="88">
        <v>32</v>
      </c>
      <c r="AH94" s="70">
        <f t="shared" si="52"/>
        <v>56.635941165126063</v>
      </c>
      <c r="AI94" s="86">
        <v>1.34</v>
      </c>
      <c r="AJ94" s="86">
        <v>4</v>
      </c>
      <c r="AK94" s="100">
        <v>84.4</v>
      </c>
      <c r="AL94" s="86">
        <v>6.115406782668714</v>
      </c>
      <c r="AM94" s="86">
        <v>51.5426577400479</v>
      </c>
      <c r="AN94" s="70">
        <f t="shared" si="53"/>
        <v>59.633465565570361</v>
      </c>
      <c r="AO94" s="63"/>
      <c r="AP94" s="89">
        <v>85.073494134145335</v>
      </c>
      <c r="AQ94" s="89">
        <v>55.558480651725453</v>
      </c>
      <c r="AR94" s="89">
        <v>54.46</v>
      </c>
      <c r="AS94" s="158">
        <f t="shared" si="54"/>
        <v>60.432613859399062</v>
      </c>
      <c r="AT94" s="89">
        <v>76.397099999999995</v>
      </c>
      <c r="AU94" s="89">
        <v>61.071328177290596</v>
      </c>
      <c r="AV94" s="89">
        <v>48.24272826832452</v>
      </c>
      <c r="AW94" s="100">
        <v>13.5</v>
      </c>
      <c r="AX94" s="71">
        <f t="shared" si="55"/>
        <v>67.225074729172874</v>
      </c>
      <c r="AY94" s="86">
        <v>33.299327109374381</v>
      </c>
      <c r="AZ94" s="71">
        <f t="shared" si="56"/>
        <v>33.299327109374381</v>
      </c>
      <c r="BA94" s="86">
        <v>42.38</v>
      </c>
      <c r="BB94" s="71">
        <f t="shared" si="57"/>
        <v>57.62</v>
      </c>
      <c r="BC94" s="86">
        <v>39.53</v>
      </c>
      <c r="BD94" s="86">
        <v>31.01</v>
      </c>
      <c r="BE94" s="86">
        <v>27.87</v>
      </c>
      <c r="BF94" s="71">
        <f t="shared" si="58"/>
        <v>31.458000000000006</v>
      </c>
      <c r="BG94" s="63"/>
      <c r="BH94" s="86">
        <v>6.99</v>
      </c>
      <c r="BI94" s="86">
        <v>4.08</v>
      </c>
      <c r="BJ94" s="95">
        <v>156</v>
      </c>
      <c r="BK94" s="82">
        <v>100</v>
      </c>
      <c r="BL94" s="70">
        <f t="shared" si="59"/>
        <v>96.804320987654307</v>
      </c>
      <c r="BM94" s="96">
        <v>0.66432742392440336</v>
      </c>
      <c r="BN94" s="86">
        <v>71.98</v>
      </c>
      <c r="BO94" s="86">
        <v>59.911271502378078</v>
      </c>
      <c r="BP94" s="70">
        <f t="shared" si="60"/>
        <v>66.189189071814695</v>
      </c>
      <c r="BQ94" s="96">
        <v>0.68613174688395773</v>
      </c>
      <c r="BR94" s="96">
        <v>0.57195379511653766</v>
      </c>
      <c r="BS94" s="86">
        <v>66.897405300000003</v>
      </c>
      <c r="BT94" s="86">
        <v>59.413542299999996</v>
      </c>
      <c r="BU94" s="86">
        <v>79.040093999999996</v>
      </c>
      <c r="BV94" s="86">
        <v>55.574767399999999</v>
      </c>
      <c r="BW94" s="71">
        <f t="shared" si="61"/>
        <v>62.489900120783524</v>
      </c>
      <c r="BX94" s="92">
        <v>57.68</v>
      </c>
      <c r="BY94" s="158">
        <f t="shared" si="62"/>
        <v>57.68</v>
      </c>
      <c r="BZ94" s="54"/>
    </row>
    <row r="95" spans="1:81" s="5" customFormat="1" ht="15" customHeight="1" x14ac:dyDescent="0.25">
      <c r="A95" s="2">
        <v>89</v>
      </c>
      <c r="B95" s="3" t="s">
        <v>10</v>
      </c>
      <c r="C95" s="22" t="s">
        <v>49</v>
      </c>
      <c r="D95" s="162" t="s">
        <v>147</v>
      </c>
      <c r="E95" s="209">
        <f t="shared" si="43"/>
        <v>55.907918549023272</v>
      </c>
      <c r="F95" s="71">
        <f t="shared" si="44"/>
        <v>44.807757657959698</v>
      </c>
      <c r="G95" s="71">
        <f t="shared" si="45"/>
        <v>54.409855976318305</v>
      </c>
      <c r="H95" s="71">
        <f t="shared" si="46"/>
        <v>60.517265640751305</v>
      </c>
      <c r="I95" s="71">
        <f t="shared" si="47"/>
        <v>63.896794921063773</v>
      </c>
      <c r="J95" s="63"/>
      <c r="K95" s="85">
        <v>4.6956827946357693</v>
      </c>
      <c r="L95" s="208">
        <v>9.5400000000000009</v>
      </c>
      <c r="M95" s="82">
        <f t="shared" si="63"/>
        <v>75.777777777777771</v>
      </c>
      <c r="N95" s="71">
        <f t="shared" si="48"/>
        <v>80.642682192420935</v>
      </c>
      <c r="O95" s="85">
        <v>25.644836509203024</v>
      </c>
      <c r="P95" s="87">
        <v>45.1</v>
      </c>
      <c r="Q95" s="70">
        <f t="shared" si="49"/>
        <v>60.869353616223897</v>
      </c>
      <c r="R95" s="90">
        <v>1.0999999999999999E-2</v>
      </c>
      <c r="S95" s="85">
        <v>-1.5523549999999999</v>
      </c>
      <c r="T95" s="85">
        <v>0.42</v>
      </c>
      <c r="U95" s="90">
        <v>5.3789999999999996</v>
      </c>
      <c r="V95" s="70">
        <f t="shared" si="50"/>
        <v>22.190019179894183</v>
      </c>
      <c r="W95" s="85">
        <v>5.2329999999999997</v>
      </c>
      <c r="X95" s="87">
        <v>37.200000000000003</v>
      </c>
      <c r="Y95" s="87">
        <v>19.010000000000002</v>
      </c>
      <c r="Z95" s="214">
        <v>4</v>
      </c>
      <c r="AA95" s="71">
        <f t="shared" si="51"/>
        <v>66.072307225347743</v>
      </c>
      <c r="AB95" s="63"/>
      <c r="AC95" s="85">
        <v>28.019035674870828</v>
      </c>
      <c r="AD95" s="87">
        <v>49.2</v>
      </c>
      <c r="AE95" s="88">
        <v>50</v>
      </c>
      <c r="AF95" s="85">
        <v>12</v>
      </c>
      <c r="AG95" s="88">
        <v>35</v>
      </c>
      <c r="AH95" s="70">
        <f t="shared" si="52"/>
        <v>54.635767372990813</v>
      </c>
      <c r="AI95" s="85">
        <v>0.49</v>
      </c>
      <c r="AJ95" s="85">
        <v>3.35</v>
      </c>
      <c r="AK95" s="87">
        <v>83.7</v>
      </c>
      <c r="AL95" s="86">
        <v>5.6006272195808453</v>
      </c>
      <c r="AM95" s="85">
        <v>56.366123086257801</v>
      </c>
      <c r="AN95" s="70">
        <f t="shared" si="53"/>
        <v>54.183944579645782</v>
      </c>
      <c r="AO95" s="63"/>
      <c r="AP95" s="89">
        <v>79.490437598233825</v>
      </c>
      <c r="AQ95" s="89">
        <v>53.504548209242472</v>
      </c>
      <c r="AR95" s="89">
        <v>17.260000000000002</v>
      </c>
      <c r="AS95" s="158">
        <f t="shared" si="54"/>
        <v>67.309883504179695</v>
      </c>
      <c r="AT95" s="89">
        <v>72.237700000000004</v>
      </c>
      <c r="AU95" s="89">
        <v>73.271191143307476</v>
      </c>
      <c r="AV95" s="89">
        <v>51.177545220622179</v>
      </c>
      <c r="AW95" s="100">
        <v>2.5</v>
      </c>
      <c r="AX95" s="71">
        <f t="shared" si="55"/>
        <v>70.573982429846339</v>
      </c>
      <c r="AY95" s="86">
        <v>50.386003657040654</v>
      </c>
      <c r="AZ95" s="71">
        <f t="shared" si="56"/>
        <v>50.386003657040654</v>
      </c>
      <c r="BA95" s="86">
        <v>31.42</v>
      </c>
      <c r="BB95" s="71">
        <f t="shared" si="57"/>
        <v>68.58</v>
      </c>
      <c r="BC95" s="86">
        <v>8.6300000000000008</v>
      </c>
      <c r="BD95" s="86">
        <v>17.78</v>
      </c>
      <c r="BE95" s="86">
        <v>51.99</v>
      </c>
      <c r="BF95" s="71">
        <f t="shared" si="58"/>
        <v>29.634000000000004</v>
      </c>
      <c r="BG95" s="63"/>
      <c r="BH95" s="85">
        <v>5.64</v>
      </c>
      <c r="BI95" s="85">
        <v>4.03</v>
      </c>
      <c r="BJ95" s="88">
        <v>156</v>
      </c>
      <c r="BK95" s="81">
        <v>81.818181818181813</v>
      </c>
      <c r="BL95" s="70">
        <f t="shared" si="59"/>
        <v>91.024579124579134</v>
      </c>
      <c r="BM95" s="90">
        <v>0.55430354235437884</v>
      </c>
      <c r="BN95" s="85">
        <v>55.79</v>
      </c>
      <c r="BO95" s="85">
        <v>62.955513009222848</v>
      </c>
      <c r="BP95" s="70">
        <f t="shared" si="60"/>
        <v>57.401555370024653</v>
      </c>
      <c r="BQ95" s="90">
        <v>0.52719298535369641</v>
      </c>
      <c r="BR95" s="90">
        <v>0.51156514389443053</v>
      </c>
      <c r="BS95" s="85">
        <v>38.018293899999996</v>
      </c>
      <c r="BT95" s="86">
        <v>43.772498399999996</v>
      </c>
      <c r="BU95" s="85">
        <v>73.075192299999998</v>
      </c>
      <c r="BV95" s="86">
        <v>53.746971699999996</v>
      </c>
      <c r="BW95" s="71">
        <f t="shared" si="61"/>
        <v>48.574810082604564</v>
      </c>
      <c r="BX95" s="86">
        <v>69.19</v>
      </c>
      <c r="BY95" s="158">
        <f t="shared" si="62"/>
        <v>69.19</v>
      </c>
      <c r="BZ95" s="54"/>
      <c r="CA95" s="20"/>
    </row>
    <row r="96" spans="1:81" s="5" customFormat="1" ht="15" customHeight="1" x14ac:dyDescent="0.25">
      <c r="A96" s="2">
        <v>90</v>
      </c>
      <c r="B96" s="14" t="s">
        <v>23</v>
      </c>
      <c r="C96" s="16" t="s">
        <v>26</v>
      </c>
      <c r="D96" s="162" t="s">
        <v>27</v>
      </c>
      <c r="E96" s="209">
        <f t="shared" si="43"/>
        <v>55.801188513308631</v>
      </c>
      <c r="F96" s="71">
        <f t="shared" si="44"/>
        <v>47.509597083417958</v>
      </c>
      <c r="G96" s="71">
        <f t="shared" si="45"/>
        <v>46.675489494777679</v>
      </c>
      <c r="H96" s="71">
        <f t="shared" si="46"/>
        <v>69.06409452993455</v>
      </c>
      <c r="I96" s="71">
        <f t="shared" si="47"/>
        <v>59.955572945104365</v>
      </c>
      <c r="J96" s="63"/>
      <c r="K96" s="85">
        <v>1.4385350878502789</v>
      </c>
      <c r="L96" s="208">
        <v>103.22</v>
      </c>
      <c r="M96" s="82">
        <f t="shared" si="63"/>
        <v>0</v>
      </c>
      <c r="N96" s="71">
        <f t="shared" si="48"/>
        <v>24.658528265834885</v>
      </c>
      <c r="O96" s="85">
        <v>13.376210057320392</v>
      </c>
      <c r="P96" s="87">
        <v>80.3</v>
      </c>
      <c r="Q96" s="70">
        <f t="shared" si="49"/>
        <v>38.409005587400223</v>
      </c>
      <c r="R96" s="90">
        <v>4.1000000000000002E-2</v>
      </c>
      <c r="S96" s="85">
        <v>-1.3300096000000001E-2</v>
      </c>
      <c r="T96" s="85">
        <v>0.63</v>
      </c>
      <c r="U96" s="90">
        <v>3.1829999999999998</v>
      </c>
      <c r="V96" s="70">
        <f t="shared" si="50"/>
        <v>46.144536770370372</v>
      </c>
      <c r="W96" s="85">
        <v>7.1449999999999996</v>
      </c>
      <c r="X96" s="87">
        <v>52.8</v>
      </c>
      <c r="Y96" s="87">
        <v>33.81</v>
      </c>
      <c r="Z96" s="214">
        <v>4.2</v>
      </c>
      <c r="AA96" s="71">
        <f t="shared" si="51"/>
        <v>64.840500134157026</v>
      </c>
      <c r="AB96" s="63"/>
      <c r="AC96" s="85">
        <v>16.000034749903698</v>
      </c>
      <c r="AD96" s="87">
        <v>41.2</v>
      </c>
      <c r="AE96" s="88">
        <v>70</v>
      </c>
      <c r="AF96" s="85">
        <v>29</v>
      </c>
      <c r="AG96" s="88">
        <v>20</v>
      </c>
      <c r="AH96" s="70">
        <f t="shared" si="52"/>
        <v>41.764125730705032</v>
      </c>
      <c r="AI96" s="85">
        <v>1.21</v>
      </c>
      <c r="AJ96" s="85">
        <v>3.48</v>
      </c>
      <c r="AK96" s="87">
        <v>67.8</v>
      </c>
      <c r="AL96" s="86">
        <v>4.8485533348263052</v>
      </c>
      <c r="AM96" s="85">
        <v>51.525052856575797</v>
      </c>
      <c r="AN96" s="70">
        <f t="shared" si="53"/>
        <v>51.586853258850319</v>
      </c>
      <c r="AO96" s="63"/>
      <c r="AP96" s="89">
        <v>98.632364492911464</v>
      </c>
      <c r="AQ96" s="89">
        <v>73.062428195813169</v>
      </c>
      <c r="AR96" s="89">
        <v>15.18</v>
      </c>
      <c r="AS96" s="158">
        <f t="shared" si="54"/>
        <v>82.394305221134445</v>
      </c>
      <c r="AT96" s="89">
        <v>77.689400000000006</v>
      </c>
      <c r="AU96" s="89">
        <v>73.621438868797014</v>
      </c>
      <c r="AV96" s="89">
        <v>48.92922637113611</v>
      </c>
      <c r="AW96" s="100">
        <v>3.4</v>
      </c>
      <c r="AX96" s="71">
        <f t="shared" si="55"/>
        <v>75.613134875852509</v>
      </c>
      <c r="AY96" s="86">
        <v>56.74728407241026</v>
      </c>
      <c r="AZ96" s="71">
        <f t="shared" si="56"/>
        <v>56.74728407241026</v>
      </c>
      <c r="BA96" s="86">
        <v>42.35</v>
      </c>
      <c r="BB96" s="71">
        <f t="shared" si="57"/>
        <v>57.65</v>
      </c>
      <c r="BC96" s="86">
        <v>42.54</v>
      </c>
      <c r="BD96" s="86">
        <v>64.89</v>
      </c>
      <c r="BE96" s="86">
        <v>37.130000000000003</v>
      </c>
      <c r="BF96" s="71">
        <f t="shared" si="58"/>
        <v>49.315999999999995</v>
      </c>
      <c r="BG96" s="63"/>
      <c r="BH96" s="85">
        <v>3.94</v>
      </c>
      <c r="BI96" s="85">
        <v>5.25</v>
      </c>
      <c r="BJ96" s="88">
        <v>92</v>
      </c>
      <c r="BK96" s="81">
        <v>60.606060606060602</v>
      </c>
      <c r="BL96" s="70">
        <f t="shared" si="59"/>
        <v>60.576532348575356</v>
      </c>
      <c r="BM96" s="90">
        <v>0.68562233122947891</v>
      </c>
      <c r="BN96" s="85">
        <v>52.44</v>
      </c>
      <c r="BO96" s="85">
        <v>75.468564900959535</v>
      </c>
      <c r="BP96" s="70">
        <f t="shared" si="60"/>
        <v>66.258257786713827</v>
      </c>
      <c r="BQ96" s="90">
        <v>0.5442827642562279</v>
      </c>
      <c r="BR96" s="90">
        <v>0.46603321920247315</v>
      </c>
      <c r="BS96" s="85">
        <v>41.261999799999998</v>
      </c>
      <c r="BT96" s="86">
        <v>54.913276400000001</v>
      </c>
      <c r="BU96" s="85">
        <v>62.994859899999994</v>
      </c>
      <c r="BV96" s="86">
        <v>51.156098</v>
      </c>
      <c r="BW96" s="71">
        <f t="shared" si="61"/>
        <v>50.494178634132496</v>
      </c>
      <c r="BX96" s="86">
        <v>72.61</v>
      </c>
      <c r="BY96" s="158">
        <f t="shared" si="62"/>
        <v>72.61</v>
      </c>
      <c r="BZ96" s="54"/>
    </row>
    <row r="97" spans="1:80" s="5" customFormat="1" ht="15" customHeight="1" x14ac:dyDescent="0.25">
      <c r="A97" s="2">
        <v>91</v>
      </c>
      <c r="B97" s="17" t="s">
        <v>29</v>
      </c>
      <c r="C97" s="26" t="s">
        <v>118</v>
      </c>
      <c r="D97" s="162" t="s">
        <v>212</v>
      </c>
      <c r="E97" s="209">
        <f t="shared" si="43"/>
        <v>55.756886713869953</v>
      </c>
      <c r="F97" s="71">
        <f t="shared" si="44"/>
        <v>44.003739461624534</v>
      </c>
      <c r="G97" s="71">
        <f t="shared" si="45"/>
        <v>52.564920964617905</v>
      </c>
      <c r="H97" s="71">
        <f t="shared" si="46"/>
        <v>53.552970465848169</v>
      </c>
      <c r="I97" s="71">
        <f t="shared" si="47"/>
        <v>72.905915963389191</v>
      </c>
      <c r="J97" s="63"/>
      <c r="K97" s="86">
        <v>0.9949489046402471</v>
      </c>
      <c r="L97" s="207">
        <v>5.8599999999999994</v>
      </c>
      <c r="M97" s="82">
        <f t="shared" si="63"/>
        <v>89.407407407407419</v>
      </c>
      <c r="N97" s="71">
        <f t="shared" si="48"/>
        <v>66.897864285038423</v>
      </c>
      <c r="O97" s="92">
        <v>24.284281089418762</v>
      </c>
      <c r="P97" s="100">
        <v>3.6</v>
      </c>
      <c r="Q97" s="70">
        <f t="shared" si="49"/>
        <v>78.557933938565981</v>
      </c>
      <c r="R97" s="96">
        <v>0</v>
      </c>
      <c r="S97" s="92">
        <v>-4</v>
      </c>
      <c r="T97" s="92">
        <v>0.43</v>
      </c>
      <c r="U97" s="167">
        <v>4.4980000000000002</v>
      </c>
      <c r="V97" s="70">
        <f t="shared" si="50"/>
        <v>19.104761904761904</v>
      </c>
      <c r="W97" s="86">
        <v>7.7</v>
      </c>
      <c r="X97" s="100">
        <v>20.100000000000001</v>
      </c>
      <c r="Y97" s="93">
        <v>9.1439778582922706</v>
      </c>
      <c r="Z97" s="215">
        <v>5</v>
      </c>
      <c r="AA97" s="71">
        <f t="shared" si="51"/>
        <v>63.911527959819381</v>
      </c>
      <c r="AB97" s="63"/>
      <c r="AC97" s="92">
        <v>24.503492387398431</v>
      </c>
      <c r="AD97" s="93">
        <v>79.518643583448451</v>
      </c>
      <c r="AE97" s="94">
        <v>45</v>
      </c>
      <c r="AF97" s="85">
        <v>4.3499999999999996</v>
      </c>
      <c r="AG97" s="91">
        <v>57.892481526218063</v>
      </c>
      <c r="AH97" s="70">
        <f t="shared" si="52"/>
        <v>62.28879782782542</v>
      </c>
      <c r="AI97" s="92">
        <v>0.87408755632196611</v>
      </c>
      <c r="AJ97" s="92">
        <v>2.3171425648897293</v>
      </c>
      <c r="AK97" s="140">
        <v>97.447649254615996</v>
      </c>
      <c r="AL97" s="92">
        <v>4.7064363685130983</v>
      </c>
      <c r="AM97" s="86">
        <v>20.339054034624599</v>
      </c>
      <c r="AN97" s="70">
        <f t="shared" si="53"/>
        <v>42.841044101410397</v>
      </c>
      <c r="AO97" s="63"/>
      <c r="AP97" s="89">
        <v>89.262953333476631</v>
      </c>
      <c r="AQ97" s="89">
        <v>53.906118397146855</v>
      </c>
      <c r="AR97" s="89">
        <v>35.950000000000003</v>
      </c>
      <c r="AS97" s="158">
        <f t="shared" si="54"/>
        <v>65.281297531942585</v>
      </c>
      <c r="AT97" s="89">
        <v>67.410499999999999</v>
      </c>
      <c r="AU97" s="89">
        <v>66.591285496344923</v>
      </c>
      <c r="AV97" s="89">
        <v>40.801204181566312</v>
      </c>
      <c r="AW97" s="93">
        <v>5.2</v>
      </c>
      <c r="AX97" s="71">
        <f t="shared" si="55"/>
        <v>60.915244856690542</v>
      </c>
      <c r="AY97" s="86">
        <v>36.99084153208333</v>
      </c>
      <c r="AZ97" s="71">
        <f t="shared" si="56"/>
        <v>36.99084153208333</v>
      </c>
      <c r="BA97" s="86">
        <v>39.14</v>
      </c>
      <c r="BB97" s="71">
        <f t="shared" si="57"/>
        <v>60.86</v>
      </c>
      <c r="BC97" s="92">
        <v>41.629999999999995</v>
      </c>
      <c r="BD97" s="92">
        <v>44.494999999999997</v>
      </c>
      <c r="BE97" s="92">
        <v>25.23</v>
      </c>
      <c r="BF97" s="71">
        <f t="shared" si="58"/>
        <v>36.216000000000001</v>
      </c>
      <c r="BG97" s="63"/>
      <c r="BH97" s="86">
        <v>0</v>
      </c>
      <c r="BI97" s="86">
        <v>1.53</v>
      </c>
      <c r="BJ97" s="95">
        <v>156</v>
      </c>
      <c r="BK97" s="82">
        <v>100</v>
      </c>
      <c r="BL97" s="70">
        <f t="shared" si="59"/>
        <v>99.672839506172835</v>
      </c>
      <c r="BM97" s="96">
        <v>0.79088273482075389</v>
      </c>
      <c r="BN97" s="92">
        <v>70.512446628102211</v>
      </c>
      <c r="BO97" s="86">
        <v>47.320041019656514</v>
      </c>
      <c r="BP97" s="70">
        <f t="shared" si="60"/>
        <v>69.002258652977375</v>
      </c>
      <c r="BQ97" s="96">
        <v>0.73696526944933649</v>
      </c>
      <c r="BR97" s="96">
        <v>0.69658013521750584</v>
      </c>
      <c r="BS97" s="86">
        <v>59.568880799999995</v>
      </c>
      <c r="BT97" s="86">
        <v>37.904940699999997</v>
      </c>
      <c r="BU97" s="86">
        <v>90.983256900000001</v>
      </c>
      <c r="BV97" s="86">
        <v>48.519375099999998</v>
      </c>
      <c r="BW97" s="71">
        <f t="shared" si="61"/>
        <v>58.314367117007933</v>
      </c>
      <c r="BX97" s="92">
        <v>68.77</v>
      </c>
      <c r="BY97" s="158">
        <f t="shared" si="62"/>
        <v>68.77</v>
      </c>
      <c r="BZ97" s="54"/>
    </row>
    <row r="98" spans="1:80" s="5" customFormat="1" ht="15" customHeight="1" x14ac:dyDescent="0.25">
      <c r="A98" s="2">
        <v>92</v>
      </c>
      <c r="B98" s="8" t="s">
        <v>16</v>
      </c>
      <c r="C98" s="9" t="s">
        <v>17</v>
      </c>
      <c r="D98" s="162" t="s">
        <v>149</v>
      </c>
      <c r="E98" s="209">
        <f t="shared" si="43"/>
        <v>55.703753888868604</v>
      </c>
      <c r="F98" s="71">
        <f t="shared" si="44"/>
        <v>53.452793446779872</v>
      </c>
      <c r="G98" s="71">
        <f t="shared" si="45"/>
        <v>62.995717166804432</v>
      </c>
      <c r="H98" s="71">
        <f t="shared" si="46"/>
        <v>57.271765312100172</v>
      </c>
      <c r="I98" s="71">
        <f t="shared" si="47"/>
        <v>49.094739629789956</v>
      </c>
      <c r="J98" s="63"/>
      <c r="K98" s="85">
        <v>2.4378454294567531</v>
      </c>
      <c r="L98" s="208">
        <v>3.16</v>
      </c>
      <c r="M98" s="82">
        <f t="shared" si="63"/>
        <v>99.407407407407405</v>
      </c>
      <c r="N98" s="71">
        <f t="shared" si="48"/>
        <v>79.913956089574555</v>
      </c>
      <c r="O98" s="85">
        <v>29.382739280549643</v>
      </c>
      <c r="P98" s="87">
        <v>67.099999999999994</v>
      </c>
      <c r="Q98" s="70">
        <f t="shared" si="49"/>
        <v>53.16818848919425</v>
      </c>
      <c r="R98" s="90">
        <v>0.06</v>
      </c>
      <c r="S98" s="85">
        <v>-6.4083286000000003E-2</v>
      </c>
      <c r="T98" s="85">
        <v>0.56000000000000005</v>
      </c>
      <c r="U98" s="90">
        <v>3.2850000000000001</v>
      </c>
      <c r="V98" s="70">
        <f t="shared" si="50"/>
        <v>44.591832142063502</v>
      </c>
      <c r="W98" s="85">
        <v>9</v>
      </c>
      <c r="X98" s="98">
        <v>54.2</v>
      </c>
      <c r="Y98" s="87">
        <v>14</v>
      </c>
      <c r="Z98" s="214">
        <v>2.2999999999999998</v>
      </c>
      <c r="AA98" s="71">
        <f t="shared" si="51"/>
        <v>60.761013973646072</v>
      </c>
      <c r="AB98" s="63"/>
      <c r="AC98" s="85">
        <v>26.805445471960375</v>
      </c>
      <c r="AD98" s="87">
        <v>55.2</v>
      </c>
      <c r="AE98" s="88">
        <v>80</v>
      </c>
      <c r="AF98" s="85">
        <v>2.25</v>
      </c>
      <c r="AG98" s="88">
        <v>51</v>
      </c>
      <c r="AH98" s="70">
        <f t="shared" si="52"/>
        <v>64.993373904383844</v>
      </c>
      <c r="AI98" s="85">
        <v>0.67</v>
      </c>
      <c r="AJ98" s="85">
        <v>3.78</v>
      </c>
      <c r="AK98" s="87">
        <v>65.5</v>
      </c>
      <c r="AL98" s="86">
        <v>5.3934841855195099</v>
      </c>
      <c r="AM98" s="85">
        <v>97.493678864960003</v>
      </c>
      <c r="AN98" s="70">
        <f t="shared" si="53"/>
        <v>60.998060429225028</v>
      </c>
      <c r="AO98" s="63"/>
      <c r="AP98" s="89">
        <v>90.599278544090652</v>
      </c>
      <c r="AQ98" s="89">
        <v>62.990279860216653</v>
      </c>
      <c r="AR98" s="89">
        <v>41.89</v>
      </c>
      <c r="AS98" s="158">
        <f t="shared" si="54"/>
        <v>68.672459566130996</v>
      </c>
      <c r="AT98" s="89">
        <v>75.682500000000005</v>
      </c>
      <c r="AU98" s="89">
        <v>59.817419650451541</v>
      </c>
      <c r="AV98" s="89">
        <v>51.505252605600141</v>
      </c>
      <c r="AW98" s="100">
        <v>7</v>
      </c>
      <c r="AX98" s="71">
        <f t="shared" si="55"/>
        <v>68.984926612180317</v>
      </c>
      <c r="AY98" s="86">
        <v>39.040104425217216</v>
      </c>
      <c r="AZ98" s="71">
        <f t="shared" si="56"/>
        <v>39.040104425217216</v>
      </c>
      <c r="BA98" s="86">
        <v>39.549999999999997</v>
      </c>
      <c r="BB98" s="71">
        <f t="shared" si="57"/>
        <v>60.45</v>
      </c>
      <c r="BC98" s="86">
        <v>31.42</v>
      </c>
      <c r="BD98" s="86">
        <v>30.11</v>
      </c>
      <c r="BE98" s="86">
        <v>33.590000000000003</v>
      </c>
      <c r="BF98" s="71">
        <f t="shared" si="58"/>
        <v>31.763999999999999</v>
      </c>
      <c r="BG98" s="63"/>
      <c r="BH98" s="85">
        <v>1.67</v>
      </c>
      <c r="BI98" s="85">
        <v>5.37</v>
      </c>
      <c r="BJ98" s="88">
        <v>67</v>
      </c>
      <c r="BK98" s="81">
        <v>54.545454545454547</v>
      </c>
      <c r="BL98" s="70">
        <f t="shared" si="59"/>
        <v>49.942053147967123</v>
      </c>
      <c r="BM98" s="90">
        <v>0.39780256102053357</v>
      </c>
      <c r="BN98" s="85">
        <v>50.55</v>
      </c>
      <c r="BO98" s="85">
        <v>43.600581917737024</v>
      </c>
      <c r="BP98" s="70">
        <f t="shared" si="60"/>
        <v>43.427773530460939</v>
      </c>
      <c r="BQ98" s="90">
        <v>0.50541502859913356</v>
      </c>
      <c r="BR98" s="90">
        <v>0.44501389455199075</v>
      </c>
      <c r="BS98" s="85">
        <v>37.3557196</v>
      </c>
      <c r="BT98" s="86">
        <v>54.769546200000001</v>
      </c>
      <c r="BU98" s="85">
        <v>58.364818700000001</v>
      </c>
      <c r="BV98" s="86">
        <v>54.441923599999996</v>
      </c>
      <c r="BW98" s="71">
        <f t="shared" si="61"/>
        <v>48.865412239028267</v>
      </c>
      <c r="BX98" s="86">
        <v>64.78</v>
      </c>
      <c r="BY98" s="158">
        <f t="shared" si="62"/>
        <v>64.78</v>
      </c>
      <c r="BZ98" s="54"/>
    </row>
    <row r="99" spans="1:80" s="5" customFormat="1" ht="15" customHeight="1" x14ac:dyDescent="0.25">
      <c r="A99" s="2">
        <v>93</v>
      </c>
      <c r="B99" s="17" t="s">
        <v>29</v>
      </c>
      <c r="C99" s="26" t="s">
        <v>118</v>
      </c>
      <c r="D99" s="162" t="s">
        <v>141</v>
      </c>
      <c r="E99" s="209">
        <f t="shared" si="43"/>
        <v>55.695860863662382</v>
      </c>
      <c r="F99" s="71">
        <f t="shared" si="44"/>
        <v>46.203158994627699</v>
      </c>
      <c r="G99" s="71">
        <f t="shared" si="45"/>
        <v>49.360223248164651</v>
      </c>
      <c r="H99" s="71">
        <f t="shared" si="46"/>
        <v>55.085632650605149</v>
      </c>
      <c r="I99" s="71">
        <f t="shared" si="47"/>
        <v>72.134428561252022</v>
      </c>
      <c r="J99" s="63"/>
      <c r="K99" s="86">
        <v>3.1416800099874909</v>
      </c>
      <c r="L99" s="207">
        <v>4.62</v>
      </c>
      <c r="M99" s="82">
        <f t="shared" si="63"/>
        <v>94</v>
      </c>
      <c r="N99" s="71">
        <f t="shared" si="48"/>
        <v>81.1204444999305</v>
      </c>
      <c r="O99" s="86">
        <v>38.088101338141755</v>
      </c>
      <c r="P99" s="100">
        <v>11.8</v>
      </c>
      <c r="Q99" s="70">
        <f t="shared" si="49"/>
        <v>82.582278521189849</v>
      </c>
      <c r="R99" s="96">
        <v>0</v>
      </c>
      <c r="S99" s="92">
        <v>-4</v>
      </c>
      <c r="T99" s="92">
        <v>0.43</v>
      </c>
      <c r="U99" s="167">
        <v>4.1050000000000004</v>
      </c>
      <c r="V99" s="70">
        <f t="shared" si="50"/>
        <v>20.976190476190474</v>
      </c>
      <c r="W99" s="86">
        <v>10.1</v>
      </c>
      <c r="X99" s="100">
        <v>32.6</v>
      </c>
      <c r="Y99" s="93">
        <v>10.616963432181512</v>
      </c>
      <c r="Z99" s="215">
        <v>5</v>
      </c>
      <c r="AA99" s="71">
        <f t="shared" si="51"/>
        <v>60.862710113443768</v>
      </c>
      <c r="AB99" s="63"/>
      <c r="AC99" s="86">
        <v>22.855157894736845</v>
      </c>
      <c r="AD99" s="93">
        <v>71.474788589712574</v>
      </c>
      <c r="AE99" s="94">
        <v>25</v>
      </c>
      <c r="AF99" s="85">
        <v>3.75</v>
      </c>
      <c r="AG99" s="91">
        <v>53.372357562816362</v>
      </c>
      <c r="AH99" s="70">
        <f t="shared" si="52"/>
        <v>55.916424493707588</v>
      </c>
      <c r="AI99" s="92">
        <v>0.81880854369321399</v>
      </c>
      <c r="AJ99" s="92">
        <v>2.6679562809780886</v>
      </c>
      <c r="AK99" s="135">
        <v>96.533037504495994</v>
      </c>
      <c r="AL99" s="92">
        <v>4.619354285122224</v>
      </c>
      <c r="AM99" s="86">
        <v>14.236513740420399</v>
      </c>
      <c r="AN99" s="70">
        <f t="shared" si="53"/>
        <v>42.804022002621707</v>
      </c>
      <c r="AO99" s="63"/>
      <c r="AP99" s="89">
        <v>75.296033861719067</v>
      </c>
      <c r="AQ99" s="89">
        <v>54.075077391675265</v>
      </c>
      <c r="AR99" s="89">
        <v>31.91</v>
      </c>
      <c r="AS99" s="158">
        <f t="shared" si="54"/>
        <v>62.884047161267397</v>
      </c>
      <c r="AT99" s="89">
        <v>67.200100000000006</v>
      </c>
      <c r="AU99" s="89">
        <v>57.043996970677128</v>
      </c>
      <c r="AV99" s="89">
        <v>39.496587461816418</v>
      </c>
      <c r="AW99" s="93">
        <v>5.2</v>
      </c>
      <c r="AX99" s="71">
        <f t="shared" si="55"/>
        <v>57.855638452592864</v>
      </c>
      <c r="AY99" s="86">
        <v>46.127789607523148</v>
      </c>
      <c r="AZ99" s="71">
        <f t="shared" si="56"/>
        <v>46.127789607523148</v>
      </c>
      <c r="BA99" s="86">
        <v>35.479999999999997</v>
      </c>
      <c r="BB99" s="71">
        <f t="shared" si="57"/>
        <v>64.52000000000001</v>
      </c>
      <c r="BC99" s="101">
        <v>41</v>
      </c>
      <c r="BD99" s="101">
        <v>63.2</v>
      </c>
      <c r="BE99" s="92">
        <v>25.23</v>
      </c>
      <c r="BF99" s="71">
        <f t="shared" si="58"/>
        <v>43.572000000000003</v>
      </c>
      <c r="BG99" s="63"/>
      <c r="BH99" s="92">
        <v>1.6600000000000001</v>
      </c>
      <c r="BI99" s="86">
        <v>2.2799999999999998</v>
      </c>
      <c r="BJ99" s="95">
        <v>156</v>
      </c>
      <c r="BK99" s="82">
        <v>100</v>
      </c>
      <c r="BL99" s="70">
        <f t="shared" si="59"/>
        <v>98.902469135802477</v>
      </c>
      <c r="BM99" s="96">
        <v>0.73473905903669734</v>
      </c>
      <c r="BN99" s="92">
        <v>70.266123333677527</v>
      </c>
      <c r="BO99" s="86">
        <v>57.441895747823061</v>
      </c>
      <c r="BP99" s="70">
        <f t="shared" si="60"/>
        <v>68.663957722210014</v>
      </c>
      <c r="BQ99" s="96">
        <v>0.68545649297234534</v>
      </c>
      <c r="BR99" s="96">
        <v>0.6379669506810639</v>
      </c>
      <c r="BS99" s="86">
        <v>55.7638569</v>
      </c>
      <c r="BT99" s="86">
        <v>45.683355599999999</v>
      </c>
      <c r="BU99" s="86">
        <v>87.7113327</v>
      </c>
      <c r="BV99" s="86">
        <v>44.018801499999995</v>
      </c>
      <c r="BW99" s="71">
        <f t="shared" si="61"/>
        <v>56.950354173252542</v>
      </c>
      <c r="BX99" s="92">
        <v>68.77</v>
      </c>
      <c r="BY99" s="158">
        <f t="shared" si="62"/>
        <v>68.77</v>
      </c>
      <c r="BZ99" s="54"/>
    </row>
    <row r="100" spans="1:80" s="5" customFormat="1" ht="15" customHeight="1" x14ac:dyDescent="0.25">
      <c r="A100" s="2">
        <v>94</v>
      </c>
      <c r="B100" s="3" t="s">
        <v>10</v>
      </c>
      <c r="C100" s="4" t="s">
        <v>11</v>
      </c>
      <c r="D100" s="162" t="s">
        <v>44</v>
      </c>
      <c r="E100" s="209">
        <f t="shared" si="43"/>
        <v>55.615579423980435</v>
      </c>
      <c r="F100" s="71">
        <f t="shared" si="44"/>
        <v>37.269207186482717</v>
      </c>
      <c r="G100" s="71">
        <f t="shared" si="45"/>
        <v>58.228985351794996</v>
      </c>
      <c r="H100" s="71">
        <f t="shared" si="46"/>
        <v>59.176817002295856</v>
      </c>
      <c r="I100" s="71">
        <f t="shared" si="47"/>
        <v>67.787308155348143</v>
      </c>
      <c r="J100" s="63"/>
      <c r="K100" s="86">
        <v>5.6117590741583623</v>
      </c>
      <c r="L100" s="207">
        <v>5.1000000000000005</v>
      </c>
      <c r="M100" s="82">
        <f t="shared" si="63"/>
        <v>92.222222222222214</v>
      </c>
      <c r="N100" s="71">
        <f t="shared" si="48"/>
        <v>93.954217078657564</v>
      </c>
      <c r="O100" s="86">
        <v>22.939119761416027</v>
      </c>
      <c r="P100" s="100">
        <v>103.6</v>
      </c>
      <c r="Q100" s="70">
        <f t="shared" si="49"/>
        <v>33.366177645231126</v>
      </c>
      <c r="R100" s="96">
        <v>0</v>
      </c>
      <c r="S100" s="92">
        <v>-0.36157697988016235</v>
      </c>
      <c r="T100" s="86">
        <v>0.35</v>
      </c>
      <c r="U100" s="167">
        <v>5.306</v>
      </c>
      <c r="V100" s="70">
        <f t="shared" si="50"/>
        <v>22.697206801920185</v>
      </c>
      <c r="W100" s="86">
        <v>3.2269999999999999</v>
      </c>
      <c r="X100" s="93">
        <v>81.5</v>
      </c>
      <c r="Y100" s="100">
        <v>11.37</v>
      </c>
      <c r="Z100" s="215">
        <v>7.7</v>
      </c>
      <c r="AA100" s="71">
        <f t="shared" si="51"/>
        <v>46.081021723488817</v>
      </c>
      <c r="AB100" s="63"/>
      <c r="AC100" s="86">
        <v>42.145506287103814</v>
      </c>
      <c r="AD100" s="100">
        <v>69.2</v>
      </c>
      <c r="AE100" s="95">
        <v>20</v>
      </c>
      <c r="AF100" s="85">
        <v>5.72</v>
      </c>
      <c r="AG100" s="91">
        <v>35.585192722535368</v>
      </c>
      <c r="AH100" s="70">
        <f t="shared" si="52"/>
        <v>64.094536311825095</v>
      </c>
      <c r="AI100" s="86">
        <v>-0.47</v>
      </c>
      <c r="AJ100" s="92">
        <v>3.187959321180192</v>
      </c>
      <c r="AK100" s="100">
        <v>83.4</v>
      </c>
      <c r="AL100" s="86">
        <v>5.6445144574045099</v>
      </c>
      <c r="AM100" s="86">
        <v>60.766334172994497</v>
      </c>
      <c r="AN100" s="70">
        <f t="shared" si="53"/>
        <v>52.363434391764912</v>
      </c>
      <c r="AO100" s="63"/>
      <c r="AP100" s="89">
        <v>86.043091190584022</v>
      </c>
      <c r="AQ100" s="89">
        <v>57.71253789405138</v>
      </c>
      <c r="AR100" s="89">
        <v>7.62</v>
      </c>
      <c r="AS100" s="158">
        <f t="shared" si="54"/>
        <v>73.462041744671694</v>
      </c>
      <c r="AT100" s="89">
        <v>73.527799999999999</v>
      </c>
      <c r="AU100" s="89">
        <v>62.30192111547737</v>
      </c>
      <c r="AV100" s="89">
        <v>52.403846164601198</v>
      </c>
      <c r="AW100" s="93">
        <v>7.9</v>
      </c>
      <c r="AX100" s="71">
        <f t="shared" si="55"/>
        <v>67.275560905577166</v>
      </c>
      <c r="AY100" s="86">
        <v>38.335040996703704</v>
      </c>
      <c r="AZ100" s="71">
        <f t="shared" si="56"/>
        <v>38.335040996703704</v>
      </c>
      <c r="BA100" s="86">
        <v>28.45</v>
      </c>
      <c r="BB100" s="71">
        <f t="shared" si="57"/>
        <v>71.55</v>
      </c>
      <c r="BC100" s="86">
        <v>45.4</v>
      </c>
      <c r="BD100" s="86">
        <v>19.559999999999999</v>
      </c>
      <c r="BE100" s="86">
        <v>60.33</v>
      </c>
      <c r="BF100" s="71">
        <f t="shared" si="58"/>
        <v>41.036000000000001</v>
      </c>
      <c r="BG100" s="63"/>
      <c r="BH100" s="86">
        <v>2.4700000000000002</v>
      </c>
      <c r="BI100" s="86">
        <v>3.5</v>
      </c>
      <c r="BJ100" s="95">
        <v>156</v>
      </c>
      <c r="BK100" s="82">
        <v>100</v>
      </c>
      <c r="BL100" s="70">
        <f t="shared" si="59"/>
        <v>97.999382716049382</v>
      </c>
      <c r="BM100" s="96">
        <v>0.58351255930220092</v>
      </c>
      <c r="BN100" s="86">
        <v>33.5</v>
      </c>
      <c r="BO100" s="86">
        <v>58.583333169459841</v>
      </c>
      <c r="BP100" s="70">
        <f t="shared" si="60"/>
        <v>52.196461257475008</v>
      </c>
      <c r="BQ100" s="96">
        <v>0.56412029781670525</v>
      </c>
      <c r="BR100" s="96">
        <v>0.62155954356409593</v>
      </c>
      <c r="BS100" s="86">
        <v>77.655202000000003</v>
      </c>
      <c r="BT100" s="86">
        <v>62.634259499999999</v>
      </c>
      <c r="BU100" s="86">
        <v>89.02484969999999</v>
      </c>
      <c r="BV100" s="86">
        <v>53.422951099999999</v>
      </c>
      <c r="BW100" s="71">
        <f t="shared" si="61"/>
        <v>65.244354568837977</v>
      </c>
      <c r="BX100" s="86">
        <v>47.93</v>
      </c>
      <c r="BY100" s="158">
        <f t="shared" si="62"/>
        <v>47.93</v>
      </c>
      <c r="BZ100" s="54"/>
      <c r="CB100" s="20"/>
    </row>
    <row r="101" spans="1:80" s="5" customFormat="1" ht="15" customHeight="1" x14ac:dyDescent="0.25">
      <c r="A101" s="2">
        <v>95</v>
      </c>
      <c r="B101" s="8" t="s">
        <v>16</v>
      </c>
      <c r="C101" s="11" t="s">
        <v>21</v>
      </c>
      <c r="D101" s="162" t="s">
        <v>47</v>
      </c>
      <c r="E101" s="209">
        <f t="shared" si="43"/>
        <v>55.471541695555167</v>
      </c>
      <c r="F101" s="71">
        <f t="shared" si="44"/>
        <v>45.914733419019022</v>
      </c>
      <c r="G101" s="71">
        <f t="shared" si="45"/>
        <v>61.682889972759831</v>
      </c>
      <c r="H101" s="71">
        <f t="shared" si="46"/>
        <v>49.985608151533739</v>
      </c>
      <c r="I101" s="71">
        <f t="shared" si="47"/>
        <v>64.302935238908063</v>
      </c>
      <c r="J101" s="63"/>
      <c r="K101" s="85">
        <v>-0.38277635373589192</v>
      </c>
      <c r="L101" s="208">
        <v>5.92</v>
      </c>
      <c r="M101" s="82">
        <f t="shared" si="63"/>
        <v>89.185185185185176</v>
      </c>
      <c r="N101" s="71">
        <f t="shared" si="48"/>
        <v>59.132723960726523</v>
      </c>
      <c r="O101" s="85">
        <v>32.000518874029488</v>
      </c>
      <c r="P101" s="87">
        <v>38.6</v>
      </c>
      <c r="Q101" s="70">
        <f t="shared" si="49"/>
        <v>67.289177152238608</v>
      </c>
      <c r="R101" s="90">
        <v>1.7000000000000001E-2</v>
      </c>
      <c r="S101" s="85">
        <v>-0.30379816999999998</v>
      </c>
      <c r="T101" s="85">
        <v>0.39</v>
      </c>
      <c r="U101" s="90">
        <v>3.823</v>
      </c>
      <c r="V101" s="70">
        <f t="shared" si="50"/>
        <v>32.512200850529098</v>
      </c>
      <c r="W101" s="85">
        <v>24.477</v>
      </c>
      <c r="X101" s="87">
        <v>75.599999999999994</v>
      </c>
      <c r="Y101" s="87">
        <v>22.15</v>
      </c>
      <c r="Z101" s="214">
        <v>1.8</v>
      </c>
      <c r="AA101" s="71">
        <f t="shared" si="51"/>
        <v>54.607936099384112</v>
      </c>
      <c r="AB101" s="63"/>
      <c r="AC101" s="85">
        <v>28.225821237250248</v>
      </c>
      <c r="AD101" s="87">
        <v>71.7</v>
      </c>
      <c r="AE101" s="88">
        <v>50</v>
      </c>
      <c r="AF101" s="85">
        <v>5.5</v>
      </c>
      <c r="AG101" s="88">
        <v>62</v>
      </c>
      <c r="AH101" s="70">
        <f t="shared" si="52"/>
        <v>64.690291081243757</v>
      </c>
      <c r="AI101" s="85">
        <v>1.05</v>
      </c>
      <c r="AJ101" s="85">
        <v>3.45</v>
      </c>
      <c r="AK101" s="87">
        <v>87.1</v>
      </c>
      <c r="AL101" s="86">
        <v>5.2686266756217357</v>
      </c>
      <c r="AM101" s="85">
        <v>78.755399673220694</v>
      </c>
      <c r="AN101" s="70">
        <f t="shared" si="53"/>
        <v>58.675488864275906</v>
      </c>
      <c r="AO101" s="63"/>
      <c r="AP101" s="89">
        <v>75.474389797052964</v>
      </c>
      <c r="AQ101" s="89">
        <v>52.568756103952722</v>
      </c>
      <c r="AR101" s="89">
        <v>59.62</v>
      </c>
      <c r="AS101" s="158">
        <f t="shared" si="54"/>
        <v>55.247975501239601</v>
      </c>
      <c r="AT101" s="89">
        <v>69.428899999999999</v>
      </c>
      <c r="AU101" s="89">
        <v>63.220015919020454</v>
      </c>
      <c r="AV101" s="89">
        <v>38.430284650944159</v>
      </c>
      <c r="AW101" s="100">
        <v>24</v>
      </c>
      <c r="AX101" s="71">
        <f t="shared" si="55"/>
        <v>55.150947871159929</v>
      </c>
      <c r="AY101" s="86">
        <v>39.116330085271471</v>
      </c>
      <c r="AZ101" s="71">
        <f t="shared" si="56"/>
        <v>39.116330085271471</v>
      </c>
      <c r="BA101" s="86">
        <v>54.91</v>
      </c>
      <c r="BB101" s="71">
        <f t="shared" si="57"/>
        <v>45.09</v>
      </c>
      <c r="BC101" s="86">
        <v>37.200000000000003</v>
      </c>
      <c r="BD101" s="86">
        <v>33.770000000000003</v>
      </c>
      <c r="BE101" s="86">
        <v>68.56</v>
      </c>
      <c r="BF101" s="71">
        <f t="shared" si="58"/>
        <v>48.372</v>
      </c>
      <c r="BG101" s="63"/>
      <c r="BH101" s="85">
        <v>12.98</v>
      </c>
      <c r="BI101" s="85">
        <v>4.17</v>
      </c>
      <c r="BJ101" s="88">
        <v>108</v>
      </c>
      <c r="BK101" s="81">
        <v>95.454545454545453</v>
      </c>
      <c r="BL101" s="70">
        <f t="shared" si="59"/>
        <v>76.920053582419158</v>
      </c>
      <c r="BM101" s="90">
        <v>0.57540546176536955</v>
      </c>
      <c r="BN101" s="85">
        <v>62.89</v>
      </c>
      <c r="BO101" s="85">
        <v>57.240672227572382</v>
      </c>
      <c r="BP101" s="70">
        <f t="shared" si="60"/>
        <v>58.802941145161576</v>
      </c>
      <c r="BQ101" s="90">
        <v>0.62114216807761302</v>
      </c>
      <c r="BR101" s="90">
        <v>0.59540945696084857</v>
      </c>
      <c r="BS101" s="85">
        <v>60.630097899999996</v>
      </c>
      <c r="BT101" s="86">
        <v>59.446482400000001</v>
      </c>
      <c r="BU101" s="85">
        <v>83.527630299999998</v>
      </c>
      <c r="BV101" s="86">
        <v>61.201855699999996</v>
      </c>
      <c r="BW101" s="71">
        <f t="shared" si="61"/>
        <v>61.897255713585146</v>
      </c>
      <c r="BX101" s="86">
        <v>57.68</v>
      </c>
      <c r="BY101" s="158">
        <f t="shared" si="62"/>
        <v>57.68</v>
      </c>
      <c r="BZ101" s="54"/>
    </row>
    <row r="102" spans="1:80" s="5" customFormat="1" ht="15" customHeight="1" x14ac:dyDescent="0.25">
      <c r="A102" s="2">
        <v>96</v>
      </c>
      <c r="B102" s="14" t="s">
        <v>23</v>
      </c>
      <c r="C102" s="16" t="s">
        <v>26</v>
      </c>
      <c r="D102" s="162" t="s">
        <v>76</v>
      </c>
      <c r="E102" s="209">
        <f t="shared" si="43"/>
        <v>55.294147449487028</v>
      </c>
      <c r="F102" s="71">
        <f t="shared" si="44"/>
        <v>48.332531807200475</v>
      </c>
      <c r="G102" s="71">
        <f t="shared" si="45"/>
        <v>58.862407976068333</v>
      </c>
      <c r="H102" s="71">
        <f t="shared" si="46"/>
        <v>59.537851320753262</v>
      </c>
      <c r="I102" s="71">
        <f t="shared" si="47"/>
        <v>54.443798693926055</v>
      </c>
      <c r="J102" s="63"/>
      <c r="K102" s="85">
        <v>2.7103588394066458</v>
      </c>
      <c r="L102" s="208">
        <v>5.8</v>
      </c>
      <c r="M102" s="82">
        <f t="shared" si="63"/>
        <v>89.629629629629619</v>
      </c>
      <c r="N102" s="71">
        <f t="shared" si="48"/>
        <v>76.539030589296175</v>
      </c>
      <c r="O102" s="85">
        <v>23.281836538090346</v>
      </c>
      <c r="P102" s="87">
        <v>59</v>
      </c>
      <c r="Q102" s="70">
        <f t="shared" si="49"/>
        <v>53.378798076716862</v>
      </c>
      <c r="R102" s="168">
        <v>5.4463806890508268E-2</v>
      </c>
      <c r="S102" s="85">
        <v>5.3947290000000002E-2</v>
      </c>
      <c r="T102" s="85">
        <v>0.41</v>
      </c>
      <c r="U102" s="90">
        <v>4.2</v>
      </c>
      <c r="V102" s="70">
        <f t="shared" si="50"/>
        <v>35.152463617550879</v>
      </c>
      <c r="W102" s="85">
        <v>5.0919999999999996</v>
      </c>
      <c r="X102" s="87">
        <v>53.5</v>
      </c>
      <c r="Y102" s="87">
        <v>26.81</v>
      </c>
      <c r="Z102" s="214">
        <v>6.6</v>
      </c>
      <c r="AA102" s="71">
        <f t="shared" si="51"/>
        <v>60.382308911951547</v>
      </c>
      <c r="AB102" s="63"/>
      <c r="AC102" s="85">
        <v>24.869740517356949</v>
      </c>
      <c r="AD102" s="87">
        <v>53.9</v>
      </c>
      <c r="AE102" s="88">
        <v>60</v>
      </c>
      <c r="AF102" s="85">
        <v>5.25</v>
      </c>
      <c r="AG102" s="88">
        <v>43</v>
      </c>
      <c r="AH102" s="70">
        <f t="shared" si="52"/>
        <v>58.05033983208412</v>
      </c>
      <c r="AI102" s="85">
        <v>1.1200000000000001</v>
      </c>
      <c r="AJ102" s="85">
        <v>4.1500000000000004</v>
      </c>
      <c r="AK102" s="87">
        <v>84.4</v>
      </c>
      <c r="AL102" s="86">
        <v>4.8634378812130192</v>
      </c>
      <c r="AM102" s="85">
        <v>75.828099096054899</v>
      </c>
      <c r="AN102" s="70">
        <f t="shared" si="53"/>
        <v>59.674476120052553</v>
      </c>
      <c r="AO102" s="63"/>
      <c r="AP102" s="89">
        <v>89.529186875374577</v>
      </c>
      <c r="AQ102" s="89">
        <v>63.386025224798729</v>
      </c>
      <c r="AR102" s="89">
        <v>13.96</v>
      </c>
      <c r="AS102" s="158">
        <f t="shared" si="54"/>
        <v>75.585309331242996</v>
      </c>
      <c r="AT102" s="89">
        <v>73.989800000000002</v>
      </c>
      <c r="AU102" s="89">
        <v>65.79667451060196</v>
      </c>
      <c r="AV102" s="89">
        <v>47.135653329577778</v>
      </c>
      <c r="AW102" s="100">
        <v>3.6</v>
      </c>
      <c r="AX102" s="71">
        <f t="shared" si="55"/>
        <v>69.239999714329826</v>
      </c>
      <c r="AY102" s="86">
        <v>38.372896351708334</v>
      </c>
      <c r="AZ102" s="71">
        <f t="shared" si="56"/>
        <v>38.372896351708334</v>
      </c>
      <c r="BA102" s="86">
        <v>38.97</v>
      </c>
      <c r="BB102" s="71">
        <f t="shared" si="57"/>
        <v>61.03</v>
      </c>
      <c r="BC102" s="86">
        <v>21.62</v>
      </c>
      <c r="BD102" s="86">
        <v>30.63</v>
      </c>
      <c r="BE102" s="86">
        <v>52.63</v>
      </c>
      <c r="BF102" s="71">
        <f t="shared" si="58"/>
        <v>37.628</v>
      </c>
      <c r="BG102" s="63"/>
      <c r="BH102" s="85">
        <v>9.1199999999999992</v>
      </c>
      <c r="BI102" s="85">
        <v>5.17</v>
      </c>
      <c r="BJ102" s="88">
        <v>69</v>
      </c>
      <c r="BK102" s="81">
        <v>59.090909090909093</v>
      </c>
      <c r="BL102" s="70">
        <f t="shared" si="59"/>
        <v>50.917877701748665</v>
      </c>
      <c r="BM102" s="90">
        <v>0.57783986416144917</v>
      </c>
      <c r="BN102" s="85">
        <v>69.73</v>
      </c>
      <c r="BO102" s="85">
        <v>43.501253630525262</v>
      </c>
      <c r="BP102" s="70">
        <f t="shared" si="60"/>
        <v>57.199806615703778</v>
      </c>
      <c r="BQ102" s="90">
        <v>0.52710771031785375</v>
      </c>
      <c r="BR102" s="90">
        <v>0.42290791642301495</v>
      </c>
      <c r="BS102" s="85">
        <v>42.480868099999995</v>
      </c>
      <c r="BT102" s="86">
        <v>52.791949299999999</v>
      </c>
      <c r="BU102" s="85">
        <v>75.961267100000001</v>
      </c>
      <c r="BV102" s="86">
        <v>58.132649000000001</v>
      </c>
      <c r="BW102" s="71">
        <f t="shared" si="61"/>
        <v>50.875392239365013</v>
      </c>
      <c r="BX102" s="86">
        <v>67.48</v>
      </c>
      <c r="BY102" s="158">
        <f t="shared" si="62"/>
        <v>67.48</v>
      </c>
      <c r="BZ102" s="54"/>
    </row>
    <row r="103" spans="1:80" s="5" customFormat="1" ht="15" customHeight="1" x14ac:dyDescent="0.25">
      <c r="A103" s="2">
        <v>97</v>
      </c>
      <c r="B103" s="3" t="s">
        <v>10</v>
      </c>
      <c r="C103" s="25" t="s">
        <v>115</v>
      </c>
      <c r="D103" s="162" t="s">
        <v>219</v>
      </c>
      <c r="E103" s="209">
        <f t="shared" ref="E103:E134" si="64">(F103*25+G103*25+H103*25+I103*25)/100</f>
        <v>55.24476563996992</v>
      </c>
      <c r="F103" s="71">
        <f t="shared" ref="F103:F134" si="65">(N103*10+Q103*15+V103*50+AA103*25)/100</f>
        <v>48.193413704400101</v>
      </c>
      <c r="G103" s="71">
        <f t="shared" ref="G103:G134" si="66">(AH103*50+AN103*50)/100</f>
        <v>59.29460103102312</v>
      </c>
      <c r="H103" s="71">
        <f t="shared" ref="H103:H134" si="67">(AS103*25+AX103*35+AZ103*25+BB103*5+BF103*10)/100</f>
        <v>62.181885886787519</v>
      </c>
      <c r="I103" s="71">
        <f t="shared" ref="I103:I134" si="68">(BL103*25+BP103*30+BW103*35+BY103*10)/100</f>
        <v>51.309161937668925</v>
      </c>
      <c r="J103" s="63"/>
      <c r="K103" s="85">
        <v>4.609856784656996</v>
      </c>
      <c r="L103" s="208">
        <v>10.120000000000001</v>
      </c>
      <c r="M103" s="82">
        <f t="shared" si="63"/>
        <v>73.629629629629619</v>
      </c>
      <c r="N103" s="71">
        <f t="shared" ref="N103:N134" si="69">(((MIN(MAX(K103,-3),6)-(-3))/(6-(-3)))*100+M103)/2</f>
        <v>79.091796951798116</v>
      </c>
      <c r="O103" s="85">
        <v>29.537995063928452</v>
      </c>
      <c r="P103" s="87">
        <v>28.6</v>
      </c>
      <c r="Q103" s="70">
        <f t="shared" ref="Q103:Q134" si="70">((MIN(MAX(O103,-5),60)/60)*100+((150-MIN(P103,150))/(150))*100*2)/3</f>
        <v>70.36555281329359</v>
      </c>
      <c r="R103" s="90">
        <v>0.02</v>
      </c>
      <c r="S103" s="85">
        <v>0.22132325</v>
      </c>
      <c r="T103" s="85">
        <v>0.48</v>
      </c>
      <c r="U103" s="90">
        <v>4.117</v>
      </c>
      <c r="V103" s="70">
        <f t="shared" ref="V103:V134" si="71">((R103/0.45)*100*2+((S103-(-4))/(2-(-4)))*100+T103*100*2+((5.5-U103)/(5.5-2))*100)/6</f>
        <v>35.793093683862431</v>
      </c>
      <c r="W103" s="85">
        <v>4.6219999999999999</v>
      </c>
      <c r="X103" s="98">
        <v>81.5</v>
      </c>
      <c r="Y103" s="87">
        <v>13.65</v>
      </c>
      <c r="Z103" s="214">
        <v>7.4</v>
      </c>
      <c r="AA103" s="71">
        <f t="shared" ref="AA103:AA134" si="72">(((35-W103)/(35))*100*0.5+(100-X103)*1.5+((LN(MIN(MAX(Y103,1),250))-LN(1))/(LN(250)-LN(1)))*100*2+((20-MIN(Z103,20))/(20))*100*1.5)/5.5</f>
        <v>47.331416981180155</v>
      </c>
      <c r="AB103" s="63"/>
      <c r="AC103" s="85">
        <v>34.013501155295131</v>
      </c>
      <c r="AD103" s="87">
        <v>43.1</v>
      </c>
      <c r="AE103" s="88">
        <v>70</v>
      </c>
      <c r="AF103" s="85">
        <v>14</v>
      </c>
      <c r="AG103" s="88">
        <v>43</v>
      </c>
      <c r="AH103" s="70">
        <f t="shared" ref="AH103:AH134" si="73">((AC103/50)*100*2+AD103*1+AE103+(1-(AF103/65))*100+AG103)/6</f>
        <v>61.769257180453167</v>
      </c>
      <c r="AI103" s="85">
        <v>-0.96</v>
      </c>
      <c r="AJ103" s="85">
        <v>4.28</v>
      </c>
      <c r="AK103" s="87">
        <v>95</v>
      </c>
      <c r="AL103" s="92">
        <v>4.2109488490205518</v>
      </c>
      <c r="AM103" s="85">
        <v>89.200692309147499</v>
      </c>
      <c r="AN103" s="70">
        <f t="shared" ref="AN103:AN134" si="74">(((AI103-(-4))/(4-(-4)))*100+((AJ103-1)/(7-1))*100*1.5+AK103*0.5+(AL103/10)*100*2+AM103)/6</f>
        <v>56.819944881593081</v>
      </c>
      <c r="AO103" s="63"/>
      <c r="AP103" s="89">
        <v>92.612814375703607</v>
      </c>
      <c r="AQ103" s="89">
        <v>64.245158816904066</v>
      </c>
      <c r="AR103" s="89">
        <v>20.67</v>
      </c>
      <c r="AS103" s="158">
        <f t="shared" ref="AS103:AS134" si="75">(AP103+AQ103*2+(100-AR103))/4</f>
        <v>75.108283002377931</v>
      </c>
      <c r="AT103" s="89">
        <v>72.656199999999998</v>
      </c>
      <c r="AU103" s="89">
        <v>67.101795647943533</v>
      </c>
      <c r="AV103" s="89">
        <v>54.588210087283763</v>
      </c>
      <c r="AW103" s="100">
        <v>2.5</v>
      </c>
      <c r="AX103" s="71">
        <f t="shared" ref="AX103:AX134" si="76">(((AT103-50)/(85-50))*100*2+AU103*1.5+AV103+(1-((MIN(AW103,55)-2.5)/(55-2.5)))*100)/5.5</f>
        <v>69.94634610167256</v>
      </c>
      <c r="AY103" s="86">
        <v>50.27917600243056</v>
      </c>
      <c r="AZ103" s="71">
        <f t="shared" ref="AZ103:AZ134" si="77">AY103</f>
        <v>50.27917600243056</v>
      </c>
      <c r="BA103" s="86">
        <v>32.659999999999997</v>
      </c>
      <c r="BB103" s="71">
        <f t="shared" ref="BB103:BB134" si="78">100-BA103</f>
        <v>67.34</v>
      </c>
      <c r="BC103" s="86">
        <v>26.08</v>
      </c>
      <c r="BD103" s="86">
        <v>18.45</v>
      </c>
      <c r="BE103" s="86">
        <v>43.18</v>
      </c>
      <c r="BF103" s="71">
        <f t="shared" ref="BF103:BF134" si="79">(BC103*0.5+BD103+BE103)/2.5</f>
        <v>29.868000000000002</v>
      </c>
      <c r="BG103" s="63"/>
      <c r="BH103" s="85">
        <v>1.4</v>
      </c>
      <c r="BI103" s="85">
        <v>4.93</v>
      </c>
      <c r="BJ103" s="88">
        <v>93</v>
      </c>
      <c r="BK103" s="81">
        <v>63.636363636363633</v>
      </c>
      <c r="BL103" s="70">
        <f t="shared" ref="BL103:BL134" si="80">(((30-MIN(BH103,30))/(30))*100*0.5+((10-BI103)/(10-1))*100*0.5+((BJ103-1)/(156-1))*100*5+(BK103)*3)/9</f>
        <v>62.612957532312372</v>
      </c>
      <c r="BM103" s="90">
        <v>0.41768821951189744</v>
      </c>
      <c r="BN103" s="85">
        <v>34.950000000000003</v>
      </c>
      <c r="BO103" s="85">
        <v>41.944055025340027</v>
      </c>
      <c r="BP103" s="70">
        <f t="shared" ref="BP103:BP134" si="81">(BM103*100*2+BN103+BO103)/4</f>
        <v>40.107924731929877</v>
      </c>
      <c r="BQ103" s="90">
        <v>0.37313648189579274</v>
      </c>
      <c r="BR103" s="90">
        <v>0.4887926993092625</v>
      </c>
      <c r="BS103" s="85">
        <v>32.586307999999995</v>
      </c>
      <c r="BT103" s="86">
        <v>48.548468899999996</v>
      </c>
      <c r="BU103" s="85">
        <v>65.437742299999996</v>
      </c>
      <c r="BV103" s="86">
        <v>46.555285999999995</v>
      </c>
      <c r="BW103" s="71">
        <f t="shared" ref="BW103:BW134" si="82">(BQ103*100+BR103*100*1.5+BS103*1.5+BT103*2+BU103*0.5+BV103)/7.5</f>
        <v>44.784414671462478</v>
      </c>
      <c r="BX103" s="86">
        <v>79.489999999999995</v>
      </c>
      <c r="BY103" s="158">
        <f t="shared" ref="BY103:BY134" si="83">BX103</f>
        <v>79.489999999999995</v>
      </c>
      <c r="BZ103" s="54"/>
    </row>
    <row r="104" spans="1:80" s="5" customFormat="1" ht="15" customHeight="1" x14ac:dyDescent="0.25">
      <c r="A104" s="2">
        <v>98</v>
      </c>
      <c r="B104" s="14" t="s">
        <v>23</v>
      </c>
      <c r="C104" s="15" t="s">
        <v>24</v>
      </c>
      <c r="D104" s="162" t="s">
        <v>208</v>
      </c>
      <c r="E104" s="209">
        <f t="shared" si="64"/>
        <v>55.153911929227604</v>
      </c>
      <c r="F104" s="71">
        <f t="shared" si="65"/>
        <v>50.008984010200749</v>
      </c>
      <c r="G104" s="71">
        <f t="shared" si="66"/>
        <v>53.601786714174487</v>
      </c>
      <c r="H104" s="71">
        <f t="shared" si="67"/>
        <v>65.324005072452323</v>
      </c>
      <c r="I104" s="71">
        <f t="shared" si="68"/>
        <v>51.680871920082872</v>
      </c>
      <c r="J104" s="63"/>
      <c r="K104" s="85">
        <v>1.0014003897130808</v>
      </c>
      <c r="L104" s="208">
        <v>2.8</v>
      </c>
      <c r="M104" s="82">
        <f t="shared" si="63"/>
        <v>100</v>
      </c>
      <c r="N104" s="71">
        <f t="shared" si="69"/>
        <v>72.230002165072676</v>
      </c>
      <c r="O104" s="99">
        <v>18.344443559477522</v>
      </c>
      <c r="P104" s="87">
        <v>84.2</v>
      </c>
      <c r="Q104" s="70">
        <f t="shared" si="70"/>
        <v>39.435801977487507</v>
      </c>
      <c r="R104" s="90">
        <v>3.4000000000000002E-2</v>
      </c>
      <c r="S104" s="85">
        <v>4.897837E-2</v>
      </c>
      <c r="T104" s="85">
        <v>0.48</v>
      </c>
      <c r="U104" s="90">
        <v>3.593</v>
      </c>
      <c r="V104" s="70">
        <f t="shared" si="71"/>
        <v>38.846633038359791</v>
      </c>
      <c r="W104" s="85">
        <v>3.3290000000000002</v>
      </c>
      <c r="X104" s="98">
        <v>34.400000000000006</v>
      </c>
      <c r="Y104" s="87">
        <v>31.92</v>
      </c>
      <c r="Z104" s="214">
        <v>4.7</v>
      </c>
      <c r="AA104" s="71">
        <f t="shared" si="72"/>
        <v>69.789187911561825</v>
      </c>
      <c r="AB104" s="63"/>
      <c r="AC104" s="85">
        <v>18.985717034242992</v>
      </c>
      <c r="AD104" s="87">
        <v>47.3</v>
      </c>
      <c r="AE104" s="88">
        <v>50</v>
      </c>
      <c r="AF104" s="85">
        <v>3.5</v>
      </c>
      <c r="AG104" s="88">
        <v>50</v>
      </c>
      <c r="AH104" s="70">
        <f t="shared" si="73"/>
        <v>52.976375458726096</v>
      </c>
      <c r="AI104" s="85">
        <v>0.46</v>
      </c>
      <c r="AJ104" s="85">
        <v>3.62</v>
      </c>
      <c r="AK104" s="87">
        <v>76.099999999999994</v>
      </c>
      <c r="AL104" s="86">
        <v>5.4920042253588699</v>
      </c>
      <c r="AM104" s="85">
        <v>56.2231033105598</v>
      </c>
      <c r="AN104" s="70">
        <f t="shared" si="74"/>
        <v>54.227197969622864</v>
      </c>
      <c r="AO104" s="63"/>
      <c r="AP104" s="89">
        <v>94.775336309113797</v>
      </c>
      <c r="AQ104" s="89">
        <v>74.880220476196314</v>
      </c>
      <c r="AR104" s="89">
        <v>5.33</v>
      </c>
      <c r="AS104" s="158">
        <f t="shared" si="75"/>
        <v>84.801444315376614</v>
      </c>
      <c r="AT104" s="89">
        <v>73.747399999999999</v>
      </c>
      <c r="AU104" s="89">
        <v>71.622937297383785</v>
      </c>
      <c r="AV104" s="89">
        <v>43.623081483830184</v>
      </c>
      <c r="AW104" s="100">
        <v>11.2</v>
      </c>
      <c r="AX104" s="71">
        <f t="shared" si="76"/>
        <v>67.30645225998289</v>
      </c>
      <c r="AY104" s="86">
        <v>50.791542810456647</v>
      </c>
      <c r="AZ104" s="71">
        <f t="shared" si="77"/>
        <v>50.791542810456647</v>
      </c>
      <c r="BA104" s="86">
        <v>40.19</v>
      </c>
      <c r="BB104" s="71">
        <f t="shared" si="78"/>
        <v>59.81</v>
      </c>
      <c r="BC104" s="86">
        <v>37.08</v>
      </c>
      <c r="BD104" s="86">
        <v>60.13</v>
      </c>
      <c r="BE104" s="86">
        <v>43.28</v>
      </c>
      <c r="BF104" s="71">
        <f t="shared" si="79"/>
        <v>48.78</v>
      </c>
      <c r="BG104" s="63"/>
      <c r="BH104" s="85">
        <v>41.52</v>
      </c>
      <c r="BI104" s="85">
        <v>5.22</v>
      </c>
      <c r="BJ104" s="88">
        <v>32</v>
      </c>
      <c r="BK104" s="81">
        <v>81.818181818181813</v>
      </c>
      <c r="BL104" s="70">
        <f t="shared" si="80"/>
        <v>41.334455667789001</v>
      </c>
      <c r="BM104" s="90">
        <v>0.57433438692721117</v>
      </c>
      <c r="BN104" s="85">
        <v>74.7</v>
      </c>
      <c r="BO104" s="85">
        <v>52.996301478136502</v>
      </c>
      <c r="BP104" s="70">
        <f t="shared" si="81"/>
        <v>60.640794715894685</v>
      </c>
      <c r="BQ104" s="90">
        <v>0.54108623099196695</v>
      </c>
      <c r="BR104" s="90">
        <v>0.4176575010578148</v>
      </c>
      <c r="BS104" s="85">
        <v>40.976369399999996</v>
      </c>
      <c r="BT104" s="86">
        <v>53.504465699999997</v>
      </c>
      <c r="BU104" s="85">
        <v>72.044001699999995</v>
      </c>
      <c r="BV104" s="86">
        <v>51.604827999999998</v>
      </c>
      <c r="BW104" s="71">
        <f t="shared" si="82"/>
        <v>49.714341681049184</v>
      </c>
      <c r="BX104" s="86">
        <v>57.55</v>
      </c>
      <c r="BY104" s="158">
        <f t="shared" si="83"/>
        <v>57.55</v>
      </c>
      <c r="BZ104" s="54"/>
    </row>
    <row r="105" spans="1:80" s="5" customFormat="1" ht="15" customHeight="1" x14ac:dyDescent="0.25">
      <c r="A105" s="2">
        <v>99</v>
      </c>
      <c r="B105" s="14" t="s">
        <v>23</v>
      </c>
      <c r="C105" s="16" t="s">
        <v>26</v>
      </c>
      <c r="D105" s="162" t="s">
        <v>168</v>
      </c>
      <c r="E105" s="209">
        <f t="shared" si="64"/>
        <v>54.783932234680734</v>
      </c>
      <c r="F105" s="71">
        <f t="shared" si="65"/>
        <v>46.771437373418081</v>
      </c>
      <c r="G105" s="71">
        <f t="shared" si="66"/>
        <v>58.524079592397001</v>
      </c>
      <c r="H105" s="71">
        <f t="shared" si="67"/>
        <v>59.134767957476313</v>
      </c>
      <c r="I105" s="71">
        <f t="shared" si="68"/>
        <v>54.705444015431524</v>
      </c>
      <c r="J105" s="63"/>
      <c r="K105" s="85">
        <v>2.8689448102436677</v>
      </c>
      <c r="L105" s="208">
        <v>5.42</v>
      </c>
      <c r="M105" s="82">
        <f t="shared" si="63"/>
        <v>91.037037037037024</v>
      </c>
      <c r="N105" s="71">
        <f t="shared" si="69"/>
        <v>78.123767464316671</v>
      </c>
      <c r="O105" s="85">
        <v>22.199574525895624</v>
      </c>
      <c r="P105" s="87">
        <v>38.1</v>
      </c>
      <c r="Q105" s="70">
        <f t="shared" si="70"/>
        <v>62.066430292164227</v>
      </c>
      <c r="R105" s="90">
        <v>1.7999999999999999E-2</v>
      </c>
      <c r="S105" s="85">
        <v>-0.23993661999999999</v>
      </c>
      <c r="T105" s="85">
        <v>0.43</v>
      </c>
      <c r="U105" s="90">
        <v>4.25</v>
      </c>
      <c r="V105" s="70">
        <f t="shared" si="71"/>
        <v>32.06366811904762</v>
      </c>
      <c r="W105" s="85">
        <v>4.8029999999999999</v>
      </c>
      <c r="X105" s="87">
        <v>64.5</v>
      </c>
      <c r="Y105" s="87">
        <v>16.34</v>
      </c>
      <c r="Z105" s="214">
        <v>6.4</v>
      </c>
      <c r="AA105" s="71">
        <f t="shared" si="72"/>
        <v>54.469048094551916</v>
      </c>
      <c r="AB105" s="63"/>
      <c r="AC105" s="85">
        <v>21.738708954103803</v>
      </c>
      <c r="AD105" s="87">
        <v>44.2</v>
      </c>
      <c r="AE105" s="88">
        <v>80</v>
      </c>
      <c r="AF105" s="85">
        <v>5.5</v>
      </c>
      <c r="AG105" s="88">
        <v>51</v>
      </c>
      <c r="AH105" s="70">
        <f t="shared" si="73"/>
        <v>58.948882892479453</v>
      </c>
      <c r="AI105" s="85">
        <v>1.64</v>
      </c>
      <c r="AJ105" s="85">
        <v>3.29</v>
      </c>
      <c r="AK105" s="87">
        <v>95.9</v>
      </c>
      <c r="AL105" s="86">
        <v>4.8980599970348546</v>
      </c>
      <c r="AM105" s="85">
        <v>74.934457813190207</v>
      </c>
      <c r="AN105" s="70">
        <f t="shared" si="74"/>
        <v>58.099276292314549</v>
      </c>
      <c r="AO105" s="63"/>
      <c r="AP105" s="89">
        <v>96.300966602949487</v>
      </c>
      <c r="AQ105" s="89">
        <v>56.276475477551799</v>
      </c>
      <c r="AR105" s="89">
        <v>20.47</v>
      </c>
      <c r="AS105" s="158">
        <f t="shared" si="75"/>
        <v>72.095979389513275</v>
      </c>
      <c r="AT105" s="89">
        <v>74.110699999999994</v>
      </c>
      <c r="AU105" s="89">
        <v>74.044190854253102</v>
      </c>
      <c r="AV105" s="89">
        <v>45.573159160342001</v>
      </c>
      <c r="AW105" s="100">
        <v>5.2</v>
      </c>
      <c r="AX105" s="71">
        <f t="shared" si="76"/>
        <v>70.776730340053291</v>
      </c>
      <c r="AY105" s="86">
        <v>40.476869964317359</v>
      </c>
      <c r="AZ105" s="71">
        <f t="shared" si="77"/>
        <v>40.476869964317359</v>
      </c>
      <c r="BA105" s="86">
        <v>44.25</v>
      </c>
      <c r="BB105" s="71">
        <f t="shared" si="78"/>
        <v>55.75</v>
      </c>
      <c r="BC105" s="86">
        <v>40.01</v>
      </c>
      <c r="BD105" s="86">
        <v>27.01</v>
      </c>
      <c r="BE105" s="86">
        <v>38.79</v>
      </c>
      <c r="BF105" s="71">
        <f t="shared" si="79"/>
        <v>34.322000000000003</v>
      </c>
      <c r="BG105" s="63"/>
      <c r="BH105" s="85">
        <v>6.88</v>
      </c>
      <c r="BI105" s="85">
        <v>7.48</v>
      </c>
      <c r="BJ105" s="88">
        <v>113</v>
      </c>
      <c r="BK105" s="81">
        <v>81.818181818181813</v>
      </c>
      <c r="BL105" s="70">
        <f t="shared" si="80"/>
        <v>73.253133485391544</v>
      </c>
      <c r="BM105" s="90">
        <v>0.49683904720551397</v>
      </c>
      <c r="BN105" s="85">
        <v>54.67</v>
      </c>
      <c r="BO105" s="85">
        <v>39.166865104900928</v>
      </c>
      <c r="BP105" s="70">
        <f t="shared" si="81"/>
        <v>48.301168636500933</v>
      </c>
      <c r="BQ105" s="90">
        <v>0.47999390373906348</v>
      </c>
      <c r="BR105" s="90">
        <v>0.33318443719300972</v>
      </c>
      <c r="BS105" s="85">
        <v>27.1095641</v>
      </c>
      <c r="BT105" s="86">
        <v>44.447376999999996</v>
      </c>
      <c r="BU105" s="85">
        <v>64.6331579</v>
      </c>
      <c r="BV105" s="86">
        <v>52.636051799999997</v>
      </c>
      <c r="BW105" s="71">
        <f t="shared" si="82"/>
        <v>41.665171580381042</v>
      </c>
      <c r="BX105" s="86">
        <v>73.19</v>
      </c>
      <c r="BY105" s="158">
        <f t="shared" si="83"/>
        <v>73.19</v>
      </c>
      <c r="BZ105" s="54"/>
    </row>
    <row r="106" spans="1:80" s="5" customFormat="1" ht="15" customHeight="1" x14ac:dyDescent="0.25">
      <c r="A106" s="2">
        <v>100</v>
      </c>
      <c r="B106" s="14" t="s">
        <v>23</v>
      </c>
      <c r="C106" s="15" t="s">
        <v>24</v>
      </c>
      <c r="D106" s="162" t="s">
        <v>99</v>
      </c>
      <c r="E106" s="209">
        <f t="shared" si="64"/>
        <v>54.582139827858299</v>
      </c>
      <c r="F106" s="71">
        <f t="shared" si="65"/>
        <v>51.992999697309244</v>
      </c>
      <c r="G106" s="71">
        <f t="shared" si="66"/>
        <v>53.580997053025641</v>
      </c>
      <c r="H106" s="71">
        <f t="shared" si="67"/>
        <v>56.665578039367034</v>
      </c>
      <c r="I106" s="71">
        <f t="shared" si="68"/>
        <v>56.088984521731305</v>
      </c>
      <c r="J106" s="63"/>
      <c r="K106" s="85">
        <v>38.302663768894178</v>
      </c>
      <c r="L106" s="208">
        <v>4.08</v>
      </c>
      <c r="M106" s="82">
        <f t="shared" si="63"/>
        <v>96.000000000000014</v>
      </c>
      <c r="N106" s="71">
        <f t="shared" si="69"/>
        <v>98</v>
      </c>
      <c r="O106" s="85">
        <v>17.475447313993193</v>
      </c>
      <c r="P106" s="87">
        <v>28.6</v>
      </c>
      <c r="Q106" s="70">
        <f t="shared" si="70"/>
        <v>63.664137396662888</v>
      </c>
      <c r="R106" s="168">
        <v>0</v>
      </c>
      <c r="S106" s="99">
        <v>-2.3170538455639154</v>
      </c>
      <c r="T106" s="85">
        <v>0.42</v>
      </c>
      <c r="U106" s="90">
        <v>3.2330000000000001</v>
      </c>
      <c r="V106" s="70">
        <f t="shared" si="71"/>
        <v>29.470088524227219</v>
      </c>
      <c r="W106" s="85">
        <v>11.962</v>
      </c>
      <c r="X106" s="87">
        <v>49.4</v>
      </c>
      <c r="Y106" s="87">
        <v>99.62</v>
      </c>
      <c r="Z106" s="214">
        <v>4.2</v>
      </c>
      <c r="AA106" s="71">
        <f t="shared" si="72"/>
        <v>71.633339302784819</v>
      </c>
      <c r="AB106" s="63"/>
      <c r="AC106" s="85">
        <v>32.333978274186798</v>
      </c>
      <c r="AD106" s="87">
        <v>46.7</v>
      </c>
      <c r="AE106" s="88">
        <v>55</v>
      </c>
      <c r="AF106" s="85">
        <v>5</v>
      </c>
      <c r="AG106" s="91">
        <v>35.389407591616617</v>
      </c>
      <c r="AH106" s="70">
        <f t="shared" si="73"/>
        <v>59.788835499342689</v>
      </c>
      <c r="AI106" s="85">
        <v>-0.04</v>
      </c>
      <c r="AJ106" s="99">
        <v>3.45136755255422</v>
      </c>
      <c r="AK106" s="87">
        <v>76.400000000000006</v>
      </c>
      <c r="AL106" s="86">
        <v>4.3937428045578502</v>
      </c>
      <c r="AM106" s="85">
        <v>47.379906735238997</v>
      </c>
      <c r="AN106" s="70">
        <f t="shared" si="74"/>
        <v>47.373158606708586</v>
      </c>
      <c r="AO106" s="63"/>
      <c r="AP106" s="89">
        <v>86.427391506519783</v>
      </c>
      <c r="AQ106" s="89">
        <v>63.255954625684787</v>
      </c>
      <c r="AR106" s="89">
        <v>3.93</v>
      </c>
      <c r="AS106" s="158">
        <f t="shared" si="75"/>
        <v>77.252325189472344</v>
      </c>
      <c r="AT106" s="89">
        <v>70.446799999999996</v>
      </c>
      <c r="AU106" s="89">
        <v>64.688103291170734</v>
      </c>
      <c r="AV106" s="89">
        <v>40.40899985577866</v>
      </c>
      <c r="AW106" s="100">
        <v>2.5</v>
      </c>
      <c r="AX106" s="71">
        <f t="shared" si="76"/>
        <v>64.414547624616702</v>
      </c>
      <c r="AY106" s="86">
        <v>35.851620293532413</v>
      </c>
      <c r="AZ106" s="71">
        <f t="shared" si="77"/>
        <v>35.851620293532413</v>
      </c>
      <c r="BA106" s="86">
        <v>45.05</v>
      </c>
      <c r="BB106" s="71">
        <f t="shared" si="78"/>
        <v>54.95</v>
      </c>
      <c r="BC106" s="86">
        <v>3.67</v>
      </c>
      <c r="BD106" s="86">
        <v>30.48</v>
      </c>
      <c r="BE106" s="86">
        <v>45.11</v>
      </c>
      <c r="BF106" s="71">
        <f t="shared" si="79"/>
        <v>30.97</v>
      </c>
      <c r="BG106" s="63"/>
      <c r="BH106" s="85">
        <v>14.08</v>
      </c>
      <c r="BI106" s="85">
        <v>5.78</v>
      </c>
      <c r="BJ106" s="88">
        <v>86</v>
      </c>
      <c r="BK106" s="81">
        <v>81.818181818181813</v>
      </c>
      <c r="BL106" s="70">
        <f t="shared" si="80"/>
        <v>63.291763513268883</v>
      </c>
      <c r="BM106" s="90">
        <v>0.54924877952269135</v>
      </c>
      <c r="BN106" s="85">
        <v>59.58</v>
      </c>
      <c r="BO106" s="85">
        <v>46.951531539527053</v>
      </c>
      <c r="BP106" s="70">
        <f t="shared" si="81"/>
        <v>54.09532186101633</v>
      </c>
      <c r="BQ106" s="90">
        <v>0.52774526127386046</v>
      </c>
      <c r="BR106" s="90">
        <v>0.46415245478540618</v>
      </c>
      <c r="BS106" s="85">
        <v>40.833330599999996</v>
      </c>
      <c r="BT106" s="86">
        <v>49.430294099999998</v>
      </c>
      <c r="BU106" s="85">
        <v>69.592530699999998</v>
      </c>
      <c r="BV106" s="86">
        <v>47.805336599999997</v>
      </c>
      <c r="BW106" s="71">
        <f t="shared" si="82"/>
        <v>48.68127738602626</v>
      </c>
      <c r="BX106" s="92">
        <v>69.989999999999995</v>
      </c>
      <c r="BY106" s="158">
        <f t="shared" si="83"/>
        <v>69.989999999999995</v>
      </c>
      <c r="BZ106" s="54"/>
    </row>
    <row r="107" spans="1:80" s="5" customFormat="1" ht="15" customHeight="1" x14ac:dyDescent="0.25">
      <c r="A107" s="2">
        <v>101</v>
      </c>
      <c r="B107" s="14" t="s">
        <v>23</v>
      </c>
      <c r="C107" s="16" t="s">
        <v>26</v>
      </c>
      <c r="D107" s="162" t="s">
        <v>48</v>
      </c>
      <c r="E107" s="209">
        <f t="shared" si="64"/>
        <v>54.342498980545159</v>
      </c>
      <c r="F107" s="71">
        <f t="shared" si="65"/>
        <v>55.221650983511026</v>
      </c>
      <c r="G107" s="71">
        <f t="shared" si="66"/>
        <v>51.891912298358896</v>
      </c>
      <c r="H107" s="71">
        <f t="shared" si="67"/>
        <v>64.730612890292647</v>
      </c>
      <c r="I107" s="71">
        <f t="shared" si="68"/>
        <v>45.525819750018087</v>
      </c>
      <c r="J107" s="63"/>
      <c r="K107" s="85">
        <v>2.5929859657997323</v>
      </c>
      <c r="L107" s="208">
        <v>6.32</v>
      </c>
      <c r="M107" s="82">
        <f t="shared" si="63"/>
        <v>87.703703703703709</v>
      </c>
      <c r="N107" s="71">
        <f t="shared" si="69"/>
        <v>74.923996106294808</v>
      </c>
      <c r="O107" s="85">
        <v>14.415593493569128</v>
      </c>
      <c r="P107" s="87">
        <v>93.3</v>
      </c>
      <c r="Q107" s="70">
        <f t="shared" si="70"/>
        <v>33.208663051982846</v>
      </c>
      <c r="R107" s="90">
        <v>7.0999999999999994E-2</v>
      </c>
      <c r="S107" s="85">
        <v>0.36996417999999998</v>
      </c>
      <c r="T107" s="85">
        <v>0.74</v>
      </c>
      <c r="U107" s="90">
        <v>3.274</v>
      </c>
      <c r="V107" s="70">
        <f t="shared" si="71"/>
        <v>52.664715314814821</v>
      </c>
      <c r="W107" s="85">
        <v>5.97</v>
      </c>
      <c r="X107" s="87">
        <v>35.6</v>
      </c>
      <c r="Y107" s="87">
        <v>21.17</v>
      </c>
      <c r="Z107" s="214">
        <v>5</v>
      </c>
      <c r="AA107" s="71">
        <f t="shared" si="72"/>
        <v>65.662377030706836</v>
      </c>
      <c r="AB107" s="63"/>
      <c r="AC107" s="85">
        <v>16.839025231846946</v>
      </c>
      <c r="AD107" s="87">
        <v>49.2</v>
      </c>
      <c r="AE107" s="88">
        <v>40</v>
      </c>
      <c r="AF107" s="85">
        <v>14.5</v>
      </c>
      <c r="AG107" s="88">
        <v>46</v>
      </c>
      <c r="AH107" s="70">
        <f t="shared" si="73"/>
        <v>46.708068103282578</v>
      </c>
      <c r="AI107" s="85">
        <v>1.18</v>
      </c>
      <c r="AJ107" s="85">
        <v>3.73</v>
      </c>
      <c r="AK107" s="87">
        <v>70.599999999999994</v>
      </c>
      <c r="AL107" s="86">
        <v>3.8804898036111113</v>
      </c>
      <c r="AM107" s="85">
        <v>96.544742888389095</v>
      </c>
      <c r="AN107" s="70">
        <f t="shared" si="74"/>
        <v>57.075756493435222</v>
      </c>
      <c r="AO107" s="63"/>
      <c r="AP107" s="89">
        <v>95.451992379658563</v>
      </c>
      <c r="AQ107" s="89">
        <v>69.775922214691448</v>
      </c>
      <c r="AR107" s="89">
        <v>20.64</v>
      </c>
      <c r="AS107" s="158">
        <f t="shared" si="75"/>
        <v>78.590959202260365</v>
      </c>
      <c r="AT107" s="89">
        <v>76.1999</v>
      </c>
      <c r="AU107" s="89">
        <v>76.028226915009952</v>
      </c>
      <c r="AV107" s="89">
        <v>45.101860046135052</v>
      </c>
      <c r="AW107" s="100">
        <v>2.5</v>
      </c>
      <c r="AX107" s="71">
        <f t="shared" si="76"/>
        <v>74.337802673520784</v>
      </c>
      <c r="AY107" s="86">
        <v>47.929768615981153</v>
      </c>
      <c r="AZ107" s="71">
        <f t="shared" si="77"/>
        <v>47.929768615981153</v>
      </c>
      <c r="BA107" s="86">
        <v>50.26</v>
      </c>
      <c r="BB107" s="71">
        <f t="shared" si="78"/>
        <v>49.74</v>
      </c>
      <c r="BC107" s="86">
        <v>41.5</v>
      </c>
      <c r="BD107" s="86">
        <v>43.04</v>
      </c>
      <c r="BE107" s="86">
        <v>51.09</v>
      </c>
      <c r="BF107" s="71">
        <f t="shared" si="79"/>
        <v>45.951999999999998</v>
      </c>
      <c r="BG107" s="63"/>
      <c r="BH107" s="85">
        <v>18.690000000000001</v>
      </c>
      <c r="BI107" s="85">
        <v>7.07</v>
      </c>
      <c r="BJ107" s="88">
        <v>7</v>
      </c>
      <c r="BK107" s="81">
        <v>39.393939393939398</v>
      </c>
      <c r="BL107" s="70">
        <f t="shared" si="80"/>
        <v>19.184937185474823</v>
      </c>
      <c r="BM107" s="90">
        <v>0.50827306779421111</v>
      </c>
      <c r="BN107" s="85">
        <v>66.37</v>
      </c>
      <c r="BO107" s="85">
        <v>66.558018852313694</v>
      </c>
      <c r="BP107" s="70">
        <f t="shared" si="81"/>
        <v>58.645658102788978</v>
      </c>
      <c r="BQ107" s="90">
        <v>0.5167133492648478</v>
      </c>
      <c r="BR107" s="90">
        <v>0.42004041798715175</v>
      </c>
      <c r="BS107" s="85">
        <v>39.578258300000002</v>
      </c>
      <c r="BT107" s="86">
        <v>46.984959699999997</v>
      </c>
      <c r="BU107" s="85">
        <v>57.002221199999994</v>
      </c>
      <c r="BV107" s="86">
        <v>50.217499699999998</v>
      </c>
      <c r="BW107" s="71">
        <f t="shared" si="82"/>
        <v>46.231108636607679</v>
      </c>
      <c r="BX107" s="86">
        <v>69.55</v>
      </c>
      <c r="BY107" s="158">
        <f t="shared" si="83"/>
        <v>69.55</v>
      </c>
      <c r="BZ107" s="54"/>
    </row>
    <row r="108" spans="1:80" s="5" customFormat="1" ht="15" customHeight="1" x14ac:dyDescent="0.25">
      <c r="A108" s="2">
        <v>102</v>
      </c>
      <c r="B108" s="14" t="s">
        <v>23</v>
      </c>
      <c r="C108" s="16" t="s">
        <v>26</v>
      </c>
      <c r="D108" s="162" t="s">
        <v>169</v>
      </c>
      <c r="E108" s="209">
        <f t="shared" si="64"/>
        <v>54.167001162464231</v>
      </c>
      <c r="F108" s="71">
        <f t="shared" si="65"/>
        <v>48.453438000241221</v>
      </c>
      <c r="G108" s="71">
        <f t="shared" si="66"/>
        <v>57.90782874556951</v>
      </c>
      <c r="H108" s="71">
        <f t="shared" si="67"/>
        <v>61.474294953540785</v>
      </c>
      <c r="I108" s="71">
        <f t="shared" si="68"/>
        <v>48.832442950505396</v>
      </c>
      <c r="J108" s="63"/>
      <c r="K108" s="85">
        <v>1.2730211856940121</v>
      </c>
      <c r="L108" s="208">
        <v>4.42</v>
      </c>
      <c r="M108" s="82">
        <f t="shared" si="63"/>
        <v>94.740740740740733</v>
      </c>
      <c r="N108" s="71">
        <f t="shared" si="69"/>
        <v>71.10937695755932</v>
      </c>
      <c r="O108" s="85">
        <v>24.047618389049276</v>
      </c>
      <c r="P108" s="87">
        <v>30.2</v>
      </c>
      <c r="Q108" s="70">
        <f t="shared" si="70"/>
        <v>66.604232438360711</v>
      </c>
      <c r="R108" s="90">
        <v>0.04</v>
      </c>
      <c r="S108" s="85">
        <v>-0.59021354000000004</v>
      </c>
      <c r="T108" s="85">
        <v>0.51</v>
      </c>
      <c r="U108" s="90">
        <v>3.9079999999999999</v>
      </c>
      <c r="V108" s="70">
        <f t="shared" si="71"/>
        <v>37.015544399470897</v>
      </c>
      <c r="W108" s="85">
        <v>5.117</v>
      </c>
      <c r="X108" s="87">
        <v>70.5</v>
      </c>
      <c r="Y108" s="87">
        <v>15.33</v>
      </c>
      <c r="Z108" s="214">
        <v>7.1</v>
      </c>
      <c r="AA108" s="71">
        <f t="shared" si="72"/>
        <v>51.37637295598293</v>
      </c>
      <c r="AB108" s="63"/>
      <c r="AC108" s="85">
        <v>20.515334279935164</v>
      </c>
      <c r="AD108" s="87">
        <v>44</v>
      </c>
      <c r="AE108" s="88">
        <v>60</v>
      </c>
      <c r="AF108" s="85">
        <v>4.25</v>
      </c>
      <c r="AG108" s="88">
        <v>60</v>
      </c>
      <c r="AH108" s="70">
        <f t="shared" si="73"/>
        <v>56.587145930213183</v>
      </c>
      <c r="AI108" s="85">
        <v>2.21</v>
      </c>
      <c r="AJ108" s="85">
        <v>3.41</v>
      </c>
      <c r="AK108" s="87">
        <v>79.400000000000006</v>
      </c>
      <c r="AL108" s="86">
        <v>4.7101392900739496</v>
      </c>
      <c r="AM108" s="85">
        <v>83.593283564076103</v>
      </c>
      <c r="AN108" s="70">
        <f t="shared" si="74"/>
        <v>59.228511560925853</v>
      </c>
      <c r="AO108" s="63"/>
      <c r="AP108" s="89">
        <v>89.486530425941169</v>
      </c>
      <c r="AQ108" s="89">
        <v>60.831265467830747</v>
      </c>
      <c r="AR108" s="89">
        <v>36.200000000000003</v>
      </c>
      <c r="AS108" s="158">
        <f t="shared" si="75"/>
        <v>68.737265340400668</v>
      </c>
      <c r="AT108" s="89">
        <v>78.117199999999997</v>
      </c>
      <c r="AU108" s="89">
        <v>62.9178809583873</v>
      </c>
      <c r="AV108" s="89">
        <v>55.227149168404885</v>
      </c>
      <c r="AW108" s="100">
        <v>6.9</v>
      </c>
      <c r="AX108" s="71">
        <f t="shared" si="76"/>
        <v>73.071405911045034</v>
      </c>
      <c r="AY108" s="86">
        <v>47.215546198299378</v>
      </c>
      <c r="AZ108" s="71">
        <f t="shared" si="77"/>
        <v>47.215546198299378</v>
      </c>
      <c r="BA108" s="86">
        <v>40.130000000000003</v>
      </c>
      <c r="BB108" s="71">
        <f t="shared" si="78"/>
        <v>59.87</v>
      </c>
      <c r="BC108" s="86">
        <v>29.52</v>
      </c>
      <c r="BD108" s="86">
        <v>37.33</v>
      </c>
      <c r="BE108" s="86">
        <v>45.85</v>
      </c>
      <c r="BF108" s="71">
        <f t="shared" si="79"/>
        <v>39.176000000000002</v>
      </c>
      <c r="BG108" s="63"/>
      <c r="BH108" s="85">
        <v>8.6</v>
      </c>
      <c r="BI108" s="85">
        <v>6.62</v>
      </c>
      <c r="BJ108" s="88">
        <v>43</v>
      </c>
      <c r="BK108" s="81">
        <v>69.696969696969688</v>
      </c>
      <c r="BL108" s="70">
        <f t="shared" si="80"/>
        <v>44.335469389232827</v>
      </c>
      <c r="BM108" s="90">
        <v>0.60034843964346385</v>
      </c>
      <c r="BN108" s="85">
        <v>37.86</v>
      </c>
      <c r="BO108" s="85">
        <v>48.459970160836576</v>
      </c>
      <c r="BP108" s="70">
        <f t="shared" si="81"/>
        <v>51.597414522382337</v>
      </c>
      <c r="BQ108" s="90">
        <v>0.57322256488619949</v>
      </c>
      <c r="BR108" s="90">
        <v>0.36360125700193724</v>
      </c>
      <c r="BS108" s="85">
        <v>33.273036499999996</v>
      </c>
      <c r="BT108" s="86">
        <v>47.443647999999996</v>
      </c>
      <c r="BU108" s="85">
        <v>54.715813099999998</v>
      </c>
      <c r="BV108" s="86">
        <v>56.168895799999994</v>
      </c>
      <c r="BW108" s="71">
        <f t="shared" si="82"/>
        <v>45.3581464185214</v>
      </c>
      <c r="BX108" s="86">
        <v>63.94</v>
      </c>
      <c r="BY108" s="158">
        <f t="shared" si="83"/>
        <v>63.94</v>
      </c>
      <c r="BZ108" s="54"/>
      <c r="CA108" s="153"/>
    </row>
    <row r="109" spans="1:80" s="5" customFormat="1" ht="15" customHeight="1" x14ac:dyDescent="0.25">
      <c r="A109" s="2">
        <v>103</v>
      </c>
      <c r="B109" s="3" t="s">
        <v>10</v>
      </c>
      <c r="C109" s="22" t="s">
        <v>49</v>
      </c>
      <c r="D109" s="162" t="s">
        <v>106</v>
      </c>
      <c r="E109" s="209">
        <f t="shared" si="64"/>
        <v>54.148895699904955</v>
      </c>
      <c r="F109" s="71">
        <f t="shared" si="65"/>
        <v>54.845080753283618</v>
      </c>
      <c r="G109" s="71">
        <f t="shared" si="66"/>
        <v>61.995866196692639</v>
      </c>
      <c r="H109" s="71">
        <f t="shared" si="67"/>
        <v>53.043919440758287</v>
      </c>
      <c r="I109" s="71">
        <f t="shared" si="68"/>
        <v>46.71071640888529</v>
      </c>
      <c r="J109" s="63"/>
      <c r="K109" s="85">
        <v>4.28979033643615</v>
      </c>
      <c r="L109" s="208">
        <v>2.7199999999999998</v>
      </c>
      <c r="M109" s="82">
        <f t="shared" si="63"/>
        <v>100</v>
      </c>
      <c r="N109" s="71">
        <f t="shared" si="69"/>
        <v>90.498835202423052</v>
      </c>
      <c r="O109" s="85">
        <v>35.043148493834025</v>
      </c>
      <c r="P109" s="87">
        <v>41</v>
      </c>
      <c r="Q109" s="70">
        <f t="shared" si="70"/>
        <v>67.912860274352241</v>
      </c>
      <c r="R109" s="90">
        <v>8.5000000000000006E-2</v>
      </c>
      <c r="S109" s="85">
        <v>0.23433408</v>
      </c>
      <c r="T109" s="85">
        <v>0.53</v>
      </c>
      <c r="U109" s="90">
        <v>3.2549999999999999</v>
      </c>
      <c r="V109" s="70">
        <f t="shared" si="71"/>
        <v>46.415478264550266</v>
      </c>
      <c r="W109" s="85">
        <v>3.2370000000000001</v>
      </c>
      <c r="X109" s="87">
        <v>81</v>
      </c>
      <c r="Y109" s="87">
        <v>15.46</v>
      </c>
      <c r="Z109" s="214">
        <v>6.7</v>
      </c>
      <c r="AA109" s="71">
        <f t="shared" si="72"/>
        <v>49.60211623845337</v>
      </c>
      <c r="AB109" s="63"/>
      <c r="AC109" s="85">
        <v>28.767003993278884</v>
      </c>
      <c r="AD109" s="87">
        <v>39.700000000000003</v>
      </c>
      <c r="AE109" s="88">
        <v>50</v>
      </c>
      <c r="AF109" s="85">
        <v>5.5</v>
      </c>
      <c r="AG109" s="88">
        <v>60</v>
      </c>
      <c r="AH109" s="70">
        <f t="shared" si="73"/>
        <v>59.384412918596183</v>
      </c>
      <c r="AI109" s="85">
        <v>-0.27</v>
      </c>
      <c r="AJ109" s="85">
        <v>5.0199999999999996</v>
      </c>
      <c r="AK109" s="87">
        <v>81.5</v>
      </c>
      <c r="AL109" s="86">
        <v>4.9884458424367288</v>
      </c>
      <c r="AM109" s="85">
        <v>100</v>
      </c>
      <c r="AN109" s="70">
        <f t="shared" si="74"/>
        <v>64.607319474789094</v>
      </c>
      <c r="AO109" s="63"/>
      <c r="AP109" s="89">
        <v>70.672020599900577</v>
      </c>
      <c r="AQ109" s="89">
        <v>61.295157053330051</v>
      </c>
      <c r="AR109" s="89">
        <v>68.12</v>
      </c>
      <c r="AS109" s="158">
        <f t="shared" si="75"/>
        <v>56.285583676640172</v>
      </c>
      <c r="AT109" s="89">
        <v>71.437700000000007</v>
      </c>
      <c r="AU109" s="89">
        <v>57.284592571952651</v>
      </c>
      <c r="AV109" s="89">
        <v>58.771064659446765</v>
      </c>
      <c r="AW109" s="100">
        <v>6.3</v>
      </c>
      <c r="AX109" s="71">
        <f t="shared" si="76"/>
        <v>65.447454752076979</v>
      </c>
      <c r="AY109" s="86">
        <v>41.340057433485214</v>
      </c>
      <c r="AZ109" s="71">
        <f t="shared" si="77"/>
        <v>41.340057433485214</v>
      </c>
      <c r="BA109" s="86">
        <v>34.43</v>
      </c>
      <c r="BB109" s="71">
        <f t="shared" si="78"/>
        <v>65.569999999999993</v>
      </c>
      <c r="BC109" s="86">
        <v>16.760000000000002</v>
      </c>
      <c r="BD109" s="86">
        <v>20.62</v>
      </c>
      <c r="BE109" s="86">
        <v>32.31</v>
      </c>
      <c r="BF109" s="71">
        <f t="shared" si="79"/>
        <v>24.524000000000001</v>
      </c>
      <c r="BG109" s="63"/>
      <c r="BH109" s="85">
        <v>0.41</v>
      </c>
      <c r="BI109" s="85">
        <v>6.85</v>
      </c>
      <c r="BJ109" s="88">
        <v>45</v>
      </c>
      <c r="BK109" s="81">
        <v>24.242424242424239</v>
      </c>
      <c r="BL109" s="70">
        <f t="shared" si="80"/>
        <v>31.275491473878574</v>
      </c>
      <c r="BM109" s="90">
        <v>0.45073400994765045</v>
      </c>
      <c r="BN109" s="85">
        <v>43.02</v>
      </c>
      <c r="BO109" s="85">
        <v>38.706672891213444</v>
      </c>
      <c r="BP109" s="70">
        <f t="shared" si="81"/>
        <v>42.968368720185879</v>
      </c>
      <c r="BQ109" s="90">
        <v>0.62071422355925554</v>
      </c>
      <c r="BR109" s="90">
        <v>0.42322899720238516</v>
      </c>
      <c r="BS109" s="85">
        <v>36.830980099999998</v>
      </c>
      <c r="BT109" s="86">
        <v>54.8365911</v>
      </c>
      <c r="BU109" s="85">
        <v>55.4895207</v>
      </c>
      <c r="BV109" s="86">
        <v>56.829806599999998</v>
      </c>
      <c r="BW109" s="71">
        <f t="shared" si="82"/>
        <v>50.006665498171103</v>
      </c>
      <c r="BX109" s="86">
        <v>84.99</v>
      </c>
      <c r="BY109" s="158">
        <f t="shared" si="83"/>
        <v>84.99</v>
      </c>
      <c r="BZ109" s="54"/>
    </row>
    <row r="110" spans="1:80" s="5" customFormat="1" ht="15" customHeight="1" x14ac:dyDescent="0.25">
      <c r="A110" s="2">
        <v>104</v>
      </c>
      <c r="B110" s="6" t="s">
        <v>13</v>
      </c>
      <c r="C110" s="7" t="s">
        <v>14</v>
      </c>
      <c r="D110" s="162" t="s">
        <v>33</v>
      </c>
      <c r="E110" s="209">
        <f t="shared" si="64"/>
        <v>53.861357873580047</v>
      </c>
      <c r="F110" s="71">
        <f t="shared" si="65"/>
        <v>47.105553388336631</v>
      </c>
      <c r="G110" s="71">
        <f t="shared" si="66"/>
        <v>59.218339851011358</v>
      </c>
      <c r="H110" s="71">
        <f t="shared" si="67"/>
        <v>63.691367375428278</v>
      </c>
      <c r="I110" s="71">
        <f t="shared" si="68"/>
        <v>45.430170879543923</v>
      </c>
      <c r="J110" s="63"/>
      <c r="K110" s="86">
        <v>2.6325141489451864</v>
      </c>
      <c r="L110" s="207">
        <v>7.44</v>
      </c>
      <c r="M110" s="82">
        <f t="shared" si="63"/>
        <v>83.555555555555543</v>
      </c>
      <c r="N110" s="71">
        <f t="shared" si="69"/>
        <v>73.069523049695476</v>
      </c>
      <c r="O110" s="86">
        <v>23.463925954730662</v>
      </c>
      <c r="P110" s="100">
        <v>20.100000000000001</v>
      </c>
      <c r="Q110" s="70">
        <f t="shared" si="70"/>
        <v>70.768847752628133</v>
      </c>
      <c r="R110" s="167">
        <v>1.0999999999999999E-2</v>
      </c>
      <c r="S110" s="86">
        <v>-0.39122879999999999</v>
      </c>
      <c r="T110" s="86">
        <v>0.4</v>
      </c>
      <c r="U110" s="167">
        <v>3.7370000000000001</v>
      </c>
      <c r="V110" s="70">
        <f t="shared" si="71"/>
        <v>32.567750687830689</v>
      </c>
      <c r="W110" s="86">
        <v>5.4569999999999999</v>
      </c>
      <c r="X110" s="93">
        <v>65</v>
      </c>
      <c r="Y110" s="100">
        <v>26.41</v>
      </c>
      <c r="Z110" s="107">
        <v>10.6</v>
      </c>
      <c r="AA110" s="71">
        <f t="shared" si="72"/>
        <v>51.597594306230071</v>
      </c>
      <c r="AB110" s="63"/>
      <c r="AC110" s="86">
        <v>16.291616961284024</v>
      </c>
      <c r="AD110" s="100">
        <v>53.3</v>
      </c>
      <c r="AE110" s="95">
        <v>70</v>
      </c>
      <c r="AF110" s="85">
        <v>6.5</v>
      </c>
      <c r="AG110" s="88">
        <v>53</v>
      </c>
      <c r="AH110" s="70">
        <f t="shared" si="73"/>
        <v>55.244411307522682</v>
      </c>
      <c r="AI110" s="86">
        <v>-1.24</v>
      </c>
      <c r="AJ110" s="86">
        <v>4.62</v>
      </c>
      <c r="AK110" s="100">
        <v>87.9</v>
      </c>
      <c r="AL110" s="86">
        <v>5.8139657391413033</v>
      </c>
      <c r="AM110" s="86">
        <v>93.924295584174203</v>
      </c>
      <c r="AN110" s="70">
        <f t="shared" si="74"/>
        <v>63.192268394500047</v>
      </c>
      <c r="AO110" s="63"/>
      <c r="AP110" s="89">
        <v>93.961445252914444</v>
      </c>
      <c r="AQ110" s="89">
        <v>70.513832958380064</v>
      </c>
      <c r="AR110" s="89">
        <v>1.06</v>
      </c>
      <c r="AS110" s="158">
        <f t="shared" si="75"/>
        <v>83.482277792418643</v>
      </c>
      <c r="AT110" s="89">
        <v>74.732200000000006</v>
      </c>
      <c r="AU110" s="89">
        <v>53.971510256384562</v>
      </c>
      <c r="AV110" s="89">
        <v>53.960177212745464</v>
      </c>
      <c r="AW110" s="100">
        <v>2.5</v>
      </c>
      <c r="AX110" s="71">
        <f t="shared" si="76"/>
        <v>68.408054498214454</v>
      </c>
      <c r="AY110" s="86">
        <v>45.800315411794237</v>
      </c>
      <c r="AZ110" s="71">
        <f t="shared" si="77"/>
        <v>45.800315411794237</v>
      </c>
      <c r="BA110" s="86">
        <v>26.55</v>
      </c>
      <c r="BB110" s="71">
        <f t="shared" si="78"/>
        <v>73.45</v>
      </c>
      <c r="BC110" s="86">
        <v>32.25</v>
      </c>
      <c r="BD110" s="86">
        <v>28.57</v>
      </c>
      <c r="BE110" s="86">
        <v>49.19</v>
      </c>
      <c r="BF110" s="71">
        <f t="shared" si="79"/>
        <v>37.553999999999995</v>
      </c>
      <c r="BG110" s="63"/>
      <c r="BH110" s="86">
        <v>1.99</v>
      </c>
      <c r="BI110" s="86">
        <v>5.03</v>
      </c>
      <c r="BJ110" s="95">
        <v>94</v>
      </c>
      <c r="BK110" s="82">
        <v>33.333333333333329</v>
      </c>
      <c r="BL110" s="70">
        <f t="shared" si="80"/>
        <v>52.699382716049385</v>
      </c>
      <c r="BM110" s="96">
        <v>0.27093039858453277</v>
      </c>
      <c r="BN110" s="86">
        <v>23.95</v>
      </c>
      <c r="BO110" s="86">
        <v>42.123480139113333</v>
      </c>
      <c r="BP110" s="70">
        <f t="shared" si="81"/>
        <v>30.064889964004969</v>
      </c>
      <c r="BQ110" s="96">
        <v>0.37258431274753789</v>
      </c>
      <c r="BR110" s="96">
        <v>0.48373463364403363</v>
      </c>
      <c r="BS110" s="86">
        <v>32.166063399999999</v>
      </c>
      <c r="BT110" s="86">
        <v>54.570486099999997</v>
      </c>
      <c r="BU110" s="86">
        <v>63.4960375</v>
      </c>
      <c r="BV110" s="86">
        <v>56.990249299999995</v>
      </c>
      <c r="BW110" s="71">
        <f t="shared" si="82"/>
        <v>47.45959488951452</v>
      </c>
      <c r="BX110" s="86">
        <v>66.25</v>
      </c>
      <c r="BY110" s="158">
        <f t="shared" si="83"/>
        <v>66.25</v>
      </c>
      <c r="BZ110" s="54"/>
    </row>
    <row r="111" spans="1:80" s="5" customFormat="1" ht="15" customHeight="1" x14ac:dyDescent="0.25">
      <c r="A111" s="2">
        <v>105</v>
      </c>
      <c r="B111" s="14" t="s">
        <v>23</v>
      </c>
      <c r="C111" s="16" t="s">
        <v>26</v>
      </c>
      <c r="D111" s="162" t="s">
        <v>144</v>
      </c>
      <c r="E111" s="209">
        <f t="shared" si="64"/>
        <v>53.612156619688569</v>
      </c>
      <c r="F111" s="71">
        <f t="shared" si="65"/>
        <v>54.470730087710528</v>
      </c>
      <c r="G111" s="71">
        <f t="shared" si="66"/>
        <v>57.955959833163313</v>
      </c>
      <c r="H111" s="71">
        <f t="shared" si="67"/>
        <v>63.406573959173883</v>
      </c>
      <c r="I111" s="71">
        <f t="shared" si="68"/>
        <v>38.615362598706561</v>
      </c>
      <c r="J111" s="63"/>
      <c r="K111" s="85">
        <v>1.3316813414627982</v>
      </c>
      <c r="L111" s="208">
        <v>5.5200000000000005</v>
      </c>
      <c r="M111" s="82">
        <f t="shared" si="63"/>
        <v>90.666666666666671</v>
      </c>
      <c r="N111" s="71">
        <f t="shared" si="69"/>
        <v>69.398229674793328</v>
      </c>
      <c r="O111" s="85">
        <v>18.257553564590889</v>
      </c>
      <c r="P111" s="87">
        <v>61.8</v>
      </c>
      <c r="Q111" s="70">
        <f t="shared" si="70"/>
        <v>49.343085313661597</v>
      </c>
      <c r="R111" s="90">
        <v>0.17299999999999999</v>
      </c>
      <c r="S111" s="85">
        <v>0.93636702999999999</v>
      </c>
      <c r="T111" s="85">
        <v>0.63</v>
      </c>
      <c r="U111" s="90">
        <v>4.8259999999999996</v>
      </c>
      <c r="V111" s="70">
        <f t="shared" si="71"/>
        <v>50.736469263227512</v>
      </c>
      <c r="W111" s="85">
        <v>2.673</v>
      </c>
      <c r="X111" s="87">
        <v>56.7</v>
      </c>
      <c r="Y111" s="87">
        <v>22.71</v>
      </c>
      <c r="Z111" s="214">
        <v>6.6</v>
      </c>
      <c r="AA111" s="71">
        <f t="shared" si="72"/>
        <v>59.044838766272818</v>
      </c>
      <c r="AB111" s="63"/>
      <c r="AC111" s="85">
        <v>22.405764259562464</v>
      </c>
      <c r="AD111" s="87">
        <v>37.6</v>
      </c>
      <c r="AE111" s="88">
        <v>75</v>
      </c>
      <c r="AF111" s="85">
        <v>6.5</v>
      </c>
      <c r="AG111" s="88">
        <v>58</v>
      </c>
      <c r="AH111" s="70">
        <f t="shared" si="73"/>
        <v>58.370509506374979</v>
      </c>
      <c r="AI111" s="85">
        <v>0.8</v>
      </c>
      <c r="AJ111" s="85">
        <v>4.1900000000000004</v>
      </c>
      <c r="AK111" s="87">
        <v>75.400000000000006</v>
      </c>
      <c r="AL111" s="86">
        <v>4.1018107732003433</v>
      </c>
      <c r="AM111" s="85">
        <v>85.762245495702999</v>
      </c>
      <c r="AN111" s="70">
        <f t="shared" si="74"/>
        <v>57.541410159951646</v>
      </c>
      <c r="AO111" s="63"/>
      <c r="AP111" s="89">
        <v>95.243894286827043</v>
      </c>
      <c r="AQ111" s="89">
        <v>66.821175428460975</v>
      </c>
      <c r="AR111" s="89">
        <v>21.4</v>
      </c>
      <c r="AS111" s="158">
        <f t="shared" si="75"/>
        <v>76.871561285937247</v>
      </c>
      <c r="AT111" s="89">
        <v>75.445599999999999</v>
      </c>
      <c r="AU111" s="89">
        <v>65.435091460192638</v>
      </c>
      <c r="AV111" s="89">
        <v>52.818807345719691</v>
      </c>
      <c r="AW111" s="100">
        <v>2.7</v>
      </c>
      <c r="AX111" s="71">
        <f t="shared" si="76"/>
        <v>71.998894677542694</v>
      </c>
      <c r="AY111" s="86">
        <v>47.675882002198534</v>
      </c>
      <c r="AZ111" s="71">
        <f t="shared" si="77"/>
        <v>47.675882002198534</v>
      </c>
      <c r="BA111" s="86">
        <v>42.63</v>
      </c>
      <c r="BB111" s="71">
        <f t="shared" si="78"/>
        <v>57.37</v>
      </c>
      <c r="BC111" s="86">
        <v>48.16</v>
      </c>
      <c r="BD111" s="86">
        <v>34.200000000000003</v>
      </c>
      <c r="BE111" s="86">
        <v>46.76</v>
      </c>
      <c r="BF111" s="71">
        <f t="shared" si="79"/>
        <v>42.015999999999998</v>
      </c>
      <c r="BG111" s="63"/>
      <c r="BH111" s="85">
        <v>25.64</v>
      </c>
      <c r="BI111" s="85">
        <v>7.68</v>
      </c>
      <c r="BJ111" s="88">
        <v>4</v>
      </c>
      <c r="BK111" s="81">
        <v>27.272727272727298</v>
      </c>
      <c r="BL111" s="70">
        <f t="shared" si="80"/>
        <v>12.405684080952907</v>
      </c>
      <c r="BM111" s="90">
        <v>0.48541793990750909</v>
      </c>
      <c r="BN111" s="85">
        <v>45.23</v>
      </c>
      <c r="BO111" s="85">
        <v>59.318209488668309</v>
      </c>
      <c r="BP111" s="70">
        <f t="shared" si="81"/>
        <v>50.407949367542535</v>
      </c>
      <c r="BQ111" s="90">
        <v>0.40670965729041803</v>
      </c>
      <c r="BR111" s="90">
        <v>0.30081239802623189</v>
      </c>
      <c r="BS111" s="85">
        <v>28.810029099999998</v>
      </c>
      <c r="BT111" s="86">
        <v>47.064098799999996</v>
      </c>
      <c r="BU111" s="85">
        <v>53.6732923</v>
      </c>
      <c r="BV111" s="86">
        <v>51.774932199999995</v>
      </c>
      <c r="BW111" s="71">
        <f t="shared" si="82"/>
        <v>40.233019337730212</v>
      </c>
      <c r="BX111" s="86">
        <v>63.1</v>
      </c>
      <c r="BY111" s="158">
        <f t="shared" si="83"/>
        <v>63.1</v>
      </c>
      <c r="BZ111" s="54"/>
      <c r="CA111" s="20"/>
    </row>
    <row r="112" spans="1:80" s="5" customFormat="1" ht="15" customHeight="1" x14ac:dyDescent="0.25">
      <c r="A112" s="2">
        <v>106</v>
      </c>
      <c r="B112" s="3" t="s">
        <v>10</v>
      </c>
      <c r="C112" s="4" t="s">
        <v>11</v>
      </c>
      <c r="D112" s="162" t="s">
        <v>138</v>
      </c>
      <c r="E112" s="209">
        <f t="shared" si="64"/>
        <v>53.485200111234072</v>
      </c>
      <c r="F112" s="71">
        <f t="shared" si="65"/>
        <v>40.117162486526432</v>
      </c>
      <c r="G112" s="71">
        <f t="shared" si="66"/>
        <v>50.289841117044745</v>
      </c>
      <c r="H112" s="71">
        <f t="shared" si="67"/>
        <v>64.789061212279591</v>
      </c>
      <c r="I112" s="71">
        <f t="shared" si="68"/>
        <v>58.744735629085511</v>
      </c>
      <c r="J112" s="63"/>
      <c r="K112" s="86">
        <v>6.3811354335832071</v>
      </c>
      <c r="L112" s="207">
        <v>2.06</v>
      </c>
      <c r="M112" s="82">
        <f t="shared" si="63"/>
        <v>100</v>
      </c>
      <c r="N112" s="71">
        <f t="shared" si="69"/>
        <v>100</v>
      </c>
      <c r="O112" s="86">
        <v>11.193374103036824</v>
      </c>
      <c r="P112" s="100">
        <v>125.4</v>
      </c>
      <c r="Q112" s="70">
        <f t="shared" si="70"/>
        <v>17.151874501687121</v>
      </c>
      <c r="R112" s="167">
        <v>2E-3</v>
      </c>
      <c r="S112" s="92">
        <v>-0.45447021387276965</v>
      </c>
      <c r="T112" s="86">
        <v>0.41</v>
      </c>
      <c r="U112" s="167">
        <v>4.548</v>
      </c>
      <c r="V112" s="70">
        <f t="shared" si="71"/>
        <v>28.196841998501565</v>
      </c>
      <c r="W112" s="86">
        <v>4.5140000000000002</v>
      </c>
      <c r="X112" s="100">
        <v>47.3</v>
      </c>
      <c r="Y112" s="100">
        <v>20.53</v>
      </c>
      <c r="Z112" s="215">
        <v>11.5</v>
      </c>
      <c r="AA112" s="71">
        <f t="shared" si="72"/>
        <v>53.783841248090312</v>
      </c>
      <c r="AB112" s="63"/>
      <c r="AC112" s="86">
        <v>34.841236249506672</v>
      </c>
      <c r="AD112" s="100">
        <v>52.2</v>
      </c>
      <c r="AE112" s="95">
        <v>35</v>
      </c>
      <c r="AF112" s="85">
        <v>7</v>
      </c>
      <c r="AG112" s="88">
        <v>20</v>
      </c>
      <c r="AH112" s="70">
        <f t="shared" si="73"/>
        <v>55.965952371465988</v>
      </c>
      <c r="AI112" s="86">
        <v>0.23</v>
      </c>
      <c r="AJ112" s="92">
        <v>3.1431716965089294</v>
      </c>
      <c r="AK112" s="100">
        <v>89.9</v>
      </c>
      <c r="AL112" s="92">
        <v>5.0729452485058308</v>
      </c>
      <c r="AM112" s="86">
        <v>14.8191817929011</v>
      </c>
      <c r="AN112" s="70">
        <f t="shared" si="74"/>
        <v>44.613729862623494</v>
      </c>
      <c r="AO112" s="63"/>
      <c r="AP112" s="89">
        <v>89.14040576691049</v>
      </c>
      <c r="AQ112" s="89">
        <v>69.154972248593296</v>
      </c>
      <c r="AR112" s="89">
        <v>5.03</v>
      </c>
      <c r="AS112" s="158">
        <f t="shared" si="75"/>
        <v>80.605087566024281</v>
      </c>
      <c r="AT112" s="89">
        <v>81.508099999999999</v>
      </c>
      <c r="AU112" s="89">
        <v>68.283727524501614</v>
      </c>
      <c r="AV112" s="89">
        <v>60.245083353476694</v>
      </c>
      <c r="AW112" s="93">
        <v>3.4</v>
      </c>
      <c r="AX112" s="71">
        <f t="shared" si="76"/>
        <v>80.182304480041651</v>
      </c>
      <c r="AY112" s="86">
        <v>39.875531011035747</v>
      </c>
      <c r="AZ112" s="71">
        <f t="shared" si="77"/>
        <v>39.875531011035747</v>
      </c>
      <c r="BA112" s="86">
        <v>29.29</v>
      </c>
      <c r="BB112" s="71">
        <f t="shared" si="78"/>
        <v>70.710000000000008</v>
      </c>
      <c r="BC112" s="86">
        <v>11</v>
      </c>
      <c r="BD112" s="86">
        <v>48.01</v>
      </c>
      <c r="BE112" s="86">
        <v>23.23</v>
      </c>
      <c r="BF112" s="71">
        <f t="shared" si="79"/>
        <v>30.695999999999998</v>
      </c>
      <c r="BG112" s="63"/>
      <c r="BH112" s="86">
        <v>0.62</v>
      </c>
      <c r="BI112" s="86">
        <v>4.42</v>
      </c>
      <c r="BJ112" s="95">
        <v>156</v>
      </c>
      <c r="BK112" s="82">
        <v>78.787878787878782</v>
      </c>
      <c r="BL112" s="70">
        <f t="shared" si="80"/>
        <v>90.703367003367006</v>
      </c>
      <c r="BM112" s="96">
        <v>0.47527823426970905</v>
      </c>
      <c r="BN112" s="86">
        <v>49.23</v>
      </c>
      <c r="BO112" s="86">
        <v>44.412460583465965</v>
      </c>
      <c r="BP112" s="70">
        <f t="shared" si="81"/>
        <v>47.174526859351943</v>
      </c>
      <c r="BQ112" s="96">
        <v>0.47349216109886116</v>
      </c>
      <c r="BR112" s="96">
        <v>0.54414496137764101</v>
      </c>
      <c r="BS112" s="86">
        <v>41.054606999999997</v>
      </c>
      <c r="BT112" s="86">
        <v>47.037769699999998</v>
      </c>
      <c r="BU112" s="86">
        <v>64.964192499999996</v>
      </c>
      <c r="BV112" s="86">
        <v>51.1509754</v>
      </c>
      <c r="BW112" s="71">
        <f t="shared" si="82"/>
        <v>49.101530915537637</v>
      </c>
      <c r="BX112" s="92">
        <v>47.31</v>
      </c>
      <c r="BY112" s="158">
        <f t="shared" si="83"/>
        <v>47.31</v>
      </c>
      <c r="BZ112" s="54"/>
    </row>
    <row r="113" spans="1:79" s="5" customFormat="1" ht="15" customHeight="1" x14ac:dyDescent="0.25">
      <c r="A113" s="2">
        <v>107</v>
      </c>
      <c r="B113" s="8" t="s">
        <v>16</v>
      </c>
      <c r="C113" s="9" t="s">
        <v>17</v>
      </c>
      <c r="D113" s="162" t="s">
        <v>18</v>
      </c>
      <c r="E113" s="209">
        <f t="shared" si="64"/>
        <v>53.3901980241803</v>
      </c>
      <c r="F113" s="71">
        <f t="shared" si="65"/>
        <v>49.070246429345886</v>
      </c>
      <c r="G113" s="71">
        <f t="shared" si="66"/>
        <v>54.688765899898435</v>
      </c>
      <c r="H113" s="71">
        <f t="shared" si="67"/>
        <v>62.575838309015808</v>
      </c>
      <c r="I113" s="71">
        <f t="shared" si="68"/>
        <v>47.225941458461058</v>
      </c>
      <c r="J113" s="63"/>
      <c r="K113" s="85">
        <v>2.3087199442510364</v>
      </c>
      <c r="L113" s="208">
        <v>6.24</v>
      </c>
      <c r="M113" s="82">
        <f t="shared" si="63"/>
        <v>87.999999999999986</v>
      </c>
      <c r="N113" s="71">
        <f t="shared" si="69"/>
        <v>73.492888579172416</v>
      </c>
      <c r="O113" s="85">
        <v>39.419856267981245</v>
      </c>
      <c r="P113" s="87">
        <v>54.1</v>
      </c>
      <c r="Q113" s="70">
        <f t="shared" si="70"/>
        <v>64.522142371100699</v>
      </c>
      <c r="R113" s="90">
        <v>1.6E-2</v>
      </c>
      <c r="S113" s="85">
        <v>-1.0560354000000001</v>
      </c>
      <c r="T113" s="85">
        <v>0.4</v>
      </c>
      <c r="U113" s="90">
        <v>3.34</v>
      </c>
      <c r="V113" s="70">
        <f t="shared" si="71"/>
        <v>32.981912248677247</v>
      </c>
      <c r="W113" s="85">
        <v>11.632999999999999</v>
      </c>
      <c r="X113" s="98">
        <v>65</v>
      </c>
      <c r="Y113" s="87">
        <v>27.85</v>
      </c>
      <c r="Z113" s="214">
        <v>1.9</v>
      </c>
      <c r="AA113" s="71">
        <f t="shared" si="72"/>
        <v>62.206720365699681</v>
      </c>
      <c r="AB113" s="63"/>
      <c r="AC113" s="85">
        <v>39.398284739037791</v>
      </c>
      <c r="AD113" s="87">
        <v>27.7</v>
      </c>
      <c r="AE113" s="88">
        <v>30</v>
      </c>
      <c r="AF113" s="85">
        <v>2.5</v>
      </c>
      <c r="AG113" s="91">
        <v>35.372544875905518</v>
      </c>
      <c r="AH113" s="70">
        <f t="shared" si="73"/>
        <v>57.80325499765047</v>
      </c>
      <c r="AI113" s="85">
        <v>-1.9</v>
      </c>
      <c r="AJ113" s="85">
        <v>4.7300000000000004</v>
      </c>
      <c r="AK113" s="87">
        <v>80.3</v>
      </c>
      <c r="AL113" s="86">
        <v>4.1885907343648974</v>
      </c>
      <c r="AM113" s="85">
        <v>66.023846125580405</v>
      </c>
      <c r="AN113" s="70">
        <f t="shared" si="74"/>
        <v>51.574276802146393</v>
      </c>
      <c r="AO113" s="63"/>
      <c r="AP113" s="89">
        <v>89.420945028194978</v>
      </c>
      <c r="AQ113" s="89">
        <v>63.837866311294093</v>
      </c>
      <c r="AR113" s="89">
        <v>32.92</v>
      </c>
      <c r="AS113" s="158">
        <f t="shared" si="75"/>
        <v>71.044169412695794</v>
      </c>
      <c r="AT113" s="89">
        <v>76.686599999999999</v>
      </c>
      <c r="AU113" s="89">
        <v>67.099938145412338</v>
      </c>
      <c r="AV113" s="89">
        <v>52.067406313712105</v>
      </c>
      <c r="AW113" s="100">
        <v>2.5</v>
      </c>
      <c r="AX113" s="71">
        <f t="shared" si="76"/>
        <v>73.674940122670492</v>
      </c>
      <c r="AY113" s="86">
        <v>43.042267651628762</v>
      </c>
      <c r="AZ113" s="71">
        <f t="shared" si="77"/>
        <v>43.042267651628762</v>
      </c>
      <c r="BA113" s="86">
        <v>27.62</v>
      </c>
      <c r="BB113" s="71">
        <f t="shared" si="78"/>
        <v>72.38</v>
      </c>
      <c r="BC113" s="86">
        <v>31.57</v>
      </c>
      <c r="BD113" s="86">
        <v>54.83</v>
      </c>
      <c r="BE113" s="86">
        <v>45.61</v>
      </c>
      <c r="BF113" s="71">
        <f t="shared" si="79"/>
        <v>46.489999999999995</v>
      </c>
      <c r="BG113" s="63"/>
      <c r="BH113" s="85">
        <v>1.38</v>
      </c>
      <c r="BI113" s="85">
        <v>4.97</v>
      </c>
      <c r="BJ113" s="88">
        <v>71</v>
      </c>
      <c r="BK113" s="81">
        <v>54.545454545454547</v>
      </c>
      <c r="BL113" s="70">
        <f t="shared" si="80"/>
        <v>51.676362188190147</v>
      </c>
      <c r="BM113" s="90">
        <v>0.40223499834271198</v>
      </c>
      <c r="BN113" s="85">
        <v>37.380000000000003</v>
      </c>
      <c r="BO113" s="85">
        <v>40.923697885772562</v>
      </c>
      <c r="BP113" s="70">
        <f t="shared" si="81"/>
        <v>39.687674388578735</v>
      </c>
      <c r="BQ113" s="90">
        <v>0.47197536777276378</v>
      </c>
      <c r="BR113" s="90">
        <v>0.48151645255719044</v>
      </c>
      <c r="BS113" s="85">
        <v>35.843598</v>
      </c>
      <c r="BT113" s="86">
        <v>46.456307899999999</v>
      </c>
      <c r="BU113" s="85">
        <v>54.046796799999996</v>
      </c>
      <c r="BV113" s="86">
        <v>42.992482599999995</v>
      </c>
      <c r="BW113" s="71">
        <f t="shared" si="82"/>
        <v>44.815853128114</v>
      </c>
      <c r="BX113" s="86">
        <v>67.150000000000006</v>
      </c>
      <c r="BY113" s="158">
        <f t="shared" si="83"/>
        <v>67.150000000000006</v>
      </c>
      <c r="BZ113" s="54"/>
    </row>
    <row r="114" spans="1:79" s="5" customFormat="1" ht="15" customHeight="1" x14ac:dyDescent="0.25">
      <c r="A114" s="2">
        <v>108</v>
      </c>
      <c r="B114" s="8" t="s">
        <v>16</v>
      </c>
      <c r="C114" s="9" t="s">
        <v>17</v>
      </c>
      <c r="D114" s="162" t="s">
        <v>209</v>
      </c>
      <c r="E114" s="209">
        <f t="shared" si="64"/>
        <v>53.126483963812063</v>
      </c>
      <c r="F114" s="71">
        <f t="shared" si="65"/>
        <v>48.98098717804087</v>
      </c>
      <c r="G114" s="71">
        <f t="shared" si="66"/>
        <v>48.414955155291608</v>
      </c>
      <c r="H114" s="71">
        <f t="shared" si="67"/>
        <v>62.452293515226387</v>
      </c>
      <c r="I114" s="71">
        <f t="shared" si="68"/>
        <v>52.657700006689375</v>
      </c>
      <c r="J114" s="63"/>
      <c r="K114" s="85">
        <v>1.132365634506427</v>
      </c>
      <c r="L114" s="208">
        <v>7.12</v>
      </c>
      <c r="M114" s="82">
        <f t="shared" si="63"/>
        <v>84.740740740740733</v>
      </c>
      <c r="N114" s="71">
        <f t="shared" si="69"/>
        <v>65.327957228739407</v>
      </c>
      <c r="O114" s="85">
        <v>5.4895816348918114</v>
      </c>
      <c r="P114" s="87">
        <v>81.3</v>
      </c>
      <c r="Q114" s="70">
        <f t="shared" si="70"/>
        <v>33.583100908273231</v>
      </c>
      <c r="R114" s="90">
        <v>3.4000000000000002E-2</v>
      </c>
      <c r="S114" s="85">
        <v>0.54655372999999996</v>
      </c>
      <c r="T114" s="85">
        <v>0.53</v>
      </c>
      <c r="U114" s="90">
        <v>3.61</v>
      </c>
      <c r="V114" s="70">
        <f t="shared" si="71"/>
        <v>41.814501101851853</v>
      </c>
      <c r="W114" s="85">
        <v>15.108000000000001</v>
      </c>
      <c r="X114" s="87">
        <v>36.9</v>
      </c>
      <c r="Y114" s="87">
        <v>19.32</v>
      </c>
      <c r="Z114" s="214">
        <v>2.2999999999999998</v>
      </c>
      <c r="AA114" s="71">
        <f t="shared" si="72"/>
        <v>66.013903072000076</v>
      </c>
      <c r="AB114" s="63"/>
      <c r="AC114" s="85">
        <v>15.211635409481437</v>
      </c>
      <c r="AD114" s="87">
        <v>55.7</v>
      </c>
      <c r="AE114" s="88">
        <v>20</v>
      </c>
      <c r="AF114" s="85">
        <v>7</v>
      </c>
      <c r="AG114" s="88">
        <v>23</v>
      </c>
      <c r="AH114" s="70">
        <f t="shared" si="73"/>
        <v>41.462885144782497</v>
      </c>
      <c r="AI114" s="85">
        <v>-0.05</v>
      </c>
      <c r="AJ114" s="85">
        <v>3.36</v>
      </c>
      <c r="AK114" s="87">
        <v>68.5</v>
      </c>
      <c r="AL114" s="86">
        <v>5.3824270389960827</v>
      </c>
      <c r="AM114" s="85">
        <v>81.928610214882696</v>
      </c>
      <c r="AN114" s="70">
        <f t="shared" si="74"/>
        <v>55.367025165800726</v>
      </c>
      <c r="AO114" s="63"/>
      <c r="AP114" s="89">
        <v>92.573004402985276</v>
      </c>
      <c r="AQ114" s="89">
        <v>67.448448729555295</v>
      </c>
      <c r="AR114" s="89">
        <v>20.010000000000002</v>
      </c>
      <c r="AS114" s="158">
        <f t="shared" si="75"/>
        <v>76.864975465523969</v>
      </c>
      <c r="AT114" s="89">
        <v>76.903300000000002</v>
      </c>
      <c r="AU114" s="89">
        <v>65.441360640698235</v>
      </c>
      <c r="AV114" s="89">
        <v>48.873562809001854</v>
      </c>
      <c r="AW114" s="100">
        <v>3</v>
      </c>
      <c r="AX114" s="71">
        <f t="shared" si="76"/>
        <v>72.693884668147476</v>
      </c>
      <c r="AY114" s="86">
        <v>42.302360059975086</v>
      </c>
      <c r="AZ114" s="71">
        <f t="shared" si="77"/>
        <v>42.302360059975086</v>
      </c>
      <c r="BA114" s="86">
        <v>33.72</v>
      </c>
      <c r="BB114" s="71">
        <f t="shared" si="78"/>
        <v>66.28</v>
      </c>
      <c r="BC114" s="86">
        <v>42.6</v>
      </c>
      <c r="BD114" s="86">
        <v>38.630000000000003</v>
      </c>
      <c r="BE114" s="86">
        <v>37.659999999999997</v>
      </c>
      <c r="BF114" s="71">
        <f t="shared" si="79"/>
        <v>39.036000000000001</v>
      </c>
      <c r="BG114" s="63"/>
      <c r="BH114" s="85">
        <v>4.6900000000000004</v>
      </c>
      <c r="BI114" s="85">
        <v>4.68</v>
      </c>
      <c r="BJ114" s="88">
        <v>107</v>
      </c>
      <c r="BK114" s="81">
        <v>68.181818181818187</v>
      </c>
      <c r="BL114" s="70">
        <f t="shared" si="80"/>
        <v>68.691091922812348</v>
      </c>
      <c r="BM114" s="90">
        <v>0.43809066465502761</v>
      </c>
      <c r="BN114" s="85">
        <v>40.43</v>
      </c>
      <c r="BO114" s="85">
        <v>48.801133015808489</v>
      </c>
      <c r="BP114" s="70">
        <f t="shared" si="81"/>
        <v>44.2123164867035</v>
      </c>
      <c r="BQ114" s="90">
        <v>0.48020310853593728</v>
      </c>
      <c r="BR114" s="90">
        <v>0.43598567021059864</v>
      </c>
      <c r="BS114" s="85">
        <v>43.398560499999995</v>
      </c>
      <c r="BT114" s="86">
        <v>46.686612599999997</v>
      </c>
      <c r="BU114" s="85">
        <v>50.0970303</v>
      </c>
      <c r="BV114" s="86">
        <v>48.710087799999997</v>
      </c>
      <c r="BW114" s="71">
        <f t="shared" si="82"/>
        <v>46.086377371357798</v>
      </c>
      <c r="BX114" s="86">
        <v>60.91</v>
      </c>
      <c r="BY114" s="158">
        <f t="shared" si="83"/>
        <v>60.91</v>
      </c>
      <c r="BZ114" s="54"/>
    </row>
    <row r="115" spans="1:79" s="5" customFormat="1" ht="15" customHeight="1" x14ac:dyDescent="0.25">
      <c r="A115" s="2">
        <v>109</v>
      </c>
      <c r="B115" s="3" t="s">
        <v>10</v>
      </c>
      <c r="C115" s="4" t="s">
        <v>11</v>
      </c>
      <c r="D115" s="162" t="s">
        <v>105</v>
      </c>
      <c r="E115" s="209">
        <f t="shared" si="64"/>
        <v>52.86306285241497</v>
      </c>
      <c r="F115" s="71">
        <f t="shared" si="65"/>
        <v>56.582803577203833</v>
      </c>
      <c r="G115" s="71">
        <f t="shared" si="66"/>
        <v>59.303366473315961</v>
      </c>
      <c r="H115" s="71">
        <f t="shared" si="67"/>
        <v>51.589383111180084</v>
      </c>
      <c r="I115" s="71">
        <f t="shared" si="68"/>
        <v>43.976698247960002</v>
      </c>
      <c r="J115" s="63"/>
      <c r="K115" s="85">
        <v>6.4486945296583498</v>
      </c>
      <c r="L115" s="208">
        <v>4.8400000000000007</v>
      </c>
      <c r="M115" s="82">
        <f t="shared" si="63"/>
        <v>93.185185185185176</v>
      </c>
      <c r="N115" s="71">
        <f t="shared" si="69"/>
        <v>96.592592592592581</v>
      </c>
      <c r="O115" s="85">
        <v>34.696749498938381</v>
      </c>
      <c r="P115" s="87">
        <v>84.1</v>
      </c>
      <c r="Q115" s="70">
        <f t="shared" si="70"/>
        <v>48.564860832743555</v>
      </c>
      <c r="R115" s="90">
        <v>7.8E-2</v>
      </c>
      <c r="S115" s="85">
        <v>0.71645314000000004</v>
      </c>
      <c r="T115" s="85">
        <v>0.74</v>
      </c>
      <c r="U115" s="90">
        <v>2.5659999999999998</v>
      </c>
      <c r="V115" s="70">
        <f t="shared" si="71"/>
        <v>57.517131738095237</v>
      </c>
      <c r="W115" s="85">
        <v>4.2190000000000003</v>
      </c>
      <c r="X115" s="87">
        <v>87.2</v>
      </c>
      <c r="Y115" s="87">
        <v>10.8</v>
      </c>
      <c r="Z115" s="214">
        <v>8</v>
      </c>
      <c r="AA115" s="71">
        <f t="shared" si="72"/>
        <v>43.520997295941676</v>
      </c>
      <c r="AB115" s="63"/>
      <c r="AC115" s="85">
        <v>31.679097746016076</v>
      </c>
      <c r="AD115" s="87">
        <v>48.3</v>
      </c>
      <c r="AE115" s="88">
        <v>40</v>
      </c>
      <c r="AF115" s="85">
        <v>5.25</v>
      </c>
      <c r="AG115" s="88">
        <v>56</v>
      </c>
      <c r="AH115" s="70">
        <f t="shared" si="73"/>
        <v>60.489911317856865</v>
      </c>
      <c r="AI115" s="85">
        <v>0.15</v>
      </c>
      <c r="AJ115" s="85">
        <v>3.77</v>
      </c>
      <c r="AK115" s="87">
        <v>71.2</v>
      </c>
      <c r="AL115" s="86">
        <v>4.6741669464889153</v>
      </c>
      <c r="AM115" s="85">
        <v>98.492590842872005</v>
      </c>
      <c r="AN115" s="70">
        <f t="shared" si="74"/>
        <v>58.11682162877505</v>
      </c>
      <c r="AO115" s="63"/>
      <c r="AP115" s="89">
        <v>75.284981848293143</v>
      </c>
      <c r="AQ115" s="89">
        <v>59.329034092258361</v>
      </c>
      <c r="AR115" s="89">
        <v>78.31</v>
      </c>
      <c r="AS115" s="158">
        <f t="shared" si="75"/>
        <v>53.908262508202469</v>
      </c>
      <c r="AT115" s="89">
        <v>72.484800000000007</v>
      </c>
      <c r="AU115" s="89">
        <v>68.014386537871189</v>
      </c>
      <c r="AV115" s="89">
        <v>45.456294498824548</v>
      </c>
      <c r="AW115" s="100">
        <v>12</v>
      </c>
      <c r="AX115" s="71">
        <f t="shared" si="76"/>
        <v>65.066765025266307</v>
      </c>
      <c r="AY115" s="86">
        <v>39.303398901145087</v>
      </c>
      <c r="AZ115" s="71">
        <f t="shared" si="77"/>
        <v>39.303398901145087</v>
      </c>
      <c r="BA115" s="86">
        <v>25.51</v>
      </c>
      <c r="BB115" s="71">
        <f t="shared" si="78"/>
        <v>74.489999999999995</v>
      </c>
      <c r="BC115" s="86">
        <v>28.01</v>
      </c>
      <c r="BD115" s="86">
        <v>7.89</v>
      </c>
      <c r="BE115" s="86">
        <v>22.82</v>
      </c>
      <c r="BF115" s="71">
        <f t="shared" si="79"/>
        <v>17.886000000000003</v>
      </c>
      <c r="BG115" s="63"/>
      <c r="BH115" s="85">
        <v>2.72</v>
      </c>
      <c r="BI115" s="85">
        <v>5.9</v>
      </c>
      <c r="BJ115" s="88">
        <v>16</v>
      </c>
      <c r="BK115" s="81">
        <v>40.909090909090907</v>
      </c>
      <c r="BL115" s="70">
        <f t="shared" si="80"/>
        <v>26.595423771767855</v>
      </c>
      <c r="BM115" s="90">
        <v>0.44404167321830207</v>
      </c>
      <c r="BN115" s="85">
        <v>31.96</v>
      </c>
      <c r="BO115" s="85">
        <v>48.554715816166265</v>
      </c>
      <c r="BP115" s="70">
        <f t="shared" si="81"/>
        <v>42.330762614956669</v>
      </c>
      <c r="BQ115" s="90">
        <v>0.55179085974198394</v>
      </c>
      <c r="BR115" s="90">
        <v>0.40217999334311172</v>
      </c>
      <c r="BS115" s="85">
        <v>41.876769599999996</v>
      </c>
      <c r="BT115" s="86">
        <v>59.207628199999995</v>
      </c>
      <c r="BU115" s="85">
        <v>52.472312299999999</v>
      </c>
      <c r="BV115" s="86">
        <v>53.347637800000001</v>
      </c>
      <c r="BW115" s="71">
        <f t="shared" si="82"/>
        <v>50.176038630088684</v>
      </c>
      <c r="BX115" s="86">
        <v>70.67</v>
      </c>
      <c r="BY115" s="158">
        <f t="shared" si="83"/>
        <v>70.67</v>
      </c>
      <c r="BZ115" s="54"/>
    </row>
    <row r="116" spans="1:79" s="5" customFormat="1" ht="15" customHeight="1" x14ac:dyDescent="0.25">
      <c r="A116" s="2">
        <v>110</v>
      </c>
      <c r="B116" s="6" t="s">
        <v>13</v>
      </c>
      <c r="C116" s="7" t="s">
        <v>14</v>
      </c>
      <c r="D116" s="162" t="s">
        <v>39</v>
      </c>
      <c r="E116" s="209">
        <f t="shared" si="64"/>
        <v>52.677047133673604</v>
      </c>
      <c r="F116" s="71">
        <f t="shared" si="65"/>
        <v>54.500695752368799</v>
      </c>
      <c r="G116" s="71">
        <f t="shared" si="66"/>
        <v>42.726307540986888</v>
      </c>
      <c r="H116" s="71">
        <f t="shared" si="67"/>
        <v>71.892485706600681</v>
      </c>
      <c r="I116" s="71">
        <f t="shared" si="68"/>
        <v>41.588699534738026</v>
      </c>
      <c r="J116" s="63"/>
      <c r="K116" s="85">
        <v>1.8109008410417404</v>
      </c>
      <c r="L116" s="208">
        <v>8.4</v>
      </c>
      <c r="M116" s="82">
        <f t="shared" si="63"/>
        <v>80</v>
      </c>
      <c r="N116" s="71">
        <f t="shared" si="69"/>
        <v>66.727226894676335</v>
      </c>
      <c r="O116" s="85">
        <v>25.499935000720157</v>
      </c>
      <c r="P116" s="87">
        <v>33.1</v>
      </c>
      <c r="Q116" s="70">
        <f t="shared" si="70"/>
        <v>66.122186111511198</v>
      </c>
      <c r="R116" s="90">
        <v>4.7E-2</v>
      </c>
      <c r="S116" s="85">
        <v>0.78560585000000005</v>
      </c>
      <c r="T116" s="85">
        <v>0.61</v>
      </c>
      <c r="U116" s="90">
        <v>4.282</v>
      </c>
      <c r="V116" s="70">
        <f t="shared" si="71"/>
        <v>42.908164398148152</v>
      </c>
      <c r="W116" s="85">
        <v>3.38</v>
      </c>
      <c r="X116" s="98">
        <v>15.600000000000001</v>
      </c>
      <c r="Y116" s="87">
        <v>31.53</v>
      </c>
      <c r="Z116" s="214">
        <v>11.3</v>
      </c>
      <c r="AA116" s="71">
        <f t="shared" si="72"/>
        <v>65.822251788401658</v>
      </c>
      <c r="AB116" s="63"/>
      <c r="AC116" s="85">
        <v>25.082190136904487</v>
      </c>
      <c r="AD116" s="87">
        <v>20</v>
      </c>
      <c r="AE116" s="88">
        <v>30</v>
      </c>
      <c r="AF116" s="85">
        <v>9.75</v>
      </c>
      <c r="AG116" s="88">
        <v>11</v>
      </c>
      <c r="AH116" s="70">
        <f t="shared" si="73"/>
        <v>41.054793424602991</v>
      </c>
      <c r="AI116" s="85">
        <v>-1.42</v>
      </c>
      <c r="AJ116" s="99">
        <v>3.7795155953353916</v>
      </c>
      <c r="AK116" s="87">
        <v>93.5</v>
      </c>
      <c r="AL116" s="86">
        <v>2.818589500600202</v>
      </c>
      <c r="AM116" s="85">
        <v>61.527250048835803</v>
      </c>
      <c r="AN116" s="70">
        <f t="shared" si="74"/>
        <v>44.397821657370777</v>
      </c>
      <c r="AO116" s="63"/>
      <c r="AP116" s="89">
        <v>99.648438610388254</v>
      </c>
      <c r="AQ116" s="89">
        <v>75.162686619752591</v>
      </c>
      <c r="AR116" s="89">
        <v>0.74</v>
      </c>
      <c r="AS116" s="158">
        <f t="shared" si="75"/>
        <v>87.308452962473353</v>
      </c>
      <c r="AT116" s="89">
        <v>74.792699999999996</v>
      </c>
      <c r="AU116" s="89">
        <v>81.370449581039026</v>
      </c>
      <c r="AV116" s="89">
        <v>46.832824414585993</v>
      </c>
      <c r="AW116" s="100">
        <v>2.5</v>
      </c>
      <c r="AX116" s="71">
        <f t="shared" si="76"/>
        <v>74.647467311766547</v>
      </c>
      <c r="AY116" s="86">
        <v>60.706235627456174</v>
      </c>
      <c r="AZ116" s="71">
        <f t="shared" si="77"/>
        <v>60.706235627456174</v>
      </c>
      <c r="BA116" s="86">
        <v>24.38</v>
      </c>
      <c r="BB116" s="71">
        <f t="shared" si="78"/>
        <v>75.62</v>
      </c>
      <c r="BC116" s="86">
        <v>47.02</v>
      </c>
      <c r="BD116" s="86">
        <v>59.4</v>
      </c>
      <c r="BE116" s="86">
        <v>41.62</v>
      </c>
      <c r="BF116" s="71">
        <f t="shared" si="79"/>
        <v>49.811999999999998</v>
      </c>
      <c r="BG116" s="63"/>
      <c r="BH116" s="85">
        <v>1.53</v>
      </c>
      <c r="BI116" s="85">
        <v>5.83</v>
      </c>
      <c r="BJ116" s="88">
        <v>102</v>
      </c>
      <c r="BK116" s="81">
        <v>36.363636363636367</v>
      </c>
      <c r="BL116" s="70">
        <f t="shared" si="80"/>
        <v>56.168225263386553</v>
      </c>
      <c r="BM116" s="90">
        <v>0.30871906792494214</v>
      </c>
      <c r="BN116" s="85">
        <v>27.72</v>
      </c>
      <c r="BO116" s="85">
        <v>50.642897400623902</v>
      </c>
      <c r="BP116" s="70">
        <f t="shared" si="81"/>
        <v>35.026677746403081</v>
      </c>
      <c r="BQ116" s="90">
        <v>0.25776191237032048</v>
      </c>
      <c r="BR116" s="90">
        <v>0.46728151655842415</v>
      </c>
      <c r="BS116" s="85">
        <v>36.152601300000001</v>
      </c>
      <c r="BT116" s="86">
        <v>37.699598199999997</v>
      </c>
      <c r="BU116" s="85">
        <v>59.449500299999997</v>
      </c>
      <c r="BV116" s="86">
        <v>35.428159099999995</v>
      </c>
      <c r="BW116" s="71">
        <f t="shared" si="82"/>
        <v>38.753256842772757</v>
      </c>
      <c r="BX116" s="86">
        <v>34.75</v>
      </c>
      <c r="BY116" s="158">
        <f t="shared" si="83"/>
        <v>34.75</v>
      </c>
      <c r="BZ116" s="54"/>
    </row>
    <row r="117" spans="1:79" s="5" customFormat="1" ht="15" customHeight="1" x14ac:dyDescent="0.25">
      <c r="A117" s="2">
        <v>111</v>
      </c>
      <c r="B117" s="6" t="s">
        <v>13</v>
      </c>
      <c r="C117" s="7" t="s">
        <v>14</v>
      </c>
      <c r="D117" s="162" t="s">
        <v>214</v>
      </c>
      <c r="E117" s="209">
        <f t="shared" si="64"/>
        <v>52.676134405633363</v>
      </c>
      <c r="F117" s="71">
        <f t="shared" si="65"/>
        <v>45.535456063209942</v>
      </c>
      <c r="G117" s="71">
        <f t="shared" si="66"/>
        <v>50.461744129321822</v>
      </c>
      <c r="H117" s="71">
        <f t="shared" si="67"/>
        <v>66.170162664329041</v>
      </c>
      <c r="I117" s="71">
        <f t="shared" si="68"/>
        <v>48.537174765672681</v>
      </c>
      <c r="J117" s="63"/>
      <c r="K117" s="85">
        <v>-2.4584781460589844</v>
      </c>
      <c r="L117" s="208">
        <v>12.34</v>
      </c>
      <c r="M117" s="82">
        <f t="shared" si="63"/>
        <v>65.407407407407405</v>
      </c>
      <c r="N117" s="71">
        <f t="shared" si="69"/>
        <v>35.712158447820457</v>
      </c>
      <c r="O117" s="85">
        <v>11.2522667074795</v>
      </c>
      <c r="P117" s="87">
        <v>108.7</v>
      </c>
      <c r="Q117" s="70">
        <f t="shared" si="70"/>
        <v>24.60681483748861</v>
      </c>
      <c r="R117" s="90">
        <v>2.7E-2</v>
      </c>
      <c r="S117" s="85">
        <v>0.40039277000000001</v>
      </c>
      <c r="T117" s="85">
        <v>0.63</v>
      </c>
      <c r="U117" s="90">
        <v>2.9630000000000001</v>
      </c>
      <c r="V117" s="70">
        <f t="shared" si="71"/>
        <v>47.304265630952379</v>
      </c>
      <c r="W117" s="85">
        <v>9.8339999999999996</v>
      </c>
      <c r="X117" s="98">
        <v>15.600000000000001</v>
      </c>
      <c r="Y117" s="98">
        <v>18.208186385381556</v>
      </c>
      <c r="Z117" s="214">
        <v>12.8</v>
      </c>
      <c r="AA117" s="71">
        <f t="shared" si="72"/>
        <v>58.484340709313649</v>
      </c>
      <c r="AB117" s="63"/>
      <c r="AC117" s="85">
        <v>19.364935976085619</v>
      </c>
      <c r="AD117" s="87">
        <v>21.6</v>
      </c>
      <c r="AE117" s="91">
        <v>60</v>
      </c>
      <c r="AF117" s="85">
        <v>15</v>
      </c>
      <c r="AG117" s="88">
        <v>11</v>
      </c>
      <c r="AH117" s="70">
        <f t="shared" si="73"/>
        <v>41.163803471236569</v>
      </c>
      <c r="AI117" s="85">
        <v>1.32</v>
      </c>
      <c r="AJ117" s="85">
        <v>4</v>
      </c>
      <c r="AK117" s="87">
        <v>83.7</v>
      </c>
      <c r="AL117" s="86">
        <v>4.5635113568906851</v>
      </c>
      <c r="AM117" s="85">
        <v>83.937881586628805</v>
      </c>
      <c r="AN117" s="70">
        <f t="shared" si="74"/>
        <v>59.759684787407082</v>
      </c>
      <c r="AO117" s="63"/>
      <c r="AP117" s="89">
        <v>91.407981023502288</v>
      </c>
      <c r="AQ117" s="89">
        <v>67.749342958856289</v>
      </c>
      <c r="AR117" s="97">
        <v>10.4</v>
      </c>
      <c r="AS117" s="158">
        <f t="shared" si="75"/>
        <v>79.126666735303715</v>
      </c>
      <c r="AT117" s="89">
        <v>74.865200000000002</v>
      </c>
      <c r="AU117" s="89">
        <v>73.839020594002235</v>
      </c>
      <c r="AV117" s="89">
        <v>41.82657480458677</v>
      </c>
      <c r="AW117" s="100">
        <v>6.9</v>
      </c>
      <c r="AX117" s="71">
        <f t="shared" si="76"/>
        <v>70.234729174089978</v>
      </c>
      <c r="AY117" s="86">
        <v>54.825563078286471</v>
      </c>
      <c r="AZ117" s="71">
        <f t="shared" si="77"/>
        <v>54.825563078286471</v>
      </c>
      <c r="BA117" s="92">
        <v>31.564999999999998</v>
      </c>
      <c r="BB117" s="71">
        <f t="shared" si="78"/>
        <v>68.435000000000002</v>
      </c>
      <c r="BC117" s="86">
        <v>51.67</v>
      </c>
      <c r="BD117" s="86">
        <v>38.43</v>
      </c>
      <c r="BE117" s="86">
        <v>52.69</v>
      </c>
      <c r="BF117" s="71">
        <f t="shared" si="79"/>
        <v>46.781999999999996</v>
      </c>
      <c r="BG117" s="63"/>
      <c r="BH117" s="85">
        <v>3.78</v>
      </c>
      <c r="BI117" s="85">
        <v>6.45</v>
      </c>
      <c r="BJ117" s="88">
        <v>11</v>
      </c>
      <c r="BK117" s="81">
        <v>66.666666666666657</v>
      </c>
      <c r="BL117" s="70">
        <f t="shared" si="80"/>
        <v>32.85336519315014</v>
      </c>
      <c r="BM117" s="90">
        <v>0.56407790176105022</v>
      </c>
      <c r="BN117" s="85">
        <v>66.099999999999994</v>
      </c>
      <c r="BO117" s="85">
        <v>63.53639699460291</v>
      </c>
      <c r="BP117" s="70">
        <f t="shared" si="81"/>
        <v>60.612994336703238</v>
      </c>
      <c r="BQ117" s="90">
        <v>0.45910103978529954</v>
      </c>
      <c r="BR117" s="90">
        <v>0.44860724176801492</v>
      </c>
      <c r="BS117" s="85">
        <v>34.2448063</v>
      </c>
      <c r="BT117" s="86">
        <v>39.696561299999999</v>
      </c>
      <c r="BU117" s="85">
        <v>58.5097612</v>
      </c>
      <c r="BV117" s="86">
        <v>50.117922100000001</v>
      </c>
      <c r="BW117" s="71">
        <f t="shared" si="82"/>
        <v>43.111243332497629</v>
      </c>
      <c r="BX117" s="92">
        <v>70.510000000000005</v>
      </c>
      <c r="BY117" s="158">
        <f t="shared" si="83"/>
        <v>70.510000000000005</v>
      </c>
      <c r="BZ117" s="54"/>
    </row>
    <row r="118" spans="1:79" s="5" customFormat="1" ht="15" customHeight="1" x14ac:dyDescent="0.25">
      <c r="A118" s="2">
        <v>112</v>
      </c>
      <c r="B118" s="14" t="s">
        <v>23</v>
      </c>
      <c r="C118" s="16" t="s">
        <v>26</v>
      </c>
      <c r="D118" s="162" t="s">
        <v>63</v>
      </c>
      <c r="E118" s="209">
        <f t="shared" si="64"/>
        <v>52.525119657289039</v>
      </c>
      <c r="F118" s="71">
        <f t="shared" si="65"/>
        <v>50.085021106851066</v>
      </c>
      <c r="G118" s="71">
        <f t="shared" si="66"/>
        <v>52.564345425597566</v>
      </c>
      <c r="H118" s="71">
        <f t="shared" si="67"/>
        <v>63.881832949368381</v>
      </c>
      <c r="I118" s="71">
        <f t="shared" si="68"/>
        <v>43.569279147339159</v>
      </c>
      <c r="J118" s="63"/>
      <c r="K118" s="85">
        <v>1.9493206343164537</v>
      </c>
      <c r="L118" s="208">
        <v>7.42</v>
      </c>
      <c r="M118" s="82">
        <f t="shared" ref="M118:M149" si="84">IF(L118&lt;-5, 0, IF(AND(L118&gt;=1, L118&lt;=3), 100, IF(L118&gt;30, 0, IF(L118&lt;1, 100 * ((L118 + 5) / 6), 100 * ((30 - L118) / (30 - 3))))))</f>
        <v>83.629629629629619</v>
      </c>
      <c r="N118" s="71">
        <f t="shared" si="69"/>
        <v>69.311040561017336</v>
      </c>
      <c r="O118" s="85">
        <v>13.177003545839666</v>
      </c>
      <c r="P118" s="87">
        <v>59.9</v>
      </c>
      <c r="Q118" s="70">
        <f t="shared" si="70"/>
        <v>47.365001969910928</v>
      </c>
      <c r="R118" s="90">
        <v>0.03</v>
      </c>
      <c r="S118" s="85">
        <v>0.24485011000000001</v>
      </c>
      <c r="T118" s="85">
        <v>0.63</v>
      </c>
      <c r="U118" s="90">
        <v>3.4580000000000002</v>
      </c>
      <c r="V118" s="70">
        <f t="shared" si="71"/>
        <v>44.7372820515873</v>
      </c>
      <c r="W118" s="85">
        <v>8.2899999999999991</v>
      </c>
      <c r="X118" s="87">
        <v>56</v>
      </c>
      <c r="Y118" s="87">
        <v>18.309999999999999</v>
      </c>
      <c r="Z118" s="214">
        <v>7.8</v>
      </c>
      <c r="AA118" s="71">
        <f t="shared" si="72"/>
        <v>54.722102917876164</v>
      </c>
      <c r="AB118" s="63"/>
      <c r="AC118" s="85">
        <v>16.010129750343189</v>
      </c>
      <c r="AD118" s="87">
        <v>43.1</v>
      </c>
      <c r="AE118" s="88">
        <v>60</v>
      </c>
      <c r="AF118" s="85">
        <v>11.25</v>
      </c>
      <c r="AG118" s="88">
        <v>51</v>
      </c>
      <c r="AH118" s="70">
        <f t="shared" si="73"/>
        <v>50.138804448946736</v>
      </c>
      <c r="AI118" s="85">
        <v>1.23</v>
      </c>
      <c r="AJ118" s="85">
        <v>3.73</v>
      </c>
      <c r="AK118" s="87">
        <v>68.599999999999994</v>
      </c>
      <c r="AL118" s="86">
        <v>4.8143777046843104</v>
      </c>
      <c r="AM118" s="85">
        <v>65.726764319804104</v>
      </c>
      <c r="AN118" s="70">
        <f t="shared" si="74"/>
        <v>54.989886402248381</v>
      </c>
      <c r="AO118" s="63"/>
      <c r="AP118" s="89">
        <v>94.049310086500753</v>
      </c>
      <c r="AQ118" s="89">
        <v>66.242106666696216</v>
      </c>
      <c r="AR118" s="89">
        <v>37</v>
      </c>
      <c r="AS118" s="158">
        <f t="shared" si="75"/>
        <v>72.383380854973296</v>
      </c>
      <c r="AT118" s="89">
        <v>78.093800000000002</v>
      </c>
      <c r="AU118" s="89">
        <v>73.653632777612643</v>
      </c>
      <c r="AV118" s="89">
        <v>54.969454929143183</v>
      </c>
      <c r="AW118" s="100">
        <v>3.9</v>
      </c>
      <c r="AX118" s="71">
        <f t="shared" si="76"/>
        <v>76.967134077980987</v>
      </c>
      <c r="AY118" s="86">
        <v>47.089963233326841</v>
      </c>
      <c r="AZ118" s="71">
        <f t="shared" si="77"/>
        <v>47.089963233326841</v>
      </c>
      <c r="BA118" s="86">
        <v>54.38</v>
      </c>
      <c r="BB118" s="71">
        <f t="shared" si="78"/>
        <v>45.62</v>
      </c>
      <c r="BC118" s="86">
        <v>37.58</v>
      </c>
      <c r="BD118" s="86">
        <v>47.82</v>
      </c>
      <c r="BE118" s="86">
        <v>53.24</v>
      </c>
      <c r="BF118" s="71">
        <f t="shared" si="79"/>
        <v>47.94</v>
      </c>
      <c r="BG118" s="63"/>
      <c r="BH118" s="85">
        <v>24.35</v>
      </c>
      <c r="BI118" s="85">
        <v>7.82</v>
      </c>
      <c r="BJ118" s="88">
        <v>14</v>
      </c>
      <c r="BK118" s="81">
        <v>36.363636363636367</v>
      </c>
      <c r="BL118" s="70">
        <f t="shared" si="80"/>
        <v>19.172685637739406</v>
      </c>
      <c r="BM118" s="90">
        <v>0.50561580912013193</v>
      </c>
      <c r="BN118" s="85">
        <v>51.66</v>
      </c>
      <c r="BO118" s="85">
        <v>66.701082284223489</v>
      </c>
      <c r="BP118" s="70">
        <f t="shared" si="81"/>
        <v>54.871061027062467</v>
      </c>
      <c r="BQ118" s="90">
        <v>0.49277824384890967</v>
      </c>
      <c r="BR118" s="90">
        <v>0.3825200984034281</v>
      </c>
      <c r="BS118" s="85">
        <v>41.909489999999998</v>
      </c>
      <c r="BT118" s="86">
        <v>49.180265399999996</v>
      </c>
      <c r="BU118" s="85">
        <v>49.310325299999995</v>
      </c>
      <c r="BV118" s="86">
        <v>55.074005899999996</v>
      </c>
      <c r="BW118" s="71">
        <f t="shared" si="82"/>
        <v>46.34796979938735</v>
      </c>
      <c r="BX118" s="86">
        <v>60.93</v>
      </c>
      <c r="BY118" s="158">
        <f t="shared" si="83"/>
        <v>60.93</v>
      </c>
      <c r="BZ118" s="54"/>
    </row>
    <row r="119" spans="1:79" s="5" customFormat="1" ht="15" customHeight="1" x14ac:dyDescent="0.25">
      <c r="A119" s="2">
        <v>113</v>
      </c>
      <c r="B119" s="14" t="s">
        <v>23</v>
      </c>
      <c r="C119" s="15" t="s">
        <v>24</v>
      </c>
      <c r="D119" s="162" t="s">
        <v>112</v>
      </c>
      <c r="E119" s="209">
        <f t="shared" si="64"/>
        <v>52.472201039987397</v>
      </c>
      <c r="F119" s="71">
        <f t="shared" si="65"/>
        <v>43.231639860510988</v>
      </c>
      <c r="G119" s="71">
        <f t="shared" si="66"/>
        <v>55.659576346653765</v>
      </c>
      <c r="H119" s="71">
        <f t="shared" si="67"/>
        <v>59.390994351610644</v>
      </c>
      <c r="I119" s="71">
        <f t="shared" si="68"/>
        <v>51.606593601174154</v>
      </c>
      <c r="J119" s="63"/>
      <c r="K119" s="85">
        <v>2.1518860361636971</v>
      </c>
      <c r="L119" s="208">
        <v>6.42</v>
      </c>
      <c r="M119" s="82">
        <f t="shared" si="84"/>
        <v>87.333333333333329</v>
      </c>
      <c r="N119" s="71">
        <f t="shared" si="69"/>
        <v>72.288255756464977</v>
      </c>
      <c r="O119" s="99">
        <v>21.266096729436789</v>
      </c>
      <c r="P119" s="87">
        <v>67.7</v>
      </c>
      <c r="Q119" s="70">
        <f t="shared" si="70"/>
        <v>48.392275960798209</v>
      </c>
      <c r="R119" s="90">
        <v>1.2E-2</v>
      </c>
      <c r="S119" s="85">
        <v>-0.34563586000000002</v>
      </c>
      <c r="T119" s="85">
        <v>0.4</v>
      </c>
      <c r="U119" s="90">
        <v>4.0339999999999998</v>
      </c>
      <c r="V119" s="70">
        <f t="shared" si="71"/>
        <v>31.354186103174609</v>
      </c>
      <c r="W119" s="85">
        <v>3.286</v>
      </c>
      <c r="X119" s="87">
        <v>54.6</v>
      </c>
      <c r="Y119" s="87">
        <v>8.81</v>
      </c>
      <c r="Z119" s="214">
        <v>7.3</v>
      </c>
      <c r="AA119" s="71">
        <f t="shared" si="72"/>
        <v>52.267519356629826</v>
      </c>
      <c r="AB119" s="63"/>
      <c r="AC119" s="99">
        <v>20.515334279935164</v>
      </c>
      <c r="AD119" s="87">
        <v>66.8</v>
      </c>
      <c r="AE119" s="88">
        <v>60</v>
      </c>
      <c r="AF119" s="85">
        <v>5.5</v>
      </c>
      <c r="AG119" s="88">
        <v>40</v>
      </c>
      <c r="AH119" s="70">
        <f t="shared" si="73"/>
        <v>56.733299776367033</v>
      </c>
      <c r="AI119" s="85">
        <v>0.31</v>
      </c>
      <c r="AJ119" s="85">
        <v>3.59</v>
      </c>
      <c r="AK119" s="87">
        <v>76.3</v>
      </c>
      <c r="AL119" s="86">
        <v>5.6355836819394671</v>
      </c>
      <c r="AM119" s="85">
        <v>58.028443862853699</v>
      </c>
      <c r="AN119" s="70">
        <f t="shared" si="74"/>
        <v>54.585852916940503</v>
      </c>
      <c r="AO119" s="63"/>
      <c r="AP119" s="89">
        <v>87.968024846965136</v>
      </c>
      <c r="AQ119" s="89">
        <v>66.661359831291605</v>
      </c>
      <c r="AR119" s="89">
        <v>20</v>
      </c>
      <c r="AS119" s="158">
        <f t="shared" si="75"/>
        <v>75.322686127387087</v>
      </c>
      <c r="AT119" s="89">
        <v>71.729600000000005</v>
      </c>
      <c r="AU119" s="89">
        <v>65.542587231563417</v>
      </c>
      <c r="AV119" s="89">
        <v>54.834421643254828</v>
      </c>
      <c r="AW119" s="100">
        <v>7.7</v>
      </c>
      <c r="AX119" s="71">
        <f t="shared" si="76"/>
        <v>66.802306080541982</v>
      </c>
      <c r="AY119" s="86">
        <v>40.404862766296731</v>
      </c>
      <c r="AZ119" s="71">
        <f t="shared" si="77"/>
        <v>40.404862766296731</v>
      </c>
      <c r="BA119" s="86">
        <v>39.869999999999997</v>
      </c>
      <c r="BB119" s="71">
        <f t="shared" si="78"/>
        <v>60.13</v>
      </c>
      <c r="BC119" s="86">
        <v>47.13</v>
      </c>
      <c r="BD119" s="86">
        <v>33.909999999999997</v>
      </c>
      <c r="BE119" s="86">
        <v>44.32</v>
      </c>
      <c r="BF119" s="71">
        <f t="shared" si="79"/>
        <v>40.717999999999996</v>
      </c>
      <c r="BG119" s="63"/>
      <c r="BH119" s="85">
        <v>40.36</v>
      </c>
      <c r="BI119" s="85">
        <v>5.93</v>
      </c>
      <c r="BJ119" s="88">
        <v>28</v>
      </c>
      <c r="BK119" s="81">
        <v>54.545454545454547</v>
      </c>
      <c r="BL119" s="70">
        <f t="shared" si="80"/>
        <v>30.371583215669236</v>
      </c>
      <c r="BM119" s="90">
        <v>0.64035716967427048</v>
      </c>
      <c r="BN119" s="85">
        <v>75.87</v>
      </c>
      <c r="BO119" s="85">
        <v>47.539609819251218</v>
      </c>
      <c r="BP119" s="70">
        <f t="shared" si="81"/>
        <v>62.870260938526329</v>
      </c>
      <c r="BQ119" s="90">
        <v>0.63302374757019075</v>
      </c>
      <c r="BR119" s="90">
        <v>0.51982366338638919</v>
      </c>
      <c r="BS119" s="85">
        <v>45.9061284</v>
      </c>
      <c r="BT119" s="86">
        <v>54.670504199999996</v>
      </c>
      <c r="BU119" s="85">
        <v>74.039293200000003</v>
      </c>
      <c r="BV119" s="86">
        <v>56.296074900000001</v>
      </c>
      <c r="BW119" s="71">
        <f t="shared" si="82"/>
        <v>55.038912901996994</v>
      </c>
      <c r="BX119" s="86">
        <v>58.89</v>
      </c>
      <c r="BY119" s="158">
        <f t="shared" si="83"/>
        <v>58.89</v>
      </c>
      <c r="BZ119" s="54"/>
    </row>
    <row r="120" spans="1:79" s="5" customFormat="1" ht="15" customHeight="1" x14ac:dyDescent="0.25">
      <c r="A120" s="2">
        <v>114</v>
      </c>
      <c r="B120" s="6" t="s">
        <v>13</v>
      </c>
      <c r="C120" s="7" t="s">
        <v>14</v>
      </c>
      <c r="D120" s="162" t="s">
        <v>175</v>
      </c>
      <c r="E120" s="209">
        <f t="shared" si="64"/>
        <v>52.320395971432283</v>
      </c>
      <c r="F120" s="71">
        <f t="shared" si="65"/>
        <v>62.397460878966911</v>
      </c>
      <c r="G120" s="71">
        <f t="shared" si="66"/>
        <v>44.591680069510687</v>
      </c>
      <c r="H120" s="71">
        <f t="shared" si="67"/>
        <v>69.08538075800351</v>
      </c>
      <c r="I120" s="71">
        <f t="shared" si="68"/>
        <v>33.207062179248034</v>
      </c>
      <c r="J120" s="63"/>
      <c r="K120" s="85">
        <v>2.3243429242493452</v>
      </c>
      <c r="L120" s="208">
        <v>8.6799999999999979</v>
      </c>
      <c r="M120" s="82">
        <f t="shared" si="84"/>
        <v>78.962962962962962</v>
      </c>
      <c r="N120" s="71">
        <f t="shared" si="69"/>
        <v>69.061164393977847</v>
      </c>
      <c r="O120" s="85">
        <v>28.640135154364373</v>
      </c>
      <c r="P120" s="87">
        <v>17.2</v>
      </c>
      <c r="Q120" s="70">
        <f t="shared" si="70"/>
        <v>74.933408419091322</v>
      </c>
      <c r="R120" s="90">
        <v>9.9000000000000005E-2</v>
      </c>
      <c r="S120" s="85">
        <v>0.24730694</v>
      </c>
      <c r="T120" s="85">
        <v>0.75</v>
      </c>
      <c r="U120" s="90">
        <v>2.9980000000000002</v>
      </c>
      <c r="V120" s="70">
        <f t="shared" si="71"/>
        <v>56.045693880952378</v>
      </c>
      <c r="W120" s="85">
        <v>2.133</v>
      </c>
      <c r="X120" s="87">
        <v>19.2</v>
      </c>
      <c r="Y120" s="87">
        <v>43.16</v>
      </c>
      <c r="Z120" s="214">
        <v>13</v>
      </c>
      <c r="AA120" s="71">
        <f t="shared" si="72"/>
        <v>64.913944944916992</v>
      </c>
      <c r="AB120" s="63"/>
      <c r="AC120" s="85">
        <v>23.089593804619181</v>
      </c>
      <c r="AD120" s="87">
        <v>18.600000000000001</v>
      </c>
      <c r="AE120" s="88">
        <v>30</v>
      </c>
      <c r="AF120" s="85">
        <v>14.5</v>
      </c>
      <c r="AG120" s="88">
        <v>14</v>
      </c>
      <c r="AH120" s="70">
        <f t="shared" si="73"/>
        <v>38.775113818464071</v>
      </c>
      <c r="AI120" s="85">
        <v>-0.94</v>
      </c>
      <c r="AJ120" s="85">
        <v>3.94</v>
      </c>
      <c r="AK120" s="87">
        <v>81.900000000000006</v>
      </c>
      <c r="AL120" s="86">
        <v>2.8812741497856047</v>
      </c>
      <c r="AM120" s="85">
        <v>92.123994927631699</v>
      </c>
      <c r="AN120" s="70">
        <f t="shared" si="74"/>
        <v>50.408246320557303</v>
      </c>
      <c r="AO120" s="63"/>
      <c r="AP120" s="89">
        <v>96.603508043613857</v>
      </c>
      <c r="AQ120" s="89">
        <v>75.890757031797804</v>
      </c>
      <c r="AR120" s="89">
        <v>0.78</v>
      </c>
      <c r="AS120" s="158">
        <f t="shared" si="75"/>
        <v>86.901255526802373</v>
      </c>
      <c r="AT120" s="89">
        <v>73.521600000000007</v>
      </c>
      <c r="AU120" s="89">
        <v>77.995558910653955</v>
      </c>
      <c r="AV120" s="89">
        <v>40.984087468814735</v>
      </c>
      <c r="AW120" s="100">
        <v>2.5</v>
      </c>
      <c r="AX120" s="71">
        <f t="shared" si="76"/>
        <v>71.343012489443367</v>
      </c>
      <c r="AY120" s="86">
        <v>58.630850019990937</v>
      </c>
      <c r="AZ120" s="71">
        <f t="shared" si="77"/>
        <v>58.630850019990937</v>
      </c>
      <c r="BA120" s="86">
        <v>33.01</v>
      </c>
      <c r="BB120" s="71">
        <f t="shared" si="78"/>
        <v>66.990000000000009</v>
      </c>
      <c r="BC120" s="86">
        <v>34.26</v>
      </c>
      <c r="BD120" s="86">
        <v>56.13</v>
      </c>
      <c r="BE120" s="86">
        <v>36.31</v>
      </c>
      <c r="BF120" s="71">
        <f t="shared" si="79"/>
        <v>43.828000000000003</v>
      </c>
      <c r="BG120" s="63"/>
      <c r="BH120" s="85">
        <v>7.82</v>
      </c>
      <c r="BI120" s="85">
        <v>6.92</v>
      </c>
      <c r="BJ120" s="88">
        <v>19</v>
      </c>
      <c r="BK120" s="81">
        <v>3.0303030303030272</v>
      </c>
      <c r="BL120" s="70">
        <f t="shared" si="80"/>
        <v>13.470355888635456</v>
      </c>
      <c r="BM120" s="90">
        <v>0.32911956714458657</v>
      </c>
      <c r="BN120" s="85">
        <v>23.15</v>
      </c>
      <c r="BO120" s="85">
        <v>40.674326679099757</v>
      </c>
      <c r="BP120" s="70">
        <f t="shared" si="81"/>
        <v>32.412060027004266</v>
      </c>
      <c r="BQ120" s="90">
        <v>0.30811293714603477</v>
      </c>
      <c r="BR120" s="90">
        <v>0.38958110504377008</v>
      </c>
      <c r="BS120" s="85">
        <v>29.816814699999998</v>
      </c>
      <c r="BT120" s="86">
        <v>45.088177999999999</v>
      </c>
      <c r="BU120" s="85">
        <v>50.464844999999997</v>
      </c>
      <c r="BV120" s="86">
        <v>38.014437099999995</v>
      </c>
      <c r="BW120" s="71">
        <f t="shared" si="82"/>
        <v>38.319586282822534</v>
      </c>
      <c r="BX120" s="86">
        <v>67.040000000000006</v>
      </c>
      <c r="BY120" s="158">
        <f t="shared" si="83"/>
        <v>67.040000000000006</v>
      </c>
      <c r="BZ120" s="54"/>
    </row>
    <row r="121" spans="1:79" s="5" customFormat="1" ht="15" customHeight="1" x14ac:dyDescent="0.25">
      <c r="A121" s="2">
        <v>115</v>
      </c>
      <c r="B121" s="3" t="s">
        <v>10</v>
      </c>
      <c r="C121" s="22" t="s">
        <v>49</v>
      </c>
      <c r="D121" s="162" t="s">
        <v>170</v>
      </c>
      <c r="E121" s="209">
        <f t="shared" si="64"/>
        <v>52.277843076526189</v>
      </c>
      <c r="F121" s="71">
        <f t="shared" si="65"/>
        <v>53.395016601418796</v>
      </c>
      <c r="G121" s="71">
        <f t="shared" si="66"/>
        <v>62.288854799390457</v>
      </c>
      <c r="H121" s="71">
        <f t="shared" si="67"/>
        <v>50.947748434306568</v>
      </c>
      <c r="I121" s="71">
        <f t="shared" si="68"/>
        <v>42.479752470988927</v>
      </c>
      <c r="J121" s="63"/>
      <c r="K121" s="85">
        <v>4.9532709222163129</v>
      </c>
      <c r="L121" s="208">
        <v>4.1199999999999992</v>
      </c>
      <c r="M121" s="82">
        <f t="shared" si="84"/>
        <v>95.851851851851862</v>
      </c>
      <c r="N121" s="71">
        <f t="shared" si="69"/>
        <v>92.110764382683215</v>
      </c>
      <c r="O121" s="85">
        <v>30.112661721372351</v>
      </c>
      <c r="P121" s="87">
        <v>59.4</v>
      </c>
      <c r="Q121" s="70">
        <f t="shared" si="70"/>
        <v>56.995923178540203</v>
      </c>
      <c r="R121" s="90">
        <v>5.8999999999999997E-2</v>
      </c>
      <c r="S121" s="85">
        <v>0.68831290000000001</v>
      </c>
      <c r="T121" s="85">
        <v>0.61</v>
      </c>
      <c r="U121" s="90">
        <v>3.371</v>
      </c>
      <c r="V121" s="70">
        <f t="shared" si="71"/>
        <v>47.864890330687821</v>
      </c>
      <c r="W121" s="85">
        <v>2.2349999999999999</v>
      </c>
      <c r="X121" s="98">
        <v>80.599999999999994</v>
      </c>
      <c r="Y121" s="87">
        <v>12.01</v>
      </c>
      <c r="Z121" s="214">
        <v>7.8</v>
      </c>
      <c r="AA121" s="71">
        <f t="shared" si="72"/>
        <v>46.808426084102123</v>
      </c>
      <c r="AB121" s="63"/>
      <c r="AC121" s="85">
        <v>22.736478643720112</v>
      </c>
      <c r="AD121" s="87">
        <v>45.8</v>
      </c>
      <c r="AE121" s="88">
        <v>70</v>
      </c>
      <c r="AF121" s="85">
        <v>4.5</v>
      </c>
      <c r="AG121" s="88">
        <v>61</v>
      </c>
      <c r="AH121" s="70">
        <f t="shared" si="73"/>
        <v>60.137139608633923</v>
      </c>
      <c r="AI121" s="85">
        <v>1.45</v>
      </c>
      <c r="AJ121" s="85">
        <v>4.67</v>
      </c>
      <c r="AK121" s="87">
        <v>78.3</v>
      </c>
      <c r="AL121" s="86">
        <v>4.7067169200838901</v>
      </c>
      <c r="AM121" s="85">
        <v>93.484081539204098</v>
      </c>
      <c r="AN121" s="70">
        <f t="shared" si="74"/>
        <v>64.440569990146983</v>
      </c>
      <c r="AO121" s="63"/>
      <c r="AP121" s="89">
        <v>84.635677572241249</v>
      </c>
      <c r="AQ121" s="89">
        <v>50.980886684701431</v>
      </c>
      <c r="AR121" s="89">
        <v>72.05</v>
      </c>
      <c r="AS121" s="158">
        <f t="shared" si="75"/>
        <v>53.636862735411029</v>
      </c>
      <c r="AT121" s="89">
        <v>70.067099999999996</v>
      </c>
      <c r="AU121" s="89">
        <v>56.924634211288762</v>
      </c>
      <c r="AV121" s="89">
        <v>53.222680249049247</v>
      </c>
      <c r="AW121" s="100">
        <v>3</v>
      </c>
      <c r="AX121" s="71">
        <f t="shared" si="76"/>
        <v>64.059344267408051</v>
      </c>
      <c r="AY121" s="86">
        <v>38.274249027443965</v>
      </c>
      <c r="AZ121" s="71">
        <f t="shared" si="77"/>
        <v>38.274249027443965</v>
      </c>
      <c r="BA121" s="86">
        <v>39.340000000000003</v>
      </c>
      <c r="BB121" s="71">
        <f t="shared" si="78"/>
        <v>60.66</v>
      </c>
      <c r="BC121" s="86">
        <v>25.47</v>
      </c>
      <c r="BD121" s="86">
        <v>18.32</v>
      </c>
      <c r="BE121" s="86">
        <v>31.85</v>
      </c>
      <c r="BF121" s="71">
        <f t="shared" si="79"/>
        <v>25.161999999999999</v>
      </c>
      <c r="BG121" s="63"/>
      <c r="BH121" s="85">
        <v>4.3099999999999996</v>
      </c>
      <c r="BI121" s="85">
        <v>6.57</v>
      </c>
      <c r="BJ121" s="88">
        <v>31</v>
      </c>
      <c r="BK121" s="81">
        <v>18.181818181818183</v>
      </c>
      <c r="BL121" s="70">
        <f t="shared" si="80"/>
        <v>23.687985590673765</v>
      </c>
      <c r="BM121" s="90">
        <v>0.38997344240070758</v>
      </c>
      <c r="BN121" s="85">
        <v>46.79</v>
      </c>
      <c r="BO121" s="85">
        <v>41.217277168132135</v>
      </c>
      <c r="BP121" s="70">
        <f t="shared" si="81"/>
        <v>41.500491412068413</v>
      </c>
      <c r="BQ121" s="90">
        <v>0.48989495343399048</v>
      </c>
      <c r="BR121" s="90">
        <v>0.378277976286858</v>
      </c>
      <c r="BS121" s="85">
        <v>36.183224699999997</v>
      </c>
      <c r="BT121" s="86">
        <v>54.150555499999996</v>
      </c>
      <c r="BU121" s="85">
        <v>52.670711599999997</v>
      </c>
      <c r="BV121" s="86">
        <v>56.113403999999996</v>
      </c>
      <c r="BW121" s="71">
        <f t="shared" si="82"/>
        <v>46.767453284857034</v>
      </c>
      <c r="BX121" s="86">
        <v>77.39</v>
      </c>
      <c r="BY121" s="158">
        <f t="shared" si="83"/>
        <v>77.39</v>
      </c>
      <c r="BZ121" s="54"/>
    </row>
    <row r="122" spans="1:79" s="5" customFormat="1" ht="15" customHeight="1" x14ac:dyDescent="0.25">
      <c r="A122" s="2">
        <v>116</v>
      </c>
      <c r="B122" s="8" t="s">
        <v>16</v>
      </c>
      <c r="C122" s="11" t="s">
        <v>21</v>
      </c>
      <c r="D122" s="162" t="s">
        <v>190</v>
      </c>
      <c r="E122" s="209">
        <f t="shared" si="64"/>
        <v>52.255678923781936</v>
      </c>
      <c r="F122" s="71">
        <f t="shared" si="65"/>
        <v>51.862731205285471</v>
      </c>
      <c r="G122" s="71">
        <f t="shared" si="66"/>
        <v>53.870784938302677</v>
      </c>
      <c r="H122" s="71">
        <f t="shared" si="67"/>
        <v>51.063100443110834</v>
      </c>
      <c r="I122" s="71">
        <f t="shared" si="68"/>
        <v>52.226099108428741</v>
      </c>
      <c r="J122" s="63"/>
      <c r="K122" s="85">
        <v>-0.1646855529193525</v>
      </c>
      <c r="L122" s="208">
        <v>4.9999999999999991</v>
      </c>
      <c r="M122" s="82">
        <f t="shared" si="84"/>
        <v>92.592592592592595</v>
      </c>
      <c r="N122" s="71">
        <f t="shared" si="69"/>
        <v>62.048043224522118</v>
      </c>
      <c r="O122" s="85">
        <v>12.907052937351308</v>
      </c>
      <c r="P122" s="87">
        <v>78.599999999999994</v>
      </c>
      <c r="Q122" s="70">
        <f t="shared" si="70"/>
        <v>38.903918298528502</v>
      </c>
      <c r="R122" s="90">
        <v>4.9000000000000002E-2</v>
      </c>
      <c r="S122" s="85">
        <v>0.36877211999999998</v>
      </c>
      <c r="T122" s="85">
        <v>0.65</v>
      </c>
      <c r="U122" s="90">
        <v>3.214</v>
      </c>
      <c r="V122" s="70">
        <f t="shared" si="71"/>
        <v>48.317488693121696</v>
      </c>
      <c r="W122" s="85">
        <v>32.390999999999998</v>
      </c>
      <c r="X122" s="87">
        <v>34.799999999999997</v>
      </c>
      <c r="Y122" s="87">
        <v>22.84</v>
      </c>
      <c r="Z122" s="214">
        <v>2.7</v>
      </c>
      <c r="AA122" s="71">
        <f t="shared" si="72"/>
        <v>62.65437916597255</v>
      </c>
      <c r="AB122" s="63"/>
      <c r="AC122" s="85">
        <v>13.878930737764982</v>
      </c>
      <c r="AD122" s="87">
        <v>48.8</v>
      </c>
      <c r="AE122" s="88">
        <v>40</v>
      </c>
      <c r="AF122" s="85">
        <v>7</v>
      </c>
      <c r="AG122" s="88">
        <v>43</v>
      </c>
      <c r="AH122" s="70">
        <f t="shared" si="73"/>
        <v>46.091082030304854</v>
      </c>
      <c r="AI122" s="85">
        <v>1.33</v>
      </c>
      <c r="AJ122" s="85">
        <v>4.0199999999999996</v>
      </c>
      <c r="AK122" s="87">
        <v>65.400000000000006</v>
      </c>
      <c r="AL122" s="86">
        <v>5.4415805609144252</v>
      </c>
      <c r="AM122" s="85">
        <v>86.246315859514496</v>
      </c>
      <c r="AN122" s="70">
        <f t="shared" si="74"/>
        <v>61.6504878463005</v>
      </c>
      <c r="AO122" s="63"/>
      <c r="AP122" s="89">
        <v>78.795683814677986</v>
      </c>
      <c r="AQ122" s="89">
        <v>61.509198221864551</v>
      </c>
      <c r="AR122" s="89">
        <v>59.74</v>
      </c>
      <c r="AS122" s="158">
        <f t="shared" si="75"/>
        <v>60.518520064601773</v>
      </c>
      <c r="AT122" s="89">
        <v>66.487399999999994</v>
      </c>
      <c r="AU122" s="89">
        <v>62.002138511029891</v>
      </c>
      <c r="AV122" s="89">
        <v>32.531892612654744</v>
      </c>
      <c r="AW122" s="100">
        <v>10</v>
      </c>
      <c r="AX122" s="71">
        <f t="shared" si="76"/>
        <v>55.538745523490824</v>
      </c>
      <c r="AY122" s="86">
        <v>43.516037974954415</v>
      </c>
      <c r="AZ122" s="71">
        <f t="shared" si="77"/>
        <v>43.516037974954415</v>
      </c>
      <c r="BA122" s="86">
        <v>54.05</v>
      </c>
      <c r="BB122" s="71">
        <f t="shared" si="78"/>
        <v>45.95</v>
      </c>
      <c r="BC122" s="86">
        <v>44.36</v>
      </c>
      <c r="BD122" s="86">
        <v>24.21</v>
      </c>
      <c r="BE122" s="86">
        <v>36.57</v>
      </c>
      <c r="BF122" s="71">
        <f t="shared" si="79"/>
        <v>33.184000000000005</v>
      </c>
      <c r="BG122" s="63"/>
      <c r="BH122" s="85">
        <v>39.72</v>
      </c>
      <c r="BI122" s="85">
        <v>7.43</v>
      </c>
      <c r="BJ122" s="88">
        <v>47</v>
      </c>
      <c r="BK122" s="81">
        <v>48.484848484848492</v>
      </c>
      <c r="BL122" s="70">
        <f t="shared" si="80"/>
        <v>34.235491111835195</v>
      </c>
      <c r="BM122" s="90">
        <v>0.64332413963961788</v>
      </c>
      <c r="BN122" s="85">
        <v>77.95</v>
      </c>
      <c r="BO122" s="85">
        <v>70.702474003320518</v>
      </c>
      <c r="BP122" s="70">
        <f t="shared" si="81"/>
        <v>69.329325482811015</v>
      </c>
      <c r="BQ122" s="90">
        <v>0.60876731519045679</v>
      </c>
      <c r="BR122" s="90">
        <v>0.53215020491492959</v>
      </c>
      <c r="BS122" s="85">
        <v>43.972646900000001</v>
      </c>
      <c r="BT122" s="86">
        <v>46.947811899999998</v>
      </c>
      <c r="BU122" s="85">
        <v>55.352743199999999</v>
      </c>
      <c r="BV122" s="86">
        <v>53.914672400000001</v>
      </c>
      <c r="BW122" s="71">
        <f t="shared" si="82"/>
        <v>50.952653387504689</v>
      </c>
      <c r="BX122" s="86">
        <v>50.35</v>
      </c>
      <c r="BY122" s="158">
        <f t="shared" si="83"/>
        <v>50.35</v>
      </c>
      <c r="BZ122" s="54"/>
    </row>
    <row r="123" spans="1:79" s="5" customFormat="1" ht="15" customHeight="1" x14ac:dyDescent="0.25">
      <c r="A123" s="2">
        <v>117</v>
      </c>
      <c r="B123" s="8" t="s">
        <v>16</v>
      </c>
      <c r="C123" s="11" t="s">
        <v>21</v>
      </c>
      <c r="D123" s="162" t="s">
        <v>152</v>
      </c>
      <c r="E123" s="209">
        <f t="shared" si="64"/>
        <v>51.95822251584331</v>
      </c>
      <c r="F123" s="71">
        <f t="shared" si="65"/>
        <v>42.99644235309561</v>
      </c>
      <c r="G123" s="71">
        <f t="shared" si="66"/>
        <v>52.630939580889887</v>
      </c>
      <c r="H123" s="71">
        <f t="shared" si="67"/>
        <v>46.894423733050765</v>
      </c>
      <c r="I123" s="71">
        <f t="shared" si="68"/>
        <v>65.311084396336994</v>
      </c>
      <c r="J123" s="63"/>
      <c r="K123" s="85">
        <v>1.345499651914106</v>
      </c>
      <c r="L123" s="208">
        <v>4.66</v>
      </c>
      <c r="M123" s="82">
        <f t="shared" si="84"/>
        <v>93.851851851851848</v>
      </c>
      <c r="N123" s="71">
        <f t="shared" si="69"/>
        <v>71.067590658782066</v>
      </c>
      <c r="O123" s="85">
        <v>9.4502601667144273</v>
      </c>
      <c r="P123" s="87">
        <v>70.2</v>
      </c>
      <c r="Q123" s="70">
        <f t="shared" si="70"/>
        <v>40.716811203730238</v>
      </c>
      <c r="R123" s="90">
        <v>1.0999999999999999E-2</v>
      </c>
      <c r="S123" s="85">
        <v>-0.52119786000000001</v>
      </c>
      <c r="T123" s="85">
        <v>0.43</v>
      </c>
      <c r="U123" s="90">
        <v>4.3330000000000002</v>
      </c>
      <c r="V123" s="70">
        <f t="shared" si="71"/>
        <v>30.368630283068782</v>
      </c>
      <c r="W123" s="85">
        <v>19.291</v>
      </c>
      <c r="X123" s="87">
        <v>55.6</v>
      </c>
      <c r="Y123" s="87">
        <v>15.86</v>
      </c>
      <c r="Z123" s="214">
        <v>2.4</v>
      </c>
      <c r="AA123" s="71">
        <f t="shared" si="72"/>
        <v>58.391385860493919</v>
      </c>
      <c r="AB123" s="63"/>
      <c r="AC123" s="85">
        <v>21.517723492229788</v>
      </c>
      <c r="AD123" s="87">
        <v>63.1</v>
      </c>
      <c r="AE123" s="88">
        <v>50</v>
      </c>
      <c r="AF123" s="85">
        <v>6.5</v>
      </c>
      <c r="AG123" s="88">
        <v>37</v>
      </c>
      <c r="AH123" s="70">
        <f t="shared" si="73"/>
        <v>54.361815661486524</v>
      </c>
      <c r="AI123" s="85">
        <v>0.08</v>
      </c>
      <c r="AJ123" s="85">
        <v>4.08</v>
      </c>
      <c r="AK123" s="87">
        <v>66.400000000000006</v>
      </c>
      <c r="AL123" s="86">
        <v>5.3638223586179414</v>
      </c>
      <c r="AM123" s="85">
        <v>36.923933829400703</v>
      </c>
      <c r="AN123" s="70">
        <f t="shared" si="74"/>
        <v>50.90006350029325</v>
      </c>
      <c r="AO123" s="63"/>
      <c r="AP123" s="89">
        <v>64.09203164751851</v>
      </c>
      <c r="AQ123" s="89">
        <v>47.814175210340771</v>
      </c>
      <c r="AR123" s="89">
        <v>60.73</v>
      </c>
      <c r="AS123" s="158">
        <f t="shared" si="75"/>
        <v>49.747595517050016</v>
      </c>
      <c r="AT123" s="89">
        <v>67.662599999999998</v>
      </c>
      <c r="AU123" s="89">
        <v>59.411724821761553</v>
      </c>
      <c r="AV123" s="89">
        <v>39.595443802588086</v>
      </c>
      <c r="AW123" s="100">
        <v>18.100000000000001</v>
      </c>
      <c r="AX123" s="71">
        <f t="shared" si="76"/>
        <v>54.532343305106821</v>
      </c>
      <c r="AY123" s="86">
        <v>37.798818788003501</v>
      </c>
      <c r="AZ123" s="71">
        <f t="shared" si="77"/>
        <v>37.798818788003501</v>
      </c>
      <c r="BA123" s="86">
        <v>59.07</v>
      </c>
      <c r="BB123" s="71">
        <f t="shared" si="78"/>
        <v>40.93</v>
      </c>
      <c r="BC123" s="86">
        <v>31.77</v>
      </c>
      <c r="BD123" s="86">
        <v>25</v>
      </c>
      <c r="BE123" s="86">
        <v>55.99</v>
      </c>
      <c r="BF123" s="71">
        <f t="shared" si="79"/>
        <v>38.75</v>
      </c>
      <c r="BG123" s="63"/>
      <c r="BH123" s="85">
        <v>11.21</v>
      </c>
      <c r="BI123" s="85">
        <v>4.43</v>
      </c>
      <c r="BJ123" s="88">
        <v>118</v>
      </c>
      <c r="BK123" s="81">
        <v>90.909090909090907</v>
      </c>
      <c r="BL123" s="70">
        <f t="shared" si="80"/>
        <v>79.156415408565948</v>
      </c>
      <c r="BM123" s="90">
        <v>0.65525421662386985</v>
      </c>
      <c r="BN123" s="85">
        <v>76.97</v>
      </c>
      <c r="BO123" s="85">
        <v>49.491940282006915</v>
      </c>
      <c r="BP123" s="70">
        <f t="shared" si="81"/>
        <v>64.378195901695221</v>
      </c>
      <c r="BQ123" s="90">
        <v>0.65020842995690475</v>
      </c>
      <c r="BR123" s="90">
        <v>0.57457796926972282</v>
      </c>
      <c r="BS123" s="85">
        <v>50.4157905</v>
      </c>
      <c r="BT123" s="86">
        <v>53.272107699999999</v>
      </c>
      <c r="BU123" s="85">
        <v>75.233462799999998</v>
      </c>
      <c r="BV123" s="86">
        <v>56.990438499999996</v>
      </c>
      <c r="BW123" s="71">
        <f t="shared" si="82"/>
        <v>57.064347924819842</v>
      </c>
      <c r="BX123" s="86">
        <v>62.36</v>
      </c>
      <c r="BY123" s="158">
        <f t="shared" si="83"/>
        <v>62.36</v>
      </c>
      <c r="BZ123" s="54"/>
      <c r="CA123" s="20"/>
    </row>
    <row r="124" spans="1:79" s="5" customFormat="1" ht="15" customHeight="1" x14ac:dyDescent="0.25">
      <c r="A124" s="2">
        <v>118</v>
      </c>
      <c r="B124" s="17" t="s">
        <v>29</v>
      </c>
      <c r="C124" s="26" t="s">
        <v>118</v>
      </c>
      <c r="D124" s="162" t="s">
        <v>153</v>
      </c>
      <c r="E124" s="209">
        <f t="shared" si="64"/>
        <v>51.841152979818219</v>
      </c>
      <c r="F124" s="71">
        <f t="shared" si="65"/>
        <v>35.576483261942798</v>
      </c>
      <c r="G124" s="71">
        <f t="shared" si="66"/>
        <v>49.217024736046227</v>
      </c>
      <c r="H124" s="71">
        <f t="shared" si="67"/>
        <v>52.15656812963072</v>
      </c>
      <c r="I124" s="71">
        <f t="shared" si="68"/>
        <v>70.414535791653137</v>
      </c>
      <c r="J124" s="63"/>
      <c r="K124" s="86">
        <v>4.3525919880060826E-2</v>
      </c>
      <c r="L124" s="207">
        <v>4.660000000000001</v>
      </c>
      <c r="M124" s="82">
        <f t="shared" si="84"/>
        <v>93.851851851851848</v>
      </c>
      <c r="N124" s="71">
        <f t="shared" si="69"/>
        <v>63.834403258592928</v>
      </c>
      <c r="O124" s="92">
        <v>-12.986043600170524</v>
      </c>
      <c r="P124" s="100">
        <v>14.6</v>
      </c>
      <c r="Q124" s="70">
        <f t="shared" si="70"/>
        <v>57.400000000000006</v>
      </c>
      <c r="R124" s="96">
        <v>1.9489464563127558E-4</v>
      </c>
      <c r="S124" s="92">
        <v>-4</v>
      </c>
      <c r="T124" s="92">
        <v>0.43</v>
      </c>
      <c r="U124" s="167">
        <v>5.0679999999999996</v>
      </c>
      <c r="V124" s="70">
        <f t="shared" si="71"/>
        <v>16.404912830893323</v>
      </c>
      <c r="W124" s="189">
        <v>5</v>
      </c>
      <c r="X124" s="100">
        <v>93.9</v>
      </c>
      <c r="Y124" s="93">
        <v>14.401044388421237</v>
      </c>
      <c r="Z124" s="215">
        <v>3.5</v>
      </c>
      <c r="AA124" s="71">
        <f t="shared" si="72"/>
        <v>49.522346082547351</v>
      </c>
      <c r="AB124" s="63"/>
      <c r="AC124" s="92">
        <v>24.503492387398431</v>
      </c>
      <c r="AD124" s="93">
        <v>59.831661489986068</v>
      </c>
      <c r="AE124" s="94">
        <v>30</v>
      </c>
      <c r="AF124" s="85">
        <v>4.3499999999999996</v>
      </c>
      <c r="AG124" s="91">
        <v>43.139487736201119</v>
      </c>
      <c r="AH124" s="70">
        <f t="shared" si="73"/>
        <v>54.048801847245535</v>
      </c>
      <c r="AI124" s="92">
        <v>0.73493061271091897</v>
      </c>
      <c r="AJ124" s="92">
        <v>2.5886697687326379</v>
      </c>
      <c r="AK124" s="136">
        <v>96.39</v>
      </c>
      <c r="AL124" s="92">
        <v>4.8808502294996989</v>
      </c>
      <c r="AM124" s="86">
        <v>21.5961042818852</v>
      </c>
      <c r="AN124" s="70">
        <f t="shared" si="74"/>
        <v>44.385247624846926</v>
      </c>
      <c r="AO124" s="63"/>
      <c r="AP124" s="89">
        <v>81.207735667103364</v>
      </c>
      <c r="AQ124" s="89">
        <v>65.585502541024283</v>
      </c>
      <c r="AR124" s="89">
        <v>58.66</v>
      </c>
      <c r="AS124" s="158">
        <f t="shared" si="75"/>
        <v>63.42968518728798</v>
      </c>
      <c r="AT124" s="89">
        <v>62.442399999999999</v>
      </c>
      <c r="AU124" s="89">
        <v>69.888061931279509</v>
      </c>
      <c r="AV124" s="89">
        <v>39.646070066002807</v>
      </c>
      <c r="AW124" s="100">
        <v>2.5</v>
      </c>
      <c r="AX124" s="71">
        <f t="shared" si="76"/>
        <v>57.377743915336481</v>
      </c>
      <c r="AY124" s="86">
        <v>35.72534584976389</v>
      </c>
      <c r="AZ124" s="71">
        <f t="shared" si="77"/>
        <v>35.72534584976389</v>
      </c>
      <c r="BA124" s="86">
        <v>32.36</v>
      </c>
      <c r="BB124" s="71">
        <f t="shared" si="78"/>
        <v>67.64</v>
      </c>
      <c r="BC124" s="92">
        <v>42.6</v>
      </c>
      <c r="BD124" s="92">
        <v>38.630000000000003</v>
      </c>
      <c r="BE124" s="92">
        <v>37.659999999999997</v>
      </c>
      <c r="BF124" s="71">
        <f t="shared" si="79"/>
        <v>39.036000000000001</v>
      </c>
      <c r="BG124" s="63"/>
      <c r="BH124" s="92">
        <v>1.6600000000000001</v>
      </c>
      <c r="BI124" s="86">
        <v>1.72</v>
      </c>
      <c r="BJ124" s="95">
        <v>156</v>
      </c>
      <c r="BK124" s="82">
        <v>100</v>
      </c>
      <c r="BL124" s="70">
        <f t="shared" si="80"/>
        <v>99.248148148148147</v>
      </c>
      <c r="BM124" s="96">
        <v>0.64967838241688247</v>
      </c>
      <c r="BN124" s="92">
        <v>69.881218042895199</v>
      </c>
      <c r="BO124" s="86">
        <v>53.773437130287256</v>
      </c>
      <c r="BP124" s="70">
        <f t="shared" si="81"/>
        <v>63.397582914139733</v>
      </c>
      <c r="BQ124" s="96">
        <v>0.60733649207115425</v>
      </c>
      <c r="BR124" s="96">
        <v>0.54923946667268486</v>
      </c>
      <c r="BS124" s="86">
        <v>58.075460399999997</v>
      </c>
      <c r="BT124" s="86">
        <v>51.535447599999998</v>
      </c>
      <c r="BU124" s="86">
        <v>84.764525999999989</v>
      </c>
      <c r="BV124" s="86">
        <v>46.590308</v>
      </c>
      <c r="BW124" s="71">
        <f t="shared" si="82"/>
        <v>56.30349680106908</v>
      </c>
      <c r="BX124" s="92">
        <v>68.77</v>
      </c>
      <c r="BY124" s="158">
        <f t="shared" si="83"/>
        <v>68.77</v>
      </c>
      <c r="BZ124" s="54"/>
    </row>
    <row r="125" spans="1:79" s="5" customFormat="1" ht="15" customHeight="1" x14ac:dyDescent="0.25">
      <c r="A125" s="2">
        <v>119</v>
      </c>
      <c r="B125" s="17" t="s">
        <v>29</v>
      </c>
      <c r="C125" s="26" t="s">
        <v>118</v>
      </c>
      <c r="D125" s="162" t="s">
        <v>145</v>
      </c>
      <c r="E125" s="209">
        <f t="shared" si="64"/>
        <v>51.555197804371488</v>
      </c>
      <c r="F125" s="71">
        <f t="shared" si="65"/>
        <v>32.877499709220359</v>
      </c>
      <c r="G125" s="71">
        <f t="shared" si="66"/>
        <v>57.712082753854482</v>
      </c>
      <c r="H125" s="71">
        <f t="shared" si="67"/>
        <v>45.604867975842701</v>
      </c>
      <c r="I125" s="71">
        <f t="shared" si="68"/>
        <v>70.026340778568425</v>
      </c>
      <c r="J125" s="63"/>
      <c r="K125" s="86">
        <v>-0.13354686835336249</v>
      </c>
      <c r="L125" s="207">
        <v>4.3199999999999994</v>
      </c>
      <c r="M125" s="82">
        <f t="shared" si="84"/>
        <v>95.111111111111114</v>
      </c>
      <c r="N125" s="71">
        <f t="shared" si="69"/>
        <v>63.480295175814653</v>
      </c>
      <c r="O125" s="92">
        <v>10.004569034042737</v>
      </c>
      <c r="P125" s="100">
        <v>8.9</v>
      </c>
      <c r="Q125" s="70">
        <f t="shared" si="70"/>
        <v>68.269205018912629</v>
      </c>
      <c r="R125" s="96">
        <v>0</v>
      </c>
      <c r="S125" s="92">
        <v>-4</v>
      </c>
      <c r="T125" s="92">
        <v>0.22</v>
      </c>
      <c r="U125" s="167">
        <v>4.5069999999999997</v>
      </c>
      <c r="V125" s="70">
        <f t="shared" si="71"/>
        <v>12.061904761904763</v>
      </c>
      <c r="W125" s="188">
        <v>16.2</v>
      </c>
      <c r="X125" s="93">
        <v>66.150000000000006</v>
      </c>
      <c r="Y125" s="93">
        <v>7.994419145276769</v>
      </c>
      <c r="Z125" s="215">
        <v>10.3</v>
      </c>
      <c r="AA125" s="71">
        <f t="shared" si="72"/>
        <v>41.032548231398444</v>
      </c>
      <c r="AB125" s="63"/>
      <c r="AC125" s="86">
        <v>44.940959883975282</v>
      </c>
      <c r="AD125" s="100">
        <v>75.3</v>
      </c>
      <c r="AE125" s="95">
        <v>35</v>
      </c>
      <c r="AF125" s="85">
        <v>3.75</v>
      </c>
      <c r="AG125" s="91">
        <v>57.836866081715897</v>
      </c>
      <c r="AH125" s="70">
        <f t="shared" si="73"/>
        <v>73.68857914139771</v>
      </c>
      <c r="AI125" s="92">
        <v>0.80671862958428964</v>
      </c>
      <c r="AJ125" s="92">
        <v>2.7432604620613277</v>
      </c>
      <c r="AK125" s="100">
        <v>92.1</v>
      </c>
      <c r="AL125" s="92">
        <v>4.5962708297302761</v>
      </c>
      <c r="AM125" s="86">
        <v>8.7726071819252294</v>
      </c>
      <c r="AN125" s="70">
        <f t="shared" si="74"/>
        <v>41.73558636631126</v>
      </c>
      <c r="AO125" s="63"/>
      <c r="AP125" s="89">
        <v>81.83691827423516</v>
      </c>
      <c r="AQ125" s="89">
        <v>36.417181540526485</v>
      </c>
      <c r="AR125" s="89">
        <v>77.02</v>
      </c>
      <c r="AS125" s="158">
        <f t="shared" si="75"/>
        <v>44.41282033882203</v>
      </c>
      <c r="AT125" s="89">
        <v>67.502700000000004</v>
      </c>
      <c r="AU125" s="89">
        <v>48.122254980695118</v>
      </c>
      <c r="AV125" s="89">
        <v>41.956697394446572</v>
      </c>
      <c r="AW125" s="93">
        <v>13.600000000000001</v>
      </c>
      <c r="AX125" s="71">
        <f t="shared" si="76"/>
        <v>53.275027508011028</v>
      </c>
      <c r="AY125" s="86">
        <v>32.885213053333338</v>
      </c>
      <c r="AZ125" s="71">
        <f t="shared" si="77"/>
        <v>32.885213053333338</v>
      </c>
      <c r="BA125" s="86">
        <v>40.049999999999997</v>
      </c>
      <c r="BB125" s="71">
        <f t="shared" si="78"/>
        <v>59.95</v>
      </c>
      <c r="BC125" s="101">
        <v>44.4</v>
      </c>
      <c r="BD125" s="101">
        <v>64.8</v>
      </c>
      <c r="BE125" s="92">
        <v>28.914999999999999</v>
      </c>
      <c r="BF125" s="71">
        <f t="shared" si="79"/>
        <v>46.366</v>
      </c>
      <c r="BG125" s="63"/>
      <c r="BH125" s="86">
        <v>0.91</v>
      </c>
      <c r="BI125" s="86">
        <v>2.72</v>
      </c>
      <c r="BJ125" s="95">
        <v>156</v>
      </c>
      <c r="BK125" s="82">
        <v>100</v>
      </c>
      <c r="BL125" s="70">
        <f t="shared" si="80"/>
        <v>98.769753086419755</v>
      </c>
      <c r="BM125" s="96">
        <v>0.74622950879001093</v>
      </c>
      <c r="BN125" s="92">
        <v>68.162708081595696</v>
      </c>
      <c r="BO125" s="86">
        <v>54.229291655081511</v>
      </c>
      <c r="BP125" s="70">
        <f t="shared" si="81"/>
        <v>67.909475373669849</v>
      </c>
      <c r="BQ125" s="96">
        <v>0.68102106264497619</v>
      </c>
      <c r="BR125" s="96">
        <v>0.66368698369323698</v>
      </c>
      <c r="BS125" s="86">
        <v>62.186190199999999</v>
      </c>
      <c r="BT125" s="86">
        <v>47.747610599999994</v>
      </c>
      <c r="BU125" s="86">
        <v>91.507706399999989</v>
      </c>
      <c r="BV125" s="86">
        <v>42.8249128</v>
      </c>
      <c r="BW125" s="71">
        <f t="shared" si="82"/>
        <v>59.334456842464419</v>
      </c>
      <c r="BX125" s="92">
        <v>41.94</v>
      </c>
      <c r="BY125" s="158">
        <f t="shared" si="83"/>
        <v>41.94</v>
      </c>
      <c r="BZ125" s="54"/>
    </row>
    <row r="126" spans="1:79" s="5" customFormat="1" ht="15" customHeight="1" x14ac:dyDescent="0.25">
      <c r="A126" s="2">
        <v>120</v>
      </c>
      <c r="B126" s="17" t="s">
        <v>29</v>
      </c>
      <c r="C126" s="26" t="s">
        <v>118</v>
      </c>
      <c r="D126" s="162" t="s">
        <v>119</v>
      </c>
      <c r="E126" s="209">
        <f t="shared" si="64"/>
        <v>51.466017551650253</v>
      </c>
      <c r="F126" s="71">
        <f t="shared" si="65"/>
        <v>35.163114331327691</v>
      </c>
      <c r="G126" s="71">
        <f t="shared" si="66"/>
        <v>53.98940201407806</v>
      </c>
      <c r="H126" s="71">
        <f t="shared" si="67"/>
        <v>48.589734775244942</v>
      </c>
      <c r="I126" s="71">
        <f t="shared" si="68"/>
        <v>68.121819085950335</v>
      </c>
      <c r="J126" s="63"/>
      <c r="K126" s="86">
        <v>2.6977302767943634</v>
      </c>
      <c r="L126" s="207">
        <v>5.1400000000000006</v>
      </c>
      <c r="M126" s="82">
        <f t="shared" si="84"/>
        <v>92.074074074074076</v>
      </c>
      <c r="N126" s="71">
        <f t="shared" si="69"/>
        <v>77.691094130339053</v>
      </c>
      <c r="O126" s="86">
        <v>12.854640963943831</v>
      </c>
      <c r="P126" s="100">
        <v>8</v>
      </c>
      <c r="Q126" s="70">
        <f t="shared" si="70"/>
        <v>70.252578313302124</v>
      </c>
      <c r="R126" s="96">
        <v>0</v>
      </c>
      <c r="S126" s="92">
        <v>-4</v>
      </c>
      <c r="T126" s="92">
        <v>0.22</v>
      </c>
      <c r="U126" s="167">
        <v>4.6609999999999996</v>
      </c>
      <c r="V126" s="70">
        <f t="shared" si="71"/>
        <v>11.328571428571431</v>
      </c>
      <c r="W126" s="86">
        <v>3.2</v>
      </c>
      <c r="X126" s="100">
        <v>61.5</v>
      </c>
      <c r="Y126" s="93">
        <v>6.9626875968410884</v>
      </c>
      <c r="Z126" s="215">
        <v>10.3</v>
      </c>
      <c r="AA126" s="71">
        <f t="shared" si="72"/>
        <v>44.767329828051004</v>
      </c>
      <c r="AB126" s="63"/>
      <c r="AC126" s="86">
        <v>29.036770123458073</v>
      </c>
      <c r="AD126" s="100">
        <v>69.599999999999994</v>
      </c>
      <c r="AE126" s="95">
        <v>30</v>
      </c>
      <c r="AF126" s="85">
        <v>4.3499999999999996</v>
      </c>
      <c r="AG126" s="91">
        <v>50.62213651153268</v>
      </c>
      <c r="AH126" s="70">
        <f t="shared" si="73"/>
        <v>59.946151552176218</v>
      </c>
      <c r="AI126" s="92">
        <v>0.82317836930315702</v>
      </c>
      <c r="AJ126" s="92">
        <v>2.6605139365345414</v>
      </c>
      <c r="AK126" s="100">
        <v>72.599999999999994</v>
      </c>
      <c r="AL126" s="92">
        <v>4.723167632101446</v>
      </c>
      <c r="AM126" s="86">
        <v>55.629984184197497</v>
      </c>
      <c r="AN126" s="70">
        <f t="shared" si="74"/>
        <v>48.032652475979909</v>
      </c>
      <c r="AO126" s="63"/>
      <c r="AP126" s="89">
        <v>61.815244667860881</v>
      </c>
      <c r="AQ126" s="89">
        <v>42.974682294650634</v>
      </c>
      <c r="AR126" s="89">
        <v>51.12</v>
      </c>
      <c r="AS126" s="158">
        <f t="shared" si="75"/>
        <v>49.161152314290533</v>
      </c>
      <c r="AT126" s="89">
        <v>66.723799999999997</v>
      </c>
      <c r="AU126" s="89">
        <v>46.451738737293056</v>
      </c>
      <c r="AV126" s="89">
        <v>35.887139599347449</v>
      </c>
      <c r="AW126" s="100">
        <v>4.0999999999999996</v>
      </c>
      <c r="AX126" s="71">
        <f t="shared" si="76"/>
        <v>54.196672742952614</v>
      </c>
      <c r="AY126" s="86">
        <v>37.846444946555557</v>
      </c>
      <c r="AZ126" s="71">
        <f t="shared" si="77"/>
        <v>37.846444946555557</v>
      </c>
      <c r="BA126" s="86">
        <v>24.74</v>
      </c>
      <c r="BB126" s="71">
        <f t="shared" si="78"/>
        <v>75.260000000000005</v>
      </c>
      <c r="BC126" s="86">
        <v>33</v>
      </c>
      <c r="BD126" s="86">
        <v>54.83</v>
      </c>
      <c r="BE126" s="86">
        <v>31.32</v>
      </c>
      <c r="BF126" s="71">
        <f t="shared" si="79"/>
        <v>41.06</v>
      </c>
      <c r="BG126" s="63"/>
      <c r="BH126" s="86">
        <v>7.12</v>
      </c>
      <c r="BI126" s="86">
        <v>2.33</v>
      </c>
      <c r="BJ126" s="95">
        <v>156</v>
      </c>
      <c r="BK126" s="82">
        <v>100</v>
      </c>
      <c r="BL126" s="70">
        <f t="shared" si="80"/>
        <v>97.860493827160496</v>
      </c>
      <c r="BM126" s="96">
        <v>0.73072576142234635</v>
      </c>
      <c r="BN126" s="92">
        <v>71.014330791698356</v>
      </c>
      <c r="BO126" s="86">
        <v>46.141109976471483</v>
      </c>
      <c r="BP126" s="70">
        <f t="shared" si="81"/>
        <v>65.825148263159775</v>
      </c>
      <c r="BQ126" s="96">
        <v>0.68709983810369724</v>
      </c>
      <c r="BR126" s="96">
        <v>0.62889735924690793</v>
      </c>
      <c r="BS126" s="86">
        <v>55.436613999999999</v>
      </c>
      <c r="BT126" s="86">
        <v>42.8957403</v>
      </c>
      <c r="BU126" s="86">
        <v>87.0442125</v>
      </c>
      <c r="BV126" s="86">
        <v>46.954429099999999</v>
      </c>
      <c r="BW126" s="71">
        <f t="shared" si="82"/>
        <v>56.329003286320784</v>
      </c>
      <c r="BX126" s="92">
        <v>41.94</v>
      </c>
      <c r="BY126" s="158">
        <f t="shared" si="83"/>
        <v>41.94</v>
      </c>
      <c r="BZ126" s="54"/>
    </row>
    <row r="127" spans="1:79" s="5" customFormat="1" ht="15" customHeight="1" x14ac:dyDescent="0.25">
      <c r="A127" s="2">
        <v>121</v>
      </c>
      <c r="B127" s="17" t="s">
        <v>29</v>
      </c>
      <c r="C127" s="24" t="s">
        <v>85</v>
      </c>
      <c r="D127" s="162" t="s">
        <v>220</v>
      </c>
      <c r="E127" s="209">
        <f t="shared" si="64"/>
        <v>50.665158681488165</v>
      </c>
      <c r="F127" s="71">
        <f t="shared" si="65"/>
        <v>36.024339992157067</v>
      </c>
      <c r="G127" s="71">
        <f t="shared" si="66"/>
        <v>56.360249670813211</v>
      </c>
      <c r="H127" s="71">
        <f t="shared" si="67"/>
        <v>44.956222497044656</v>
      </c>
      <c r="I127" s="71">
        <f t="shared" si="68"/>
        <v>65.319822565937727</v>
      </c>
      <c r="J127" s="63"/>
      <c r="K127" s="86">
        <v>2.1895183193960444</v>
      </c>
      <c r="L127" s="207">
        <v>4.5999999999999996</v>
      </c>
      <c r="M127" s="82">
        <f t="shared" si="84"/>
        <v>94.074074074074062</v>
      </c>
      <c r="N127" s="71">
        <f t="shared" si="69"/>
        <v>75.867694367015062</v>
      </c>
      <c r="O127" s="86">
        <v>7.1544971041416412</v>
      </c>
      <c r="P127" s="100">
        <v>40.9</v>
      </c>
      <c r="Q127" s="70">
        <f t="shared" si="70"/>
        <v>52.463609502300905</v>
      </c>
      <c r="R127" s="96">
        <v>8.22599317346523E-4</v>
      </c>
      <c r="S127" s="92">
        <v>-1.3374162449970388</v>
      </c>
      <c r="T127" s="86">
        <v>0.27</v>
      </c>
      <c r="U127" s="167">
        <v>4.6269999999999998</v>
      </c>
      <c r="V127" s="70">
        <f t="shared" si="71"/>
        <v>20.614142126028604</v>
      </c>
      <c r="W127" s="86">
        <v>5.0730000000000004</v>
      </c>
      <c r="X127" s="100">
        <v>70.8</v>
      </c>
      <c r="Y127" s="100">
        <v>6.26</v>
      </c>
      <c r="Z127" s="215">
        <v>10.3</v>
      </c>
      <c r="AA127" s="71">
        <f t="shared" si="72"/>
        <v>41.043832268384456</v>
      </c>
      <c r="AB127" s="63"/>
      <c r="AC127" s="86">
        <v>24.368498296383937</v>
      </c>
      <c r="AD127" s="100">
        <v>62.1</v>
      </c>
      <c r="AE127" s="95">
        <v>65</v>
      </c>
      <c r="AF127" s="134">
        <v>2.75</v>
      </c>
      <c r="AG127" s="91">
        <v>37.893184151608182</v>
      </c>
      <c r="AH127" s="70">
        <f t="shared" si="73"/>
        <v>59.706068017729116</v>
      </c>
      <c r="AI127" s="86">
        <v>0.61</v>
      </c>
      <c r="AJ127" s="92">
        <v>2.9304079331764035</v>
      </c>
      <c r="AK127" s="100">
        <v>96.9</v>
      </c>
      <c r="AL127" s="92">
        <v>4.7231640766063707</v>
      </c>
      <c r="AM127" s="86">
        <v>69.288108081846303</v>
      </c>
      <c r="AN127" s="70">
        <f t="shared" si="74"/>
        <v>53.014431323897306</v>
      </c>
      <c r="AO127" s="63"/>
      <c r="AP127" s="89">
        <v>59.243653235107558</v>
      </c>
      <c r="AQ127" s="89">
        <v>37.791313155902685</v>
      </c>
      <c r="AR127" s="89">
        <v>83.86</v>
      </c>
      <c r="AS127" s="158">
        <f t="shared" si="75"/>
        <v>37.741569886728229</v>
      </c>
      <c r="AT127" s="89">
        <v>71.843400000000003</v>
      </c>
      <c r="AU127" s="89">
        <v>40.781889327644919</v>
      </c>
      <c r="AV127" s="89">
        <v>46.696303544442245</v>
      </c>
      <c r="AW127" s="100">
        <v>7.2</v>
      </c>
      <c r="AX127" s="71">
        <f t="shared" si="76"/>
        <v>58.861124573628587</v>
      </c>
      <c r="AY127" s="86">
        <v>31.857745698370373</v>
      </c>
      <c r="AZ127" s="71">
        <f t="shared" si="77"/>
        <v>31.857745698370373</v>
      </c>
      <c r="BA127" s="86">
        <v>32.32</v>
      </c>
      <c r="BB127" s="71">
        <f t="shared" si="78"/>
        <v>67.680000000000007</v>
      </c>
      <c r="BC127" s="86">
        <v>41.01</v>
      </c>
      <c r="BD127" s="86">
        <v>38.96</v>
      </c>
      <c r="BE127" s="86">
        <v>29.81</v>
      </c>
      <c r="BF127" s="71">
        <f t="shared" si="79"/>
        <v>35.71</v>
      </c>
      <c r="BG127" s="63"/>
      <c r="BH127" s="86">
        <v>0.33</v>
      </c>
      <c r="BI127" s="86">
        <v>2.33</v>
      </c>
      <c r="BJ127" s="95">
        <v>156</v>
      </c>
      <c r="BK127" s="82">
        <v>100</v>
      </c>
      <c r="BL127" s="70">
        <f t="shared" si="80"/>
        <v>99.11790123456791</v>
      </c>
      <c r="BM127" s="96">
        <v>0.6601062439552865</v>
      </c>
      <c r="BN127" s="92">
        <v>66.53416274433647</v>
      </c>
      <c r="BO127" s="86">
        <v>52.35169963875618</v>
      </c>
      <c r="BP127" s="70">
        <f t="shared" si="81"/>
        <v>62.726777793537487</v>
      </c>
      <c r="BQ127" s="96">
        <v>0.59331058645630774</v>
      </c>
      <c r="BR127" s="96">
        <v>0.58174492796738941</v>
      </c>
      <c r="BS127" s="86">
        <v>44.806365299999996</v>
      </c>
      <c r="BT127" s="86">
        <v>35.457585999999999</v>
      </c>
      <c r="BU127" s="86">
        <v>82.296419299999997</v>
      </c>
      <c r="BV127" s="86">
        <v>49.7409994</v>
      </c>
      <c r="BW127" s="71">
        <f t="shared" si="82"/>
        <v>50.080896912098559</v>
      </c>
      <c r="BX127" s="92">
        <v>41.94</v>
      </c>
      <c r="BY127" s="158">
        <f t="shared" si="83"/>
        <v>41.94</v>
      </c>
      <c r="BZ127" s="54"/>
    </row>
    <row r="128" spans="1:79" s="5" customFormat="1" ht="15" customHeight="1" x14ac:dyDescent="0.25">
      <c r="A128" s="2">
        <v>122</v>
      </c>
      <c r="B128" s="14" t="s">
        <v>23</v>
      </c>
      <c r="C128" s="15" t="s">
        <v>24</v>
      </c>
      <c r="D128" s="162" t="s">
        <v>41</v>
      </c>
      <c r="E128" s="209">
        <f t="shared" si="64"/>
        <v>50.633817740994857</v>
      </c>
      <c r="F128" s="71">
        <f t="shared" si="65"/>
        <v>43.383465617155373</v>
      </c>
      <c r="G128" s="71">
        <f t="shared" si="66"/>
        <v>49.729643565341263</v>
      </c>
      <c r="H128" s="71">
        <f t="shared" si="67"/>
        <v>58.047861122695977</v>
      </c>
      <c r="I128" s="71">
        <f t="shared" si="68"/>
        <v>51.374300658786808</v>
      </c>
      <c r="J128" s="63"/>
      <c r="K128" s="85">
        <v>2.2138953772597114</v>
      </c>
      <c r="L128" s="208">
        <v>3.66</v>
      </c>
      <c r="M128" s="82">
        <f t="shared" si="84"/>
        <v>97.555555555555557</v>
      </c>
      <c r="N128" s="71">
        <f t="shared" si="69"/>
        <v>77.743863206998398</v>
      </c>
      <c r="O128" s="85">
        <v>20.332618932977958</v>
      </c>
      <c r="P128" s="87">
        <v>67.900000000000006</v>
      </c>
      <c r="Q128" s="70">
        <f t="shared" si="70"/>
        <v>47.784788296098867</v>
      </c>
      <c r="R128" s="90">
        <v>5.0000000000000001E-3</v>
      </c>
      <c r="S128" s="99">
        <v>-0.4059514701565281</v>
      </c>
      <c r="T128" s="85">
        <v>0.37</v>
      </c>
      <c r="U128" s="90">
        <v>4.0830000000000002</v>
      </c>
      <c r="V128" s="70">
        <f t="shared" si="71"/>
        <v>29.434790889776838</v>
      </c>
      <c r="W128" s="85">
        <v>8.8559999999999999</v>
      </c>
      <c r="X128" s="98">
        <v>55.3</v>
      </c>
      <c r="Y128" s="87">
        <v>15.34</v>
      </c>
      <c r="Z128" s="218">
        <v>6.85</v>
      </c>
      <c r="AA128" s="71">
        <f t="shared" si="72"/>
        <v>54.895862428609149</v>
      </c>
      <c r="AB128" s="63"/>
      <c r="AC128" s="85">
        <v>21.134051672230246</v>
      </c>
      <c r="AD128" s="87">
        <v>46.3</v>
      </c>
      <c r="AE128" s="88">
        <v>55</v>
      </c>
      <c r="AF128" s="85">
        <v>2.25</v>
      </c>
      <c r="AG128" s="88">
        <v>20</v>
      </c>
      <c r="AH128" s="70">
        <f t="shared" si="73"/>
        <v>50.395778037897088</v>
      </c>
      <c r="AI128" s="99">
        <v>0.84570335656072104</v>
      </c>
      <c r="AJ128" s="99">
        <v>3.1323584132505342</v>
      </c>
      <c r="AK128" s="87">
        <v>81.8</v>
      </c>
      <c r="AL128" s="86">
        <v>5.3625200763534648</v>
      </c>
      <c r="AM128" s="85">
        <v>32.350400741370997</v>
      </c>
      <c r="AN128" s="70">
        <f t="shared" si="74"/>
        <v>49.063509092785445</v>
      </c>
      <c r="AO128" s="63"/>
      <c r="AP128" s="89">
        <v>90.611321461123822</v>
      </c>
      <c r="AQ128" s="89">
        <v>59.589723890565161</v>
      </c>
      <c r="AR128" s="89">
        <v>17.420000000000002</v>
      </c>
      <c r="AS128" s="158">
        <f t="shared" si="75"/>
        <v>73.092692310563535</v>
      </c>
      <c r="AT128" s="89">
        <v>73.903499999999994</v>
      </c>
      <c r="AU128" s="89">
        <v>62.500386081731349</v>
      </c>
      <c r="AV128" s="89">
        <v>47.305780240805504</v>
      </c>
      <c r="AW128" s="100">
        <v>7</v>
      </c>
      <c r="AX128" s="71">
        <f t="shared" si="76"/>
        <v>67.104792611527728</v>
      </c>
      <c r="AY128" s="86">
        <v>37.798042524081524</v>
      </c>
      <c r="AZ128" s="71">
        <f t="shared" si="77"/>
        <v>37.798042524081524</v>
      </c>
      <c r="BA128" s="86">
        <v>39.950000000000003</v>
      </c>
      <c r="BB128" s="71">
        <f t="shared" si="78"/>
        <v>60.05</v>
      </c>
      <c r="BC128" s="86">
        <v>34.32</v>
      </c>
      <c r="BD128" s="86">
        <v>30.71</v>
      </c>
      <c r="BE128" s="86">
        <v>48.03</v>
      </c>
      <c r="BF128" s="71">
        <f t="shared" si="79"/>
        <v>38.36</v>
      </c>
      <c r="BG128" s="63"/>
      <c r="BH128" s="85">
        <v>28.06</v>
      </c>
      <c r="BI128" s="85">
        <v>4.97</v>
      </c>
      <c r="BJ128" s="88">
        <v>49</v>
      </c>
      <c r="BK128" s="81">
        <v>72.727272727272734</v>
      </c>
      <c r="BL128" s="70">
        <f t="shared" si="80"/>
        <v>44.910922848557256</v>
      </c>
      <c r="BM128" s="90">
        <v>0.51945484023870092</v>
      </c>
      <c r="BN128" s="85">
        <v>61.66</v>
      </c>
      <c r="BO128" s="85">
        <v>50.05743585381807</v>
      </c>
      <c r="BP128" s="70">
        <f t="shared" si="81"/>
        <v>53.902100975389565</v>
      </c>
      <c r="BQ128" s="90">
        <v>0.48430780555326652</v>
      </c>
      <c r="BR128" s="90">
        <v>0.46306855896886301</v>
      </c>
      <c r="BS128" s="85">
        <v>44.607824199999996</v>
      </c>
      <c r="BT128" s="86">
        <v>48.8303528</v>
      </c>
      <c r="BU128" s="85">
        <v>79.298699200000001</v>
      </c>
      <c r="BV128" s="86">
        <v>47.764422400000001</v>
      </c>
      <c r="BW128" s="71">
        <f t="shared" si="82"/>
        <v>49.316970440087488</v>
      </c>
      <c r="BX128" s="86">
        <v>67.150000000000006</v>
      </c>
      <c r="BY128" s="158">
        <f t="shared" si="83"/>
        <v>67.150000000000006</v>
      </c>
      <c r="BZ128" s="54"/>
    </row>
    <row r="129" spans="1:82" s="5" customFormat="1" ht="15" customHeight="1" x14ac:dyDescent="0.25">
      <c r="A129" s="2">
        <v>123</v>
      </c>
      <c r="B129" s="3" t="s">
        <v>10</v>
      </c>
      <c r="C129" s="22" t="s">
        <v>49</v>
      </c>
      <c r="D129" s="162" t="s">
        <v>55</v>
      </c>
      <c r="E129" s="209">
        <f t="shared" si="64"/>
        <v>50.533025735265994</v>
      </c>
      <c r="F129" s="71">
        <f t="shared" si="65"/>
        <v>49.996739112834227</v>
      </c>
      <c r="G129" s="71">
        <f t="shared" si="66"/>
        <v>53.52170124758409</v>
      </c>
      <c r="H129" s="71">
        <f t="shared" si="67"/>
        <v>49.907208550507328</v>
      </c>
      <c r="I129" s="71">
        <f t="shared" si="68"/>
        <v>48.706454030138318</v>
      </c>
      <c r="J129" s="63"/>
      <c r="K129" s="85">
        <v>4.060950305644484</v>
      </c>
      <c r="L129" s="208">
        <v>2.7199999999999998</v>
      </c>
      <c r="M129" s="82">
        <f t="shared" si="84"/>
        <v>100</v>
      </c>
      <c r="N129" s="71">
        <f t="shared" si="69"/>
        <v>89.227501698024923</v>
      </c>
      <c r="O129" s="85">
        <v>39.162159042222129</v>
      </c>
      <c r="P129" s="87">
        <v>26.5</v>
      </c>
      <c r="Q129" s="70">
        <f t="shared" si="70"/>
        <v>76.645643912345633</v>
      </c>
      <c r="R129" s="90">
        <v>3.5999999999999997E-2</v>
      </c>
      <c r="S129" s="85">
        <v>1.8094751999999999E-2</v>
      </c>
      <c r="T129" s="85">
        <v>0.39</v>
      </c>
      <c r="U129" s="90">
        <v>3.5649999999999999</v>
      </c>
      <c r="V129" s="70">
        <f t="shared" si="71"/>
        <v>36.04232669206349</v>
      </c>
      <c r="W129" s="85">
        <v>0.26300000000000001</v>
      </c>
      <c r="X129" s="87">
        <v>78.5</v>
      </c>
      <c r="Y129" s="87">
        <v>5.22</v>
      </c>
      <c r="Z129" s="214">
        <v>5</v>
      </c>
      <c r="AA129" s="71">
        <f t="shared" si="72"/>
        <v>46.223916040592599</v>
      </c>
      <c r="AB129" s="63"/>
      <c r="AC129" s="85">
        <v>30.91073815501149</v>
      </c>
      <c r="AD129" s="87">
        <v>38.1</v>
      </c>
      <c r="AE129" s="88">
        <v>50</v>
      </c>
      <c r="AF129" s="85">
        <v>0.46</v>
      </c>
      <c r="AG129" s="88">
        <v>30</v>
      </c>
      <c r="AH129" s="70">
        <f t="shared" si="73"/>
        <v>56.839210052058945</v>
      </c>
      <c r="AI129" s="85">
        <v>1.35</v>
      </c>
      <c r="AJ129" s="85">
        <v>3.78</v>
      </c>
      <c r="AK129" s="87">
        <v>90.3</v>
      </c>
      <c r="AL129" s="86">
        <v>4.130641614350413</v>
      </c>
      <c r="AM129" s="85">
        <v>37.087322371647097</v>
      </c>
      <c r="AN129" s="70">
        <f t="shared" si="74"/>
        <v>50.204192443109228</v>
      </c>
      <c r="AO129" s="63"/>
      <c r="AP129" s="89">
        <v>72.983613910376263</v>
      </c>
      <c r="AQ129" s="89">
        <v>48.871364684589388</v>
      </c>
      <c r="AR129" s="97">
        <v>72.05</v>
      </c>
      <c r="AS129" s="158">
        <f t="shared" si="75"/>
        <v>49.669085819888764</v>
      </c>
      <c r="AT129" s="89">
        <v>70.969499999999996</v>
      </c>
      <c r="AU129" s="89">
        <v>50.336375325745813</v>
      </c>
      <c r="AV129" s="89">
        <v>55.29867159960709</v>
      </c>
      <c r="AW129" s="100">
        <v>5.2</v>
      </c>
      <c r="AX129" s="71">
        <f t="shared" si="76"/>
        <v>62.815653042015086</v>
      </c>
      <c r="AY129" s="86">
        <v>36.851034123319444</v>
      </c>
      <c r="AZ129" s="71">
        <f t="shared" si="77"/>
        <v>36.851034123319444</v>
      </c>
      <c r="BA129" s="92">
        <v>34.75</v>
      </c>
      <c r="BB129" s="71">
        <f t="shared" si="78"/>
        <v>65.25</v>
      </c>
      <c r="BC129" s="86">
        <v>12.46</v>
      </c>
      <c r="BD129" s="86">
        <v>26.43</v>
      </c>
      <c r="BE129" s="86">
        <v>43.07</v>
      </c>
      <c r="BF129" s="71">
        <f t="shared" si="79"/>
        <v>30.291999999999994</v>
      </c>
      <c r="BG129" s="63"/>
      <c r="BH129" s="85">
        <v>1.82</v>
      </c>
      <c r="BI129" s="85">
        <v>7.02</v>
      </c>
      <c r="BJ129" s="88">
        <v>148</v>
      </c>
      <c r="BK129" s="81">
        <v>45.454545454545453</v>
      </c>
      <c r="BL129" s="70">
        <f t="shared" si="80"/>
        <v>74.897711885883936</v>
      </c>
      <c r="BM129" s="90">
        <v>0.31609972990967378</v>
      </c>
      <c r="BN129" s="85">
        <v>33.28</v>
      </c>
      <c r="BO129" s="85">
        <v>44.249665003480438</v>
      </c>
      <c r="BP129" s="70">
        <f t="shared" si="81"/>
        <v>35.187402746353797</v>
      </c>
      <c r="BQ129" s="90">
        <v>0.24406720071707011</v>
      </c>
      <c r="BR129" s="90">
        <v>0.26162853072593295</v>
      </c>
      <c r="BS129" s="85">
        <v>22.899865399999999</v>
      </c>
      <c r="BT129" s="86">
        <v>45.633633400000001</v>
      </c>
      <c r="BU129" s="85">
        <v>68.088067100000004</v>
      </c>
      <c r="BV129" s="86">
        <v>44.905156900000001</v>
      </c>
      <c r="BW129" s="71">
        <f t="shared" si="82"/>
        <v>35.762300670746264</v>
      </c>
      <c r="BX129" s="86">
        <v>69.09</v>
      </c>
      <c r="BY129" s="158">
        <f t="shared" si="83"/>
        <v>69.09</v>
      </c>
      <c r="BZ129" s="54"/>
    </row>
    <row r="130" spans="1:82" s="5" customFormat="1" ht="15" customHeight="1" x14ac:dyDescent="0.25">
      <c r="A130" s="2">
        <v>124</v>
      </c>
      <c r="B130" s="14" t="s">
        <v>23</v>
      </c>
      <c r="C130" s="15" t="s">
        <v>24</v>
      </c>
      <c r="D130" s="162" t="s">
        <v>198</v>
      </c>
      <c r="E130" s="209">
        <f t="shared" si="64"/>
        <v>50.400276990830974</v>
      </c>
      <c r="F130" s="71">
        <f t="shared" si="65"/>
        <v>34.650176222994688</v>
      </c>
      <c r="G130" s="71">
        <f t="shared" si="66"/>
        <v>47.962568441272772</v>
      </c>
      <c r="H130" s="71">
        <f t="shared" si="67"/>
        <v>56.561684780962359</v>
      </c>
      <c r="I130" s="71">
        <f t="shared" si="68"/>
        <v>62.426678518094079</v>
      </c>
      <c r="J130" s="63"/>
      <c r="K130" s="85">
        <v>1.196189994615704</v>
      </c>
      <c r="L130" s="208">
        <v>37.699999999999996</v>
      </c>
      <c r="M130" s="82">
        <f t="shared" si="84"/>
        <v>0</v>
      </c>
      <c r="N130" s="71">
        <f t="shared" si="69"/>
        <v>23.312166636753911</v>
      </c>
      <c r="O130" s="85">
        <v>50.339907867222543</v>
      </c>
      <c r="P130" s="87">
        <v>105.8</v>
      </c>
      <c r="Q130" s="70">
        <f t="shared" si="70"/>
        <v>47.611059926234752</v>
      </c>
      <c r="R130" s="90">
        <v>8.9999999999999993E-3</v>
      </c>
      <c r="S130" s="99">
        <v>-1.3406235756556313</v>
      </c>
      <c r="T130" s="85">
        <v>0.32</v>
      </c>
      <c r="U130" s="90">
        <v>5.13</v>
      </c>
      <c r="V130" s="70">
        <f t="shared" si="71"/>
        <v>20.482394829528008</v>
      </c>
      <c r="W130" s="85">
        <v>7.8339999999999996</v>
      </c>
      <c r="X130" s="87">
        <v>50.9</v>
      </c>
      <c r="Y130" s="87">
        <v>25.64</v>
      </c>
      <c r="Z130" s="218">
        <v>6.85</v>
      </c>
      <c r="AA130" s="71">
        <f t="shared" si="72"/>
        <v>59.744412622480311</v>
      </c>
      <c r="AB130" s="63"/>
      <c r="AC130" s="85">
        <v>37.538564162428081</v>
      </c>
      <c r="AD130" s="87">
        <v>40.5</v>
      </c>
      <c r="AE130" s="88">
        <v>20</v>
      </c>
      <c r="AF130" s="85">
        <v>10</v>
      </c>
      <c r="AG130" s="88">
        <v>16</v>
      </c>
      <c r="AH130" s="70">
        <f t="shared" si="73"/>
        <v>51.878273544182825</v>
      </c>
      <c r="AI130" s="85">
        <v>0.18</v>
      </c>
      <c r="AJ130" s="99">
        <v>3.2750823873280499</v>
      </c>
      <c r="AK130" s="87">
        <v>69.099999999999994</v>
      </c>
      <c r="AL130" s="86">
        <v>4.2909579751548872</v>
      </c>
      <c r="AM130" s="85">
        <v>34.7849608438773</v>
      </c>
      <c r="AN130" s="70">
        <f t="shared" si="74"/>
        <v>44.046863338362719</v>
      </c>
      <c r="AO130" s="63"/>
      <c r="AP130" s="89">
        <v>87.961508150929376</v>
      </c>
      <c r="AQ130" s="89">
        <v>64.215417802580788</v>
      </c>
      <c r="AR130" s="89">
        <v>20</v>
      </c>
      <c r="AS130" s="158">
        <f t="shared" si="75"/>
        <v>74.098085939022738</v>
      </c>
      <c r="AT130" s="89">
        <v>73.898600000000002</v>
      </c>
      <c r="AU130" s="89">
        <v>52.01998764136264</v>
      </c>
      <c r="AV130" s="89">
        <v>39.034422638829874</v>
      </c>
      <c r="AW130" s="100">
        <v>9.6999999999999993</v>
      </c>
      <c r="AX130" s="71">
        <f t="shared" si="76"/>
        <v>61.802463083275761</v>
      </c>
      <c r="AY130" s="86">
        <v>36.453204868240597</v>
      </c>
      <c r="AZ130" s="71">
        <f t="shared" si="77"/>
        <v>36.453204868240597</v>
      </c>
      <c r="BA130" s="86">
        <v>39.18</v>
      </c>
      <c r="BB130" s="71">
        <f t="shared" si="78"/>
        <v>60.82</v>
      </c>
      <c r="BC130" s="86">
        <v>43.22</v>
      </c>
      <c r="BD130" s="86">
        <v>35.69</v>
      </c>
      <c r="BE130" s="86">
        <v>49</v>
      </c>
      <c r="BF130" s="71">
        <f t="shared" si="79"/>
        <v>42.519999999999996</v>
      </c>
      <c r="BG130" s="63"/>
      <c r="BH130" s="85">
        <v>4.26</v>
      </c>
      <c r="BI130" s="85">
        <v>4.9000000000000004</v>
      </c>
      <c r="BJ130" s="88">
        <v>130</v>
      </c>
      <c r="BK130" s="81">
        <v>100</v>
      </c>
      <c r="BL130" s="70">
        <f t="shared" si="80"/>
        <v>87.484707287933105</v>
      </c>
      <c r="BM130" s="90">
        <v>0.518074460724123</v>
      </c>
      <c r="BN130" s="85">
        <v>73.2</v>
      </c>
      <c r="BO130" s="85">
        <v>49.597306017432174</v>
      </c>
      <c r="BP130" s="70">
        <f t="shared" si="81"/>
        <v>56.603049540564193</v>
      </c>
      <c r="BQ130" s="90">
        <v>0.49070521963171548</v>
      </c>
      <c r="BR130" s="90">
        <v>0.50646213957050534</v>
      </c>
      <c r="BS130" s="85">
        <v>40.226309299999997</v>
      </c>
      <c r="BT130" s="86">
        <v>42.507221600000001</v>
      </c>
      <c r="BU130" s="85">
        <v>74.063287700000004</v>
      </c>
      <c r="BV130" s="86">
        <v>40.372895399999997</v>
      </c>
      <c r="BW130" s="71">
        <f t="shared" si="82"/>
        <v>46.373105239832988</v>
      </c>
      <c r="BX130" s="86">
        <v>73.44</v>
      </c>
      <c r="BY130" s="158">
        <f t="shared" si="83"/>
        <v>73.44</v>
      </c>
      <c r="BZ130" s="54"/>
    </row>
    <row r="131" spans="1:82" s="5" customFormat="1" ht="15" customHeight="1" x14ac:dyDescent="0.25">
      <c r="A131" s="2">
        <v>125</v>
      </c>
      <c r="B131" s="3" t="s">
        <v>10</v>
      </c>
      <c r="C131" s="25" t="s">
        <v>115</v>
      </c>
      <c r="D131" s="162" t="s">
        <v>124</v>
      </c>
      <c r="E131" s="209">
        <f t="shared" si="64"/>
        <v>50.207085361855995</v>
      </c>
      <c r="F131" s="71">
        <f t="shared" si="65"/>
        <v>45.626460625891887</v>
      </c>
      <c r="G131" s="71">
        <f t="shared" si="66"/>
        <v>51.131087158316149</v>
      </c>
      <c r="H131" s="71">
        <f t="shared" si="67"/>
        <v>56.599949213740345</v>
      </c>
      <c r="I131" s="71">
        <f t="shared" si="68"/>
        <v>47.470844449475607</v>
      </c>
      <c r="J131" s="63"/>
      <c r="K131" s="85">
        <v>8.2552170257505608</v>
      </c>
      <c r="L131" s="208">
        <v>9.9599999999999991</v>
      </c>
      <c r="M131" s="82">
        <f t="shared" si="84"/>
        <v>74.222222222222229</v>
      </c>
      <c r="N131" s="71">
        <f t="shared" si="69"/>
        <v>87.111111111111114</v>
      </c>
      <c r="O131" s="85">
        <v>11.945916271008629</v>
      </c>
      <c r="P131" s="87">
        <v>36</v>
      </c>
      <c r="Q131" s="70">
        <f t="shared" si="70"/>
        <v>57.303286817227018</v>
      </c>
      <c r="R131" s="90">
        <v>8.9999999999999993E-3</v>
      </c>
      <c r="S131" s="85">
        <v>0.20459791999999999</v>
      </c>
      <c r="T131" s="85">
        <v>0.39</v>
      </c>
      <c r="U131" s="90">
        <v>4.2140000000000004</v>
      </c>
      <c r="V131" s="70">
        <f t="shared" si="71"/>
        <v>31.469914857142857</v>
      </c>
      <c r="W131" s="85">
        <v>3.5259999999999998</v>
      </c>
      <c r="X131" s="87">
        <v>57.5</v>
      </c>
      <c r="Y131" s="87">
        <v>10</v>
      </c>
      <c r="Z131" s="214">
        <v>8.6999999999999993</v>
      </c>
      <c r="AA131" s="71">
        <f t="shared" si="72"/>
        <v>50.339596254501195</v>
      </c>
      <c r="AB131" s="63"/>
      <c r="AC131" s="85">
        <v>25.755501420924436</v>
      </c>
      <c r="AD131" s="87">
        <v>22.9</v>
      </c>
      <c r="AE131" s="88">
        <v>60</v>
      </c>
      <c r="AF131" s="85">
        <v>12</v>
      </c>
      <c r="AG131" s="88">
        <v>30</v>
      </c>
      <c r="AH131" s="70">
        <f t="shared" si="73"/>
        <v>49.576744537026542</v>
      </c>
      <c r="AI131" s="85">
        <v>-0.46</v>
      </c>
      <c r="AJ131" s="85">
        <v>3.55</v>
      </c>
      <c r="AK131" s="87">
        <v>93.2</v>
      </c>
      <c r="AL131" s="86">
        <v>4.7954596119963293</v>
      </c>
      <c r="AM131" s="85">
        <v>65.603386437707996</v>
      </c>
      <c r="AN131" s="70">
        <f t="shared" si="74"/>
        <v>52.685429779605762</v>
      </c>
      <c r="AO131" s="63"/>
      <c r="AP131" s="89">
        <v>96.517462063470418</v>
      </c>
      <c r="AQ131" s="89">
        <v>55.972609158020376</v>
      </c>
      <c r="AR131" s="89">
        <v>65.2</v>
      </c>
      <c r="AS131" s="158">
        <f t="shared" si="75"/>
        <v>60.815670094877788</v>
      </c>
      <c r="AT131" s="89">
        <v>71.968699999999998</v>
      </c>
      <c r="AU131" s="89">
        <v>56.294609106625131</v>
      </c>
      <c r="AV131" s="89">
        <v>52.137614946566401</v>
      </c>
      <c r="AW131" s="100">
        <v>5.0999999999999996</v>
      </c>
      <c r="AX131" s="71">
        <f t="shared" si="76"/>
        <v>64.938650222827576</v>
      </c>
      <c r="AY131" s="86">
        <v>47.772016448124994</v>
      </c>
      <c r="AZ131" s="71">
        <f t="shared" si="77"/>
        <v>47.772016448124994</v>
      </c>
      <c r="BA131" s="86">
        <v>27.55</v>
      </c>
      <c r="BB131" s="71">
        <f t="shared" si="78"/>
        <v>72.45</v>
      </c>
      <c r="BC131" s="86">
        <v>33.06</v>
      </c>
      <c r="BD131" s="86">
        <v>25.46</v>
      </c>
      <c r="BE131" s="86">
        <v>35.56</v>
      </c>
      <c r="BF131" s="71">
        <f t="shared" si="79"/>
        <v>31.020000000000003</v>
      </c>
      <c r="BG131" s="63"/>
      <c r="BH131" s="99">
        <v>2.2999999999999998</v>
      </c>
      <c r="BI131" s="85">
        <v>5.25</v>
      </c>
      <c r="BJ131" s="88">
        <v>80</v>
      </c>
      <c r="BK131" s="81">
        <v>59.090909090909093</v>
      </c>
      <c r="BL131" s="70">
        <f t="shared" si="80"/>
        <v>56.074110278411354</v>
      </c>
      <c r="BM131" s="90">
        <v>0.42351541773607754</v>
      </c>
      <c r="BN131" s="85">
        <v>35.06</v>
      </c>
      <c r="BO131" s="85">
        <v>47.908980676564305</v>
      </c>
      <c r="BP131" s="70">
        <f t="shared" si="81"/>
        <v>41.918016055944953</v>
      </c>
      <c r="BQ131" s="90">
        <v>0.4215827592597341</v>
      </c>
      <c r="BR131" s="90">
        <v>0.39131769217293139</v>
      </c>
      <c r="BS131" s="85">
        <v>24.851033899999997</v>
      </c>
      <c r="BT131" s="86">
        <v>34.064402600000001</v>
      </c>
      <c r="BU131" s="85">
        <v>57.276297100000001</v>
      </c>
      <c r="BV131" s="86">
        <v>46.712966999999999</v>
      </c>
      <c r="BW131" s="71">
        <f t="shared" si="82"/>
        <v>37.548320180255089</v>
      </c>
      <c r="BX131" s="86">
        <v>77.349999999999994</v>
      </c>
      <c r="BY131" s="158">
        <f t="shared" si="83"/>
        <v>77.349999999999994</v>
      </c>
      <c r="BZ131" s="54"/>
    </row>
    <row r="132" spans="1:82" s="5" customFormat="1" ht="15" customHeight="1" x14ac:dyDescent="0.25">
      <c r="A132" s="2">
        <v>126</v>
      </c>
      <c r="B132" s="3" t="s">
        <v>10</v>
      </c>
      <c r="C132" s="4" t="s">
        <v>11</v>
      </c>
      <c r="D132" s="162" t="s">
        <v>193</v>
      </c>
      <c r="E132" s="209">
        <f t="shared" si="64"/>
        <v>50.178214321625518</v>
      </c>
      <c r="F132" s="71">
        <f t="shared" si="65"/>
        <v>44.387227470390492</v>
      </c>
      <c r="G132" s="71">
        <f t="shared" si="66"/>
        <v>50.636507687645128</v>
      </c>
      <c r="H132" s="71">
        <f t="shared" si="67"/>
        <v>57.151475076345505</v>
      </c>
      <c r="I132" s="71">
        <f t="shared" si="68"/>
        <v>48.537647052120946</v>
      </c>
      <c r="J132" s="63"/>
      <c r="K132" s="85">
        <v>0.46238562626437218</v>
      </c>
      <c r="L132" s="208">
        <v>14.2</v>
      </c>
      <c r="M132" s="82">
        <f t="shared" si="84"/>
        <v>58.518518518518526</v>
      </c>
      <c r="N132" s="71">
        <f t="shared" si="69"/>
        <v>48.494734960727996</v>
      </c>
      <c r="O132" s="85">
        <v>27.595518090223969</v>
      </c>
      <c r="P132" s="87">
        <v>100.8</v>
      </c>
      <c r="Q132" s="70">
        <f t="shared" si="70"/>
        <v>37.197510050124428</v>
      </c>
      <c r="R132" s="90">
        <v>2.4E-2</v>
      </c>
      <c r="S132" s="85">
        <v>-4.8828515999999999E-3</v>
      </c>
      <c r="T132" s="85">
        <v>0.46</v>
      </c>
      <c r="U132" s="90">
        <v>2.9089999999999998</v>
      </c>
      <c r="V132" s="70">
        <f t="shared" si="71"/>
        <v>40.546753983650795</v>
      </c>
      <c r="W132" s="85">
        <v>4.0049999999999999</v>
      </c>
      <c r="X132" s="87">
        <v>66.400000000000006</v>
      </c>
      <c r="Y132" s="87">
        <v>18.22</v>
      </c>
      <c r="Z132" s="214">
        <v>6.5</v>
      </c>
      <c r="AA132" s="71">
        <f t="shared" si="72"/>
        <v>54.739001899894497</v>
      </c>
      <c r="AB132" s="63"/>
      <c r="AC132" s="85">
        <v>20.772591921958803</v>
      </c>
      <c r="AD132" s="87">
        <v>47.3</v>
      </c>
      <c r="AE132" s="88">
        <v>30</v>
      </c>
      <c r="AF132" s="85">
        <v>8.75</v>
      </c>
      <c r="AG132" s="88">
        <v>16</v>
      </c>
      <c r="AH132" s="70">
        <f t="shared" si="73"/>
        <v>43.821471537716128</v>
      </c>
      <c r="AI132" s="85">
        <v>0.73</v>
      </c>
      <c r="AJ132" s="85">
        <v>3.53</v>
      </c>
      <c r="AK132" s="87">
        <v>77</v>
      </c>
      <c r="AL132" s="86">
        <v>4.8409799847343375</v>
      </c>
      <c r="AM132" s="85">
        <v>87.014663330757998</v>
      </c>
      <c r="AN132" s="70">
        <f t="shared" si="74"/>
        <v>57.451543837574128</v>
      </c>
      <c r="AO132" s="63"/>
      <c r="AP132" s="89">
        <v>83.429332695941369</v>
      </c>
      <c r="AQ132" s="89">
        <v>48.784164588331393</v>
      </c>
      <c r="AR132" s="89">
        <v>56.34</v>
      </c>
      <c r="AS132" s="158">
        <f t="shared" si="75"/>
        <v>56.164415468151041</v>
      </c>
      <c r="AT132" s="89">
        <v>77.853899999999996</v>
      </c>
      <c r="AU132" s="89">
        <v>63.830618183358055</v>
      </c>
      <c r="AV132" s="89">
        <v>54.947708071169544</v>
      </c>
      <c r="AW132" s="100">
        <v>7.4</v>
      </c>
      <c r="AX132" s="71">
        <f t="shared" si="76"/>
        <v>72.822808158184756</v>
      </c>
      <c r="AY132" s="86">
        <v>44.372753415772323</v>
      </c>
      <c r="AZ132" s="71">
        <f t="shared" si="77"/>
        <v>44.372753415772323</v>
      </c>
      <c r="BA132" s="86">
        <v>37.659999999999997</v>
      </c>
      <c r="BB132" s="71">
        <f t="shared" si="78"/>
        <v>62.34</v>
      </c>
      <c r="BC132" s="86">
        <v>48.71</v>
      </c>
      <c r="BD132" s="86">
        <v>23.2</v>
      </c>
      <c r="BE132" s="86">
        <v>37.75</v>
      </c>
      <c r="BF132" s="71">
        <f t="shared" si="79"/>
        <v>34.122</v>
      </c>
      <c r="BG132" s="63"/>
      <c r="BH132" s="85">
        <v>2.5099999999999998</v>
      </c>
      <c r="BI132" s="85">
        <v>4.97</v>
      </c>
      <c r="BJ132" s="88">
        <v>62</v>
      </c>
      <c r="BK132" s="81">
        <v>45.454545454545453</v>
      </c>
      <c r="BL132" s="70">
        <f t="shared" si="80"/>
        <v>45.210993447014957</v>
      </c>
      <c r="BM132" s="90">
        <v>0.48222295036716994</v>
      </c>
      <c r="BN132" s="85">
        <v>40.770000000000003</v>
      </c>
      <c r="BO132" s="85">
        <v>42.946583484674669</v>
      </c>
      <c r="BP132" s="70">
        <f t="shared" si="81"/>
        <v>45.040293389527164</v>
      </c>
      <c r="BQ132" s="90">
        <v>0.53526520743255912</v>
      </c>
      <c r="BR132" s="90">
        <v>0.43395883292720627</v>
      </c>
      <c r="BS132" s="85">
        <v>40.066473999999999</v>
      </c>
      <c r="BT132" s="86">
        <v>46.002676999999998</v>
      </c>
      <c r="BU132" s="85">
        <v>59.910667699999998</v>
      </c>
      <c r="BV132" s="86">
        <v>50.143769899999995</v>
      </c>
      <c r="BW132" s="71">
        <f t="shared" si="82"/>
        <v>46.776601924311578</v>
      </c>
      <c r="BX132" s="86">
        <v>73.510000000000005</v>
      </c>
      <c r="BY132" s="158">
        <f t="shared" si="83"/>
        <v>73.510000000000005</v>
      </c>
      <c r="BZ132" s="54"/>
      <c r="CB132" s="20"/>
      <c r="CC132" s="20"/>
      <c r="CD132" s="20"/>
    </row>
    <row r="133" spans="1:82" s="5" customFormat="1" ht="15" customHeight="1" x14ac:dyDescent="0.25">
      <c r="A133" s="2">
        <v>127</v>
      </c>
      <c r="B133" s="8" t="s">
        <v>16</v>
      </c>
      <c r="C133" s="11" t="s">
        <v>21</v>
      </c>
      <c r="D133" s="162" t="s">
        <v>176</v>
      </c>
      <c r="E133" s="209">
        <f t="shared" si="64"/>
        <v>49.308791305681822</v>
      </c>
      <c r="F133" s="71">
        <f t="shared" si="65"/>
        <v>38.906471180910692</v>
      </c>
      <c r="G133" s="71">
        <f t="shared" si="66"/>
        <v>62.258219017046379</v>
      </c>
      <c r="H133" s="71">
        <f t="shared" si="67"/>
        <v>40.823092234127245</v>
      </c>
      <c r="I133" s="71">
        <f t="shared" si="68"/>
        <v>55.247382790642995</v>
      </c>
      <c r="J133" s="63"/>
      <c r="K133" s="85">
        <v>6.4025434765306199</v>
      </c>
      <c r="L133" s="208">
        <v>8.1</v>
      </c>
      <c r="M133" s="82">
        <f t="shared" si="84"/>
        <v>81.1111111111111</v>
      </c>
      <c r="N133" s="71">
        <f t="shared" si="69"/>
        <v>90.555555555555543</v>
      </c>
      <c r="O133" s="85">
        <v>22.778101377336057</v>
      </c>
      <c r="P133" s="87">
        <v>64.599999999999994</v>
      </c>
      <c r="Q133" s="70">
        <f t="shared" si="70"/>
        <v>50.610056320742252</v>
      </c>
      <c r="R133" s="90">
        <v>4.0000000000000001E-3</v>
      </c>
      <c r="S133" s="85">
        <v>-1.0760004999999999</v>
      </c>
      <c r="T133" s="85">
        <v>0.31</v>
      </c>
      <c r="U133" s="90">
        <v>4.54</v>
      </c>
      <c r="V133" s="70">
        <f t="shared" si="71"/>
        <v>23.323279034391533</v>
      </c>
      <c r="W133" s="85">
        <v>11.363</v>
      </c>
      <c r="X133" s="87">
        <v>90.1</v>
      </c>
      <c r="Y133" s="87">
        <v>6.32</v>
      </c>
      <c r="Z133" s="214">
        <v>4.3</v>
      </c>
      <c r="AA133" s="71">
        <f t="shared" si="72"/>
        <v>42.391070640192147</v>
      </c>
      <c r="AB133" s="63"/>
      <c r="AC133" s="85">
        <v>32.192301839517121</v>
      </c>
      <c r="AD133" s="87">
        <v>60.3</v>
      </c>
      <c r="AE133" s="88">
        <v>60</v>
      </c>
      <c r="AF133" s="85">
        <v>8.25</v>
      </c>
      <c r="AG133" s="88">
        <v>33</v>
      </c>
      <c r="AH133" s="70">
        <f t="shared" si="73"/>
        <v>61.562816610960134</v>
      </c>
      <c r="AI133" s="85">
        <v>-1.57</v>
      </c>
      <c r="AJ133" s="85">
        <v>4.28</v>
      </c>
      <c r="AK133" s="87">
        <v>80.599999999999994</v>
      </c>
      <c r="AL133" s="86">
        <v>6.3485777822495635</v>
      </c>
      <c r="AM133" s="85">
        <v>98.075172893804407</v>
      </c>
      <c r="AN133" s="70">
        <f t="shared" si="74"/>
        <v>62.95362142313261</v>
      </c>
      <c r="AO133" s="63"/>
      <c r="AP133" s="89">
        <v>58.262012884688225</v>
      </c>
      <c r="AQ133" s="89">
        <v>31.88783110070527</v>
      </c>
      <c r="AR133" s="89">
        <v>89.58</v>
      </c>
      <c r="AS133" s="158">
        <f t="shared" si="75"/>
        <v>33.114418771524697</v>
      </c>
      <c r="AT133" s="89">
        <v>68.241500000000002</v>
      </c>
      <c r="AU133" s="89">
        <v>59.571717171717168</v>
      </c>
      <c r="AV133" s="89">
        <v>47.814904252168965</v>
      </c>
      <c r="AW133" s="100">
        <v>24.4</v>
      </c>
      <c r="AX133" s="71">
        <f t="shared" si="76"/>
        <v>54.490061300473059</v>
      </c>
      <c r="AY133" s="86">
        <v>31.598264344322004</v>
      </c>
      <c r="AZ133" s="71">
        <f t="shared" si="77"/>
        <v>31.598264344322004</v>
      </c>
      <c r="BA133" s="86">
        <v>39.36</v>
      </c>
      <c r="BB133" s="71">
        <f t="shared" si="78"/>
        <v>60.64</v>
      </c>
      <c r="BC133" s="86">
        <v>23.21</v>
      </c>
      <c r="BD133" s="86">
        <v>24.1</v>
      </c>
      <c r="BE133" s="86">
        <v>27.83</v>
      </c>
      <c r="BF133" s="71">
        <f t="shared" si="79"/>
        <v>25.413999999999998</v>
      </c>
      <c r="BG133" s="63"/>
      <c r="BH133" s="85">
        <v>3.61</v>
      </c>
      <c r="BI133" s="85">
        <v>3.87</v>
      </c>
      <c r="BJ133" s="88">
        <v>86</v>
      </c>
      <c r="BK133" s="81">
        <v>45.454545454545453</v>
      </c>
      <c r="BL133" s="70">
        <f t="shared" si="80"/>
        <v>54.288452626624668</v>
      </c>
      <c r="BM133" s="90">
        <v>0.51093545713819666</v>
      </c>
      <c r="BN133" s="85">
        <v>39.58</v>
      </c>
      <c r="BO133" s="85">
        <v>50.199586592593199</v>
      </c>
      <c r="BP133" s="70">
        <f t="shared" si="81"/>
        <v>47.991669505058134</v>
      </c>
      <c r="BQ133" s="90">
        <v>0.60539606722812123</v>
      </c>
      <c r="BR133" s="90">
        <v>0.60624294272449952</v>
      </c>
      <c r="BS133" s="85">
        <v>60.515777799999995</v>
      </c>
      <c r="BT133" s="86">
        <v>58.1246449</v>
      </c>
      <c r="BU133" s="85">
        <v>65.148116899999991</v>
      </c>
      <c r="BV133" s="86">
        <v>59.114839399999994</v>
      </c>
      <c r="BW133" s="71">
        <f t="shared" si="82"/>
        <v>60.025053664198268</v>
      </c>
      <c r="BX133" s="86">
        <v>62.69</v>
      </c>
      <c r="BY133" s="158">
        <f t="shared" si="83"/>
        <v>62.69</v>
      </c>
      <c r="BZ133" s="54"/>
    </row>
    <row r="134" spans="1:82" s="5" customFormat="1" ht="15" customHeight="1" x14ac:dyDescent="0.25">
      <c r="A134" s="2">
        <v>128</v>
      </c>
      <c r="B134" s="14" t="s">
        <v>23</v>
      </c>
      <c r="C134" s="16" t="s">
        <v>26</v>
      </c>
      <c r="D134" s="162" t="s">
        <v>77</v>
      </c>
      <c r="E134" s="209">
        <f t="shared" si="64"/>
        <v>49.195028219836324</v>
      </c>
      <c r="F134" s="71">
        <f t="shared" si="65"/>
        <v>45.951825115957625</v>
      </c>
      <c r="G134" s="71">
        <f t="shared" si="66"/>
        <v>46.784045926139754</v>
      </c>
      <c r="H134" s="71">
        <f t="shared" si="67"/>
        <v>62.341287800032461</v>
      </c>
      <c r="I134" s="71">
        <f t="shared" si="68"/>
        <v>41.702954037215449</v>
      </c>
      <c r="J134" s="63"/>
      <c r="K134" s="85">
        <v>1.4697752812886877</v>
      </c>
      <c r="L134" s="208">
        <v>1.6</v>
      </c>
      <c r="M134" s="82">
        <f t="shared" si="84"/>
        <v>100</v>
      </c>
      <c r="N134" s="71">
        <f t="shared" si="69"/>
        <v>74.832084896048258</v>
      </c>
      <c r="O134" s="85">
        <v>27.088094075752238</v>
      </c>
      <c r="P134" s="87">
        <v>54.4</v>
      </c>
      <c r="Q134" s="70">
        <f t="shared" si="70"/>
        <v>57.537830042084579</v>
      </c>
      <c r="R134" s="90">
        <v>0.02</v>
      </c>
      <c r="S134" s="85">
        <v>-0.78992282999999996</v>
      </c>
      <c r="T134" s="85">
        <v>0.44</v>
      </c>
      <c r="U134" s="90">
        <v>3.6720000000000002</v>
      </c>
      <c r="V134" s="70">
        <f t="shared" si="71"/>
        <v>33.769791080687831</v>
      </c>
      <c r="W134" s="85">
        <v>3.3079999999999998</v>
      </c>
      <c r="X134" s="87">
        <v>68.5</v>
      </c>
      <c r="Y134" s="87">
        <v>15.57</v>
      </c>
      <c r="Z134" s="214">
        <v>7.6</v>
      </c>
      <c r="AA134" s="71">
        <f t="shared" si="72"/>
        <v>51.812186318784775</v>
      </c>
      <c r="AB134" s="63"/>
      <c r="AC134" s="85">
        <v>19.936781518014403</v>
      </c>
      <c r="AD134" s="87">
        <v>33.200000000000003</v>
      </c>
      <c r="AE134" s="88">
        <v>30</v>
      </c>
      <c r="AF134" s="85">
        <v>6.97</v>
      </c>
      <c r="AG134" s="88">
        <v>23</v>
      </c>
      <c r="AH134" s="70">
        <f t="shared" si="73"/>
        <v>42.537341524830119</v>
      </c>
      <c r="AI134" s="85">
        <v>0.74</v>
      </c>
      <c r="AJ134" s="85">
        <v>3.23</v>
      </c>
      <c r="AK134" s="87">
        <v>74.2</v>
      </c>
      <c r="AL134" s="86">
        <v>3.3487230627550835</v>
      </c>
      <c r="AM134" s="85">
        <v>87.1100407095946</v>
      </c>
      <c r="AN134" s="70">
        <f t="shared" si="74"/>
        <v>51.030750327449375</v>
      </c>
      <c r="AO134" s="63"/>
      <c r="AP134" s="89">
        <v>92.65867055016804</v>
      </c>
      <c r="AQ134" s="89">
        <v>61.998960132629868</v>
      </c>
      <c r="AR134" s="89">
        <v>32.619999999999997</v>
      </c>
      <c r="AS134" s="158">
        <f t="shared" si="75"/>
        <v>71.009147703856939</v>
      </c>
      <c r="AT134" s="89">
        <v>77.757199999999997</v>
      </c>
      <c r="AU134" s="89">
        <v>65.858163485432243</v>
      </c>
      <c r="AV134" s="89">
        <v>53.02846773972378</v>
      </c>
      <c r="AW134" s="100">
        <v>12.1</v>
      </c>
      <c r="AX134" s="71">
        <f t="shared" si="76"/>
        <v>71.298649111041698</v>
      </c>
      <c r="AY134" s="86">
        <v>50.325094740814521</v>
      </c>
      <c r="AZ134" s="71">
        <f t="shared" si="77"/>
        <v>50.325094740814521</v>
      </c>
      <c r="BA134" s="86">
        <v>45.92</v>
      </c>
      <c r="BB134" s="71">
        <f t="shared" si="78"/>
        <v>54.08</v>
      </c>
      <c r="BC134" s="86">
        <v>41.92</v>
      </c>
      <c r="BD134" s="86">
        <v>37.54</v>
      </c>
      <c r="BE134" s="86">
        <v>50.23</v>
      </c>
      <c r="BF134" s="71">
        <f t="shared" si="79"/>
        <v>43.491999999999997</v>
      </c>
      <c r="BG134" s="63"/>
      <c r="BH134" s="85">
        <v>38.94</v>
      </c>
      <c r="BI134" s="85">
        <v>7.48</v>
      </c>
      <c r="BJ134" s="88">
        <v>6</v>
      </c>
      <c r="BK134" s="81">
        <v>63.636363636363633</v>
      </c>
      <c r="BL134" s="70">
        <f t="shared" si="80"/>
        <v>24.55979146301727</v>
      </c>
      <c r="BM134" s="90">
        <v>0.53276206001675608</v>
      </c>
      <c r="BN134" s="85">
        <v>44.37</v>
      </c>
      <c r="BO134" s="85">
        <v>58.07542994643503</v>
      </c>
      <c r="BP134" s="70">
        <f t="shared" si="81"/>
        <v>52.249460487446562</v>
      </c>
      <c r="BQ134" s="90">
        <v>0.5006661870281951</v>
      </c>
      <c r="BR134" s="90">
        <v>0.36472913691841707</v>
      </c>
      <c r="BS134" s="85">
        <v>32.153869899999997</v>
      </c>
      <c r="BT134" s="86">
        <v>47.070324799999995</v>
      </c>
      <c r="BU134" s="85">
        <v>53.577006699999998</v>
      </c>
      <c r="BV134" s="86">
        <v>44.6676535</v>
      </c>
      <c r="BW134" s="71">
        <f t="shared" si="82"/>
        <v>42.480480072077611</v>
      </c>
      <c r="BX134" s="86">
        <v>50.2</v>
      </c>
      <c r="BY134" s="158">
        <f t="shared" si="83"/>
        <v>50.2</v>
      </c>
      <c r="BZ134" s="54"/>
    </row>
    <row r="135" spans="1:82" s="5" customFormat="1" ht="15" customHeight="1" x14ac:dyDescent="0.25">
      <c r="A135" s="2">
        <v>129</v>
      </c>
      <c r="B135" s="14" t="s">
        <v>23</v>
      </c>
      <c r="C135" s="16" t="s">
        <v>26</v>
      </c>
      <c r="D135" s="162" t="s">
        <v>79</v>
      </c>
      <c r="E135" s="209">
        <f t="shared" ref="E135:E166" si="85">(F135*25+G135*25+H135*25+I135*25)/100</f>
        <v>49.049138552142651</v>
      </c>
      <c r="F135" s="71">
        <f t="shared" ref="F135:F166" si="86">(N135*10+Q135*15+V135*50+AA135*25)/100</f>
        <v>44.068893520671594</v>
      </c>
      <c r="G135" s="71">
        <f t="shared" ref="G135:G166" si="87">(AH135*50+AN135*50)/100</f>
        <v>50.007001215797246</v>
      </c>
      <c r="H135" s="71">
        <f t="shared" ref="H135:H166" si="88">(AS135*25+AX135*35+AZ135*25+BB135*5+BF135*10)/100</f>
        <v>57.086487683419598</v>
      </c>
      <c r="I135" s="71">
        <f t="shared" ref="I135:I166" si="89">(BL135*25+BP135*30+BW135*35+BY135*10)/100</f>
        <v>45.034171788682158</v>
      </c>
      <c r="J135" s="63"/>
      <c r="K135" s="85">
        <v>2.7527541817086609</v>
      </c>
      <c r="L135" s="208">
        <v>3.18</v>
      </c>
      <c r="M135" s="82">
        <f t="shared" si="84"/>
        <v>99.333333333333329</v>
      </c>
      <c r="N135" s="71">
        <f t="shared" ref="N135:N166" si="90">(((MIN(MAX(K135,-3),6)-(-3))/(6-(-3)))*100+M135)/2</f>
        <v>81.626412120603675</v>
      </c>
      <c r="O135" s="85">
        <v>22.790494068912849</v>
      </c>
      <c r="P135" s="87">
        <v>87.2</v>
      </c>
      <c r="Q135" s="70">
        <f t="shared" ref="Q135:Q166" si="91">((MIN(MAX(O135,-5),60)/60)*100+((150-MIN(P135,150))/(150))*100*2)/3</f>
        <v>40.572496704951583</v>
      </c>
      <c r="R135" s="90">
        <v>2.1999999999999999E-2</v>
      </c>
      <c r="S135" s="85">
        <v>0.35544133</v>
      </c>
      <c r="T135" s="85">
        <v>0.41</v>
      </c>
      <c r="U135" s="90">
        <v>4.0439999999999996</v>
      </c>
      <c r="V135" s="70">
        <f t="shared" ref="V135:V166" si="92">((R135/0.45)*100*2+((S135-(-4))/(2-(-4)))*100+T135*100*2+((5.5-U135)/(5.5-2))*100)/6</f>
        <v>34.328077768518519</v>
      </c>
      <c r="W135" s="85">
        <v>3.3029999999999999</v>
      </c>
      <c r="X135" s="87">
        <v>63.6</v>
      </c>
      <c r="Y135" s="87">
        <v>11.77</v>
      </c>
      <c r="Z135" s="214">
        <v>8.1</v>
      </c>
      <c r="AA135" s="71">
        <f t="shared" ref="AA135:AA166" si="93">(((35-W135)/(35))*100*0.5+(100-X135)*1.5+((LN(MIN(MAX(Y135,1),250))-LN(1))/(LN(250)-LN(1)))*100*2+((20-MIN(Z135,20))/(20))*100*1.5)/5.5</f>
        <v>50.625355674436904</v>
      </c>
      <c r="AB135" s="63"/>
      <c r="AC135" s="85">
        <v>27.179579662368887</v>
      </c>
      <c r="AD135" s="87">
        <v>42.7</v>
      </c>
      <c r="AE135" s="88">
        <v>70</v>
      </c>
      <c r="AF135" s="85">
        <v>4.6399999999999997</v>
      </c>
      <c r="AG135" s="88">
        <v>25</v>
      </c>
      <c r="AH135" s="70">
        <f t="shared" ref="AH135:AH166" si="94">((AC135/50)*100*2+AD135*1+AE135+(1-(AF135/65))*100+AG135)/6</f>
        <v>56.546642851835678</v>
      </c>
      <c r="AI135" s="85">
        <v>-0.11</v>
      </c>
      <c r="AJ135" s="85">
        <v>3.27</v>
      </c>
      <c r="AK135" s="87">
        <v>76.8</v>
      </c>
      <c r="AL135" s="86">
        <v>3.9867685943148743</v>
      </c>
      <c r="AM135" s="85">
        <v>37.293785592255396</v>
      </c>
      <c r="AN135" s="70">
        <f t="shared" ref="AN135:AN166" si="95">(((AI135-(-4))/(4-(-4)))*100+((AJ135-1)/(7-1))*100*1.5+AK135*0.5+(AL135/10)*100*2+AM135)/6</f>
        <v>43.467359579758813</v>
      </c>
      <c r="AO135" s="63"/>
      <c r="AP135" s="89">
        <v>90.054174339290938</v>
      </c>
      <c r="AQ135" s="89">
        <v>60.09371083804632</v>
      </c>
      <c r="AR135" s="89">
        <v>28.79</v>
      </c>
      <c r="AS135" s="158">
        <f t="shared" ref="AS135:AS166" si="96">(AP135+AQ135*2+(100-AR135))/4</f>
        <v>70.362899003845897</v>
      </c>
      <c r="AT135" s="89">
        <v>72.519599999999997</v>
      </c>
      <c r="AU135" s="89">
        <v>70.38632186372979</v>
      </c>
      <c r="AV135" s="89">
        <v>54.981121949913032</v>
      </c>
      <c r="AW135" s="100">
        <v>6.7</v>
      </c>
      <c r="AX135" s="71">
        <f t="shared" ref="AX135:AX166" si="97">(((AT135-50)/(85-50))*100*2+AU135*1.5+AV135+(1-((MIN(AW135,55)-2.5)/(55-2.5)))*100)/5.5</f>
        <v>69.317096966715681</v>
      </c>
      <c r="AY135" s="86">
        <v>38.14631597643055</v>
      </c>
      <c r="AZ135" s="71">
        <f t="shared" ref="AZ135:AZ166" si="98">AY135</f>
        <v>38.14631597643055</v>
      </c>
      <c r="BA135" s="86">
        <v>39.799999999999997</v>
      </c>
      <c r="BB135" s="71">
        <f t="shared" ref="BB135:BB166" si="99">100-BA135</f>
        <v>60.2</v>
      </c>
      <c r="BC135" s="86">
        <v>30.47</v>
      </c>
      <c r="BD135" s="86">
        <v>25.33</v>
      </c>
      <c r="BE135" s="86">
        <v>26.64</v>
      </c>
      <c r="BF135" s="71">
        <f t="shared" ref="BF135:BF166" si="100">(BC135*0.5+BD135+BE135)/2.5</f>
        <v>26.881999999999998</v>
      </c>
      <c r="BG135" s="63"/>
      <c r="BH135" s="85">
        <v>3.3</v>
      </c>
      <c r="BI135" s="85">
        <v>5.45</v>
      </c>
      <c r="BJ135" s="88">
        <v>75</v>
      </c>
      <c r="BK135" s="81">
        <v>30.303030303030308</v>
      </c>
      <c r="BL135" s="70">
        <f t="shared" ref="BL135:BL166" si="101">(((30-MIN(BH135,30))/(30))*100*0.5+((10-BI135)/(10-1))*100*0.5+((BJ135-1)/(156-1))*100*5+(BK135)*3)/9</f>
        <v>44.377394011802615</v>
      </c>
      <c r="BM135" s="90">
        <v>0.39740654355282978</v>
      </c>
      <c r="BN135" s="85">
        <v>38.880000000000003</v>
      </c>
      <c r="BO135" s="85">
        <v>36.671273571638515</v>
      </c>
      <c r="BP135" s="70">
        <f t="shared" ref="BP135:BP166" si="102">(BM135*100*2+BN135+BO135)/4</f>
        <v>38.758145570551122</v>
      </c>
      <c r="BQ135" s="90">
        <v>0.35292423247920118</v>
      </c>
      <c r="BR135" s="90">
        <v>0.33562230118998498</v>
      </c>
      <c r="BS135" s="85">
        <v>36.183797499999997</v>
      </c>
      <c r="BT135" s="86">
        <v>47.778732699999999</v>
      </c>
      <c r="BU135" s="85">
        <v>65.999147899999997</v>
      </c>
      <c r="BV135" s="86">
        <v>52.083202</v>
      </c>
      <c r="BW135" s="71">
        <f t="shared" ref="BW135:BW166" si="103">(BQ135*100+BR135*100*1.5+BS135*1.5+BT135*2+BU135*0.5+BV135)/7.5</f>
        <v>42.740227470189048</v>
      </c>
      <c r="BX135" s="86">
        <v>73.533000000000001</v>
      </c>
      <c r="BY135" s="158">
        <f t="shared" ref="BY135:BY166" si="104">BX135</f>
        <v>73.533000000000001</v>
      </c>
      <c r="BZ135" s="54"/>
      <c r="CA135" s="153"/>
    </row>
    <row r="136" spans="1:82" s="5" customFormat="1" ht="15" customHeight="1" x14ac:dyDescent="0.25">
      <c r="A136" s="2">
        <v>130</v>
      </c>
      <c r="B136" s="8" t="s">
        <v>16</v>
      </c>
      <c r="C136" s="21" t="s">
        <v>42</v>
      </c>
      <c r="D136" s="162" t="s">
        <v>89</v>
      </c>
      <c r="E136" s="209">
        <f t="shared" si="85"/>
        <v>48.730906646319482</v>
      </c>
      <c r="F136" s="71">
        <f t="shared" si="86"/>
        <v>40.881063543919105</v>
      </c>
      <c r="G136" s="71">
        <f t="shared" si="87"/>
        <v>49.209607848114445</v>
      </c>
      <c r="H136" s="71">
        <f t="shared" si="88"/>
        <v>51.613910417973884</v>
      </c>
      <c r="I136" s="71">
        <f t="shared" si="89"/>
        <v>53.219044775270476</v>
      </c>
      <c r="J136" s="63"/>
      <c r="K136" s="85">
        <v>0.61896572403834504</v>
      </c>
      <c r="L136" s="208">
        <v>2.44</v>
      </c>
      <c r="M136" s="82">
        <f t="shared" si="84"/>
        <v>100</v>
      </c>
      <c r="N136" s="71">
        <f t="shared" si="90"/>
        <v>70.105365133546357</v>
      </c>
      <c r="O136" s="85">
        <v>38.377996732737678</v>
      </c>
      <c r="P136" s="87">
        <v>78.900000000000006</v>
      </c>
      <c r="Q136" s="70">
        <f t="shared" si="91"/>
        <v>52.92110929596538</v>
      </c>
      <c r="R136" s="90">
        <v>1.7999999999999999E-2</v>
      </c>
      <c r="S136" s="85">
        <v>-1.8158319000000001</v>
      </c>
      <c r="T136" s="85">
        <v>0.32</v>
      </c>
      <c r="U136" s="90">
        <v>3.399</v>
      </c>
      <c r="V136" s="70">
        <f t="shared" si="92"/>
        <v>28.07189551587302</v>
      </c>
      <c r="W136" s="85">
        <v>20.154</v>
      </c>
      <c r="X136" s="87">
        <v>86.1</v>
      </c>
      <c r="Y136" s="87">
        <v>33.01</v>
      </c>
      <c r="Z136" s="214">
        <v>7.6</v>
      </c>
      <c r="AA136" s="71">
        <f t="shared" si="93"/>
        <v>47.5856515129326</v>
      </c>
      <c r="AB136" s="63"/>
      <c r="AC136" s="85">
        <v>24.825913474088765</v>
      </c>
      <c r="AD136" s="87">
        <v>30</v>
      </c>
      <c r="AE136" s="88">
        <v>60</v>
      </c>
      <c r="AF136" s="85">
        <v>4.75</v>
      </c>
      <c r="AG136" s="88">
        <v>21</v>
      </c>
      <c r="AH136" s="70">
        <f t="shared" si="94"/>
        <v>50.49932693144379</v>
      </c>
      <c r="AI136" s="85">
        <v>-0.03</v>
      </c>
      <c r="AJ136" s="99">
        <v>3.8640732531710955</v>
      </c>
      <c r="AK136" s="87">
        <v>76.5</v>
      </c>
      <c r="AL136" s="86">
        <v>4.4096715158485464</v>
      </c>
      <c r="AM136" s="85">
        <v>39.849070942462298</v>
      </c>
      <c r="AN136" s="70">
        <f t="shared" si="95"/>
        <v>47.9198887647851</v>
      </c>
      <c r="AO136" s="63"/>
      <c r="AP136" s="89">
        <v>76.002879534108999</v>
      </c>
      <c r="AQ136" s="89">
        <v>58.082230977311482</v>
      </c>
      <c r="AR136" s="89">
        <v>38.04</v>
      </c>
      <c r="AS136" s="158">
        <f t="shared" si="96"/>
        <v>63.531835372182989</v>
      </c>
      <c r="AT136" s="89">
        <v>68.696299999999994</v>
      </c>
      <c r="AU136" s="89">
        <v>42.462676826847215</v>
      </c>
      <c r="AV136" s="89">
        <v>34.742788908194896</v>
      </c>
      <c r="AW136" s="100">
        <v>25.3</v>
      </c>
      <c r="AX136" s="71">
        <f t="shared" si="97"/>
        <v>47.608042312708044</v>
      </c>
      <c r="AY136" s="86">
        <v>46.129347061921301</v>
      </c>
      <c r="AZ136" s="71">
        <f t="shared" si="98"/>
        <v>46.129347061921301</v>
      </c>
      <c r="BA136" s="86">
        <v>38.020000000000003</v>
      </c>
      <c r="BB136" s="71">
        <f t="shared" si="99"/>
        <v>61.98</v>
      </c>
      <c r="BC136" s="86">
        <v>40.119999999999997</v>
      </c>
      <c r="BD136" s="86">
        <v>27.82</v>
      </c>
      <c r="BE136" s="86">
        <v>63.04</v>
      </c>
      <c r="BF136" s="71">
        <f t="shared" si="100"/>
        <v>44.367999999999995</v>
      </c>
      <c r="BG136" s="63"/>
      <c r="BH136" s="99">
        <v>9.9849999999999994</v>
      </c>
      <c r="BI136" s="85">
        <v>4.7</v>
      </c>
      <c r="BJ136" s="88">
        <v>122</v>
      </c>
      <c r="BK136" s="81">
        <v>72.727272727272734</v>
      </c>
      <c r="BL136" s="70">
        <f t="shared" si="101"/>
        <v>74.589686289417457</v>
      </c>
      <c r="BM136" s="90">
        <v>0.45007249824924428</v>
      </c>
      <c r="BN136" s="85">
        <v>70.569999999999993</v>
      </c>
      <c r="BO136" s="85">
        <v>44.448708618200648</v>
      </c>
      <c r="BP136" s="70">
        <f t="shared" si="102"/>
        <v>51.258302067012373</v>
      </c>
      <c r="BQ136" s="90">
        <v>0.31563168247634599</v>
      </c>
      <c r="BR136" s="90">
        <v>0.35202535451277894</v>
      </c>
      <c r="BS136" s="85">
        <v>28.8930255</v>
      </c>
      <c r="BT136" s="86">
        <v>40.312711199999995</v>
      </c>
      <c r="BU136" s="85">
        <v>61.164720199999998</v>
      </c>
      <c r="BV136" s="86">
        <v>43.452834599999996</v>
      </c>
      <c r="BW136" s="71">
        <f t="shared" si="103"/>
        <v>37.648950236606858</v>
      </c>
      <c r="BX136" s="86">
        <v>60.17</v>
      </c>
      <c r="BY136" s="158">
        <f t="shared" si="104"/>
        <v>60.17</v>
      </c>
      <c r="BZ136" s="54"/>
    </row>
    <row r="137" spans="1:82" ht="15" customHeight="1" x14ac:dyDescent="0.25">
      <c r="A137" s="2">
        <v>131</v>
      </c>
      <c r="B137" s="14" t="s">
        <v>23</v>
      </c>
      <c r="C137" s="16" t="s">
        <v>26</v>
      </c>
      <c r="D137" s="162" t="s">
        <v>96</v>
      </c>
      <c r="E137" s="209">
        <f t="shared" si="85"/>
        <v>48.178935842455424</v>
      </c>
      <c r="F137" s="71">
        <f t="shared" si="86"/>
        <v>46.784978835315044</v>
      </c>
      <c r="G137" s="71">
        <f t="shared" si="87"/>
        <v>53.453535938412621</v>
      </c>
      <c r="H137" s="71">
        <f t="shared" si="88"/>
        <v>50.607068769940007</v>
      </c>
      <c r="I137" s="71">
        <f t="shared" si="89"/>
        <v>41.870159826154001</v>
      </c>
      <c r="J137" s="63"/>
      <c r="K137" s="85">
        <v>2.3697510393100085</v>
      </c>
      <c r="L137" s="208">
        <v>4.38</v>
      </c>
      <c r="M137" s="82">
        <f t="shared" si="84"/>
        <v>94.888888888888886</v>
      </c>
      <c r="N137" s="71">
        <f t="shared" si="90"/>
        <v>77.276394662833383</v>
      </c>
      <c r="O137" s="85">
        <v>19.319047706239807</v>
      </c>
      <c r="P137" s="87">
        <v>27.2</v>
      </c>
      <c r="Q137" s="70">
        <f t="shared" si="91"/>
        <v>65.31058205902211</v>
      </c>
      <c r="R137" s="90">
        <v>2.7E-2</v>
      </c>
      <c r="S137" s="85">
        <v>7.1744479999999999E-2</v>
      </c>
      <c r="T137" s="85">
        <v>0.37</v>
      </c>
      <c r="U137" s="90">
        <v>3.8580000000000001</v>
      </c>
      <c r="V137" s="70">
        <f t="shared" si="92"/>
        <v>33.46278228571429</v>
      </c>
      <c r="W137" s="85">
        <v>2.6040000000000001</v>
      </c>
      <c r="X137" s="87">
        <v>73.5</v>
      </c>
      <c r="Y137" s="87">
        <v>15.01</v>
      </c>
      <c r="Z137" s="214">
        <v>7.8</v>
      </c>
      <c r="AA137" s="71">
        <f t="shared" si="93"/>
        <v>50.117443669284995</v>
      </c>
      <c r="AB137" s="63"/>
      <c r="AC137" s="85">
        <v>16.709464497009431</v>
      </c>
      <c r="AD137" s="87">
        <v>39.1</v>
      </c>
      <c r="AE137" s="88">
        <v>70</v>
      </c>
      <c r="AF137" s="85">
        <v>3.5</v>
      </c>
      <c r="AG137" s="88">
        <v>48</v>
      </c>
      <c r="AH137" s="70">
        <f t="shared" si="94"/>
        <v>53.092207100570391</v>
      </c>
      <c r="AI137" s="85">
        <v>2.12</v>
      </c>
      <c r="AJ137" s="85">
        <v>3.84</v>
      </c>
      <c r="AK137" s="87">
        <v>91.3</v>
      </c>
      <c r="AL137" s="86">
        <v>4.4878129175534376</v>
      </c>
      <c r="AM137" s="85">
        <v>39.982930306460403</v>
      </c>
      <c r="AN137" s="70">
        <f t="shared" si="95"/>
        <v>53.814864776254858</v>
      </c>
      <c r="AO137" s="63"/>
      <c r="AP137" s="89">
        <v>78.943807107215235</v>
      </c>
      <c r="AQ137" s="89">
        <v>43.514701630669975</v>
      </c>
      <c r="AR137" s="89">
        <v>45.12</v>
      </c>
      <c r="AS137" s="158">
        <f t="shared" si="96"/>
        <v>55.213302592138795</v>
      </c>
      <c r="AT137" s="89">
        <v>72.8947</v>
      </c>
      <c r="AU137" s="89">
        <v>64.919729153046447</v>
      </c>
      <c r="AV137" s="89">
        <v>49.138218854965636</v>
      </c>
      <c r="AW137" s="100">
        <v>11.8</v>
      </c>
      <c r="AX137" s="71">
        <f t="shared" si="97"/>
        <v>65.387342547837591</v>
      </c>
      <c r="AY137" s="86">
        <v>33.162692920648588</v>
      </c>
      <c r="AZ137" s="71">
        <f t="shared" si="98"/>
        <v>33.162692920648588</v>
      </c>
      <c r="BA137" s="86">
        <v>45.21</v>
      </c>
      <c r="BB137" s="71">
        <f t="shared" si="99"/>
        <v>54.79</v>
      </c>
      <c r="BC137" s="86">
        <v>29.96</v>
      </c>
      <c r="BD137" s="86">
        <v>23.01</v>
      </c>
      <c r="BE137" s="86">
        <v>34.21</v>
      </c>
      <c r="BF137" s="71">
        <f t="shared" si="100"/>
        <v>28.880000000000003</v>
      </c>
      <c r="BG137" s="63"/>
      <c r="BH137" s="85">
        <v>22.76</v>
      </c>
      <c r="BI137" s="85">
        <v>6.77</v>
      </c>
      <c r="BJ137" s="88">
        <v>17</v>
      </c>
      <c r="BK137" s="81">
        <v>68.181818181818187</v>
      </c>
      <c r="BL137" s="70">
        <f t="shared" si="101"/>
        <v>31.796607653596904</v>
      </c>
      <c r="BM137" s="90">
        <v>0.54430441130261142</v>
      </c>
      <c r="BN137" s="85">
        <v>43.21</v>
      </c>
      <c r="BO137" s="85">
        <v>34.956725547201685</v>
      </c>
      <c r="BP137" s="70">
        <f t="shared" si="102"/>
        <v>46.756901951930999</v>
      </c>
      <c r="BQ137" s="90">
        <v>0.48582483878337551</v>
      </c>
      <c r="BR137" s="90">
        <v>0.31494123902662763</v>
      </c>
      <c r="BS137" s="85">
        <v>28.660482599999998</v>
      </c>
      <c r="BT137" s="86">
        <v>33.6586778</v>
      </c>
      <c r="BU137" s="85">
        <v>62.311238899999999</v>
      </c>
      <c r="BV137" s="86">
        <v>49.9827169</v>
      </c>
      <c r="BW137" s="71">
        <f t="shared" si="103"/>
        <v>38.302678077644224</v>
      </c>
      <c r="BX137" s="86">
        <v>64.88</v>
      </c>
      <c r="BY137" s="158">
        <f t="shared" si="104"/>
        <v>64.88</v>
      </c>
      <c r="BZ137" s="54"/>
    </row>
    <row r="138" spans="1:82" ht="15" customHeight="1" x14ac:dyDescent="0.25">
      <c r="A138" s="2">
        <v>132</v>
      </c>
      <c r="B138" s="8" t="s">
        <v>16</v>
      </c>
      <c r="C138" s="21" t="s">
        <v>42</v>
      </c>
      <c r="D138" s="162" t="s">
        <v>181</v>
      </c>
      <c r="E138" s="209">
        <f t="shared" si="85"/>
        <v>47.802360878870857</v>
      </c>
      <c r="F138" s="71">
        <f t="shared" si="86"/>
        <v>35.710703429999953</v>
      </c>
      <c r="G138" s="71">
        <f t="shared" si="87"/>
        <v>54.662947809398247</v>
      </c>
      <c r="H138" s="71">
        <f t="shared" si="88"/>
        <v>44.586555702404247</v>
      </c>
      <c r="I138" s="71">
        <f t="shared" si="89"/>
        <v>56.249236573680967</v>
      </c>
      <c r="J138" s="63"/>
      <c r="K138" s="85">
        <v>2.8408340719140224</v>
      </c>
      <c r="L138" s="208">
        <v>3.9999999999999991</v>
      </c>
      <c r="M138" s="82">
        <f t="shared" si="84"/>
        <v>96.296296296296291</v>
      </c>
      <c r="N138" s="71">
        <f t="shared" si="90"/>
        <v>80.597226325448275</v>
      </c>
      <c r="O138" s="85">
        <v>22.939555203640634</v>
      </c>
      <c r="P138" s="87">
        <v>130.19999999999999</v>
      </c>
      <c r="Q138" s="70">
        <f t="shared" si="91"/>
        <v>21.544197335355914</v>
      </c>
      <c r="R138" s="90">
        <v>1.0999999999999999E-2</v>
      </c>
      <c r="S138" s="85">
        <v>-0.51904090000000003</v>
      </c>
      <c r="T138" s="85">
        <v>0.28000000000000003</v>
      </c>
      <c r="U138" s="90">
        <v>4.306</v>
      </c>
      <c r="V138" s="70">
        <f t="shared" si="92"/>
        <v>25.503193267195769</v>
      </c>
      <c r="W138" s="85">
        <v>2.7349999999999999</v>
      </c>
      <c r="X138" s="87">
        <v>89.2</v>
      </c>
      <c r="Y138" s="87">
        <v>6.21</v>
      </c>
      <c r="Z138" s="214">
        <v>2.9</v>
      </c>
      <c r="AA138" s="71">
        <f t="shared" si="93"/>
        <v>46.671018254215412</v>
      </c>
      <c r="AB138" s="63"/>
      <c r="AC138" s="85">
        <v>28.718434312687108</v>
      </c>
      <c r="AD138" s="87">
        <v>57.4</v>
      </c>
      <c r="AE138" s="88">
        <v>60</v>
      </c>
      <c r="AF138" s="85">
        <v>5</v>
      </c>
      <c r="AG138" s="88">
        <v>20</v>
      </c>
      <c r="AH138" s="70">
        <f t="shared" si="94"/>
        <v>57.430238259740122</v>
      </c>
      <c r="AI138" s="85">
        <v>0.09</v>
      </c>
      <c r="AJ138" s="85">
        <v>3.46</v>
      </c>
      <c r="AK138" s="87">
        <v>68.8</v>
      </c>
      <c r="AL138" s="86">
        <v>4.8503643983960893</v>
      </c>
      <c r="AM138" s="85">
        <v>67.341656186416401</v>
      </c>
      <c r="AN138" s="70">
        <f t="shared" si="95"/>
        <v>51.895657359056365</v>
      </c>
      <c r="AO138" s="63"/>
      <c r="AP138" s="89">
        <v>69.981036172620691</v>
      </c>
      <c r="AQ138" s="89">
        <v>45.429645871751674</v>
      </c>
      <c r="AR138" s="89">
        <v>76.930000000000007</v>
      </c>
      <c r="AS138" s="158">
        <f t="shared" si="96"/>
        <v>45.977581979031008</v>
      </c>
      <c r="AT138" s="89">
        <v>69.156899999999993</v>
      </c>
      <c r="AU138" s="89">
        <v>47.88047138047137</v>
      </c>
      <c r="AV138" s="89">
        <v>46.483458714833858</v>
      </c>
      <c r="AW138" s="100">
        <v>5.0999999999999996</v>
      </c>
      <c r="AX138" s="71">
        <f t="shared" si="97"/>
        <v>58.694506333301803</v>
      </c>
      <c r="AY138" s="86">
        <v>24.613131963963436</v>
      </c>
      <c r="AZ138" s="71">
        <f t="shared" si="98"/>
        <v>24.613131963963436</v>
      </c>
      <c r="BA138" s="86">
        <v>36.159999999999997</v>
      </c>
      <c r="BB138" s="71">
        <f t="shared" si="99"/>
        <v>63.84</v>
      </c>
      <c r="BC138" s="86">
        <v>22.13</v>
      </c>
      <c r="BD138" s="86">
        <v>25.97</v>
      </c>
      <c r="BE138" s="86">
        <v>43.06</v>
      </c>
      <c r="BF138" s="71">
        <f t="shared" si="100"/>
        <v>32.037999999999997</v>
      </c>
      <c r="BG138" s="63"/>
      <c r="BH138" s="99">
        <v>5.2</v>
      </c>
      <c r="BI138" s="85">
        <v>5.22</v>
      </c>
      <c r="BJ138" s="88">
        <v>81</v>
      </c>
      <c r="BK138" s="81">
        <v>59.090909090909093</v>
      </c>
      <c r="BL138" s="70">
        <f t="shared" si="101"/>
        <v>55.914014698960926</v>
      </c>
      <c r="BM138" s="90">
        <v>0.5905764236093477</v>
      </c>
      <c r="BN138" s="85">
        <v>58.11</v>
      </c>
      <c r="BO138" s="85">
        <v>42.905779849451982</v>
      </c>
      <c r="BP138" s="70">
        <f t="shared" si="102"/>
        <v>54.782766142830383</v>
      </c>
      <c r="BQ138" s="90">
        <v>0.57113479403348644</v>
      </c>
      <c r="BR138" s="90">
        <v>0.51593750560981155</v>
      </c>
      <c r="BS138" s="85">
        <v>50.1429568</v>
      </c>
      <c r="BT138" s="86">
        <v>55.898403799999997</v>
      </c>
      <c r="BU138" s="85">
        <v>61.990290999999999</v>
      </c>
      <c r="BV138" s="86">
        <v>51.051714799999999</v>
      </c>
      <c r="BW138" s="71">
        <f t="shared" si="103"/>
        <v>53.808294445976045</v>
      </c>
      <c r="BX138" s="86">
        <v>70.03</v>
      </c>
      <c r="BY138" s="158">
        <f t="shared" si="104"/>
        <v>70.03</v>
      </c>
      <c r="BZ138" s="54"/>
    </row>
    <row r="139" spans="1:82" ht="15" customHeight="1" x14ac:dyDescent="0.25">
      <c r="A139" s="2">
        <v>133</v>
      </c>
      <c r="B139" s="3" t="s">
        <v>10</v>
      </c>
      <c r="C139" s="4" t="s">
        <v>11</v>
      </c>
      <c r="D139" s="162" t="s">
        <v>154</v>
      </c>
      <c r="E139" s="209">
        <f t="shared" si="85"/>
        <v>47.729265668460336</v>
      </c>
      <c r="F139" s="71">
        <f t="shared" si="86"/>
        <v>44.764267211470731</v>
      </c>
      <c r="G139" s="71">
        <f t="shared" si="87"/>
        <v>47.397966207414683</v>
      </c>
      <c r="H139" s="71">
        <f t="shared" si="88"/>
        <v>50.153494551319</v>
      </c>
      <c r="I139" s="71">
        <f t="shared" si="89"/>
        <v>48.60133470363693</v>
      </c>
      <c r="J139" s="63"/>
      <c r="K139" s="85">
        <v>3.7964173492345488</v>
      </c>
      <c r="L139" s="208">
        <v>5.44</v>
      </c>
      <c r="M139" s="82">
        <f t="shared" si="84"/>
        <v>90.962962962962962</v>
      </c>
      <c r="N139" s="71">
        <f t="shared" si="90"/>
        <v>83.239355643895635</v>
      </c>
      <c r="O139" s="85">
        <v>36.046079069241081</v>
      </c>
      <c r="P139" s="87">
        <v>48.1</v>
      </c>
      <c r="Q139" s="70">
        <f t="shared" si="91"/>
        <v>65.314488371800607</v>
      </c>
      <c r="R139" s="90">
        <v>4.0000000000000001E-3</v>
      </c>
      <c r="S139" s="85">
        <v>-0.11577082</v>
      </c>
      <c r="T139" s="85">
        <v>0.42</v>
      </c>
      <c r="U139" s="90">
        <v>4.742</v>
      </c>
      <c r="V139" s="70">
        <f t="shared" si="92"/>
        <v>28.695345605820108</v>
      </c>
      <c r="W139" s="85">
        <v>10.465</v>
      </c>
      <c r="X139" s="87">
        <v>81.5</v>
      </c>
      <c r="Y139" s="87">
        <v>9.74</v>
      </c>
      <c r="Z139" s="214">
        <v>3.3</v>
      </c>
      <c r="AA139" s="71">
        <f t="shared" si="93"/>
        <v>49.181942353604093</v>
      </c>
      <c r="AB139" s="63"/>
      <c r="AC139" s="85">
        <v>23.572175932056183</v>
      </c>
      <c r="AD139" s="87">
        <v>38.799999999999997</v>
      </c>
      <c r="AE139" s="88">
        <v>10</v>
      </c>
      <c r="AF139" s="85">
        <v>5.75</v>
      </c>
      <c r="AG139" s="88">
        <v>0</v>
      </c>
      <c r="AH139" s="70">
        <f t="shared" si="94"/>
        <v>39.040424980345144</v>
      </c>
      <c r="AI139" s="85">
        <v>0.97</v>
      </c>
      <c r="AJ139" s="85">
        <v>3.29</v>
      </c>
      <c r="AK139" s="87">
        <v>84.3</v>
      </c>
      <c r="AL139" s="86">
        <v>5.1622903993711082</v>
      </c>
      <c r="AM139" s="85">
        <v>69.762236619483204</v>
      </c>
      <c r="AN139" s="70">
        <f t="shared" si="95"/>
        <v>55.755507434484223</v>
      </c>
      <c r="AO139" s="63"/>
      <c r="AP139" s="89">
        <v>77.466652305063946</v>
      </c>
      <c r="AQ139" s="89">
        <v>39.254560211812418</v>
      </c>
      <c r="AR139" s="89">
        <v>49.73</v>
      </c>
      <c r="AS139" s="158">
        <f t="shared" si="96"/>
        <v>51.561443182172198</v>
      </c>
      <c r="AT139" s="89">
        <v>70.896799999999999</v>
      </c>
      <c r="AU139" s="89">
        <v>61.303339167297096</v>
      </c>
      <c r="AV139" s="89">
        <v>47.384443308855936</v>
      </c>
      <c r="AW139" s="100">
        <v>5.3</v>
      </c>
      <c r="AX139" s="71">
        <f t="shared" si="97"/>
        <v>64.257528080137092</v>
      </c>
      <c r="AY139" s="86">
        <v>33.33839571091189</v>
      </c>
      <c r="AZ139" s="71">
        <f t="shared" si="98"/>
        <v>33.33839571091189</v>
      </c>
      <c r="BA139" s="86">
        <v>30.02</v>
      </c>
      <c r="BB139" s="71">
        <f t="shared" si="99"/>
        <v>69.98</v>
      </c>
      <c r="BC139" s="86">
        <v>25.75</v>
      </c>
      <c r="BD139" s="86">
        <v>15.28</v>
      </c>
      <c r="BE139" s="86">
        <v>45.33</v>
      </c>
      <c r="BF139" s="71">
        <f t="shared" si="100"/>
        <v>29.393999999999998</v>
      </c>
      <c r="BG139" s="63"/>
      <c r="BH139" s="85">
        <v>2.13</v>
      </c>
      <c r="BI139" s="85">
        <v>6.63</v>
      </c>
      <c r="BJ139" s="88">
        <v>48</v>
      </c>
      <c r="BK139" s="81">
        <v>48.484848484848492</v>
      </c>
      <c r="BL139" s="70">
        <f t="shared" si="101"/>
        <v>40.248852322508242</v>
      </c>
      <c r="BM139" s="90">
        <v>0.50174126139515529</v>
      </c>
      <c r="BN139" s="85">
        <v>54.8</v>
      </c>
      <c r="BO139" s="85">
        <v>69.161138514758193</v>
      </c>
      <c r="BP139" s="70">
        <f t="shared" si="102"/>
        <v>56.077347698447312</v>
      </c>
      <c r="BQ139" s="90">
        <v>0.59206220791700026</v>
      </c>
      <c r="BR139" s="90">
        <v>0.46269651821852475</v>
      </c>
      <c r="BS139" s="85">
        <v>35.049992199999998</v>
      </c>
      <c r="BT139" s="86">
        <v>34.141669199999995</v>
      </c>
      <c r="BU139" s="85">
        <v>58.812132899999995</v>
      </c>
      <c r="BV139" s="86">
        <v>46.151707899999998</v>
      </c>
      <c r="BW139" s="71">
        <f t="shared" si="103"/>
        <v>43.336906609930502</v>
      </c>
      <c r="BX139" s="86">
        <v>65.48</v>
      </c>
      <c r="BY139" s="158">
        <f t="shared" si="104"/>
        <v>65.48</v>
      </c>
      <c r="BZ139" s="54"/>
      <c r="CA139" s="27"/>
      <c r="CB139" s="27"/>
      <c r="CC139" s="27"/>
    </row>
    <row r="140" spans="1:82" ht="15" customHeight="1" x14ac:dyDescent="0.25">
      <c r="A140" s="2">
        <v>134</v>
      </c>
      <c r="B140" s="8" t="s">
        <v>16</v>
      </c>
      <c r="C140" s="11" t="s">
        <v>21</v>
      </c>
      <c r="D140" s="162" t="s">
        <v>323</v>
      </c>
      <c r="E140" s="209">
        <f t="shared" si="85"/>
        <v>47.623758952538019</v>
      </c>
      <c r="F140" s="71">
        <f t="shared" si="86"/>
        <v>39.616743532598164</v>
      </c>
      <c r="G140" s="71">
        <f t="shared" si="87"/>
        <v>64.474843355152601</v>
      </c>
      <c r="H140" s="71">
        <f t="shared" si="88"/>
        <v>39.911654635256426</v>
      </c>
      <c r="I140" s="71">
        <f t="shared" si="89"/>
        <v>46.491794287144877</v>
      </c>
      <c r="J140" s="63"/>
      <c r="K140" s="85">
        <v>2.265937053387046</v>
      </c>
      <c r="L140" s="208">
        <v>3.66</v>
      </c>
      <c r="M140" s="82">
        <f t="shared" si="84"/>
        <v>97.555555555555557</v>
      </c>
      <c r="N140" s="71">
        <f t="shared" si="90"/>
        <v>78.03298362992804</v>
      </c>
      <c r="O140" s="85">
        <v>36.505766668357978</v>
      </c>
      <c r="P140" s="87">
        <v>49.7</v>
      </c>
      <c r="Q140" s="70">
        <f t="shared" si="91"/>
        <v>64.85875926019888</v>
      </c>
      <c r="R140" s="90">
        <v>5.0000000000000001E-3</v>
      </c>
      <c r="S140" s="85">
        <v>-0.90704759999999995</v>
      </c>
      <c r="T140" s="85">
        <v>0.18</v>
      </c>
      <c r="U140" s="90">
        <v>3.9239999999999999</v>
      </c>
      <c r="V140" s="70">
        <f t="shared" si="92"/>
        <v>22.466666719576722</v>
      </c>
      <c r="W140" s="85">
        <v>1.5720000000000001</v>
      </c>
      <c r="X140" s="87">
        <v>90.8</v>
      </c>
      <c r="Y140" s="87">
        <v>3.86</v>
      </c>
      <c r="Z140" s="214">
        <v>2.9</v>
      </c>
      <c r="AA140" s="71">
        <f t="shared" si="93"/>
        <v>43.405191683148658</v>
      </c>
      <c r="AB140" s="63"/>
      <c r="AC140" s="85">
        <v>42.219776558461099</v>
      </c>
      <c r="AD140" s="87">
        <v>45.2</v>
      </c>
      <c r="AE140" s="88">
        <v>55</v>
      </c>
      <c r="AF140" s="85">
        <v>5.75</v>
      </c>
      <c r="AG140" s="88">
        <v>32</v>
      </c>
      <c r="AH140" s="70">
        <f t="shared" si="94"/>
        <v>65.372158731281758</v>
      </c>
      <c r="AI140" s="85">
        <v>0.46</v>
      </c>
      <c r="AJ140" s="85">
        <v>4.1500000000000004</v>
      </c>
      <c r="AK140" s="87">
        <v>80.400000000000006</v>
      </c>
      <c r="AL140" s="86">
        <v>5.374930288478744</v>
      </c>
      <c r="AM140" s="85">
        <v>99.266562104565693</v>
      </c>
      <c r="AN140" s="70">
        <f t="shared" si="95"/>
        <v>63.577527979023436</v>
      </c>
      <c r="AO140" s="63"/>
      <c r="AP140" s="89">
        <v>47.478689925499971</v>
      </c>
      <c r="AQ140" s="89">
        <v>35.252337777908146</v>
      </c>
      <c r="AR140" s="89">
        <v>90.43</v>
      </c>
      <c r="AS140" s="158">
        <f t="shared" si="96"/>
        <v>31.888341370329066</v>
      </c>
      <c r="AT140" s="89">
        <v>67.418800000000005</v>
      </c>
      <c r="AU140" s="89">
        <v>45.826439981941363</v>
      </c>
      <c r="AV140" s="89">
        <v>44.342466047702246</v>
      </c>
      <c r="AW140" s="100">
        <v>20.2</v>
      </c>
      <c r="AX140" s="71">
        <f t="shared" si="97"/>
        <v>50.709789146605203</v>
      </c>
      <c r="AY140" s="86">
        <v>29.029772365449336</v>
      </c>
      <c r="AZ140" s="71">
        <f t="shared" si="98"/>
        <v>29.029772365449336</v>
      </c>
      <c r="BA140" s="86">
        <v>40.49</v>
      </c>
      <c r="BB140" s="71">
        <f t="shared" si="99"/>
        <v>59.51</v>
      </c>
      <c r="BC140" s="86">
        <v>15.57</v>
      </c>
      <c r="BD140" s="86">
        <v>35.47</v>
      </c>
      <c r="BE140" s="86">
        <v>55.7</v>
      </c>
      <c r="BF140" s="71">
        <f t="shared" si="100"/>
        <v>39.582000000000001</v>
      </c>
      <c r="BG140" s="63"/>
      <c r="BH140" s="85">
        <v>3.3</v>
      </c>
      <c r="BI140" s="85">
        <v>5.93</v>
      </c>
      <c r="BJ140" s="88">
        <v>53</v>
      </c>
      <c r="BK140" s="81">
        <v>59.090909090909093</v>
      </c>
      <c r="BL140" s="70">
        <f t="shared" si="101"/>
        <v>45.791752651967712</v>
      </c>
      <c r="BM140" s="90">
        <v>0.40599511797855953</v>
      </c>
      <c r="BN140" s="85">
        <v>46.22</v>
      </c>
      <c r="BO140" s="85">
        <v>39.804916799291007</v>
      </c>
      <c r="BP140" s="70">
        <f t="shared" si="102"/>
        <v>41.805985098750725</v>
      </c>
      <c r="BQ140" s="90">
        <v>0.48708660514343177</v>
      </c>
      <c r="BR140" s="90">
        <v>0.41804865336072017</v>
      </c>
      <c r="BS140" s="85">
        <v>41.901686900000001</v>
      </c>
      <c r="BT140" s="86">
        <v>45.654061299999995</v>
      </c>
      <c r="BU140" s="85">
        <v>59.2394684</v>
      </c>
      <c r="BV140" s="86">
        <v>46.419238499999999</v>
      </c>
      <c r="BW140" s="71">
        <f t="shared" si="103"/>
        <v>45.548744555793498</v>
      </c>
      <c r="BX140" s="86">
        <v>65.599999999999994</v>
      </c>
      <c r="BY140" s="158">
        <f t="shared" si="104"/>
        <v>65.599999999999994</v>
      </c>
      <c r="BZ140" s="54"/>
    </row>
    <row r="141" spans="1:82" s="28" customFormat="1" ht="15" customHeight="1" x14ac:dyDescent="0.25">
      <c r="A141" s="2">
        <v>135</v>
      </c>
      <c r="B141" s="8" t="s">
        <v>16</v>
      </c>
      <c r="C141" s="9" t="s">
        <v>17</v>
      </c>
      <c r="D141" s="162" t="s">
        <v>78</v>
      </c>
      <c r="E141" s="209">
        <f t="shared" si="85"/>
        <v>47.580666195395871</v>
      </c>
      <c r="F141" s="71">
        <f t="shared" si="86"/>
        <v>46.134835221725695</v>
      </c>
      <c r="G141" s="71">
        <f t="shared" si="87"/>
        <v>50.100628204526174</v>
      </c>
      <c r="H141" s="71">
        <f t="shared" si="88"/>
        <v>59.119793752969123</v>
      </c>
      <c r="I141" s="71">
        <f t="shared" si="89"/>
        <v>34.967407602362485</v>
      </c>
      <c r="J141" s="63"/>
      <c r="K141" s="85">
        <v>2.6024131757991897</v>
      </c>
      <c r="L141" s="208">
        <v>18.22</v>
      </c>
      <c r="M141" s="82">
        <f t="shared" si="84"/>
        <v>43.629629629629633</v>
      </c>
      <c r="N141" s="71">
        <f t="shared" si="90"/>
        <v>52.939332458143646</v>
      </c>
      <c r="O141" s="85">
        <v>8.1287344883713235</v>
      </c>
      <c r="P141" s="87">
        <v>86.8</v>
      </c>
      <c r="Q141" s="70">
        <f t="shared" si="91"/>
        <v>32.604852493539624</v>
      </c>
      <c r="R141" s="90">
        <v>3.6999999999999998E-2</v>
      </c>
      <c r="S141" s="85">
        <v>7.5096524999999997E-2</v>
      </c>
      <c r="T141" s="85">
        <v>0.49</v>
      </c>
      <c r="U141" s="90">
        <v>2.9649999999999999</v>
      </c>
      <c r="V141" s="70">
        <f t="shared" si="92"/>
        <v>42.465215214947087</v>
      </c>
      <c r="W141" s="85">
        <v>6.7809999999999997</v>
      </c>
      <c r="X141" s="87">
        <v>68.599999999999994</v>
      </c>
      <c r="Y141" s="87">
        <v>26.44</v>
      </c>
      <c r="Z141" s="214">
        <v>4.3</v>
      </c>
      <c r="AA141" s="71">
        <f t="shared" si="93"/>
        <v>58.870265977627383</v>
      </c>
      <c r="AB141" s="63"/>
      <c r="AC141" s="85">
        <v>11.705318644478997</v>
      </c>
      <c r="AD141" s="87">
        <v>35.5</v>
      </c>
      <c r="AE141" s="88">
        <v>65</v>
      </c>
      <c r="AF141" s="85">
        <v>19</v>
      </c>
      <c r="AG141" s="88">
        <v>25</v>
      </c>
      <c r="AH141" s="70">
        <f t="shared" si="94"/>
        <v>40.515084224524458</v>
      </c>
      <c r="AI141" s="85">
        <v>-1.1399999999999999</v>
      </c>
      <c r="AJ141" s="85">
        <v>5.09</v>
      </c>
      <c r="AK141" s="87">
        <v>85.7</v>
      </c>
      <c r="AL141" s="86">
        <v>3.8633516553583647</v>
      </c>
      <c r="AM141" s="85">
        <v>100</v>
      </c>
      <c r="AN141" s="70">
        <f t="shared" si="95"/>
        <v>59.686172184527884</v>
      </c>
      <c r="AO141" s="63"/>
      <c r="AP141" s="89">
        <v>95.937757379431702</v>
      </c>
      <c r="AQ141" s="89">
        <v>68.710595926710283</v>
      </c>
      <c r="AR141" s="89">
        <v>56.94</v>
      </c>
      <c r="AS141" s="158">
        <f t="shared" si="96"/>
        <v>69.10473730821306</v>
      </c>
      <c r="AT141" s="89">
        <v>71.986800000000002</v>
      </c>
      <c r="AU141" s="89">
        <v>69.167089958060203</v>
      </c>
      <c r="AV141" s="89">
        <v>51.57641959179746</v>
      </c>
      <c r="AW141" s="100">
        <v>9.4</v>
      </c>
      <c r="AX141" s="71">
        <f t="shared" si="97"/>
        <v>66.876919005252319</v>
      </c>
      <c r="AY141" s="86">
        <v>44.977951096310193</v>
      </c>
      <c r="AZ141" s="71">
        <f t="shared" si="98"/>
        <v>44.977951096310193</v>
      </c>
      <c r="BA141" s="86">
        <v>28.48</v>
      </c>
      <c r="BB141" s="71">
        <f t="shared" si="99"/>
        <v>71.52</v>
      </c>
      <c r="BC141" s="86">
        <v>42.57</v>
      </c>
      <c r="BD141" s="86">
        <v>27.83</v>
      </c>
      <c r="BE141" s="86">
        <v>41.29</v>
      </c>
      <c r="BF141" s="71">
        <f t="shared" si="100"/>
        <v>36.161999999999999</v>
      </c>
      <c r="BG141" s="63"/>
      <c r="BH141" s="85">
        <v>1.31</v>
      </c>
      <c r="BI141" s="85">
        <v>5.3</v>
      </c>
      <c r="BJ141" s="88">
        <v>63</v>
      </c>
      <c r="BK141" s="81">
        <v>9.0909090909090917</v>
      </c>
      <c r="BL141" s="70">
        <f t="shared" si="101"/>
        <v>33.46672278338945</v>
      </c>
      <c r="BM141" s="90">
        <v>0.22456872388727811</v>
      </c>
      <c r="BN141" s="85">
        <v>24.92</v>
      </c>
      <c r="BO141" s="85">
        <v>28.287827009511684</v>
      </c>
      <c r="BP141" s="70">
        <f t="shared" si="102"/>
        <v>24.530392946741827</v>
      </c>
      <c r="BQ141" s="90">
        <v>0.23077249242657086</v>
      </c>
      <c r="BR141" s="90">
        <v>0.35393464435741495</v>
      </c>
      <c r="BS141" s="85">
        <v>31.115284899999999</v>
      </c>
      <c r="BT141" s="86">
        <v>49.453282799999997</v>
      </c>
      <c r="BU141" s="85">
        <v>49.189894899999999</v>
      </c>
      <c r="BV141" s="86">
        <v>46.985449899999999</v>
      </c>
      <c r="BW141" s="71">
        <f t="shared" si="103"/>
        <v>39.110311492835905</v>
      </c>
      <c r="BX141" s="86">
        <v>55.53</v>
      </c>
      <c r="BY141" s="158">
        <f t="shared" si="104"/>
        <v>55.53</v>
      </c>
      <c r="BZ141" s="54"/>
    </row>
    <row r="142" spans="1:82" ht="15" customHeight="1" x14ac:dyDescent="0.25">
      <c r="A142" s="2">
        <v>136</v>
      </c>
      <c r="B142" s="3" t="s">
        <v>10</v>
      </c>
      <c r="C142" s="22" t="s">
        <v>49</v>
      </c>
      <c r="D142" s="162" t="s">
        <v>205</v>
      </c>
      <c r="E142" s="209">
        <f t="shared" si="85"/>
        <v>47.553197947181864</v>
      </c>
      <c r="F142" s="71">
        <f t="shared" si="86"/>
        <v>35.927605894534366</v>
      </c>
      <c r="G142" s="71">
        <f t="shared" si="87"/>
        <v>50.811482673783566</v>
      </c>
      <c r="H142" s="71">
        <f t="shared" si="88"/>
        <v>45.391328494136111</v>
      </c>
      <c r="I142" s="71">
        <f t="shared" si="89"/>
        <v>58.082374726273422</v>
      </c>
      <c r="J142" s="63"/>
      <c r="K142" s="86">
        <v>-11.90900013894275</v>
      </c>
      <c r="L142" s="207">
        <v>4.3600000000000012</v>
      </c>
      <c r="M142" s="82">
        <f t="shared" si="84"/>
        <v>94.962962962962962</v>
      </c>
      <c r="N142" s="71">
        <f t="shared" si="90"/>
        <v>47.481481481481481</v>
      </c>
      <c r="O142" s="86">
        <v>-21.128201766113357</v>
      </c>
      <c r="P142" s="100">
        <v>14.3</v>
      </c>
      <c r="Q142" s="70">
        <f t="shared" si="91"/>
        <v>57.533333333333331</v>
      </c>
      <c r="R142" s="96">
        <v>0</v>
      </c>
      <c r="S142" s="92">
        <v>-0.90737547395964224</v>
      </c>
      <c r="T142" s="86">
        <v>0.24</v>
      </c>
      <c r="U142" s="167">
        <v>4.2729999999999997</v>
      </c>
      <c r="V142" s="70">
        <f t="shared" si="92"/>
        <v>22.433480826302581</v>
      </c>
      <c r="W142" s="86">
        <v>1.5920000000000001</v>
      </c>
      <c r="X142" s="100">
        <v>80.599999999999994</v>
      </c>
      <c r="Y142" s="100">
        <v>6.58</v>
      </c>
      <c r="Z142" s="107">
        <v>6.1</v>
      </c>
      <c r="AA142" s="71">
        <f t="shared" si="93"/>
        <v>45.330869332939692</v>
      </c>
      <c r="AB142" s="63"/>
      <c r="AC142" s="86">
        <v>27.007911672637313</v>
      </c>
      <c r="AD142" s="100">
        <v>43.5</v>
      </c>
      <c r="AE142" s="95">
        <v>45</v>
      </c>
      <c r="AF142" s="85">
        <v>3.75</v>
      </c>
      <c r="AG142" s="91">
        <v>25.006953759979751</v>
      </c>
      <c r="AH142" s="70">
        <f t="shared" si="94"/>
        <v>52.628228280216376</v>
      </c>
      <c r="AI142" s="86">
        <v>-0.2</v>
      </c>
      <c r="AJ142" s="92">
        <v>3.2432736904267374</v>
      </c>
      <c r="AK142" s="100">
        <v>97.1</v>
      </c>
      <c r="AL142" s="86">
        <v>6.2506112351221059</v>
      </c>
      <c r="AM142" s="86">
        <v>16.824355440994001</v>
      </c>
      <c r="AN142" s="70">
        <f t="shared" si="95"/>
        <v>48.994737067350762</v>
      </c>
      <c r="AO142" s="63"/>
      <c r="AP142" s="89">
        <v>80.323046917802486</v>
      </c>
      <c r="AQ142" s="89">
        <v>38.849565528886941</v>
      </c>
      <c r="AR142" s="89">
        <v>96.71</v>
      </c>
      <c r="AS142" s="158">
        <f t="shared" si="96"/>
        <v>40.328044493894097</v>
      </c>
      <c r="AT142" s="89">
        <v>68.129900000000006</v>
      </c>
      <c r="AU142" s="89">
        <v>46.912969396734354</v>
      </c>
      <c r="AV142" s="89">
        <v>56.436145961509261</v>
      </c>
      <c r="AW142" s="100">
        <v>18.7</v>
      </c>
      <c r="AX142" s="71">
        <f t="shared" si="97"/>
        <v>54.46325195834482</v>
      </c>
      <c r="AY142" s="86">
        <v>34.754716740967595</v>
      </c>
      <c r="AZ142" s="71">
        <f t="shared" si="98"/>
        <v>34.754716740967595</v>
      </c>
      <c r="BA142" s="86">
        <v>28.65</v>
      </c>
      <c r="BB142" s="71">
        <f t="shared" si="99"/>
        <v>71.349999999999994</v>
      </c>
      <c r="BC142" s="86">
        <v>51.19</v>
      </c>
      <c r="BD142" s="86">
        <v>34.58</v>
      </c>
      <c r="BE142" s="86">
        <v>39.6</v>
      </c>
      <c r="BF142" s="71">
        <f t="shared" si="100"/>
        <v>39.910000000000004</v>
      </c>
      <c r="BG142" s="63"/>
      <c r="BH142" s="86">
        <v>4.07</v>
      </c>
      <c r="BI142" s="86">
        <v>3.98</v>
      </c>
      <c r="BJ142" s="95">
        <v>140</v>
      </c>
      <c r="BK142" s="82">
        <v>72.727272727272734</v>
      </c>
      <c r="BL142" s="70">
        <f t="shared" si="101"/>
        <v>82.581114007458098</v>
      </c>
      <c r="BM142" s="96">
        <v>0.49674507382325062</v>
      </c>
      <c r="BN142" s="86">
        <v>75.290000000000006</v>
      </c>
      <c r="BO142" s="86">
        <v>44.893049044100678</v>
      </c>
      <c r="BP142" s="70">
        <f t="shared" si="102"/>
        <v>54.883015952187705</v>
      </c>
      <c r="BQ142" s="96">
        <v>0.56983909210080741</v>
      </c>
      <c r="BR142" s="96">
        <v>0.363982012040308</v>
      </c>
      <c r="BS142" s="86">
        <v>40.213296</v>
      </c>
      <c r="BT142" s="86">
        <v>33.8688152</v>
      </c>
      <c r="BU142" s="86">
        <v>74.879499600000003</v>
      </c>
      <c r="BV142" s="86">
        <v>43.2827099</v>
      </c>
      <c r="BW142" s="71">
        <f t="shared" si="103"/>
        <v>42.714832682150252</v>
      </c>
      <c r="BX142" s="86">
        <v>60.22</v>
      </c>
      <c r="BY142" s="158">
        <f t="shared" si="104"/>
        <v>60.22</v>
      </c>
      <c r="BZ142" s="54"/>
    </row>
    <row r="143" spans="1:82" ht="15" customHeight="1" x14ac:dyDescent="0.25">
      <c r="A143" s="2">
        <v>137</v>
      </c>
      <c r="B143" s="8" t="s">
        <v>16</v>
      </c>
      <c r="C143" s="21" t="s">
        <v>42</v>
      </c>
      <c r="D143" s="162" t="s">
        <v>90</v>
      </c>
      <c r="E143" s="209">
        <f t="shared" si="85"/>
        <v>47.479720879379137</v>
      </c>
      <c r="F143" s="71">
        <f t="shared" si="86"/>
        <v>33.898085920122547</v>
      </c>
      <c r="G143" s="71">
        <f t="shared" si="87"/>
        <v>57.702585675721757</v>
      </c>
      <c r="H143" s="71">
        <f t="shared" si="88"/>
        <v>38.23056039420981</v>
      </c>
      <c r="I143" s="71">
        <f t="shared" si="89"/>
        <v>60.087651527462441</v>
      </c>
      <c r="J143" s="63"/>
      <c r="K143" s="85">
        <v>3.3294069498233547</v>
      </c>
      <c r="L143" s="208">
        <v>11.08</v>
      </c>
      <c r="M143" s="82">
        <f t="shared" si="84"/>
        <v>70.074074074074076</v>
      </c>
      <c r="N143" s="71">
        <f t="shared" si="90"/>
        <v>70.200408980500129</v>
      </c>
      <c r="O143" s="85">
        <v>25.929691204767956</v>
      </c>
      <c r="P143" s="87">
        <v>73.900000000000006</v>
      </c>
      <c r="Q143" s="70">
        <f t="shared" si="91"/>
        <v>48.227606224871089</v>
      </c>
      <c r="R143" s="90">
        <v>0</v>
      </c>
      <c r="S143" s="99">
        <v>-0.61075233093200509</v>
      </c>
      <c r="T143" s="85">
        <v>0.17</v>
      </c>
      <c r="U143" s="90">
        <v>4.8159999999999998</v>
      </c>
      <c r="V143" s="70">
        <f t="shared" si="92"/>
        <v>18.338386382331731</v>
      </c>
      <c r="W143" s="85">
        <v>6.5209999999999999</v>
      </c>
      <c r="X143" s="87">
        <v>84.1</v>
      </c>
      <c r="Y143" s="87">
        <v>5.96</v>
      </c>
      <c r="Z143" s="214">
        <v>6.5</v>
      </c>
      <c r="AA143" s="71">
        <f t="shared" si="93"/>
        <v>41.898843588704032</v>
      </c>
      <c r="AB143" s="63"/>
      <c r="AC143" s="85">
        <v>40.386284222601923</v>
      </c>
      <c r="AD143" s="87">
        <v>55.4</v>
      </c>
      <c r="AE143" s="88">
        <v>50</v>
      </c>
      <c r="AF143" s="85">
        <v>14</v>
      </c>
      <c r="AG143" s="91">
        <v>31.141683111535613</v>
      </c>
      <c r="AH143" s="70">
        <f t="shared" si="94"/>
        <v>62.758059743913627</v>
      </c>
      <c r="AI143" s="85">
        <v>1.05</v>
      </c>
      <c r="AJ143" s="99">
        <v>2.5968198204845701</v>
      </c>
      <c r="AK143" s="87">
        <v>79.2</v>
      </c>
      <c r="AL143" s="86">
        <v>5.5752316657422885</v>
      </c>
      <c r="AM143" s="85">
        <v>61.732540818219299</v>
      </c>
      <c r="AN143" s="70">
        <f t="shared" si="95"/>
        <v>52.647111607529887</v>
      </c>
      <c r="AO143" s="63"/>
      <c r="AP143" s="89">
        <v>66.334963612414867</v>
      </c>
      <c r="AQ143" s="89">
        <v>34.281532359764221</v>
      </c>
      <c r="AR143" s="89">
        <v>74.58</v>
      </c>
      <c r="AS143" s="158">
        <f t="shared" si="96"/>
        <v>40.079507082985828</v>
      </c>
      <c r="AT143" s="89">
        <v>66.253200000000007</v>
      </c>
      <c r="AU143" s="89">
        <v>41.268350168350167</v>
      </c>
      <c r="AV143" s="89">
        <v>45.326667554460066</v>
      </c>
      <c r="AW143" s="100">
        <v>16.8</v>
      </c>
      <c r="AX143" s="71">
        <f t="shared" si="97"/>
        <v>49.612095661876126</v>
      </c>
      <c r="AY143" s="86">
        <v>20.389800567226853</v>
      </c>
      <c r="AZ143" s="71">
        <f t="shared" si="98"/>
        <v>20.389800567226853</v>
      </c>
      <c r="BA143" s="86">
        <v>38.76</v>
      </c>
      <c r="BB143" s="71">
        <f t="shared" si="99"/>
        <v>61.24</v>
      </c>
      <c r="BC143" s="86">
        <v>38.35</v>
      </c>
      <c r="BD143" s="86">
        <v>19.73</v>
      </c>
      <c r="BE143" s="86">
        <v>28.27</v>
      </c>
      <c r="BF143" s="71">
        <f t="shared" si="100"/>
        <v>26.869999999999997</v>
      </c>
      <c r="BG143" s="63"/>
      <c r="BH143" s="99">
        <v>4.0149999999999997</v>
      </c>
      <c r="BI143" s="85">
        <v>4.58</v>
      </c>
      <c r="BJ143" s="88">
        <v>140</v>
      </c>
      <c r="BK143" s="81">
        <v>95.454545454545453</v>
      </c>
      <c r="BL143" s="70">
        <f t="shared" si="101"/>
        <v>89.796686398030488</v>
      </c>
      <c r="BM143" s="90">
        <v>0.48636611152251091</v>
      </c>
      <c r="BN143" s="85">
        <v>69.42</v>
      </c>
      <c r="BO143" s="85">
        <v>38.849790172602049</v>
      </c>
      <c r="BP143" s="70">
        <f t="shared" si="102"/>
        <v>51.385753119276053</v>
      </c>
      <c r="BQ143" s="90">
        <v>0.55476644940554165</v>
      </c>
      <c r="BR143" s="90">
        <v>0.45504576808754327</v>
      </c>
      <c r="BS143" s="85">
        <v>41.089531799999996</v>
      </c>
      <c r="BT143" s="86">
        <v>40.921900099999995</v>
      </c>
      <c r="BU143" s="85">
        <v>65.58615069999999</v>
      </c>
      <c r="BV143" s="86">
        <v>44.390045000000001</v>
      </c>
      <c r="BW143" s="71">
        <f t="shared" si="103"/>
        <v>45.919297120491407</v>
      </c>
      <c r="BX143" s="86">
        <v>61.51</v>
      </c>
      <c r="BY143" s="158">
        <f t="shared" si="104"/>
        <v>61.51</v>
      </c>
      <c r="BZ143" s="54"/>
    </row>
    <row r="144" spans="1:82" s="28" customFormat="1" ht="15" customHeight="1" x14ac:dyDescent="0.25">
      <c r="A144" s="2">
        <v>138</v>
      </c>
      <c r="B144" s="8" t="s">
        <v>16</v>
      </c>
      <c r="C144" s="21" t="s">
        <v>42</v>
      </c>
      <c r="D144" s="162" t="s">
        <v>93</v>
      </c>
      <c r="E144" s="209">
        <f t="shared" si="85"/>
        <v>47.32762954136453</v>
      </c>
      <c r="F144" s="71">
        <f t="shared" si="86"/>
        <v>40.956603336832011</v>
      </c>
      <c r="G144" s="71">
        <f t="shared" si="87"/>
        <v>51.877943531583277</v>
      </c>
      <c r="H144" s="71">
        <f t="shared" si="88"/>
        <v>41.93851406875806</v>
      </c>
      <c r="I144" s="71">
        <f t="shared" si="89"/>
        <v>54.537457228284758</v>
      </c>
      <c r="J144" s="63"/>
      <c r="K144" s="85">
        <v>2.7254718220749652</v>
      </c>
      <c r="L144" s="208">
        <v>23.64</v>
      </c>
      <c r="M144" s="82">
        <f t="shared" si="84"/>
        <v>23.555555555555554</v>
      </c>
      <c r="N144" s="71">
        <f t="shared" si="90"/>
        <v>43.585954567083142</v>
      </c>
      <c r="O144" s="85">
        <v>12.388944309519712</v>
      </c>
      <c r="P144" s="87">
        <v>48.8</v>
      </c>
      <c r="Q144" s="70">
        <f t="shared" si="91"/>
        <v>51.860524616399836</v>
      </c>
      <c r="R144" s="90">
        <v>8.9999999999999993E-3</v>
      </c>
      <c r="S144" s="85">
        <v>-1.1063117</v>
      </c>
      <c r="T144" s="85">
        <v>0.4</v>
      </c>
      <c r="U144" s="90">
        <v>3.6659999999999999</v>
      </c>
      <c r="V144" s="70">
        <f t="shared" si="92"/>
        <v>30.77135638888889</v>
      </c>
      <c r="W144" s="85">
        <v>2.9790000000000001</v>
      </c>
      <c r="X144" s="87">
        <v>78.099999999999994</v>
      </c>
      <c r="Y144" s="87">
        <v>11.57</v>
      </c>
      <c r="Z144" s="214">
        <v>2.9</v>
      </c>
      <c r="AA144" s="71">
        <f t="shared" si="93"/>
        <v>53.733003972877107</v>
      </c>
      <c r="AB144" s="63"/>
      <c r="AC144" s="85">
        <v>9.7419244215045371</v>
      </c>
      <c r="AD144" s="87">
        <v>50.2</v>
      </c>
      <c r="AE144" s="88">
        <v>60</v>
      </c>
      <c r="AF144" s="85">
        <v>14</v>
      </c>
      <c r="AG144" s="88">
        <v>23</v>
      </c>
      <c r="AH144" s="70">
        <f t="shared" si="94"/>
        <v>41.771539357926109</v>
      </c>
      <c r="AI144" s="85">
        <v>1.51</v>
      </c>
      <c r="AJ144" s="85">
        <v>3.94</v>
      </c>
      <c r="AK144" s="87">
        <v>79.400000000000006</v>
      </c>
      <c r="AL144" s="86">
        <v>4.5279466945065829</v>
      </c>
      <c r="AM144" s="85">
        <v>99.272152341311099</v>
      </c>
      <c r="AN144" s="70">
        <f t="shared" si="95"/>
        <v>61.984347705240452</v>
      </c>
      <c r="AO144" s="63"/>
      <c r="AP144" s="89">
        <v>63.055178358984548</v>
      </c>
      <c r="AQ144" s="89">
        <v>43.591037052867932</v>
      </c>
      <c r="AR144" s="89">
        <v>81.16</v>
      </c>
      <c r="AS144" s="158">
        <f t="shared" si="96"/>
        <v>42.269313116180108</v>
      </c>
      <c r="AT144" s="89">
        <v>65.8857</v>
      </c>
      <c r="AU144" s="89">
        <v>49.859048747502683</v>
      </c>
      <c r="AV144" s="89">
        <v>43.641011672771477</v>
      </c>
      <c r="AW144" s="100">
        <v>6.3</v>
      </c>
      <c r="AX144" s="71">
        <f t="shared" si="97"/>
        <v>54.903076023156153</v>
      </c>
      <c r="AY144" s="86">
        <v>27.569636726433504</v>
      </c>
      <c r="AZ144" s="71">
        <f t="shared" si="98"/>
        <v>27.569636726433504</v>
      </c>
      <c r="BA144" s="86">
        <v>43.51</v>
      </c>
      <c r="BB144" s="71">
        <f t="shared" si="99"/>
        <v>56.49</v>
      </c>
      <c r="BC144" s="86">
        <v>18.41</v>
      </c>
      <c r="BD144" s="86">
        <v>14.57</v>
      </c>
      <c r="BE144" s="86">
        <v>37.18</v>
      </c>
      <c r="BF144" s="71">
        <f t="shared" si="100"/>
        <v>24.381999999999998</v>
      </c>
      <c r="BG144" s="63"/>
      <c r="BH144" s="85">
        <v>1.83</v>
      </c>
      <c r="BI144" s="85">
        <v>5.77</v>
      </c>
      <c r="BJ144" s="88">
        <v>44</v>
      </c>
      <c r="BK144" s="81">
        <v>72.727272727272734</v>
      </c>
      <c r="BL144" s="70">
        <f t="shared" si="101"/>
        <v>47.48238840013034</v>
      </c>
      <c r="BM144" s="90">
        <v>0.55112344018858528</v>
      </c>
      <c r="BN144" s="85">
        <v>72.2</v>
      </c>
      <c r="BO144" s="85">
        <v>45.799632812294284</v>
      </c>
      <c r="BP144" s="70">
        <f t="shared" si="102"/>
        <v>57.056080212502835</v>
      </c>
      <c r="BQ144" s="90">
        <v>0.65536090700415572</v>
      </c>
      <c r="BR144" s="90">
        <v>0.4995505644974173</v>
      </c>
      <c r="BS144" s="85">
        <v>43.9385075</v>
      </c>
      <c r="BT144" s="86">
        <v>52.498945499999998</v>
      </c>
      <c r="BU144" s="85">
        <v>66.090156999999991</v>
      </c>
      <c r="BV144" s="86">
        <v>53.4456524</v>
      </c>
      <c r="BW144" s="71">
        <f t="shared" si="103"/>
        <v>53.04867447000376</v>
      </c>
      <c r="BX144" s="86">
        <v>69.83</v>
      </c>
      <c r="BY144" s="158">
        <f t="shared" si="104"/>
        <v>69.83</v>
      </c>
      <c r="BZ144" s="54"/>
    </row>
    <row r="145" spans="1:80" s="28" customFormat="1" ht="15" customHeight="1" x14ac:dyDescent="0.25">
      <c r="A145" s="2">
        <v>139</v>
      </c>
      <c r="B145" s="8" t="s">
        <v>16</v>
      </c>
      <c r="C145" s="21" t="s">
        <v>42</v>
      </c>
      <c r="D145" s="162" t="s">
        <v>179</v>
      </c>
      <c r="E145" s="209">
        <f t="shared" si="85"/>
        <v>47.031495185451398</v>
      </c>
      <c r="F145" s="71">
        <f t="shared" si="86"/>
        <v>34.619245202794403</v>
      </c>
      <c r="G145" s="71">
        <f t="shared" si="87"/>
        <v>43.763091528575181</v>
      </c>
      <c r="H145" s="71">
        <f t="shared" si="88"/>
        <v>46.789943476040619</v>
      </c>
      <c r="I145" s="71">
        <f t="shared" si="89"/>
        <v>62.953700534395395</v>
      </c>
      <c r="J145" s="63"/>
      <c r="K145" s="86">
        <v>-1.2145889271115373</v>
      </c>
      <c r="L145" s="207">
        <v>12.52</v>
      </c>
      <c r="M145" s="82">
        <f t="shared" si="84"/>
        <v>64.740740740740748</v>
      </c>
      <c r="N145" s="71">
        <f t="shared" si="90"/>
        <v>42.28932077530628</v>
      </c>
      <c r="O145" s="86">
        <v>9.0185316125459387</v>
      </c>
      <c r="P145" s="100">
        <v>55.7</v>
      </c>
      <c r="Q145" s="70">
        <f t="shared" si="91"/>
        <v>46.921406451414406</v>
      </c>
      <c r="R145" s="96">
        <v>1.1698475383381337E-2</v>
      </c>
      <c r="S145" s="92">
        <v>-1.1268288454116584</v>
      </c>
      <c r="T145" s="86">
        <v>0.26</v>
      </c>
      <c r="U145" s="167">
        <v>4.4779999999999998</v>
      </c>
      <c r="V145" s="70">
        <f t="shared" si="92"/>
        <v>22.38091805040327</v>
      </c>
      <c r="W145" s="86">
        <v>9.1319999999999997</v>
      </c>
      <c r="X145" s="93">
        <v>88.8</v>
      </c>
      <c r="Y145" s="100">
        <v>16.39</v>
      </c>
      <c r="Z145" s="215">
        <v>5</v>
      </c>
      <c r="AA145" s="71">
        <f t="shared" si="93"/>
        <v>48.646572529399897</v>
      </c>
      <c r="AB145" s="63"/>
      <c r="AC145" s="86">
        <v>8.6688434648219506</v>
      </c>
      <c r="AD145" s="100">
        <v>55.2</v>
      </c>
      <c r="AE145" s="95">
        <v>50</v>
      </c>
      <c r="AF145" s="85">
        <v>10</v>
      </c>
      <c r="AG145" s="91">
        <v>31.526154911379663</v>
      </c>
      <c r="AH145" s="70">
        <f t="shared" si="94"/>
        <v>42.669485564342011</v>
      </c>
      <c r="AI145" s="86">
        <v>0.51</v>
      </c>
      <c r="AJ145" s="92">
        <v>3.6405058457377266</v>
      </c>
      <c r="AK145" s="100">
        <v>88.6</v>
      </c>
      <c r="AL145" s="92">
        <v>4.1005493143565612</v>
      </c>
      <c r="AM145" s="86">
        <v>20.4415525262757</v>
      </c>
      <c r="AN145" s="70">
        <f t="shared" si="95"/>
        <v>44.856697492808344</v>
      </c>
      <c r="AO145" s="63"/>
      <c r="AP145" s="89">
        <v>74.136850676106221</v>
      </c>
      <c r="AQ145" s="89">
        <v>34.246630415906026</v>
      </c>
      <c r="AR145" s="89">
        <v>70.099999999999994</v>
      </c>
      <c r="AS145" s="158">
        <f t="shared" si="96"/>
        <v>43.132527876979573</v>
      </c>
      <c r="AT145" s="89">
        <v>70.081400000000002</v>
      </c>
      <c r="AU145" s="89">
        <v>54.942856694027562</v>
      </c>
      <c r="AV145" s="89">
        <v>55.68383218205647</v>
      </c>
      <c r="AW145" s="100">
        <v>17.399999999999999</v>
      </c>
      <c r="AX145" s="71">
        <f t="shared" si="97"/>
        <v>58.994185815455012</v>
      </c>
      <c r="AY145" s="86">
        <v>34.405385885545876</v>
      </c>
      <c r="AZ145" s="71">
        <f t="shared" si="98"/>
        <v>34.405385885545876</v>
      </c>
      <c r="BA145" s="86">
        <v>40.729999999999997</v>
      </c>
      <c r="BB145" s="71">
        <f t="shared" si="99"/>
        <v>59.27</v>
      </c>
      <c r="BC145" s="86">
        <v>43.42</v>
      </c>
      <c r="BD145" s="86">
        <v>29.96</v>
      </c>
      <c r="BE145" s="86">
        <v>43.18</v>
      </c>
      <c r="BF145" s="71">
        <f t="shared" si="100"/>
        <v>37.94</v>
      </c>
      <c r="BG145" s="63"/>
      <c r="BH145" s="86">
        <v>3.23</v>
      </c>
      <c r="BI145" s="86">
        <v>1.8</v>
      </c>
      <c r="BJ145" s="95">
        <v>156</v>
      </c>
      <c r="BK145" s="82">
        <v>72.727272727272734</v>
      </c>
      <c r="BL145" s="70">
        <f t="shared" si="101"/>
        <v>89.817115600448943</v>
      </c>
      <c r="BM145" s="96">
        <v>0.56046044914029414</v>
      </c>
      <c r="BN145" s="92">
        <v>68.830624742882605</v>
      </c>
      <c r="BO145" s="86">
        <v>54.983489375350509</v>
      </c>
      <c r="BP145" s="70">
        <f t="shared" si="102"/>
        <v>58.976550986572981</v>
      </c>
      <c r="BQ145" s="96">
        <v>0.56888848102859901</v>
      </c>
      <c r="BR145" s="96">
        <v>0.46447097578730423</v>
      </c>
      <c r="BS145" s="86">
        <v>51.582597499999999</v>
      </c>
      <c r="BT145" s="86">
        <v>37.366570799999998</v>
      </c>
      <c r="BU145" s="86">
        <v>74.247512799999996</v>
      </c>
      <c r="BV145" s="86">
        <v>40.812347099999997</v>
      </c>
      <c r="BW145" s="71">
        <f t="shared" si="103"/>
        <v>47.547018109460737</v>
      </c>
      <c r="BX145" s="92">
        <v>61.65</v>
      </c>
      <c r="BY145" s="158">
        <f t="shared" si="104"/>
        <v>61.65</v>
      </c>
      <c r="BZ145" s="54"/>
      <c r="CA145" s="29"/>
    </row>
    <row r="146" spans="1:80" ht="15" customHeight="1" x14ac:dyDescent="0.25">
      <c r="A146" s="2">
        <v>140</v>
      </c>
      <c r="B146" s="8" t="s">
        <v>16</v>
      </c>
      <c r="C146" s="21" t="s">
        <v>42</v>
      </c>
      <c r="D146" s="162" t="s">
        <v>43</v>
      </c>
      <c r="E146" s="209">
        <f t="shared" si="85"/>
        <v>46.894234010007331</v>
      </c>
      <c r="F146" s="71">
        <f t="shared" si="86"/>
        <v>38.705541989870227</v>
      </c>
      <c r="G146" s="71">
        <f t="shared" si="87"/>
        <v>61.965098175328187</v>
      </c>
      <c r="H146" s="71">
        <f t="shared" si="88"/>
        <v>36.753403327658603</v>
      </c>
      <c r="I146" s="71">
        <f t="shared" si="89"/>
        <v>50.152892547172314</v>
      </c>
      <c r="J146" s="63"/>
      <c r="K146" s="85">
        <v>4.4049283767174652</v>
      </c>
      <c r="L146" s="208">
        <v>1.6199999999999999</v>
      </c>
      <c r="M146" s="82">
        <f t="shared" si="84"/>
        <v>100</v>
      </c>
      <c r="N146" s="71">
        <f t="shared" si="90"/>
        <v>91.138490981763695</v>
      </c>
      <c r="O146" s="85">
        <v>30.273608400856268</v>
      </c>
      <c r="P146" s="87">
        <v>57.3</v>
      </c>
      <c r="Q146" s="70">
        <f t="shared" si="91"/>
        <v>58.018671333809039</v>
      </c>
      <c r="R146" s="168">
        <v>7.944045209197793E-3</v>
      </c>
      <c r="S146" s="85">
        <v>-0.92142354999999998</v>
      </c>
      <c r="T146" s="85">
        <v>0.21</v>
      </c>
      <c r="U146" s="90">
        <v>4.5629999999999997</v>
      </c>
      <c r="V146" s="70">
        <f t="shared" si="92"/>
        <v>20.60195380517867</v>
      </c>
      <c r="W146" s="85">
        <v>1.589</v>
      </c>
      <c r="X146" s="87">
        <v>96.3</v>
      </c>
      <c r="Y146" s="87">
        <v>4.22</v>
      </c>
      <c r="Z146" s="214">
        <v>3</v>
      </c>
      <c r="AA146" s="71">
        <f t="shared" si="93"/>
        <v>42.351661156132657</v>
      </c>
      <c r="AB146" s="63"/>
      <c r="AC146" s="85">
        <v>35.431137598891986</v>
      </c>
      <c r="AD146" s="87">
        <v>46.4</v>
      </c>
      <c r="AE146" s="88">
        <v>50</v>
      </c>
      <c r="AF146" s="85">
        <v>5</v>
      </c>
      <c r="AG146" s="88">
        <v>36</v>
      </c>
      <c r="AH146" s="70">
        <f t="shared" si="94"/>
        <v>61.072040450543376</v>
      </c>
      <c r="AI146" s="85">
        <v>1.81</v>
      </c>
      <c r="AJ146" s="85">
        <v>3.81</v>
      </c>
      <c r="AK146" s="87">
        <v>69.400000000000006</v>
      </c>
      <c r="AL146" s="86">
        <v>5.4016278382391816</v>
      </c>
      <c r="AM146" s="85">
        <v>91.541378635894304</v>
      </c>
      <c r="AN146" s="70">
        <f t="shared" si="95"/>
        <v>62.85815590011299</v>
      </c>
      <c r="AO146" s="63"/>
      <c r="AP146" s="89">
        <v>43.581960477808202</v>
      </c>
      <c r="AQ146" s="89">
        <v>33.858318336230752</v>
      </c>
      <c r="AR146" s="89">
        <v>84.52</v>
      </c>
      <c r="AS146" s="158">
        <f t="shared" si="96"/>
        <v>31.694649287567426</v>
      </c>
      <c r="AT146" s="89">
        <v>61.140700000000002</v>
      </c>
      <c r="AU146" s="89">
        <v>33.780697115906769</v>
      </c>
      <c r="AV146" s="89">
        <v>48.187721927348754</v>
      </c>
      <c r="AW146" s="100">
        <v>14.3</v>
      </c>
      <c r="AX146" s="71">
        <f t="shared" si="97"/>
        <v>43.644312724029326</v>
      </c>
      <c r="AY146" s="86">
        <v>26.419326209425925</v>
      </c>
      <c r="AZ146" s="71">
        <f t="shared" si="98"/>
        <v>26.419326209425925</v>
      </c>
      <c r="BA146" s="86">
        <v>34.4</v>
      </c>
      <c r="BB146" s="71">
        <f t="shared" si="99"/>
        <v>65.599999999999994</v>
      </c>
      <c r="BC146" s="86">
        <v>28.73</v>
      </c>
      <c r="BD146" s="86">
        <v>22.37</v>
      </c>
      <c r="BE146" s="86">
        <v>55</v>
      </c>
      <c r="BF146" s="71">
        <f t="shared" si="100"/>
        <v>36.694000000000003</v>
      </c>
      <c r="BG146" s="63"/>
      <c r="BH146" s="99">
        <v>5.2</v>
      </c>
      <c r="BI146" s="85">
        <v>5.15</v>
      </c>
      <c r="BJ146" s="88">
        <v>54</v>
      </c>
      <c r="BK146" s="81">
        <v>68.181818181818187</v>
      </c>
      <c r="BL146" s="70">
        <f t="shared" si="101"/>
        <v>49.310108250968469</v>
      </c>
      <c r="BM146" s="90">
        <v>0.48957425305064289</v>
      </c>
      <c r="BN146" s="85">
        <v>47.39</v>
      </c>
      <c r="BO146" s="85">
        <v>59.379924640823823</v>
      </c>
      <c r="BP146" s="70">
        <f t="shared" si="102"/>
        <v>51.171193812738103</v>
      </c>
      <c r="BQ146" s="90">
        <v>0.49354997832579972</v>
      </c>
      <c r="BR146" s="90">
        <v>0.42008867615548107</v>
      </c>
      <c r="BS146" s="85">
        <v>42.982378399999995</v>
      </c>
      <c r="BT146" s="86">
        <v>47.735146899999997</v>
      </c>
      <c r="BU146" s="85">
        <v>59.010339199999997</v>
      </c>
      <c r="BV146" s="86">
        <v>50.489969899999998</v>
      </c>
      <c r="BW146" s="71">
        <f t="shared" si="103"/>
        <v>46.974306687453613</v>
      </c>
      <c r="BX146" s="86">
        <v>60.33</v>
      </c>
      <c r="BY146" s="158">
        <f t="shared" si="104"/>
        <v>60.33</v>
      </c>
      <c r="BZ146" s="54"/>
    </row>
    <row r="147" spans="1:80" ht="15" customHeight="1" x14ac:dyDescent="0.25">
      <c r="A147" s="2">
        <v>141</v>
      </c>
      <c r="B147" s="8" t="s">
        <v>16</v>
      </c>
      <c r="C147" s="21" t="s">
        <v>42</v>
      </c>
      <c r="D147" s="162" t="s">
        <v>68</v>
      </c>
      <c r="E147" s="209">
        <f t="shared" si="85"/>
        <v>46.323478171430764</v>
      </c>
      <c r="F147" s="71">
        <f t="shared" si="86"/>
        <v>40.912691731965822</v>
      </c>
      <c r="G147" s="71">
        <f t="shared" si="87"/>
        <v>56.111672794909836</v>
      </c>
      <c r="H147" s="71">
        <f t="shared" si="88"/>
        <v>38.761006733769314</v>
      </c>
      <c r="I147" s="71">
        <f t="shared" si="89"/>
        <v>49.508541425078086</v>
      </c>
      <c r="J147" s="63"/>
      <c r="K147" s="85">
        <v>3.7891074372266464</v>
      </c>
      <c r="L147" s="208">
        <v>3.46</v>
      </c>
      <c r="M147" s="82">
        <f t="shared" si="84"/>
        <v>98.296296296296291</v>
      </c>
      <c r="N147" s="71">
        <f t="shared" si="90"/>
        <v>86.865411688296177</v>
      </c>
      <c r="O147" s="85">
        <v>17.150678227017117</v>
      </c>
      <c r="P147" s="87">
        <v>56.3</v>
      </c>
      <c r="Q147" s="70">
        <f t="shared" si="91"/>
        <v>51.172599015009517</v>
      </c>
      <c r="R147" s="90">
        <v>1.2999999999999999E-2</v>
      </c>
      <c r="S147" s="85">
        <v>-0.90262589999999998</v>
      </c>
      <c r="T147" s="85">
        <v>0.25</v>
      </c>
      <c r="U147" s="90">
        <v>3.3479999999999999</v>
      </c>
      <c r="V147" s="70">
        <f t="shared" si="92"/>
        <v>28.147732288359791</v>
      </c>
      <c r="W147" s="85">
        <v>2.323</v>
      </c>
      <c r="X147" s="87">
        <v>92.1</v>
      </c>
      <c r="Y147" s="87">
        <v>8.31</v>
      </c>
      <c r="Z147" s="214">
        <v>7.3</v>
      </c>
      <c r="AA147" s="71">
        <f t="shared" si="93"/>
        <v>41.905578266819539</v>
      </c>
      <c r="AB147" s="63"/>
      <c r="AC147" s="85">
        <v>20.044434128408479</v>
      </c>
      <c r="AD147" s="87">
        <v>43.9</v>
      </c>
      <c r="AE147" s="88">
        <v>50</v>
      </c>
      <c r="AF147" s="85">
        <v>5</v>
      </c>
      <c r="AG147" s="88">
        <v>43</v>
      </c>
      <c r="AH147" s="70">
        <f t="shared" si="94"/>
        <v>51.564238136887703</v>
      </c>
      <c r="AI147" s="85">
        <v>0.79</v>
      </c>
      <c r="AJ147" s="85">
        <v>4.1100000000000003</v>
      </c>
      <c r="AK147" s="87">
        <v>81.599999999999994</v>
      </c>
      <c r="AL147" s="86">
        <v>5.3290048413149353</v>
      </c>
      <c r="AM147" s="85">
        <v>78.949547891293093</v>
      </c>
      <c r="AN147" s="70">
        <f t="shared" si="95"/>
        <v>60.65910745293197</v>
      </c>
      <c r="AO147" s="63"/>
      <c r="AP147" s="89">
        <v>56.111646772365759</v>
      </c>
      <c r="AQ147" s="89">
        <v>41.761501032110274</v>
      </c>
      <c r="AR147" s="89">
        <v>78.38</v>
      </c>
      <c r="AS147" s="158">
        <f t="shared" si="96"/>
        <v>40.313662209146578</v>
      </c>
      <c r="AT147" s="89">
        <v>62.278199999999998</v>
      </c>
      <c r="AU147" s="89">
        <v>39.758942556474651</v>
      </c>
      <c r="AV147" s="89">
        <v>42.972281592424771</v>
      </c>
      <c r="AW147" s="100">
        <v>11.1</v>
      </c>
      <c r="AX147" s="71">
        <f t="shared" si="97"/>
        <v>46.616524709695859</v>
      </c>
      <c r="AY147" s="86">
        <v>25.22803013235648</v>
      </c>
      <c r="AZ147" s="71">
        <f t="shared" si="98"/>
        <v>25.22803013235648</v>
      </c>
      <c r="BA147" s="86">
        <v>35.28</v>
      </c>
      <c r="BB147" s="71">
        <f t="shared" si="99"/>
        <v>64.72</v>
      </c>
      <c r="BC147" s="86">
        <v>23.67</v>
      </c>
      <c r="BD147" s="86">
        <v>19.059999999999999</v>
      </c>
      <c r="BE147" s="86">
        <v>39.700000000000003</v>
      </c>
      <c r="BF147" s="71">
        <f t="shared" si="100"/>
        <v>28.238</v>
      </c>
      <c r="BG147" s="63"/>
      <c r="BH147" s="99">
        <v>5.2</v>
      </c>
      <c r="BI147" s="85">
        <v>5.78</v>
      </c>
      <c r="BJ147" s="88">
        <v>65</v>
      </c>
      <c r="BK147" s="81">
        <v>54.545454545454547</v>
      </c>
      <c r="BL147" s="70">
        <f t="shared" si="101"/>
        <v>48.318417146374131</v>
      </c>
      <c r="BM147" s="90">
        <v>0.44624544924382709</v>
      </c>
      <c r="BN147" s="85">
        <v>66.27</v>
      </c>
      <c r="BO147" s="85">
        <v>45.073972699916034</v>
      </c>
      <c r="BP147" s="70">
        <f t="shared" si="102"/>
        <v>50.148265637170361</v>
      </c>
      <c r="BQ147" s="90">
        <v>0.37305604955146476</v>
      </c>
      <c r="BR147" s="90">
        <v>0.42959479315618176</v>
      </c>
      <c r="BS147" s="85">
        <v>42.085034700000001</v>
      </c>
      <c r="BT147" s="86">
        <v>45.2016572</v>
      </c>
      <c r="BU147" s="85">
        <v>51.480373499999999</v>
      </c>
      <c r="BV147" s="86">
        <v>52.229639599999999</v>
      </c>
      <c r="BW147" s="71">
        <f t="shared" si="103"/>
        <v>44.432735563809835</v>
      </c>
      <c r="BX147" s="86">
        <v>68.33</v>
      </c>
      <c r="BY147" s="158">
        <f t="shared" si="104"/>
        <v>68.33</v>
      </c>
      <c r="BZ147" s="54"/>
    </row>
    <row r="148" spans="1:80" s="28" customFormat="1" ht="15" customHeight="1" x14ac:dyDescent="0.25">
      <c r="A148" s="2">
        <v>142</v>
      </c>
      <c r="B148" s="14" t="s">
        <v>23</v>
      </c>
      <c r="C148" s="16" t="s">
        <v>26</v>
      </c>
      <c r="D148" s="162" t="s">
        <v>101</v>
      </c>
      <c r="E148" s="209">
        <f t="shared" si="85"/>
        <v>46.229197915809166</v>
      </c>
      <c r="F148" s="71">
        <f t="shared" si="86"/>
        <v>42.516524399183112</v>
      </c>
      <c r="G148" s="71">
        <f t="shared" si="87"/>
        <v>51.176779583554271</v>
      </c>
      <c r="H148" s="71">
        <f t="shared" si="88"/>
        <v>51.627741337356511</v>
      </c>
      <c r="I148" s="71">
        <f t="shared" si="89"/>
        <v>39.595746343142757</v>
      </c>
      <c r="J148" s="63"/>
      <c r="K148" s="85">
        <v>2.0450164579964181</v>
      </c>
      <c r="L148" s="208">
        <v>5.9</v>
      </c>
      <c r="M148" s="82">
        <f t="shared" si="84"/>
        <v>89.259259259259267</v>
      </c>
      <c r="N148" s="71">
        <f t="shared" si="90"/>
        <v>72.657498840720848</v>
      </c>
      <c r="O148" s="85">
        <v>26.910542133497874</v>
      </c>
      <c r="P148" s="87">
        <v>41.2</v>
      </c>
      <c r="Q148" s="70">
        <f t="shared" si="91"/>
        <v>63.305856740832155</v>
      </c>
      <c r="R148" s="90">
        <v>1.6E-2</v>
      </c>
      <c r="S148" s="85">
        <v>-0.29078834999999997</v>
      </c>
      <c r="T148" s="85">
        <v>0.32</v>
      </c>
      <c r="U148" s="90">
        <v>3.9359999999999999</v>
      </c>
      <c r="V148" s="70">
        <f t="shared" si="92"/>
        <v>29.602836593915342</v>
      </c>
      <c r="W148" s="85">
        <v>4.92</v>
      </c>
      <c r="X148" s="87">
        <v>82.6</v>
      </c>
      <c r="Y148" s="87">
        <v>7.8</v>
      </c>
      <c r="Z148" s="214">
        <v>7</v>
      </c>
      <c r="AA148" s="71">
        <f t="shared" si="93"/>
        <v>43.813910828114125</v>
      </c>
      <c r="AB148" s="63"/>
      <c r="AC148" s="85">
        <v>23.333610634752681</v>
      </c>
      <c r="AD148" s="87">
        <v>35.700000000000003</v>
      </c>
      <c r="AE148" s="88">
        <v>65</v>
      </c>
      <c r="AF148" s="85">
        <v>5.75</v>
      </c>
      <c r="AG148" s="88">
        <v>37</v>
      </c>
      <c r="AH148" s="70">
        <f t="shared" si="94"/>
        <v>53.698048115476148</v>
      </c>
      <c r="AI148" s="85">
        <v>0.85</v>
      </c>
      <c r="AJ148" s="85">
        <v>3.5</v>
      </c>
      <c r="AK148" s="87">
        <v>83.1</v>
      </c>
      <c r="AL148" s="86">
        <v>4.9590702161570928</v>
      </c>
      <c r="AM148" s="85">
        <v>28.0766619866524</v>
      </c>
      <c r="AN148" s="70">
        <f t="shared" si="95"/>
        <v>48.655511051632381</v>
      </c>
      <c r="AO148" s="63"/>
      <c r="AP148" s="89">
        <v>88.291101003978056</v>
      </c>
      <c r="AQ148" s="89">
        <v>45.044927997372575</v>
      </c>
      <c r="AR148" s="89">
        <v>49.77</v>
      </c>
      <c r="AS148" s="158">
        <f t="shared" si="96"/>
        <v>57.152739249680799</v>
      </c>
      <c r="AT148" s="89">
        <v>73.218400000000003</v>
      </c>
      <c r="AU148" s="89">
        <v>63.435851779331458</v>
      </c>
      <c r="AV148" s="89">
        <v>53.23426253259958</v>
      </c>
      <c r="AW148" s="100">
        <v>14.8</v>
      </c>
      <c r="AX148" s="71">
        <f t="shared" si="97"/>
        <v>65.024734582108508</v>
      </c>
      <c r="AY148" s="86">
        <v>33.558797684793305</v>
      </c>
      <c r="AZ148" s="71">
        <f t="shared" si="98"/>
        <v>33.558797684793305</v>
      </c>
      <c r="BA148" s="86">
        <v>45.68</v>
      </c>
      <c r="BB148" s="71">
        <f t="shared" si="99"/>
        <v>54.32</v>
      </c>
      <c r="BC148" s="86">
        <v>31.94</v>
      </c>
      <c r="BD148" s="86">
        <v>25.71</v>
      </c>
      <c r="BE148" s="86">
        <v>45.2</v>
      </c>
      <c r="BF148" s="71">
        <f t="shared" si="100"/>
        <v>34.751999999999995</v>
      </c>
      <c r="BG148" s="63"/>
      <c r="BH148" s="85">
        <v>23.92</v>
      </c>
      <c r="BI148" s="85">
        <v>7.1</v>
      </c>
      <c r="BJ148" s="88">
        <v>26</v>
      </c>
      <c r="BK148" s="81">
        <v>54.545454545454547</v>
      </c>
      <c r="BL148" s="70">
        <f t="shared" si="101"/>
        <v>30.05844104123674</v>
      </c>
      <c r="BM148" s="90">
        <v>0.46016779805783686</v>
      </c>
      <c r="BN148" s="85">
        <v>41.02</v>
      </c>
      <c r="BO148" s="85">
        <v>43.66564357370919</v>
      </c>
      <c r="BP148" s="70">
        <f t="shared" si="102"/>
        <v>44.179800796319142</v>
      </c>
      <c r="BQ148" s="90">
        <v>0.37366057704885375</v>
      </c>
      <c r="BR148" s="90">
        <v>0.33864199129188255</v>
      </c>
      <c r="BS148" s="85">
        <v>22.6603858</v>
      </c>
      <c r="BT148" s="86">
        <v>39.291548200000001</v>
      </c>
      <c r="BU148" s="85">
        <v>56.206421799999994</v>
      </c>
      <c r="BV148" s="86">
        <v>44.957811399999997</v>
      </c>
      <c r="BW148" s="71">
        <f t="shared" si="103"/>
        <v>36.50627383982237</v>
      </c>
      <c r="BX148" s="86">
        <v>60.5</v>
      </c>
      <c r="BY148" s="158">
        <f t="shared" si="104"/>
        <v>60.5</v>
      </c>
      <c r="BZ148" s="54"/>
    </row>
    <row r="149" spans="1:80" ht="15" customHeight="1" x14ac:dyDescent="0.25">
      <c r="A149" s="2">
        <v>143</v>
      </c>
      <c r="B149" s="8" t="s">
        <v>16</v>
      </c>
      <c r="C149" s="11" t="s">
        <v>21</v>
      </c>
      <c r="D149" s="162" t="s">
        <v>128</v>
      </c>
      <c r="E149" s="209">
        <f t="shared" si="85"/>
        <v>46.226543640085929</v>
      </c>
      <c r="F149" s="71">
        <f t="shared" si="86"/>
        <v>35.416247691461088</v>
      </c>
      <c r="G149" s="71">
        <f t="shared" si="87"/>
        <v>50.988335807036563</v>
      </c>
      <c r="H149" s="71">
        <f t="shared" si="88"/>
        <v>39.802701343045051</v>
      </c>
      <c r="I149" s="71">
        <f t="shared" si="89"/>
        <v>58.69888971880102</v>
      </c>
      <c r="J149" s="63"/>
      <c r="K149" s="86">
        <v>1.6875461708044215</v>
      </c>
      <c r="L149" s="207">
        <v>6.1599999999999993</v>
      </c>
      <c r="M149" s="82">
        <f t="shared" si="84"/>
        <v>88.296296296296291</v>
      </c>
      <c r="N149" s="71">
        <f t="shared" si="90"/>
        <v>70.190071319283817</v>
      </c>
      <c r="O149" s="86">
        <v>13.591493438933574</v>
      </c>
      <c r="P149" s="100">
        <v>49.1</v>
      </c>
      <c r="Q149" s="70">
        <f t="shared" si="91"/>
        <v>52.395274132740887</v>
      </c>
      <c r="R149" s="96">
        <v>8.3064502442211103E-3</v>
      </c>
      <c r="S149" s="92">
        <v>-0.98142160576612114</v>
      </c>
      <c r="T149" s="86">
        <v>0.25</v>
      </c>
      <c r="U149" s="167">
        <v>4.7960000000000003</v>
      </c>
      <c r="V149" s="70">
        <f t="shared" si="92"/>
        <v>20.685946880380328</v>
      </c>
      <c r="W149" s="86">
        <v>16.315000000000001</v>
      </c>
      <c r="X149" s="100">
        <v>89.1</v>
      </c>
      <c r="Y149" s="100">
        <v>3.3</v>
      </c>
      <c r="Z149" s="107">
        <v>1.6</v>
      </c>
      <c r="AA149" s="71">
        <f t="shared" si="93"/>
        <v>40.779903997725633</v>
      </c>
      <c r="AB149" s="63"/>
      <c r="AC149" s="86">
        <v>30.88969981319779</v>
      </c>
      <c r="AD149" s="100">
        <v>41.7</v>
      </c>
      <c r="AE149" s="95">
        <v>55</v>
      </c>
      <c r="AF149" s="85">
        <v>6.75</v>
      </c>
      <c r="AG149" s="88">
        <v>30</v>
      </c>
      <c r="AH149" s="70">
        <f t="shared" si="94"/>
        <v>56.645697311362632</v>
      </c>
      <c r="AI149" s="86">
        <v>1.23</v>
      </c>
      <c r="AJ149" s="86">
        <v>3.15</v>
      </c>
      <c r="AK149" s="100">
        <v>76.400000000000006</v>
      </c>
      <c r="AL149" s="86">
        <v>4.2039136491004783</v>
      </c>
      <c r="AM149" s="86">
        <v>30.582572834253401</v>
      </c>
      <c r="AN149" s="70">
        <f t="shared" si="95"/>
        <v>45.330974302710494</v>
      </c>
      <c r="AO149" s="63"/>
      <c r="AP149" s="89">
        <v>59.178074491497739</v>
      </c>
      <c r="AQ149" s="89">
        <v>39.557186709612012</v>
      </c>
      <c r="AR149" s="89">
        <v>86.16</v>
      </c>
      <c r="AS149" s="158">
        <f t="shared" si="96"/>
        <v>38.033111977680441</v>
      </c>
      <c r="AT149" s="89">
        <v>58.216900000000003</v>
      </c>
      <c r="AU149" s="89">
        <v>54.204878436287757</v>
      </c>
      <c r="AV149" s="89">
        <v>33.77224939720103</v>
      </c>
      <c r="AW149" s="93">
        <v>15.05</v>
      </c>
      <c r="AX149" s="71">
        <f t="shared" si="97"/>
        <v>43.296094442288194</v>
      </c>
      <c r="AY149" s="86">
        <v>35.57996117529629</v>
      </c>
      <c r="AZ149" s="71">
        <f t="shared" si="98"/>
        <v>35.57996117529629</v>
      </c>
      <c r="BA149" s="86">
        <v>44.88</v>
      </c>
      <c r="BB149" s="71">
        <f t="shared" si="99"/>
        <v>55.12</v>
      </c>
      <c r="BC149" s="86">
        <v>36.65</v>
      </c>
      <c r="BD149" s="86">
        <v>19.88</v>
      </c>
      <c r="BE149" s="86">
        <v>49.04</v>
      </c>
      <c r="BF149" s="71">
        <f t="shared" si="100"/>
        <v>34.898000000000003</v>
      </c>
      <c r="BG149" s="63"/>
      <c r="BH149" s="86">
        <v>22.2</v>
      </c>
      <c r="BI149" s="86">
        <v>4.5199999999999996</v>
      </c>
      <c r="BJ149" s="95">
        <v>156</v>
      </c>
      <c r="BK149" s="82">
        <v>72.727272727272734</v>
      </c>
      <c r="BL149" s="70">
        <f t="shared" si="101"/>
        <v>84.625140291806957</v>
      </c>
      <c r="BM149" s="96">
        <v>0.5202348869240474</v>
      </c>
      <c r="BN149" s="86">
        <v>54.37</v>
      </c>
      <c r="BO149" s="86">
        <v>48.700418410065815</v>
      </c>
      <c r="BP149" s="70">
        <f t="shared" si="102"/>
        <v>51.779348948718827</v>
      </c>
      <c r="BQ149" s="96">
        <v>0.52628338423118093</v>
      </c>
      <c r="BR149" s="96">
        <v>0.45875063530782706</v>
      </c>
      <c r="BS149" s="86">
        <v>41.733240899999998</v>
      </c>
      <c r="BT149" s="86">
        <v>38.758472900000001</v>
      </c>
      <c r="BU149" s="86">
        <v>61.472542599999997</v>
      </c>
      <c r="BV149" s="86">
        <v>47.215986999999998</v>
      </c>
      <c r="BW149" s="71">
        <f t="shared" si="103"/>
        <v>45.267999889238951</v>
      </c>
      <c r="BX149" s="86">
        <v>61.65</v>
      </c>
      <c r="BY149" s="158">
        <f t="shared" si="104"/>
        <v>61.65</v>
      </c>
      <c r="BZ149" s="54"/>
    </row>
    <row r="150" spans="1:80" ht="15" customHeight="1" x14ac:dyDescent="0.25">
      <c r="A150" s="2">
        <v>144</v>
      </c>
      <c r="B150" s="8" t="s">
        <v>16</v>
      </c>
      <c r="C150" s="11" t="s">
        <v>21</v>
      </c>
      <c r="D150" s="162" t="s">
        <v>83</v>
      </c>
      <c r="E150" s="209">
        <f t="shared" si="85"/>
        <v>46.141921482201177</v>
      </c>
      <c r="F150" s="71">
        <f t="shared" si="86"/>
        <v>45.004727095974786</v>
      </c>
      <c r="G150" s="71">
        <f t="shared" si="87"/>
        <v>47.550588496665512</v>
      </c>
      <c r="H150" s="71">
        <f t="shared" si="88"/>
        <v>46.640860371531829</v>
      </c>
      <c r="I150" s="71">
        <f t="shared" si="89"/>
        <v>45.371509964632594</v>
      </c>
      <c r="J150" s="63"/>
      <c r="K150" s="86">
        <v>1.7462938264528827</v>
      </c>
      <c r="L150" s="207">
        <v>4.0999999999999996</v>
      </c>
      <c r="M150" s="82">
        <f t="shared" ref="M150:M155" si="105">IF(L150&lt;-5, 0, IF(AND(L150&gt;=1, L150&lt;=3), 100, IF(L150&gt;30, 0, IF(L150&lt;1, 100 * ((L150 + 5) / 6), 100 * ((30 - L150) / (30 - 3))))))</f>
        <v>95.925925925925924</v>
      </c>
      <c r="N150" s="71">
        <f t="shared" si="90"/>
        <v>74.331261998812309</v>
      </c>
      <c r="O150" s="86">
        <v>17.656878502249889</v>
      </c>
      <c r="P150" s="100">
        <v>44.9</v>
      </c>
      <c r="Q150" s="70">
        <f t="shared" si="91"/>
        <v>56.520488056805497</v>
      </c>
      <c r="R150" s="167">
        <v>1.9E-2</v>
      </c>
      <c r="S150" s="86">
        <v>0.30447593000000001</v>
      </c>
      <c r="T150" s="86">
        <v>0.34</v>
      </c>
      <c r="U150" s="167">
        <v>4.3170000000000002</v>
      </c>
      <c r="V150" s="70">
        <f t="shared" si="92"/>
        <v>30.330951657407411</v>
      </c>
      <c r="W150" s="86">
        <v>34.201999999999998</v>
      </c>
      <c r="X150" s="100">
        <v>53.3</v>
      </c>
      <c r="Y150" s="100">
        <v>22.16</v>
      </c>
      <c r="Z150" s="107">
        <v>3.6</v>
      </c>
      <c r="AA150" s="71">
        <f t="shared" si="93"/>
        <v>55.712207435476095</v>
      </c>
      <c r="AB150" s="63"/>
      <c r="AC150" s="86">
        <v>16.070312026879826</v>
      </c>
      <c r="AD150" s="100">
        <v>42.5</v>
      </c>
      <c r="AE150" s="95">
        <v>50</v>
      </c>
      <c r="AF150" s="85">
        <v>6.75</v>
      </c>
      <c r="AG150" s="88">
        <v>25</v>
      </c>
      <c r="AH150" s="70">
        <f t="shared" si="94"/>
        <v>45.232772120483986</v>
      </c>
      <c r="AI150" s="86">
        <v>-0.83</v>
      </c>
      <c r="AJ150" s="92">
        <v>3.7214992361069297</v>
      </c>
      <c r="AK150" s="100">
        <v>78.599999999999994</v>
      </c>
      <c r="AL150" s="86">
        <v>3.6409321942825605</v>
      </c>
      <c r="AM150" s="86">
        <v>79.429304448757705</v>
      </c>
      <c r="AN150" s="70">
        <f t="shared" si="95"/>
        <v>49.86840487284703</v>
      </c>
      <c r="AO150" s="63"/>
      <c r="AP150" s="89">
        <v>70.239494102649843</v>
      </c>
      <c r="AQ150" s="89">
        <v>49.142055438498076</v>
      </c>
      <c r="AR150" s="89">
        <v>77.8</v>
      </c>
      <c r="AS150" s="158">
        <f t="shared" si="96"/>
        <v>47.680901244911496</v>
      </c>
      <c r="AT150" s="89">
        <v>64.402600000000007</v>
      </c>
      <c r="AU150" s="89">
        <v>55.850286227741002</v>
      </c>
      <c r="AV150" s="89">
        <v>35.971501615434825</v>
      </c>
      <c r="AW150" s="100">
        <v>14.7</v>
      </c>
      <c r="AX150" s="71">
        <f t="shared" si="97"/>
        <v>50.692619481367736</v>
      </c>
      <c r="AY150" s="86">
        <v>47.083272967300928</v>
      </c>
      <c r="AZ150" s="71">
        <f t="shared" si="98"/>
        <v>47.083272967300928</v>
      </c>
      <c r="BA150" s="86">
        <v>54.58</v>
      </c>
      <c r="BB150" s="71">
        <f t="shared" si="99"/>
        <v>45.42</v>
      </c>
      <c r="BC150" s="86">
        <v>45.3</v>
      </c>
      <c r="BD150" s="86">
        <v>20.82</v>
      </c>
      <c r="BE150" s="86">
        <v>29.94</v>
      </c>
      <c r="BF150" s="71">
        <f t="shared" si="100"/>
        <v>29.363999999999997</v>
      </c>
      <c r="BG150" s="63"/>
      <c r="BH150" s="86">
        <v>13.68</v>
      </c>
      <c r="BI150" s="86">
        <v>4.25</v>
      </c>
      <c r="BJ150" s="95">
        <v>95</v>
      </c>
      <c r="BK150" s="82">
        <v>50</v>
      </c>
      <c r="BL150" s="70">
        <f t="shared" si="101"/>
        <v>56.930027877339704</v>
      </c>
      <c r="BM150" s="96">
        <v>0.36080773330140364</v>
      </c>
      <c r="BN150" s="86">
        <v>51.94</v>
      </c>
      <c r="BO150" s="86">
        <v>36.147901972738438</v>
      </c>
      <c r="BP150" s="70">
        <f t="shared" si="102"/>
        <v>40.062362158254793</v>
      </c>
      <c r="BQ150" s="96">
        <v>0.35469315964725812</v>
      </c>
      <c r="BR150" s="96">
        <v>0.40105339897152803</v>
      </c>
      <c r="BS150" s="86">
        <v>31.961986199999998</v>
      </c>
      <c r="BT150" s="86">
        <v>36.151949500000001</v>
      </c>
      <c r="BU150" s="86">
        <v>53.3772886</v>
      </c>
      <c r="BV150" s="86">
        <v>44.800601899999997</v>
      </c>
      <c r="BW150" s="71">
        <f t="shared" si="103"/>
        <v>38.315126708060667</v>
      </c>
      <c r="BX150" s="86">
        <v>57.1</v>
      </c>
      <c r="BY150" s="158">
        <f t="shared" si="104"/>
        <v>57.1</v>
      </c>
      <c r="BZ150" s="54"/>
      <c r="CA150" s="27"/>
      <c r="CB150" s="27"/>
    </row>
    <row r="151" spans="1:80" ht="15" customHeight="1" x14ac:dyDescent="0.25">
      <c r="A151" s="2">
        <v>145</v>
      </c>
      <c r="B151" s="3" t="s">
        <v>10</v>
      </c>
      <c r="C151" s="25" t="s">
        <v>115</v>
      </c>
      <c r="D151" s="162" t="s">
        <v>203</v>
      </c>
      <c r="E151" s="209">
        <f t="shared" si="85"/>
        <v>45.946798155328267</v>
      </c>
      <c r="F151" s="71">
        <f t="shared" si="86"/>
        <v>40.319824153737166</v>
      </c>
      <c r="G151" s="71">
        <f t="shared" si="87"/>
        <v>42.914174748004804</v>
      </c>
      <c r="H151" s="71">
        <f t="shared" si="88"/>
        <v>53.046861303088548</v>
      </c>
      <c r="I151" s="71">
        <f t="shared" si="89"/>
        <v>47.506332416482557</v>
      </c>
      <c r="J151" s="63"/>
      <c r="K151" s="86">
        <v>6.1561878050490293</v>
      </c>
      <c r="L151" s="207">
        <v>5.24</v>
      </c>
      <c r="M151" s="82">
        <f t="shared" si="105"/>
        <v>91.703703703703695</v>
      </c>
      <c r="N151" s="71">
        <f t="shared" si="90"/>
        <v>95.851851851851848</v>
      </c>
      <c r="O151" s="86">
        <v>38.752079850938848</v>
      </c>
      <c r="P151" s="100">
        <v>21.6</v>
      </c>
      <c r="Q151" s="70">
        <f t="shared" si="91"/>
        <v>78.595599917188238</v>
      </c>
      <c r="R151" s="167">
        <v>7.0000000000000001E-3</v>
      </c>
      <c r="S151" s="86">
        <v>-1.4317952</v>
      </c>
      <c r="T151" s="86">
        <v>0.17</v>
      </c>
      <c r="U151" s="167">
        <v>4.6189999999999998</v>
      </c>
      <c r="V151" s="70">
        <f t="shared" si="92"/>
        <v>17.514325502645505</v>
      </c>
      <c r="W151" s="86">
        <v>6.931</v>
      </c>
      <c r="X151" s="100">
        <v>63.6</v>
      </c>
      <c r="Y151" s="100">
        <v>10.29</v>
      </c>
      <c r="Z151" s="107">
        <v>14</v>
      </c>
      <c r="AA151" s="71">
        <f t="shared" si="93"/>
        <v>40.752544918603967</v>
      </c>
      <c r="AB151" s="63"/>
      <c r="AC151" s="86">
        <v>30.240994095025226</v>
      </c>
      <c r="AD151" s="100">
        <v>28.4</v>
      </c>
      <c r="AE151" s="95">
        <v>25</v>
      </c>
      <c r="AF151" s="85">
        <v>7</v>
      </c>
      <c r="AG151" s="88">
        <v>27</v>
      </c>
      <c r="AH151" s="70">
        <f t="shared" si="94"/>
        <v>48.432457601811684</v>
      </c>
      <c r="AI151" s="86">
        <v>-2.0299999999999998</v>
      </c>
      <c r="AJ151" s="86">
        <v>3.18</v>
      </c>
      <c r="AK151" s="100">
        <v>94.2</v>
      </c>
      <c r="AL151" s="86">
        <v>3.6392766448735356</v>
      </c>
      <c r="AM151" s="86">
        <v>25.364818467716901</v>
      </c>
      <c r="AN151" s="70">
        <f t="shared" si="95"/>
        <v>37.395891894197938</v>
      </c>
      <c r="AO151" s="63"/>
      <c r="AP151" s="89">
        <v>84.879744632366183</v>
      </c>
      <c r="AQ151" s="89">
        <v>51.350523618096602</v>
      </c>
      <c r="AR151" s="89">
        <v>55.44</v>
      </c>
      <c r="AS151" s="158">
        <f t="shared" si="96"/>
        <v>58.035197967139851</v>
      </c>
      <c r="AT151" s="89">
        <v>72.052099999999996</v>
      </c>
      <c r="AU151" s="89">
        <v>64.511377674452419</v>
      </c>
      <c r="AV151" s="89">
        <v>54.449388795041408</v>
      </c>
      <c r="AW151" s="100">
        <v>8.4</v>
      </c>
      <c r="AX151" s="71">
        <f t="shared" si="97"/>
        <v>66.543701830659046</v>
      </c>
      <c r="AY151" s="86">
        <v>38.452264682291663</v>
      </c>
      <c r="AZ151" s="71">
        <f t="shared" si="98"/>
        <v>38.452264682291663</v>
      </c>
      <c r="BA151" s="86">
        <v>36.11</v>
      </c>
      <c r="BB151" s="71">
        <f t="shared" si="99"/>
        <v>63.89</v>
      </c>
      <c r="BC151" s="86">
        <v>16.21</v>
      </c>
      <c r="BD151" s="86">
        <v>13.97</v>
      </c>
      <c r="BE151" s="86">
        <v>38.93</v>
      </c>
      <c r="BF151" s="71">
        <f t="shared" si="100"/>
        <v>24.402000000000001</v>
      </c>
      <c r="BG151" s="63"/>
      <c r="BH151" s="86">
        <v>0.89</v>
      </c>
      <c r="BI151" s="86">
        <v>5.37</v>
      </c>
      <c r="BJ151" s="95">
        <v>125</v>
      </c>
      <c r="BK151" s="82">
        <v>45.454545454545453</v>
      </c>
      <c r="BL151" s="70">
        <f t="shared" si="101"/>
        <v>67.844725028058363</v>
      </c>
      <c r="BM151" s="96">
        <v>0.30524581896158687</v>
      </c>
      <c r="BN151" s="86">
        <v>32.22</v>
      </c>
      <c r="BO151" s="86">
        <v>38.619283250128333</v>
      </c>
      <c r="BP151" s="70">
        <f t="shared" si="102"/>
        <v>32.972111760611426</v>
      </c>
      <c r="BQ151" s="96">
        <v>0.34281875094145486</v>
      </c>
      <c r="BR151" s="96">
        <v>0.40323374079396335</v>
      </c>
      <c r="BS151" s="86">
        <v>23.205569199999999</v>
      </c>
      <c r="BT151" s="86">
        <v>39.655913599999998</v>
      </c>
      <c r="BU151" s="86">
        <v>61.185812599999998</v>
      </c>
      <c r="BV151" s="86">
        <v>42.895354300000001</v>
      </c>
      <c r="BW151" s="71">
        <f t="shared" si="103"/>
        <v>37.650050375098665</v>
      </c>
      <c r="BX151" s="86">
        <v>74.760000000000005</v>
      </c>
      <c r="BY151" s="158">
        <f t="shared" si="104"/>
        <v>74.760000000000005</v>
      </c>
      <c r="BZ151" s="54"/>
    </row>
    <row r="152" spans="1:80" ht="15" customHeight="1" x14ac:dyDescent="0.25">
      <c r="A152" s="2">
        <v>146</v>
      </c>
      <c r="B152" s="3" t="s">
        <v>10</v>
      </c>
      <c r="C152" s="4" t="s">
        <v>11</v>
      </c>
      <c r="D152" s="162" t="s">
        <v>37</v>
      </c>
      <c r="E152" s="209">
        <f t="shared" si="85"/>
        <v>45.627805387679054</v>
      </c>
      <c r="F152" s="71">
        <f t="shared" si="86"/>
        <v>48.900964925888786</v>
      </c>
      <c r="G152" s="71">
        <f t="shared" si="87"/>
        <v>53.255509306506426</v>
      </c>
      <c r="H152" s="71">
        <f t="shared" si="88"/>
        <v>48.007490256601265</v>
      </c>
      <c r="I152" s="71">
        <f t="shared" si="89"/>
        <v>32.347257061719731</v>
      </c>
      <c r="J152" s="63"/>
      <c r="K152" s="85">
        <v>3.9155422684284957</v>
      </c>
      <c r="L152" s="208">
        <v>8.08</v>
      </c>
      <c r="M152" s="82">
        <f t="shared" si="105"/>
        <v>81.18518518518519</v>
      </c>
      <c r="N152" s="71">
        <f t="shared" si="90"/>
        <v>79.012271861639789</v>
      </c>
      <c r="O152" s="85">
        <v>34.813367705548131</v>
      </c>
      <c r="P152" s="87">
        <v>42</v>
      </c>
      <c r="Q152" s="70">
        <f t="shared" si="91"/>
        <v>67.340759836415629</v>
      </c>
      <c r="R152" s="90">
        <v>4.2999999999999997E-2</v>
      </c>
      <c r="S152" s="85">
        <v>-0.44372584999999998</v>
      </c>
      <c r="T152" s="85">
        <v>0.37</v>
      </c>
      <c r="U152" s="90">
        <v>2.5150000000000001</v>
      </c>
      <c r="V152" s="70">
        <f t="shared" si="92"/>
        <v>39.61134353835979</v>
      </c>
      <c r="W152" s="85">
        <v>3.778</v>
      </c>
      <c r="X152" s="87">
        <v>84</v>
      </c>
      <c r="Y152" s="87">
        <v>8.7799999999999994</v>
      </c>
      <c r="Z152" s="214">
        <v>7.1</v>
      </c>
      <c r="AA152" s="71">
        <f t="shared" si="93"/>
        <v>44.371807980330289</v>
      </c>
      <c r="AB152" s="63"/>
      <c r="AC152" s="85">
        <v>28.541100384980943</v>
      </c>
      <c r="AD152" s="87">
        <v>32.1</v>
      </c>
      <c r="AE152" s="88">
        <v>50</v>
      </c>
      <c r="AF152" s="85">
        <v>10</v>
      </c>
      <c r="AG152" s="88">
        <v>33</v>
      </c>
      <c r="AH152" s="70">
        <f t="shared" si="94"/>
        <v>52.313297692551394</v>
      </c>
      <c r="AI152" s="85">
        <v>0.74</v>
      </c>
      <c r="AJ152" s="85">
        <v>3.75</v>
      </c>
      <c r="AK152" s="87">
        <v>79.900000000000006</v>
      </c>
      <c r="AL152" s="86">
        <v>3.0136447492850404</v>
      </c>
      <c r="AM152" s="85">
        <v>96.963430537068007</v>
      </c>
      <c r="AN152" s="70">
        <f t="shared" si="95"/>
        <v>54.197720920461471</v>
      </c>
      <c r="AO152" s="63"/>
      <c r="AP152" s="89">
        <v>66.199378818788716</v>
      </c>
      <c r="AQ152" s="89">
        <v>41.226308980247609</v>
      </c>
      <c r="AR152" s="89">
        <v>68.48</v>
      </c>
      <c r="AS152" s="158">
        <f t="shared" si="96"/>
        <v>45.042999194820979</v>
      </c>
      <c r="AT152" s="89">
        <v>75.194999999999993</v>
      </c>
      <c r="AU152" s="89">
        <v>55.498122548964375</v>
      </c>
      <c r="AV152" s="89">
        <v>50.57856885486401</v>
      </c>
      <c r="AW152" s="100">
        <v>10.4</v>
      </c>
      <c r="AX152" s="71">
        <f t="shared" si="97"/>
        <v>65.954465854930916</v>
      </c>
      <c r="AY152" s="86">
        <v>33.110309634680803</v>
      </c>
      <c r="AZ152" s="71">
        <f t="shared" si="98"/>
        <v>33.110309634680803</v>
      </c>
      <c r="BA152" s="86">
        <v>30.93</v>
      </c>
      <c r="BB152" s="71">
        <f t="shared" si="99"/>
        <v>69.069999999999993</v>
      </c>
      <c r="BC152" s="86">
        <v>30.46</v>
      </c>
      <c r="BD152" s="86">
        <v>11.96</v>
      </c>
      <c r="BE152" s="86">
        <v>21.1</v>
      </c>
      <c r="BF152" s="71">
        <f t="shared" si="100"/>
        <v>19.316000000000003</v>
      </c>
      <c r="BG152" s="63"/>
      <c r="BH152" s="85">
        <v>1.76</v>
      </c>
      <c r="BI152" s="85">
        <v>5.3</v>
      </c>
      <c r="BJ152" s="88">
        <v>21</v>
      </c>
      <c r="BK152" s="81">
        <v>9.0909090909090917</v>
      </c>
      <c r="BL152" s="70">
        <f t="shared" si="101"/>
        <v>18.329626009195906</v>
      </c>
      <c r="BM152" s="90">
        <v>0.29480419593175006</v>
      </c>
      <c r="BN152" s="85">
        <v>33.049999999999997</v>
      </c>
      <c r="BO152" s="85">
        <v>33.422744874306687</v>
      </c>
      <c r="BP152" s="70">
        <f t="shared" si="102"/>
        <v>31.358396015164175</v>
      </c>
      <c r="BQ152" s="90">
        <v>0.37307647824456036</v>
      </c>
      <c r="BR152" s="90">
        <v>0.3401697049614596</v>
      </c>
      <c r="BS152" s="85">
        <v>25.5454805</v>
      </c>
      <c r="BT152" s="86">
        <v>39.305123999999999</v>
      </c>
      <c r="BU152" s="85">
        <v>40.904850599999996</v>
      </c>
      <c r="BV152" s="86">
        <v>39.8788257</v>
      </c>
      <c r="BW152" s="71">
        <f t="shared" si="103"/>
        <v>35.412376442489993</v>
      </c>
      <c r="BX152" s="86">
        <v>59.63</v>
      </c>
      <c r="BY152" s="158">
        <f t="shared" si="104"/>
        <v>59.63</v>
      </c>
      <c r="BZ152" s="54"/>
    </row>
    <row r="153" spans="1:80" ht="15" customHeight="1" x14ac:dyDescent="0.25">
      <c r="A153" s="2">
        <v>147</v>
      </c>
      <c r="B153" s="3" t="s">
        <v>10</v>
      </c>
      <c r="C153" s="19" t="s">
        <v>35</v>
      </c>
      <c r="D153" s="162" t="s">
        <v>107</v>
      </c>
      <c r="E153" s="209">
        <f t="shared" si="85"/>
        <v>45.472077377245085</v>
      </c>
      <c r="F153" s="71">
        <f t="shared" si="86"/>
        <v>46.52679392742786</v>
      </c>
      <c r="G153" s="71">
        <f t="shared" si="87"/>
        <v>40.223909229983718</v>
      </c>
      <c r="H153" s="71">
        <f t="shared" si="88"/>
        <v>64.465105238470628</v>
      </c>
      <c r="I153" s="71">
        <f t="shared" si="89"/>
        <v>30.672501113098129</v>
      </c>
      <c r="J153" s="63"/>
      <c r="K153" s="85">
        <v>1.4617930200421014</v>
      </c>
      <c r="L153" s="208">
        <v>42.019999999999996</v>
      </c>
      <c r="M153" s="82">
        <f t="shared" si="105"/>
        <v>0</v>
      </c>
      <c r="N153" s="71">
        <f t="shared" si="90"/>
        <v>24.787739000233895</v>
      </c>
      <c r="O153" s="85">
        <v>37.93825045816439</v>
      </c>
      <c r="P153" s="87">
        <v>37.299999999999997</v>
      </c>
      <c r="Q153" s="70">
        <f t="shared" si="91"/>
        <v>71.165694698980204</v>
      </c>
      <c r="R153" s="90">
        <v>5.2999999999999999E-2</v>
      </c>
      <c r="S153" s="85">
        <v>-6.5329319999999996E-2</v>
      </c>
      <c r="T153" s="85">
        <v>0.54</v>
      </c>
      <c r="U153" s="90">
        <v>4.1449999999999996</v>
      </c>
      <c r="V153" s="70">
        <f t="shared" si="92"/>
        <v>39.307947656084657</v>
      </c>
      <c r="W153" s="85">
        <v>8.3010000000000002</v>
      </c>
      <c r="X153" s="98">
        <v>65</v>
      </c>
      <c r="Y153" s="87">
        <v>23.55</v>
      </c>
      <c r="Z153" s="214">
        <v>7.1</v>
      </c>
      <c r="AA153" s="71">
        <f t="shared" si="93"/>
        <v>54.876767978060435</v>
      </c>
      <c r="AB153" s="63"/>
      <c r="AC153" s="85">
        <v>28.798101915781366</v>
      </c>
      <c r="AD153" s="87">
        <v>20.2</v>
      </c>
      <c r="AE153" s="88">
        <v>5</v>
      </c>
      <c r="AF153" s="85">
        <v>23</v>
      </c>
      <c r="AG153" s="91">
        <v>21.893586705482392</v>
      </c>
      <c r="AH153" s="70">
        <f t="shared" si="94"/>
        <v>37.816896497332074</v>
      </c>
      <c r="AI153" s="85">
        <v>-1.1299999999999999</v>
      </c>
      <c r="AJ153" s="85">
        <v>3.5</v>
      </c>
      <c r="AK153" s="87">
        <v>81.3</v>
      </c>
      <c r="AL153" s="86">
        <v>2.5619191012024567</v>
      </c>
      <c r="AM153" s="85">
        <v>65.522149751763095</v>
      </c>
      <c r="AN153" s="70">
        <f t="shared" si="95"/>
        <v>42.630921962635369</v>
      </c>
      <c r="AO153" s="63"/>
      <c r="AP153" s="89">
        <v>96.18827657697932</v>
      </c>
      <c r="AQ153" s="89">
        <v>66.234263956909189</v>
      </c>
      <c r="AR153" s="89">
        <v>35.450000000000003</v>
      </c>
      <c r="AS153" s="158">
        <f t="shared" si="96"/>
        <v>73.301701122699427</v>
      </c>
      <c r="AT153" s="89">
        <v>78.050600000000003</v>
      </c>
      <c r="AU153" s="89">
        <v>73.56502828500453</v>
      </c>
      <c r="AV153" s="89">
        <v>48.195389591885871</v>
      </c>
      <c r="AW153" s="100">
        <v>6.8</v>
      </c>
      <c r="AX153" s="71">
        <f t="shared" si="97"/>
        <v>74.662108852010775</v>
      </c>
      <c r="AY153" s="86">
        <v>51.458967438367942</v>
      </c>
      <c r="AZ153" s="71">
        <f t="shared" si="98"/>
        <v>51.458967438367942</v>
      </c>
      <c r="BA153" s="86">
        <v>35.880000000000003</v>
      </c>
      <c r="BB153" s="71">
        <f t="shared" si="99"/>
        <v>64.12</v>
      </c>
      <c r="BC153" s="86">
        <v>24.16</v>
      </c>
      <c r="BD153" s="86">
        <v>41.59</v>
      </c>
      <c r="BE153" s="86">
        <v>44.76</v>
      </c>
      <c r="BF153" s="71">
        <f t="shared" si="100"/>
        <v>39.372</v>
      </c>
      <c r="BG153" s="63"/>
      <c r="BH153" s="85">
        <v>2.38</v>
      </c>
      <c r="BI153" s="85">
        <v>6.88</v>
      </c>
      <c r="BJ153" s="88">
        <v>40</v>
      </c>
      <c r="BK153" s="81">
        <v>6.0606060606060632</v>
      </c>
      <c r="BL153" s="70">
        <f t="shared" si="101"/>
        <v>23.039437384598678</v>
      </c>
      <c r="BM153" s="90">
        <v>0.17340386008880501</v>
      </c>
      <c r="BN153" s="85">
        <v>17.45</v>
      </c>
      <c r="BO153" s="85">
        <v>26.40781163971667</v>
      </c>
      <c r="BP153" s="70">
        <f t="shared" si="102"/>
        <v>19.634645914369418</v>
      </c>
      <c r="BQ153" s="90">
        <v>0.32491676687833598</v>
      </c>
      <c r="BR153" s="90">
        <v>0.42215866926743795</v>
      </c>
      <c r="BS153" s="85">
        <v>24.632965799999997</v>
      </c>
      <c r="BT153" s="86">
        <v>37.610602899999996</v>
      </c>
      <c r="BU153" s="85">
        <v>38.885164899999999</v>
      </c>
      <c r="BV153" s="86">
        <v>31.0266001</v>
      </c>
      <c r="BW153" s="71">
        <f t="shared" si="103"/>
        <v>34.460708550393242</v>
      </c>
      <c r="BX153" s="86">
        <v>69.61</v>
      </c>
      <c r="BY153" s="158">
        <f t="shared" si="104"/>
        <v>69.61</v>
      </c>
      <c r="BZ153" s="54"/>
    </row>
    <row r="154" spans="1:80" ht="15" customHeight="1" x14ac:dyDescent="0.25">
      <c r="A154" s="2">
        <v>148</v>
      </c>
      <c r="B154" s="8" t="s">
        <v>16</v>
      </c>
      <c r="C154" s="11" t="s">
        <v>21</v>
      </c>
      <c r="D154" s="162" t="s">
        <v>117</v>
      </c>
      <c r="E154" s="209">
        <f t="shared" si="85"/>
        <v>45.110495646540564</v>
      </c>
      <c r="F154" s="71">
        <f t="shared" si="86"/>
        <v>42.212502587389416</v>
      </c>
      <c r="G154" s="71">
        <f t="shared" si="87"/>
        <v>55.345100409992028</v>
      </c>
      <c r="H154" s="71">
        <f t="shared" si="88"/>
        <v>41.563191229021506</v>
      </c>
      <c r="I154" s="71">
        <f t="shared" si="89"/>
        <v>41.321188359759347</v>
      </c>
      <c r="J154" s="63"/>
      <c r="K154" s="85">
        <v>2.9419981478628232</v>
      </c>
      <c r="L154" s="208">
        <v>6</v>
      </c>
      <c r="M154" s="82">
        <f t="shared" si="105"/>
        <v>88.888888888888886</v>
      </c>
      <c r="N154" s="71">
        <f t="shared" si="90"/>
        <v>77.455545265904561</v>
      </c>
      <c r="O154" s="85">
        <v>15.566682606598455</v>
      </c>
      <c r="P154" s="87">
        <v>69.3</v>
      </c>
      <c r="Q154" s="70">
        <f t="shared" si="91"/>
        <v>44.514823670332476</v>
      </c>
      <c r="R154" s="90">
        <v>0.01</v>
      </c>
      <c r="S154" s="85">
        <v>-0.26571292000000002</v>
      </c>
      <c r="T154" s="85">
        <v>0.37</v>
      </c>
      <c r="U154" s="90">
        <v>3.4689999999999999</v>
      </c>
      <c r="V154" s="70">
        <f t="shared" si="92"/>
        <v>33.118522312169311</v>
      </c>
      <c r="W154" s="85">
        <v>5.4489999999999998</v>
      </c>
      <c r="X154" s="87">
        <v>86.5</v>
      </c>
      <c r="Y154" s="87">
        <v>7.32</v>
      </c>
      <c r="Z154" s="214">
        <v>5</v>
      </c>
      <c r="AA154" s="71">
        <f t="shared" si="93"/>
        <v>44.921853416657733</v>
      </c>
      <c r="AB154" s="63"/>
      <c r="AC154" s="85">
        <v>17.916938059139845</v>
      </c>
      <c r="AD154" s="87">
        <v>40.200000000000003</v>
      </c>
      <c r="AE154" s="88">
        <v>55</v>
      </c>
      <c r="AF154" s="85">
        <v>8.75</v>
      </c>
      <c r="AG154" s="88">
        <v>25</v>
      </c>
      <c r="AH154" s="70">
        <f t="shared" si="94"/>
        <v>46.40103562917016</v>
      </c>
      <c r="AI154" s="85">
        <v>1.27</v>
      </c>
      <c r="AJ154" s="85">
        <v>3.72</v>
      </c>
      <c r="AK154" s="87">
        <v>76.3</v>
      </c>
      <c r="AL154" s="86">
        <v>5.7559114558507307</v>
      </c>
      <c r="AM154" s="85">
        <v>98.591762027868796</v>
      </c>
      <c r="AN154" s="70">
        <f t="shared" si="95"/>
        <v>64.289165190813904</v>
      </c>
      <c r="AO154" s="63"/>
      <c r="AP154" s="89">
        <v>51.321694319711966</v>
      </c>
      <c r="AQ154" s="89">
        <v>41.377064807120504</v>
      </c>
      <c r="AR154" s="89">
        <v>89.62</v>
      </c>
      <c r="AS154" s="158">
        <f t="shared" si="96"/>
        <v>36.113955983488239</v>
      </c>
      <c r="AT154" s="89">
        <v>64.013800000000003</v>
      </c>
      <c r="AU154" s="89">
        <v>54.076656384987572</v>
      </c>
      <c r="AV154" s="89">
        <v>44.273043728946249</v>
      </c>
      <c r="AW154" s="100">
        <v>36.799999999999997</v>
      </c>
      <c r="AX154" s="71">
        <f t="shared" si="97"/>
        <v>43.6606458392639</v>
      </c>
      <c r="AY154" s="86">
        <v>42.594304757628308</v>
      </c>
      <c r="AZ154" s="71">
        <f t="shared" si="98"/>
        <v>42.594304757628308</v>
      </c>
      <c r="BA154" s="86">
        <v>38.53</v>
      </c>
      <c r="BB154" s="71">
        <f t="shared" si="99"/>
        <v>61.47</v>
      </c>
      <c r="BC154" s="86">
        <v>24.35</v>
      </c>
      <c r="BD154" s="86">
        <v>34.270000000000003</v>
      </c>
      <c r="BE154" s="86">
        <v>41.84</v>
      </c>
      <c r="BF154" s="71">
        <f t="shared" si="100"/>
        <v>35.314000000000007</v>
      </c>
      <c r="BG154" s="63"/>
      <c r="BH154" s="85">
        <v>4.6500000000000004</v>
      </c>
      <c r="BI154" s="85">
        <v>7.18</v>
      </c>
      <c r="BJ154" s="88">
        <v>24</v>
      </c>
      <c r="BK154" s="81">
        <v>30.303030303030308</v>
      </c>
      <c r="BL154" s="70">
        <f t="shared" si="101"/>
        <v>24.7799228847616</v>
      </c>
      <c r="BM154" s="90">
        <v>0.4623613526104986</v>
      </c>
      <c r="BN154" s="85">
        <v>50.51</v>
      </c>
      <c r="BO154" s="85">
        <v>39.977358690627852</v>
      </c>
      <c r="BP154" s="70">
        <f t="shared" si="102"/>
        <v>45.739907303181894</v>
      </c>
      <c r="BQ154" s="90">
        <v>0.46713306480722627</v>
      </c>
      <c r="BR154" s="90">
        <v>0.4470613539781878</v>
      </c>
      <c r="BS154" s="85">
        <v>31.624563899999998</v>
      </c>
      <c r="BT154" s="86">
        <v>45.548291599999999</v>
      </c>
      <c r="BU154" s="85">
        <v>42.737181899999996</v>
      </c>
      <c r="BV154" s="86">
        <v>49.6019443</v>
      </c>
      <c r="BW154" s="71">
        <f t="shared" si="103"/>
        <v>43.10352985032678</v>
      </c>
      <c r="BX154" s="86">
        <v>63.18</v>
      </c>
      <c r="BY154" s="158">
        <f t="shared" si="104"/>
        <v>63.18</v>
      </c>
      <c r="BZ154" s="54"/>
    </row>
    <row r="155" spans="1:80" ht="15" customHeight="1" x14ac:dyDescent="0.25">
      <c r="A155" s="2">
        <v>149</v>
      </c>
      <c r="B155" s="8" t="s">
        <v>16</v>
      </c>
      <c r="C155" s="21" t="s">
        <v>42</v>
      </c>
      <c r="D155" s="162" t="s">
        <v>206</v>
      </c>
      <c r="E155" s="209">
        <f t="shared" si="85"/>
        <v>44.975995512421484</v>
      </c>
      <c r="F155" s="71">
        <f t="shared" si="86"/>
        <v>39.986655308579941</v>
      </c>
      <c r="G155" s="71">
        <f t="shared" si="87"/>
        <v>52.771226751758626</v>
      </c>
      <c r="H155" s="71">
        <f t="shared" si="88"/>
        <v>40.336258219478552</v>
      </c>
      <c r="I155" s="71">
        <f t="shared" si="89"/>
        <v>46.809841769868825</v>
      </c>
      <c r="J155" s="63"/>
      <c r="K155" s="85">
        <v>4.2434109111801899</v>
      </c>
      <c r="L155" s="208">
        <v>4.1399999999999988</v>
      </c>
      <c r="M155" s="82">
        <f t="shared" si="105"/>
        <v>95.777777777777771</v>
      </c>
      <c r="N155" s="71">
        <f t="shared" si="90"/>
        <v>88.130060617667723</v>
      </c>
      <c r="O155" s="85">
        <v>19.526409263505897</v>
      </c>
      <c r="P155" s="87">
        <v>63</v>
      </c>
      <c r="Q155" s="70">
        <f t="shared" si="91"/>
        <v>49.514671813058818</v>
      </c>
      <c r="R155" s="168">
        <v>2.5944449057751715E-3</v>
      </c>
      <c r="S155" s="85">
        <v>-0.63771800000000001</v>
      </c>
      <c r="T155" s="85">
        <v>0.33</v>
      </c>
      <c r="U155" s="90">
        <v>4.3570000000000002</v>
      </c>
      <c r="V155" s="70">
        <f t="shared" si="92"/>
        <v>25.974710469210859</v>
      </c>
      <c r="W155" s="85">
        <v>1.9950000000000001</v>
      </c>
      <c r="X155" s="87">
        <v>92.3</v>
      </c>
      <c r="Y155" s="87">
        <v>4.29</v>
      </c>
      <c r="Z155" s="214">
        <v>3.3</v>
      </c>
      <c r="AA155" s="71">
        <f t="shared" si="93"/>
        <v>43.036372960995649</v>
      </c>
      <c r="AB155" s="63"/>
      <c r="AC155" s="85">
        <v>20.984136619044875</v>
      </c>
      <c r="AD155" s="87">
        <v>43.6</v>
      </c>
      <c r="AE155" s="88">
        <v>60</v>
      </c>
      <c r="AF155" s="85">
        <v>5</v>
      </c>
      <c r="AG155" s="88">
        <v>27</v>
      </c>
      <c r="AH155" s="70">
        <f t="shared" si="94"/>
        <v>51.140706463978631</v>
      </c>
      <c r="AI155" s="85">
        <v>0.38</v>
      </c>
      <c r="AJ155" s="99">
        <v>2.5844528051473499</v>
      </c>
      <c r="AK155" s="87">
        <v>68.900000000000006</v>
      </c>
      <c r="AL155" s="86">
        <v>5.377084165688383</v>
      </c>
      <c r="AM155" s="85">
        <v>90.057478794780295</v>
      </c>
      <c r="AN155" s="70">
        <f t="shared" si="95"/>
        <v>54.401747039538613</v>
      </c>
      <c r="AO155" s="63"/>
      <c r="AP155" s="89">
        <v>41.547620266585582</v>
      </c>
      <c r="AQ155" s="89">
        <v>38.295098915440008</v>
      </c>
      <c r="AR155" s="89">
        <v>85.04</v>
      </c>
      <c r="AS155" s="158">
        <f t="shared" si="96"/>
        <v>33.274454524366398</v>
      </c>
      <c r="AT155" s="89">
        <v>63.1374</v>
      </c>
      <c r="AU155" s="89">
        <v>42.835353535353534</v>
      </c>
      <c r="AV155" s="89">
        <v>41.505181948025658</v>
      </c>
      <c r="AW155" s="100">
        <v>9.1</v>
      </c>
      <c r="AX155" s="71">
        <f t="shared" si="97"/>
        <v>48.774116513179003</v>
      </c>
      <c r="AY155" s="86">
        <v>35.257215235097227</v>
      </c>
      <c r="AZ155" s="71">
        <f t="shared" si="98"/>
        <v>35.257215235097227</v>
      </c>
      <c r="BA155" s="86">
        <v>37.86</v>
      </c>
      <c r="BB155" s="71">
        <f t="shared" si="99"/>
        <v>62.14</v>
      </c>
      <c r="BC155" s="86">
        <v>17.93</v>
      </c>
      <c r="BD155" s="86">
        <v>20.79</v>
      </c>
      <c r="BE155" s="86">
        <v>45.88</v>
      </c>
      <c r="BF155" s="71">
        <f t="shared" si="100"/>
        <v>30.254000000000001</v>
      </c>
      <c r="BG155" s="63"/>
      <c r="BH155" s="99">
        <v>4.0149999999999997</v>
      </c>
      <c r="BI155" s="85">
        <v>5.22</v>
      </c>
      <c r="BJ155" s="88">
        <v>81</v>
      </c>
      <c r="BK155" s="81">
        <v>54.545454545454547</v>
      </c>
      <c r="BL155" s="70">
        <f t="shared" si="101"/>
        <v>54.618307628253859</v>
      </c>
      <c r="BM155" s="90">
        <v>0.41083368755024607</v>
      </c>
      <c r="BN155" s="85">
        <v>52.56</v>
      </c>
      <c r="BO155" s="85">
        <v>40.573081727442165</v>
      </c>
      <c r="BP155" s="70">
        <f t="shared" si="102"/>
        <v>43.824954809372848</v>
      </c>
      <c r="BQ155" s="90">
        <v>0.3406615327474764</v>
      </c>
      <c r="BR155" s="90">
        <v>0.39785895431027857</v>
      </c>
      <c r="BS155" s="85">
        <v>34.427075199999997</v>
      </c>
      <c r="BT155" s="86">
        <v>35.7568956</v>
      </c>
      <c r="BU155" s="85">
        <v>52.067749899999995</v>
      </c>
      <c r="BV155" s="86">
        <v>48.426262199999996</v>
      </c>
      <c r="BW155" s="71">
        <f t="shared" si="103"/>
        <v>38.847938342838589</v>
      </c>
      <c r="BX155" s="86">
        <v>64.11</v>
      </c>
      <c r="BY155" s="158">
        <f t="shared" si="104"/>
        <v>64.11</v>
      </c>
      <c r="BZ155" s="54"/>
    </row>
    <row r="156" spans="1:80" ht="15" customHeight="1" x14ac:dyDescent="0.25">
      <c r="A156" s="2">
        <v>150</v>
      </c>
      <c r="B156" s="14" t="s">
        <v>23</v>
      </c>
      <c r="C156" s="16" t="s">
        <v>26</v>
      </c>
      <c r="D156" s="162" t="s">
        <v>70</v>
      </c>
      <c r="E156" s="209">
        <f t="shared" si="85"/>
        <v>44.838841458887003</v>
      </c>
      <c r="F156" s="71">
        <f t="shared" si="86"/>
        <v>35.660257553184422</v>
      </c>
      <c r="G156" s="71">
        <f t="shared" si="87"/>
        <v>36.340403789580662</v>
      </c>
      <c r="H156" s="71">
        <f t="shared" si="88"/>
        <v>61.729507415184862</v>
      </c>
      <c r="I156" s="71">
        <f t="shared" si="89"/>
        <v>45.625197077598038</v>
      </c>
      <c r="J156" s="63"/>
      <c r="K156" s="92">
        <v>0</v>
      </c>
      <c r="L156" s="207" t="s">
        <v>812</v>
      </c>
      <c r="M156" s="159">
        <v>0</v>
      </c>
      <c r="N156" s="71">
        <f t="shared" si="90"/>
        <v>16.666666666666664</v>
      </c>
      <c r="O156" s="92">
        <v>21.266096729436789</v>
      </c>
      <c r="P156" s="191">
        <v>119</v>
      </c>
      <c r="Q156" s="70">
        <f t="shared" si="91"/>
        <v>25.592275960798219</v>
      </c>
      <c r="R156" s="167">
        <v>1.2999999999999999E-2</v>
      </c>
      <c r="S156" s="86">
        <v>-1.0945541000000001</v>
      </c>
      <c r="T156" s="92">
        <v>0.42</v>
      </c>
      <c r="U156" s="167">
        <v>4.1050000000000004</v>
      </c>
      <c r="V156" s="70">
        <f t="shared" si="92"/>
        <v>29.67650316137566</v>
      </c>
      <c r="W156" s="86">
        <v>1.746</v>
      </c>
      <c r="X156" s="93">
        <v>55.3</v>
      </c>
      <c r="Y156" s="100">
        <v>22.58</v>
      </c>
      <c r="Z156" s="107">
        <v>5.4</v>
      </c>
      <c r="AA156" s="71">
        <f t="shared" si="93"/>
        <v>61.265991646840781</v>
      </c>
      <c r="AB156" s="63"/>
      <c r="AC156" s="86">
        <v>12.756352225145612</v>
      </c>
      <c r="AD156" s="100">
        <v>27.7</v>
      </c>
      <c r="AE156" s="95">
        <v>10</v>
      </c>
      <c r="AF156" s="85">
        <v>2.25</v>
      </c>
      <c r="AG156" s="88">
        <v>5</v>
      </c>
      <c r="AH156" s="70">
        <f t="shared" si="94"/>
        <v>31.710645073173996</v>
      </c>
      <c r="AI156" s="86">
        <v>-1.52</v>
      </c>
      <c r="AJ156" s="92">
        <v>3.27606125569101</v>
      </c>
      <c r="AK156" s="100">
        <v>51.9</v>
      </c>
      <c r="AL156" s="92">
        <v>2.9541980713813993</v>
      </c>
      <c r="AM156" s="86">
        <v>72.885482216020705</v>
      </c>
      <c r="AN156" s="70">
        <f t="shared" si="95"/>
        <v>40.970162505987325</v>
      </c>
      <c r="AO156" s="63"/>
      <c r="AP156" s="89">
        <v>91.105856136267377</v>
      </c>
      <c r="AQ156" s="89">
        <v>63.971838420314434</v>
      </c>
      <c r="AR156" s="97">
        <v>69.5</v>
      </c>
      <c r="AS156" s="158">
        <f t="shared" si="96"/>
        <v>62.387383244224061</v>
      </c>
      <c r="AT156" s="89">
        <v>78.447400000000002</v>
      </c>
      <c r="AU156" s="89">
        <v>84.672231611594242</v>
      </c>
      <c r="AV156" s="89">
        <v>46.762125099636698</v>
      </c>
      <c r="AW156" s="154">
        <v>12.8</v>
      </c>
      <c r="AX156" s="71">
        <f t="shared" si="97"/>
        <v>75.76509024119126</v>
      </c>
      <c r="AY156" s="86">
        <v>46.982320078847621</v>
      </c>
      <c r="AZ156" s="71">
        <f t="shared" si="98"/>
        <v>46.982320078847621</v>
      </c>
      <c r="BA156" s="92">
        <v>42.63</v>
      </c>
      <c r="BB156" s="71">
        <f t="shared" si="99"/>
        <v>57.37</v>
      </c>
      <c r="BC156" s="101">
        <v>56.4</v>
      </c>
      <c r="BD156" s="101">
        <v>52.5</v>
      </c>
      <c r="BE156" s="92">
        <v>44.32</v>
      </c>
      <c r="BF156" s="71">
        <f t="shared" si="100"/>
        <v>50.008000000000003</v>
      </c>
      <c r="BG156" s="63"/>
      <c r="BH156" s="86">
        <v>4.46</v>
      </c>
      <c r="BI156" s="86">
        <v>3.35</v>
      </c>
      <c r="BJ156" s="95">
        <v>83</v>
      </c>
      <c r="BK156" s="82">
        <v>45.454545454545453</v>
      </c>
      <c r="BL156" s="70">
        <f t="shared" si="101"/>
        <v>53.376764056333947</v>
      </c>
      <c r="BM156" s="96">
        <v>0.22750141653073699</v>
      </c>
      <c r="BN156" s="86">
        <v>29.22</v>
      </c>
      <c r="BO156" s="86">
        <v>65.862174372927271</v>
      </c>
      <c r="BP156" s="70">
        <f t="shared" si="102"/>
        <v>35.145614419768663</v>
      </c>
      <c r="BQ156" s="96">
        <v>0.31731144341034812</v>
      </c>
      <c r="BR156" s="96">
        <v>0.43483274223842794</v>
      </c>
      <c r="BS156" s="86">
        <v>43.274633799999997</v>
      </c>
      <c r="BT156" s="86">
        <v>46.099959299999995</v>
      </c>
      <c r="BU156" s="86">
        <v>71.284092599999994</v>
      </c>
      <c r="BV156" s="86">
        <v>32.196923099999999</v>
      </c>
      <c r="BW156" s="71">
        <f t="shared" si="103"/>
        <v>42.920919250239862</v>
      </c>
      <c r="BX156" s="92">
        <v>67.150000000000006</v>
      </c>
      <c r="BY156" s="158">
        <f t="shared" si="104"/>
        <v>67.150000000000006</v>
      </c>
      <c r="BZ156" s="54"/>
    </row>
    <row r="157" spans="1:80" ht="15" customHeight="1" x14ac:dyDescent="0.25">
      <c r="A157" s="2">
        <v>151</v>
      </c>
      <c r="B157" s="8" t="s">
        <v>16</v>
      </c>
      <c r="C157" s="11" t="s">
        <v>21</v>
      </c>
      <c r="D157" s="162" t="s">
        <v>74</v>
      </c>
      <c r="E157" s="209">
        <f t="shared" si="85"/>
        <v>44.639940273331597</v>
      </c>
      <c r="F157" s="71">
        <f t="shared" si="86"/>
        <v>43.975697022462434</v>
      </c>
      <c r="G157" s="71">
        <f t="shared" si="87"/>
        <v>47.00185956789592</v>
      </c>
      <c r="H157" s="71">
        <f t="shared" si="88"/>
        <v>37.746455752316614</v>
      </c>
      <c r="I157" s="71">
        <f t="shared" si="89"/>
        <v>49.835748750651419</v>
      </c>
      <c r="J157" s="63"/>
      <c r="K157" s="86">
        <v>4.920198587601643</v>
      </c>
      <c r="L157" s="207">
        <v>1.92</v>
      </c>
      <c r="M157" s="82">
        <f t="shared" ref="M157:M193" si="106">IF(L157&lt;-5, 0, IF(AND(L157&gt;=1, L157&lt;=3), 100, IF(L157&gt;30, 0, IF(L157&lt;1, 100 * ((L157 + 5) / 6), 100 * ((30 - L157) / (30 - 3))))))</f>
        <v>100</v>
      </c>
      <c r="N157" s="71">
        <f t="shared" si="90"/>
        <v>94.001103264453576</v>
      </c>
      <c r="O157" s="86">
        <v>14.861255665645675</v>
      </c>
      <c r="P157" s="100">
        <v>32.1</v>
      </c>
      <c r="Q157" s="70">
        <f t="shared" si="91"/>
        <v>60.656253147580934</v>
      </c>
      <c r="R157" s="96">
        <v>1.2992021978637405E-2</v>
      </c>
      <c r="S157" s="86">
        <v>-0.74610050000000006</v>
      </c>
      <c r="T157" s="86">
        <v>0.31</v>
      </c>
      <c r="U157" s="167">
        <v>4.9390000000000001</v>
      </c>
      <c r="V157" s="70">
        <f t="shared" si="92"/>
        <v>23.005743625401717</v>
      </c>
      <c r="W157" s="86">
        <v>26.015000000000001</v>
      </c>
      <c r="X157" s="100">
        <v>47.6</v>
      </c>
      <c r="Y157" s="100">
        <v>26.9</v>
      </c>
      <c r="Z157" s="107">
        <v>7.1</v>
      </c>
      <c r="AA157" s="71">
        <f t="shared" si="93"/>
        <v>55.897107644716328</v>
      </c>
      <c r="AB157" s="63"/>
      <c r="AC157" s="86">
        <v>25.462945211414223</v>
      </c>
      <c r="AD157" s="100">
        <v>30.4</v>
      </c>
      <c r="AE157" s="95">
        <v>50</v>
      </c>
      <c r="AF157" s="102">
        <v>11.2</v>
      </c>
      <c r="AG157" s="91">
        <v>24.075318556540889</v>
      </c>
      <c r="AH157" s="70">
        <f t="shared" si="94"/>
        <v>48.182721695238094</v>
      </c>
      <c r="AI157" s="86">
        <v>-0.53</v>
      </c>
      <c r="AJ157" s="92">
        <v>3.6694515181523002</v>
      </c>
      <c r="AK157" s="100">
        <v>83.5</v>
      </c>
      <c r="AL157" s="86">
        <v>4.5790337165929218</v>
      </c>
      <c r="AM157" s="86">
        <v>31.484022357656499</v>
      </c>
      <c r="AN157" s="70">
        <f t="shared" si="95"/>
        <v>45.820997440553732</v>
      </c>
      <c r="AO157" s="63"/>
      <c r="AP157" s="89">
        <v>66.481915339599567</v>
      </c>
      <c r="AQ157" s="89">
        <v>34.74749117561317</v>
      </c>
      <c r="AR157" s="89">
        <v>72.58</v>
      </c>
      <c r="AS157" s="158">
        <f t="shared" si="96"/>
        <v>40.849224422706484</v>
      </c>
      <c r="AT157" s="89">
        <v>66.409800000000004</v>
      </c>
      <c r="AU157" s="89">
        <v>39.387528919005867</v>
      </c>
      <c r="AV157" s="89">
        <v>47.247369760785062</v>
      </c>
      <c r="AW157" s="100">
        <v>12.9</v>
      </c>
      <c r="AX157" s="71">
        <f t="shared" si="97"/>
        <v>50.961713644373781</v>
      </c>
      <c r="AY157" s="86">
        <v>17.822599484436665</v>
      </c>
      <c r="AZ157" s="71">
        <f t="shared" si="98"/>
        <v>17.822599484436665</v>
      </c>
      <c r="BA157" s="86">
        <v>41.59</v>
      </c>
      <c r="BB157" s="71">
        <f t="shared" si="99"/>
        <v>58.41</v>
      </c>
      <c r="BC157" s="86">
        <v>32.049999999999997</v>
      </c>
      <c r="BD157" s="86">
        <v>19.59</v>
      </c>
      <c r="BE157" s="86">
        <v>22.42</v>
      </c>
      <c r="BF157" s="71">
        <f t="shared" si="100"/>
        <v>23.213999999999999</v>
      </c>
      <c r="BG157" s="63"/>
      <c r="BH157" s="99">
        <v>5.2</v>
      </c>
      <c r="BI157" s="86">
        <v>4.8499999999999996</v>
      </c>
      <c r="BJ157" s="95">
        <v>156</v>
      </c>
      <c r="BK157" s="82">
        <v>68.181818181818187</v>
      </c>
      <c r="BL157" s="70">
        <f t="shared" si="101"/>
        <v>86.054433221099899</v>
      </c>
      <c r="BM157" s="96">
        <v>0.36743606492074621</v>
      </c>
      <c r="BN157" s="86">
        <v>25.04</v>
      </c>
      <c r="BO157" s="86">
        <v>39.5559319073962</v>
      </c>
      <c r="BP157" s="70">
        <f t="shared" si="102"/>
        <v>34.520786222886358</v>
      </c>
      <c r="BQ157" s="96">
        <v>0.3599116101030968</v>
      </c>
      <c r="BR157" s="96">
        <v>0.37889531914705926</v>
      </c>
      <c r="BS157" s="86">
        <v>29.823470099999998</v>
      </c>
      <c r="BT157" s="86">
        <v>41.753715299999996</v>
      </c>
      <c r="BU157" s="86">
        <v>56.390886099999996</v>
      </c>
      <c r="BV157" s="86">
        <v>41.412988999999996</v>
      </c>
      <c r="BW157" s="71">
        <f t="shared" si="103"/>
        <v>38.756870224315804</v>
      </c>
      <c r="BX157" s="86">
        <v>44.01</v>
      </c>
      <c r="BY157" s="158">
        <f t="shared" si="104"/>
        <v>44.01</v>
      </c>
      <c r="BZ157" s="54"/>
      <c r="CA157" s="155"/>
    </row>
    <row r="158" spans="1:80" ht="15" customHeight="1" x14ac:dyDescent="0.25">
      <c r="A158" s="2">
        <v>152</v>
      </c>
      <c r="B158" s="3" t="s">
        <v>10</v>
      </c>
      <c r="C158" s="22" t="s">
        <v>49</v>
      </c>
      <c r="D158" s="162" t="s">
        <v>125</v>
      </c>
      <c r="E158" s="209">
        <f t="shared" si="85"/>
        <v>44.532973247482957</v>
      </c>
      <c r="F158" s="71">
        <f t="shared" si="86"/>
        <v>35.181088920236583</v>
      </c>
      <c r="G158" s="71">
        <f t="shared" si="87"/>
        <v>47.261469303170976</v>
      </c>
      <c r="H158" s="71">
        <f t="shared" si="88"/>
        <v>44.301143279058927</v>
      </c>
      <c r="I158" s="71">
        <f t="shared" si="89"/>
        <v>51.388191487465356</v>
      </c>
      <c r="J158" s="63"/>
      <c r="K158" s="86">
        <v>2.3658702964039824</v>
      </c>
      <c r="L158" s="207">
        <v>17.759999999999998</v>
      </c>
      <c r="M158" s="82">
        <f t="shared" si="106"/>
        <v>45.333333333333343</v>
      </c>
      <c r="N158" s="71">
        <f t="shared" si="90"/>
        <v>52.477057202244353</v>
      </c>
      <c r="O158" s="86">
        <v>17.638795525537599</v>
      </c>
      <c r="P158" s="100">
        <v>80.599999999999994</v>
      </c>
      <c r="Q158" s="70">
        <f t="shared" si="91"/>
        <v>40.643775291965341</v>
      </c>
      <c r="R158" s="167">
        <v>1.0999999999999999E-2</v>
      </c>
      <c r="S158" s="86">
        <v>-0.77424793999999997</v>
      </c>
      <c r="T158" s="86">
        <v>0.33</v>
      </c>
      <c r="U158" s="167">
        <v>4.6630000000000003</v>
      </c>
      <c r="V158" s="70">
        <f t="shared" si="92"/>
        <v>24.760951489417987</v>
      </c>
      <c r="W158" s="86">
        <v>1.1870000000000001</v>
      </c>
      <c r="X158" s="100">
        <v>90.5</v>
      </c>
      <c r="Y158" s="100">
        <v>8.73</v>
      </c>
      <c r="Z158" s="107">
        <v>5.2</v>
      </c>
      <c r="AA158" s="71">
        <f t="shared" si="93"/>
        <v>45.825364646033414</v>
      </c>
      <c r="AB158" s="63"/>
      <c r="AC158" s="86">
        <v>29.007654096179579</v>
      </c>
      <c r="AD158" s="100">
        <v>41.1</v>
      </c>
      <c r="AE158" s="95">
        <v>35</v>
      </c>
      <c r="AF158" s="85">
        <v>8</v>
      </c>
      <c r="AG158" s="88">
        <v>16</v>
      </c>
      <c r="AH158" s="70">
        <f t="shared" si="94"/>
        <v>49.303820679504334</v>
      </c>
      <c r="AI158" s="86">
        <v>-1.1299999999999999</v>
      </c>
      <c r="AJ158" s="86">
        <v>4.55</v>
      </c>
      <c r="AK158" s="100">
        <v>88.5</v>
      </c>
      <c r="AL158" s="86">
        <v>3.4351478678871423</v>
      </c>
      <c r="AM158" s="86">
        <v>33.736750203282902</v>
      </c>
      <c r="AN158" s="70">
        <f t="shared" si="95"/>
        <v>45.219117926837619</v>
      </c>
      <c r="AO158" s="63"/>
      <c r="AP158" s="89">
        <v>71.180487894658683</v>
      </c>
      <c r="AQ158" s="89">
        <v>37.111017604125372</v>
      </c>
      <c r="AR158" s="89">
        <v>70.290000000000006</v>
      </c>
      <c r="AS158" s="158">
        <f t="shared" si="96"/>
        <v>43.778130775727348</v>
      </c>
      <c r="AT158" s="89">
        <v>69.472800000000007</v>
      </c>
      <c r="AU158" s="89">
        <v>49.177485664954943</v>
      </c>
      <c r="AV158" s="89">
        <v>53.973984963414658</v>
      </c>
      <c r="AW158" s="93">
        <v>5.3</v>
      </c>
      <c r="AX158" s="71">
        <f t="shared" si="97"/>
        <v>60.669095088119391</v>
      </c>
      <c r="AY158" s="86">
        <v>27.704509217141208</v>
      </c>
      <c r="AZ158" s="71">
        <f t="shared" si="98"/>
        <v>27.704509217141208</v>
      </c>
      <c r="BA158" s="86">
        <v>34.75</v>
      </c>
      <c r="BB158" s="71">
        <f t="shared" si="99"/>
        <v>65.25</v>
      </c>
      <c r="BC158" s="86">
        <v>8.2100000000000009</v>
      </c>
      <c r="BD158" s="86">
        <v>9.2799999999999994</v>
      </c>
      <c r="BE158" s="86">
        <v>34.96</v>
      </c>
      <c r="BF158" s="71">
        <f t="shared" si="100"/>
        <v>19.338000000000001</v>
      </c>
      <c r="BG158" s="63"/>
      <c r="BH158" s="92">
        <v>3.9</v>
      </c>
      <c r="BI158" s="86">
        <v>6.37</v>
      </c>
      <c r="BJ158" s="95">
        <v>138</v>
      </c>
      <c r="BK158" s="82">
        <v>81.818181818181813</v>
      </c>
      <c r="BL158" s="70">
        <f t="shared" si="101"/>
        <v>83.450743999131092</v>
      </c>
      <c r="BM158" s="96">
        <v>0.31069170813030489</v>
      </c>
      <c r="BN158" s="86">
        <v>32.54</v>
      </c>
      <c r="BO158" s="86">
        <v>34.811039036360292</v>
      </c>
      <c r="BP158" s="70">
        <f t="shared" si="102"/>
        <v>32.372345165605317</v>
      </c>
      <c r="BQ158" s="96">
        <v>0.35241286440516451</v>
      </c>
      <c r="BR158" s="96">
        <v>0.40586930215860273</v>
      </c>
      <c r="BS158" s="86">
        <v>28.020226699999998</v>
      </c>
      <c r="BT158" s="86">
        <v>40.025976</v>
      </c>
      <c r="BU158" s="86">
        <v>75.420116800000002</v>
      </c>
      <c r="BV158" s="86">
        <v>44.831723599999997</v>
      </c>
      <c r="BW158" s="71">
        <f t="shared" si="103"/>
        <v>40.099434108574243</v>
      </c>
      <c r="BX158" s="86">
        <v>67.790000000000006</v>
      </c>
      <c r="BY158" s="158">
        <f t="shared" si="104"/>
        <v>67.790000000000006</v>
      </c>
      <c r="BZ158" s="54"/>
    </row>
    <row r="159" spans="1:80" ht="15" customHeight="1" x14ac:dyDescent="0.25">
      <c r="A159" s="2">
        <v>153</v>
      </c>
      <c r="B159" s="3" t="s">
        <v>10</v>
      </c>
      <c r="C159" s="25" t="s">
        <v>115</v>
      </c>
      <c r="D159" s="162" t="s">
        <v>211</v>
      </c>
      <c r="E159" s="209">
        <f t="shared" si="85"/>
        <v>44.241454699595778</v>
      </c>
      <c r="F159" s="71">
        <f t="shared" si="86"/>
        <v>49.416964001763134</v>
      </c>
      <c r="G159" s="71">
        <f t="shared" si="87"/>
        <v>26.886733802578679</v>
      </c>
      <c r="H159" s="71">
        <f t="shared" si="88"/>
        <v>59.086949172575331</v>
      </c>
      <c r="I159" s="71">
        <f t="shared" si="89"/>
        <v>41.575171821465958</v>
      </c>
      <c r="J159" s="63"/>
      <c r="K159" s="86">
        <v>4.397108277533035</v>
      </c>
      <c r="L159" s="207">
        <v>7.2799999999999994</v>
      </c>
      <c r="M159" s="82">
        <f t="shared" si="106"/>
        <v>84.148148148148138</v>
      </c>
      <c r="N159" s="71">
        <f t="shared" si="90"/>
        <v>83.169120060368698</v>
      </c>
      <c r="O159" s="92">
        <v>20.091971376636842</v>
      </c>
      <c r="P159" s="100">
        <v>3.8</v>
      </c>
      <c r="Q159" s="70">
        <f t="shared" si="91"/>
        <v>76.139984098131563</v>
      </c>
      <c r="R159" s="96">
        <v>2.2952034377640013E-2</v>
      </c>
      <c r="S159" s="86">
        <v>-1.1777747000000001</v>
      </c>
      <c r="T159" s="92">
        <v>0.495</v>
      </c>
      <c r="U159" s="167">
        <v>4.3129999999999997</v>
      </c>
      <c r="V159" s="70">
        <f t="shared" si="92"/>
        <v>31.692046369243172</v>
      </c>
      <c r="W159" s="86">
        <v>4.2670000000000003</v>
      </c>
      <c r="X159" s="93">
        <v>47.3</v>
      </c>
      <c r="Y159" s="100">
        <v>27.94</v>
      </c>
      <c r="Z159" s="107">
        <v>11.9</v>
      </c>
      <c r="AA159" s="71">
        <f t="shared" si="93"/>
        <v>55.332124785539783</v>
      </c>
      <c r="AB159" s="63"/>
      <c r="AC159" s="86">
        <v>16.537876721203514</v>
      </c>
      <c r="AD159" s="100">
        <v>17.399999999999999</v>
      </c>
      <c r="AE159" s="95">
        <v>10</v>
      </c>
      <c r="AF159" s="166">
        <v>65</v>
      </c>
      <c r="AG159" s="88">
        <v>35</v>
      </c>
      <c r="AH159" s="70">
        <f t="shared" si="94"/>
        <v>21.425251147469009</v>
      </c>
      <c r="AI159" s="86">
        <v>-1.9</v>
      </c>
      <c r="AJ159" s="92">
        <v>3.4766446902127517</v>
      </c>
      <c r="AK159" s="100">
        <v>94.2</v>
      </c>
      <c r="AL159" s="92">
        <v>1.6483959936018662</v>
      </c>
      <c r="AM159" s="86">
        <v>25.855261618774001</v>
      </c>
      <c r="AN159" s="70">
        <f t="shared" si="95"/>
        <v>32.348216457688352</v>
      </c>
      <c r="AO159" s="63"/>
      <c r="AP159" s="89">
        <v>88.329723475528482</v>
      </c>
      <c r="AQ159" s="89">
        <v>64.108753990802114</v>
      </c>
      <c r="AR159" s="89">
        <v>34.04</v>
      </c>
      <c r="AS159" s="158">
        <f t="shared" si="96"/>
        <v>70.62680786428318</v>
      </c>
      <c r="AT159" s="89">
        <v>70.334100000000007</v>
      </c>
      <c r="AU159" s="89">
        <v>67.322405877476825</v>
      </c>
      <c r="AV159" s="89">
        <v>52.552079543086357</v>
      </c>
      <c r="AW159" s="100">
        <v>4.3</v>
      </c>
      <c r="AX159" s="71">
        <f t="shared" si="97"/>
        <v>66.60035892247042</v>
      </c>
      <c r="AY159" s="86">
        <v>44.568086334559574</v>
      </c>
      <c r="AZ159" s="71">
        <f t="shared" si="98"/>
        <v>44.568086334559574</v>
      </c>
      <c r="BA159" s="86">
        <v>40.81</v>
      </c>
      <c r="BB159" s="71">
        <f t="shared" si="99"/>
        <v>59.19</v>
      </c>
      <c r="BC159" s="86">
        <v>15.39</v>
      </c>
      <c r="BD159" s="86">
        <v>50.42</v>
      </c>
      <c r="BE159" s="86">
        <v>42.35</v>
      </c>
      <c r="BF159" s="71">
        <f t="shared" si="100"/>
        <v>40.186</v>
      </c>
      <c r="BG159" s="63"/>
      <c r="BH159" s="86">
        <v>1.01</v>
      </c>
      <c r="BI159" s="86">
        <v>4.3499999999999996</v>
      </c>
      <c r="BJ159" s="95">
        <v>148</v>
      </c>
      <c r="BK159" s="82">
        <v>54.545454545454547</v>
      </c>
      <c r="BL159" s="70">
        <f t="shared" si="101"/>
        <v>79.726163064335111</v>
      </c>
      <c r="BM159" s="96">
        <v>0.26055556217891668</v>
      </c>
      <c r="BN159" s="86">
        <v>23.06</v>
      </c>
      <c r="BO159" s="86">
        <v>29.22697655353711</v>
      </c>
      <c r="BP159" s="70">
        <f t="shared" si="102"/>
        <v>26.099522247330111</v>
      </c>
      <c r="BQ159" s="96">
        <v>0.28906579159656887</v>
      </c>
      <c r="BR159" s="96">
        <v>0.39820358472368877</v>
      </c>
      <c r="BS159" s="86">
        <v>21.597043299999999</v>
      </c>
      <c r="BT159" s="86">
        <v>30.746570299999998</v>
      </c>
      <c r="BU159" s="86">
        <v>70.089449899999991</v>
      </c>
      <c r="BV159" s="86">
        <v>28.2317608</v>
      </c>
      <c r="BW159" s="71">
        <f t="shared" si="103"/>
        <v>32.773641089094689</v>
      </c>
      <c r="BX159" s="86">
        <v>23.43</v>
      </c>
      <c r="BY159" s="158">
        <f t="shared" si="104"/>
        <v>23.43</v>
      </c>
      <c r="BZ159" s="54"/>
    </row>
    <row r="160" spans="1:80" ht="15" customHeight="1" x14ac:dyDescent="0.25">
      <c r="A160" s="2">
        <v>154</v>
      </c>
      <c r="B160" s="17" t="s">
        <v>29</v>
      </c>
      <c r="C160" s="24" t="s">
        <v>85</v>
      </c>
      <c r="D160" s="162" t="s">
        <v>188</v>
      </c>
      <c r="E160" s="209">
        <f t="shared" si="85"/>
        <v>44.047734214684333</v>
      </c>
      <c r="F160" s="71">
        <f t="shared" si="86"/>
        <v>30.889216330565564</v>
      </c>
      <c r="G160" s="71">
        <f t="shared" si="87"/>
        <v>43.18842044388731</v>
      </c>
      <c r="H160" s="71">
        <f t="shared" si="88"/>
        <v>39.698201898095384</v>
      </c>
      <c r="I160" s="71">
        <f t="shared" si="89"/>
        <v>62.415098186189077</v>
      </c>
      <c r="J160" s="63"/>
      <c r="K160" s="86">
        <v>-0.70171310502646911</v>
      </c>
      <c r="L160" s="207">
        <v>3.6599999999999993</v>
      </c>
      <c r="M160" s="82">
        <f t="shared" si="106"/>
        <v>97.555555555555557</v>
      </c>
      <c r="N160" s="71">
        <f t="shared" si="90"/>
        <v>61.546038305408501</v>
      </c>
      <c r="O160" s="86">
        <v>1.0808247704648526</v>
      </c>
      <c r="P160" s="100">
        <v>28.7</v>
      </c>
      <c r="Q160" s="70">
        <f t="shared" si="91"/>
        <v>54.511569316924913</v>
      </c>
      <c r="R160" s="96">
        <v>8.2046198921736002E-4</v>
      </c>
      <c r="S160" s="92">
        <v>-2.3167449896328272</v>
      </c>
      <c r="T160" s="86">
        <v>0.22</v>
      </c>
      <c r="U160" s="167">
        <v>5.0279999999999996</v>
      </c>
      <c r="V160" s="70">
        <f t="shared" si="92"/>
        <v>14.317435705247668</v>
      </c>
      <c r="W160" s="86">
        <v>1.431</v>
      </c>
      <c r="X160" s="93">
        <v>66.150000000000006</v>
      </c>
      <c r="Y160" s="100">
        <v>2.65</v>
      </c>
      <c r="Z160" s="215">
        <v>10.3</v>
      </c>
      <c r="AA160" s="71">
        <f t="shared" si="93"/>
        <v>37.596636999448577</v>
      </c>
      <c r="AB160" s="63"/>
      <c r="AC160" s="86">
        <v>19.460642269121927</v>
      </c>
      <c r="AD160" s="100">
        <v>55.8</v>
      </c>
      <c r="AE160" s="95">
        <v>15</v>
      </c>
      <c r="AF160" s="133">
        <v>1.5</v>
      </c>
      <c r="AG160" s="88">
        <v>25</v>
      </c>
      <c r="AH160" s="70">
        <f t="shared" si="94"/>
        <v>45.222479461465895</v>
      </c>
      <c r="AI160" s="86">
        <v>0.8</v>
      </c>
      <c r="AJ160" s="92">
        <v>2.9716216338777284</v>
      </c>
      <c r="AK160" s="100">
        <v>71.3</v>
      </c>
      <c r="AL160" s="92">
        <v>4.2144547913047017</v>
      </c>
      <c r="AM160" s="86">
        <v>17.696531884815101</v>
      </c>
      <c r="AN160" s="70">
        <f t="shared" si="95"/>
        <v>41.154361426308725</v>
      </c>
      <c r="AO160" s="63"/>
      <c r="AP160" s="89">
        <v>56.867252802603979</v>
      </c>
      <c r="AQ160" s="89">
        <v>30.98136373108494</v>
      </c>
      <c r="AR160" s="89">
        <v>92.8</v>
      </c>
      <c r="AS160" s="158">
        <f t="shared" si="96"/>
        <v>31.507495066193467</v>
      </c>
      <c r="AT160" s="89">
        <v>70.834199999999996</v>
      </c>
      <c r="AU160" s="89">
        <v>42.910719666802962</v>
      </c>
      <c r="AV160" s="89">
        <v>43.42067532874367</v>
      </c>
      <c r="AW160" s="100">
        <v>20</v>
      </c>
      <c r="AX160" s="71">
        <f t="shared" si="97"/>
        <v>53.364725986215667</v>
      </c>
      <c r="AY160" s="86">
        <v>28.411896145486107</v>
      </c>
      <c r="AZ160" s="71">
        <f t="shared" si="98"/>
        <v>28.411896145486107</v>
      </c>
      <c r="BA160" s="86">
        <v>37.049999999999997</v>
      </c>
      <c r="BB160" s="71">
        <f t="shared" si="99"/>
        <v>62.95</v>
      </c>
      <c r="BC160" s="86">
        <v>42.24</v>
      </c>
      <c r="BD160" s="86">
        <v>29.12</v>
      </c>
      <c r="BE160" s="86">
        <v>22.09</v>
      </c>
      <c r="BF160" s="71">
        <f t="shared" si="100"/>
        <v>28.931999999999999</v>
      </c>
      <c r="BG160" s="63"/>
      <c r="BH160" s="86">
        <v>3.73</v>
      </c>
      <c r="BI160" s="86">
        <v>4.5</v>
      </c>
      <c r="BJ160" s="95">
        <v>156</v>
      </c>
      <c r="BK160" s="82">
        <v>100</v>
      </c>
      <c r="BL160" s="70">
        <f t="shared" si="101"/>
        <v>97.14876543209877</v>
      </c>
      <c r="BM160" s="96">
        <v>0.62127011630763096</v>
      </c>
      <c r="BN160" s="92">
        <v>66.414005044429672</v>
      </c>
      <c r="BO160" s="86">
        <v>41.786224439720357</v>
      </c>
      <c r="BP160" s="70">
        <f t="shared" si="102"/>
        <v>58.113563186419057</v>
      </c>
      <c r="BQ160" s="96">
        <v>0.55802984218766727</v>
      </c>
      <c r="BR160" s="96">
        <v>0.54088050224231876</v>
      </c>
      <c r="BS160" s="86">
        <v>45.0189156</v>
      </c>
      <c r="BT160" s="86">
        <v>34.451029399999996</v>
      </c>
      <c r="BU160" s="86">
        <v>78.704083499999996</v>
      </c>
      <c r="BV160" s="86">
        <v>40.850420899999996</v>
      </c>
      <c r="BW160" s="71">
        <f t="shared" si="103"/>
        <v>47.14239392068194</v>
      </c>
      <c r="BX160" s="92">
        <v>41.94</v>
      </c>
      <c r="BY160" s="158">
        <f t="shared" si="104"/>
        <v>41.94</v>
      </c>
      <c r="BZ160" s="54"/>
    </row>
    <row r="161" spans="1:79" ht="15" customHeight="1" x14ac:dyDescent="0.25">
      <c r="A161" s="2">
        <v>155</v>
      </c>
      <c r="B161" s="14" t="s">
        <v>23</v>
      </c>
      <c r="C161" s="16" t="s">
        <v>26</v>
      </c>
      <c r="D161" s="162" t="s">
        <v>157</v>
      </c>
      <c r="E161" s="209">
        <f t="shared" si="85"/>
        <v>43.750116173639633</v>
      </c>
      <c r="F161" s="71">
        <f t="shared" si="86"/>
        <v>41.981421526438282</v>
      </c>
      <c r="G161" s="71">
        <f t="shared" si="87"/>
        <v>42.788518281862146</v>
      </c>
      <c r="H161" s="71">
        <f t="shared" si="88"/>
        <v>54.291196416389383</v>
      </c>
      <c r="I161" s="71">
        <f t="shared" si="89"/>
        <v>35.939328469868734</v>
      </c>
      <c r="J161" s="63"/>
      <c r="K161" s="85">
        <v>2.7445353682679308</v>
      </c>
      <c r="L161" s="208">
        <v>6.1</v>
      </c>
      <c r="M161" s="82">
        <f t="shared" si="106"/>
        <v>88.518518518518519</v>
      </c>
      <c r="N161" s="71">
        <f t="shared" si="90"/>
        <v>76.173344638525549</v>
      </c>
      <c r="O161" s="85">
        <v>28.480519854085056</v>
      </c>
      <c r="P161" s="87">
        <v>34.799999999999997</v>
      </c>
      <c r="Q161" s="70">
        <f t="shared" si="91"/>
        <v>67.022511030047255</v>
      </c>
      <c r="R161" s="90">
        <v>1.4E-2</v>
      </c>
      <c r="S161" s="85">
        <v>-0.89683234999999994</v>
      </c>
      <c r="T161" s="85">
        <v>0.33</v>
      </c>
      <c r="U161" s="90">
        <v>4.3239999999999998</v>
      </c>
      <c r="V161" s="70">
        <f t="shared" si="92"/>
        <v>26.256947175925927</v>
      </c>
      <c r="W161" s="85">
        <v>5.04</v>
      </c>
      <c r="X161" s="87">
        <v>81.8</v>
      </c>
      <c r="Y161" s="87">
        <v>9.27</v>
      </c>
      <c r="Z161" s="214">
        <v>7.3</v>
      </c>
      <c r="AA161" s="71">
        <f t="shared" si="93"/>
        <v>44.728947280462677</v>
      </c>
      <c r="AB161" s="63"/>
      <c r="AC161" s="85">
        <v>24.611991400201177</v>
      </c>
      <c r="AD161" s="87">
        <v>23.8</v>
      </c>
      <c r="AE161" s="88">
        <v>60</v>
      </c>
      <c r="AF161" s="85">
        <v>5.75</v>
      </c>
      <c r="AG161" s="88">
        <v>30</v>
      </c>
      <c r="AH161" s="70">
        <f t="shared" si="94"/>
        <v>50.566968625775139</v>
      </c>
      <c r="AI161" s="85">
        <v>-0.06</v>
      </c>
      <c r="AJ161" s="85">
        <v>2.85</v>
      </c>
      <c r="AK161" s="87">
        <v>74.5</v>
      </c>
      <c r="AL161" s="86">
        <v>2.8378612008296011</v>
      </c>
      <c r="AM161" s="85">
        <v>20.553183611102899</v>
      </c>
      <c r="AN161" s="70">
        <f t="shared" si="95"/>
        <v>35.010067937949152</v>
      </c>
      <c r="AO161" s="63"/>
      <c r="AP161" s="89">
        <v>79.387352183630441</v>
      </c>
      <c r="AQ161" s="89">
        <v>48.283825815393897</v>
      </c>
      <c r="AR161" s="89">
        <v>40.35</v>
      </c>
      <c r="AS161" s="158">
        <f t="shared" si="96"/>
        <v>58.90125095360456</v>
      </c>
      <c r="AT161" s="89">
        <v>75.267399999999995</v>
      </c>
      <c r="AU161" s="89">
        <v>68.278679164145757</v>
      </c>
      <c r="AV161" s="89">
        <v>51.447309451438976</v>
      </c>
      <c r="AW161" s="100">
        <v>17.3</v>
      </c>
      <c r="AX161" s="71">
        <f t="shared" si="97"/>
        <v>67.283635429877123</v>
      </c>
      <c r="AY161" s="86">
        <v>37.386445110125003</v>
      </c>
      <c r="AZ161" s="71">
        <f t="shared" si="98"/>
        <v>37.386445110125003</v>
      </c>
      <c r="BA161" s="86">
        <v>46.16</v>
      </c>
      <c r="BB161" s="71">
        <f t="shared" si="99"/>
        <v>53.84</v>
      </c>
      <c r="BC161" s="86">
        <v>39.200000000000003</v>
      </c>
      <c r="BD161" s="86">
        <v>33.4</v>
      </c>
      <c r="BE161" s="86">
        <v>46.45</v>
      </c>
      <c r="BF161" s="71">
        <f t="shared" si="100"/>
        <v>39.78</v>
      </c>
      <c r="BG161" s="63"/>
      <c r="BH161" s="85">
        <v>5.45</v>
      </c>
      <c r="BI161" s="85">
        <v>5.73</v>
      </c>
      <c r="BJ161" s="88">
        <v>79</v>
      </c>
      <c r="BK161" s="81">
        <v>33.333333333333329</v>
      </c>
      <c r="BL161" s="70">
        <f t="shared" si="101"/>
        <v>46.250199123855033</v>
      </c>
      <c r="BM161" s="90">
        <v>0.26652330706854382</v>
      </c>
      <c r="BN161" s="85">
        <v>24.98</v>
      </c>
      <c r="BO161" s="85">
        <v>23.661693059198736</v>
      </c>
      <c r="BP161" s="70">
        <f t="shared" si="102"/>
        <v>25.486588618226875</v>
      </c>
      <c r="BQ161" s="90">
        <v>0.2239012571475065</v>
      </c>
      <c r="BR161" s="90">
        <v>0.26292789853550674</v>
      </c>
      <c r="BS161" s="85">
        <v>18.854930700000001</v>
      </c>
      <c r="BT161" s="86">
        <v>30.866376499999998</v>
      </c>
      <c r="BU161" s="85">
        <v>64.708494599999995</v>
      </c>
      <c r="BV161" s="86">
        <v>39.2327668</v>
      </c>
      <c r="BW161" s="71">
        <f t="shared" si="103"/>
        <v>29.790863152676888</v>
      </c>
      <c r="BX161" s="86">
        <v>63.04</v>
      </c>
      <c r="BY161" s="158">
        <f t="shared" si="104"/>
        <v>63.04</v>
      </c>
      <c r="BZ161" s="54"/>
    </row>
    <row r="162" spans="1:79" ht="15" customHeight="1" x14ac:dyDescent="0.25">
      <c r="A162" s="2">
        <v>156</v>
      </c>
      <c r="B162" s="8" t="s">
        <v>16</v>
      </c>
      <c r="C162" s="11" t="s">
        <v>21</v>
      </c>
      <c r="D162" s="162" t="s">
        <v>64</v>
      </c>
      <c r="E162" s="209">
        <f t="shared" si="85"/>
        <v>43.677283027827634</v>
      </c>
      <c r="F162" s="71">
        <f t="shared" si="86"/>
        <v>36.795013867002879</v>
      </c>
      <c r="G162" s="71">
        <f t="shared" si="87"/>
        <v>42.360239431426074</v>
      </c>
      <c r="H162" s="71">
        <f t="shared" si="88"/>
        <v>44.870372807932952</v>
      </c>
      <c r="I162" s="71">
        <f t="shared" si="89"/>
        <v>50.683506004948647</v>
      </c>
      <c r="J162" s="63"/>
      <c r="K162" s="86">
        <v>1.2291136969130756</v>
      </c>
      <c r="L162" s="207">
        <v>5.8199999999999994</v>
      </c>
      <c r="M162" s="82">
        <f t="shared" si="106"/>
        <v>89.555555555555557</v>
      </c>
      <c r="N162" s="71">
        <f t="shared" si="90"/>
        <v>68.272853871739301</v>
      </c>
      <c r="O162" s="86">
        <v>12.048010661621056</v>
      </c>
      <c r="P162" s="100">
        <v>29.5</v>
      </c>
      <c r="Q162" s="70">
        <f t="shared" si="91"/>
        <v>60.248894812011692</v>
      </c>
      <c r="R162" s="96">
        <v>9.3945799984496321E-3</v>
      </c>
      <c r="S162" s="92">
        <v>-1.3884426905116214</v>
      </c>
      <c r="T162" s="86">
        <v>0.17</v>
      </c>
      <c r="U162" s="167">
        <v>4.0330000000000004</v>
      </c>
      <c r="V162" s="70">
        <f t="shared" si="92"/>
        <v>20.602601626770863</v>
      </c>
      <c r="W162" s="86">
        <v>3.819</v>
      </c>
      <c r="X162" s="100">
        <v>88.8</v>
      </c>
      <c r="Y162" s="100">
        <v>5.24</v>
      </c>
      <c r="Z162" s="215">
        <v>5</v>
      </c>
      <c r="AA162" s="71">
        <f t="shared" si="93"/>
        <v>42.516373778567065</v>
      </c>
      <c r="AB162" s="63"/>
      <c r="AC162" s="86">
        <v>11.845214090263317</v>
      </c>
      <c r="AD162" s="100">
        <v>25.3</v>
      </c>
      <c r="AE162" s="95">
        <v>45</v>
      </c>
      <c r="AF162" s="123">
        <v>3.08</v>
      </c>
      <c r="AG162" s="91">
        <v>22.348037069895948</v>
      </c>
      <c r="AH162" s="70">
        <f t="shared" si="94"/>
        <v>39.215071982081277</v>
      </c>
      <c r="AI162" s="86">
        <v>0.59</v>
      </c>
      <c r="AJ162" s="92">
        <v>3.6050951450212998</v>
      </c>
      <c r="AK162" s="100">
        <v>65.3</v>
      </c>
      <c r="AL162" s="86">
        <v>3.932807521832792</v>
      </c>
      <c r="AM162" s="86">
        <v>39.223912222436901</v>
      </c>
      <c r="AN162" s="70">
        <f t="shared" si="95"/>
        <v>45.50540688077087</v>
      </c>
      <c r="AO162" s="63"/>
      <c r="AP162" s="89">
        <v>67.477440093902118</v>
      </c>
      <c r="AQ162" s="89">
        <v>32.357264184263215</v>
      </c>
      <c r="AR162" s="89">
        <v>68.180000000000007</v>
      </c>
      <c r="AS162" s="158">
        <f t="shared" si="96"/>
        <v>41.002992115607135</v>
      </c>
      <c r="AT162" s="89">
        <v>67.248699999999999</v>
      </c>
      <c r="AU162" s="89">
        <v>41.803075009601073</v>
      </c>
      <c r="AV162" s="89">
        <v>49.998819798398046</v>
      </c>
      <c r="AW162" s="100">
        <v>15.4</v>
      </c>
      <c r="AX162" s="71">
        <f t="shared" si="97"/>
        <v>52.126546134794744</v>
      </c>
      <c r="AY162" s="86">
        <v>36.133734527412045</v>
      </c>
      <c r="AZ162" s="71">
        <f t="shared" si="98"/>
        <v>36.133734527412045</v>
      </c>
      <c r="BA162" s="86">
        <v>30.31</v>
      </c>
      <c r="BB162" s="71">
        <f t="shared" si="99"/>
        <v>69.69</v>
      </c>
      <c r="BC162" s="86">
        <v>9.59</v>
      </c>
      <c r="BD162" s="86">
        <v>51.22</v>
      </c>
      <c r="BE162" s="86">
        <v>40.42</v>
      </c>
      <c r="BF162" s="71">
        <f t="shared" si="100"/>
        <v>38.573999999999998</v>
      </c>
      <c r="BG162" s="63"/>
      <c r="BH162" s="99">
        <v>5.2</v>
      </c>
      <c r="BI162" s="86">
        <v>3.83</v>
      </c>
      <c r="BJ162" s="95">
        <v>129</v>
      </c>
      <c r="BK162" s="82">
        <v>81.818181818181813</v>
      </c>
      <c r="BL162" s="70">
        <f t="shared" si="101"/>
        <v>81.552098041345346</v>
      </c>
      <c r="BM162" s="96">
        <v>0.36378438763348381</v>
      </c>
      <c r="BN162" s="86">
        <v>60.23</v>
      </c>
      <c r="BO162" s="86">
        <v>33.962747370522578</v>
      </c>
      <c r="BP162" s="70">
        <f t="shared" si="102"/>
        <v>41.737406224304834</v>
      </c>
      <c r="BQ162" s="96">
        <v>0.35473633517934555</v>
      </c>
      <c r="BR162" s="96">
        <v>0.36161331092627358</v>
      </c>
      <c r="BS162" s="86">
        <v>24.7636371</v>
      </c>
      <c r="BT162" s="86">
        <v>27.840484499999999</v>
      </c>
      <c r="BU162" s="86">
        <v>62.114674099999995</v>
      </c>
      <c r="BV162" s="86">
        <v>35.170457299999995</v>
      </c>
      <c r="BW162" s="71">
        <f t="shared" si="103"/>
        <v>33.169313220916742</v>
      </c>
      <c r="BX162" s="92">
        <v>61.65</v>
      </c>
      <c r="BY162" s="158">
        <f t="shared" si="104"/>
        <v>61.65</v>
      </c>
      <c r="BZ162" s="54"/>
    </row>
    <row r="163" spans="1:79" ht="15" customHeight="1" x14ac:dyDescent="0.25">
      <c r="A163" s="2">
        <v>157</v>
      </c>
      <c r="B163" s="14" t="s">
        <v>23</v>
      </c>
      <c r="C163" s="16" t="s">
        <v>26</v>
      </c>
      <c r="D163" s="162" t="s">
        <v>45</v>
      </c>
      <c r="E163" s="209">
        <f t="shared" si="85"/>
        <v>43.35971676114945</v>
      </c>
      <c r="F163" s="71">
        <f t="shared" si="86"/>
        <v>36.610851812179341</v>
      </c>
      <c r="G163" s="71">
        <f t="shared" si="87"/>
        <v>37.237462706938921</v>
      </c>
      <c r="H163" s="71">
        <f t="shared" si="88"/>
        <v>54.581768669223891</v>
      </c>
      <c r="I163" s="71">
        <f t="shared" si="89"/>
        <v>45.008783856255612</v>
      </c>
      <c r="J163" s="63"/>
      <c r="K163" s="85">
        <v>-0.45366369811179474</v>
      </c>
      <c r="L163" s="208">
        <v>5.92</v>
      </c>
      <c r="M163" s="82">
        <f t="shared" si="106"/>
        <v>89.185185185185176</v>
      </c>
      <c r="N163" s="71">
        <f t="shared" si="90"/>
        <v>58.738905380860395</v>
      </c>
      <c r="O163" s="85">
        <v>13.800046995680198</v>
      </c>
      <c r="P163" s="87">
        <v>84.8</v>
      </c>
      <c r="Q163" s="70">
        <f t="shared" si="91"/>
        <v>36.644470553155664</v>
      </c>
      <c r="R163" s="90">
        <v>1.4E-2</v>
      </c>
      <c r="S163" s="85">
        <v>-1.0967224</v>
      </c>
      <c r="T163" s="85">
        <v>0.39</v>
      </c>
      <c r="U163" s="90">
        <v>4.1900000000000004</v>
      </c>
      <c r="V163" s="70">
        <f t="shared" si="92"/>
        <v>28.339792275132272</v>
      </c>
      <c r="W163" s="85">
        <v>2.9670000000000001</v>
      </c>
      <c r="X163" s="87">
        <v>85.6</v>
      </c>
      <c r="Y163" s="87">
        <v>9.15</v>
      </c>
      <c r="Z163" s="214">
        <v>7.2</v>
      </c>
      <c r="AA163" s="71">
        <f t="shared" si="93"/>
        <v>44.281578214215251</v>
      </c>
      <c r="AB163" s="63"/>
      <c r="AC163" s="85">
        <v>16.608811759145006</v>
      </c>
      <c r="AD163" s="87">
        <v>20.2</v>
      </c>
      <c r="AE163" s="88">
        <v>15</v>
      </c>
      <c r="AF163" s="85">
        <v>6.24</v>
      </c>
      <c r="AG163" s="88">
        <v>13</v>
      </c>
      <c r="AH163" s="70">
        <f t="shared" si="94"/>
        <v>34.172541172763339</v>
      </c>
      <c r="AI163" s="85">
        <v>0.03</v>
      </c>
      <c r="AJ163" s="85">
        <v>3.13</v>
      </c>
      <c r="AK163" s="87">
        <v>86.4</v>
      </c>
      <c r="AL163" s="86">
        <v>2.5918784081944444</v>
      </c>
      <c r="AM163" s="85">
        <v>43.151737282798102</v>
      </c>
      <c r="AN163" s="70">
        <f t="shared" si="95"/>
        <v>40.302384241114495</v>
      </c>
      <c r="AO163" s="63"/>
      <c r="AP163" s="89">
        <v>83.049576702607354</v>
      </c>
      <c r="AQ163" s="89">
        <v>55.224889569416668</v>
      </c>
      <c r="AR163" s="89">
        <v>17.36</v>
      </c>
      <c r="AS163" s="158">
        <f t="shared" si="96"/>
        <v>69.034838960360176</v>
      </c>
      <c r="AT163" s="89">
        <v>68.904899999999998</v>
      </c>
      <c r="AU163" s="89">
        <v>53.194738977522647</v>
      </c>
      <c r="AV163" s="89">
        <v>51.266457251571367</v>
      </c>
      <c r="AW163" s="100">
        <v>21.8</v>
      </c>
      <c r="AX163" s="71">
        <f t="shared" si="97"/>
        <v>54.96812017380919</v>
      </c>
      <c r="AY163" s="86">
        <v>46.487667473202549</v>
      </c>
      <c r="AZ163" s="71">
        <f t="shared" si="98"/>
        <v>46.487667473202549</v>
      </c>
      <c r="BA163" s="86">
        <v>40.869999999999997</v>
      </c>
      <c r="BB163" s="71">
        <f t="shared" si="99"/>
        <v>59.13</v>
      </c>
      <c r="BC163" s="86">
        <v>28.27</v>
      </c>
      <c r="BD163" s="86">
        <v>24.69</v>
      </c>
      <c r="BE163" s="86">
        <v>48.82</v>
      </c>
      <c r="BF163" s="71">
        <f t="shared" si="100"/>
        <v>35.058000000000007</v>
      </c>
      <c r="BG163" s="63"/>
      <c r="BH163" s="85">
        <v>3.65</v>
      </c>
      <c r="BI163" s="85">
        <v>5.12</v>
      </c>
      <c r="BJ163" s="88">
        <v>52</v>
      </c>
      <c r="BK163" s="81">
        <v>63.636363636363633</v>
      </c>
      <c r="BL163" s="70">
        <f t="shared" si="101"/>
        <v>47.383666413236305</v>
      </c>
      <c r="BM163" s="90">
        <v>0.4399462618897676</v>
      </c>
      <c r="BN163" s="85">
        <v>54.25</v>
      </c>
      <c r="BO163" s="85">
        <v>54.510858700896506</v>
      </c>
      <c r="BP163" s="70">
        <f t="shared" si="102"/>
        <v>49.187527769712503</v>
      </c>
      <c r="BQ163" s="90">
        <v>0.34410982387379896</v>
      </c>
      <c r="BR163" s="90">
        <v>0.24678487737453114</v>
      </c>
      <c r="BS163" s="85">
        <v>27.662222799999999</v>
      </c>
      <c r="BT163" s="86">
        <v>39.471514299999996</v>
      </c>
      <c r="BU163" s="85">
        <v>56.567229699999999</v>
      </c>
      <c r="BV163" s="86">
        <v>35.0786424</v>
      </c>
      <c r="BW163" s="71">
        <f t="shared" si="103"/>
        <v>34.030311205807941</v>
      </c>
      <c r="BX163" s="86">
        <v>64.959999999999994</v>
      </c>
      <c r="BY163" s="158">
        <f t="shared" si="104"/>
        <v>64.959999999999994</v>
      </c>
      <c r="BZ163" s="54"/>
      <c r="CA163" s="27"/>
    </row>
    <row r="164" spans="1:79" s="30" customFormat="1" ht="15" customHeight="1" x14ac:dyDescent="0.2">
      <c r="A164" s="2">
        <v>158</v>
      </c>
      <c r="B164" s="8" t="s">
        <v>16</v>
      </c>
      <c r="C164" s="11" t="s">
        <v>21</v>
      </c>
      <c r="D164" s="162" t="s">
        <v>224</v>
      </c>
      <c r="E164" s="209">
        <f t="shared" si="85"/>
        <v>43.291879535269615</v>
      </c>
      <c r="F164" s="71">
        <f t="shared" si="86"/>
        <v>34.018291462878011</v>
      </c>
      <c r="G164" s="71">
        <f t="shared" si="87"/>
        <v>55.131625397286555</v>
      </c>
      <c r="H164" s="71">
        <f t="shared" si="88"/>
        <v>36.782359600993821</v>
      </c>
      <c r="I164" s="71">
        <f t="shared" si="89"/>
        <v>47.235241679920101</v>
      </c>
      <c r="J164" s="63"/>
      <c r="K164" s="85">
        <v>1.665188519901073</v>
      </c>
      <c r="L164" s="208">
        <v>14.559999999999999</v>
      </c>
      <c r="M164" s="82">
        <f t="shared" si="106"/>
        <v>57.185185185185198</v>
      </c>
      <c r="N164" s="71">
        <f t="shared" si="90"/>
        <v>54.510306592043001</v>
      </c>
      <c r="O164" s="85">
        <v>32.157468685824405</v>
      </c>
      <c r="P164" s="87">
        <v>86</v>
      </c>
      <c r="Q164" s="70">
        <f t="shared" si="91"/>
        <v>46.309704825458006</v>
      </c>
      <c r="R164" s="90">
        <v>7.0000000000000001E-3</v>
      </c>
      <c r="S164" s="85">
        <v>-0.66434990000000005</v>
      </c>
      <c r="T164" s="85">
        <v>0.2</v>
      </c>
      <c r="U164" s="90">
        <v>4.4130000000000003</v>
      </c>
      <c r="V164" s="70">
        <f t="shared" si="92"/>
        <v>21.627070383597882</v>
      </c>
      <c r="W164" s="85">
        <v>5.9180000000000001</v>
      </c>
      <c r="X164" s="87">
        <v>82.7</v>
      </c>
      <c r="Y164" s="87">
        <v>5.03</v>
      </c>
      <c r="Z164" s="214">
        <v>5.0999999999999996</v>
      </c>
      <c r="AA164" s="71">
        <f t="shared" si="93"/>
        <v>43.22907955222427</v>
      </c>
      <c r="AB164" s="63"/>
      <c r="AC164" s="85">
        <v>21.603215808155511</v>
      </c>
      <c r="AD164" s="87">
        <v>43.9</v>
      </c>
      <c r="AE164" s="88">
        <v>40</v>
      </c>
      <c r="AF164" s="85">
        <v>13.25</v>
      </c>
      <c r="AG164" s="88">
        <v>30</v>
      </c>
      <c r="AH164" s="70">
        <f t="shared" si="94"/>
        <v>46.65470797466778</v>
      </c>
      <c r="AI164" s="85">
        <v>1.33</v>
      </c>
      <c r="AJ164" s="85">
        <v>4.47</v>
      </c>
      <c r="AK164" s="87">
        <v>74.3</v>
      </c>
      <c r="AL164" s="86">
        <v>4.9272314579883876</v>
      </c>
      <c r="AM164" s="85">
        <v>92.581627759664102</v>
      </c>
      <c r="AN164" s="70">
        <f t="shared" si="95"/>
        <v>63.608542819905317</v>
      </c>
      <c r="AO164" s="63"/>
      <c r="AP164" s="89">
        <v>47.256658489910784</v>
      </c>
      <c r="AQ164" s="89">
        <v>33.05976661891971</v>
      </c>
      <c r="AR164" s="89">
        <v>93.76</v>
      </c>
      <c r="AS164" s="158">
        <f t="shared" si="96"/>
        <v>29.904047931937551</v>
      </c>
      <c r="AT164" s="89">
        <v>66.700299999999999</v>
      </c>
      <c r="AU164" s="89">
        <v>54.391852978362209</v>
      </c>
      <c r="AV164" s="89">
        <v>41.486369177612843</v>
      </c>
      <c r="AW164" s="100">
        <v>37.200000000000003</v>
      </c>
      <c r="AX164" s="71">
        <f t="shared" si="97"/>
        <v>45.892581138946134</v>
      </c>
      <c r="AY164" s="86">
        <v>28.715776877513154</v>
      </c>
      <c r="AZ164" s="71">
        <f t="shared" si="98"/>
        <v>28.715776877513154</v>
      </c>
      <c r="BA164" s="86">
        <v>51.48</v>
      </c>
      <c r="BB164" s="71">
        <f t="shared" si="99"/>
        <v>48.52</v>
      </c>
      <c r="BC164" s="86">
        <v>10.65</v>
      </c>
      <c r="BD164" s="86">
        <v>24.89</v>
      </c>
      <c r="BE164" s="86">
        <v>60.76</v>
      </c>
      <c r="BF164" s="71">
        <f t="shared" si="100"/>
        <v>36.39</v>
      </c>
      <c r="BG164" s="63"/>
      <c r="BH164" s="85">
        <v>5.2</v>
      </c>
      <c r="BI164" s="85">
        <v>4.78</v>
      </c>
      <c r="BJ164" s="88">
        <v>68</v>
      </c>
      <c r="BK164" s="84">
        <v>54.545454545454547</v>
      </c>
      <c r="BL164" s="70">
        <f t="shared" si="101"/>
        <v>50.010969914195719</v>
      </c>
      <c r="BM164" s="90">
        <v>0.38170465373709622</v>
      </c>
      <c r="BN164" s="85">
        <v>58.58</v>
      </c>
      <c r="BO164" s="85">
        <v>40.724955029501999</v>
      </c>
      <c r="BP164" s="70">
        <f t="shared" si="102"/>
        <v>43.911471444230315</v>
      </c>
      <c r="BQ164" s="90">
        <v>0.46297392826388056</v>
      </c>
      <c r="BR164" s="90">
        <v>0.43807637864818572</v>
      </c>
      <c r="BS164" s="85">
        <v>38.607899400000001</v>
      </c>
      <c r="BT164" s="86">
        <v>40.975736699999999</v>
      </c>
      <c r="BU164" s="85">
        <v>64.172825899999992</v>
      </c>
      <c r="BV164" s="86">
        <v>48.2283671</v>
      </c>
      <c r="BW164" s="71">
        <f t="shared" si="103"/>
        <v>44.291593623148792</v>
      </c>
      <c r="BX164" s="86">
        <v>60.57</v>
      </c>
      <c r="BY164" s="158">
        <f t="shared" si="104"/>
        <v>60.57</v>
      </c>
      <c r="BZ164" s="54"/>
    </row>
    <row r="165" spans="1:79" s="30" customFormat="1" ht="15" customHeight="1" x14ac:dyDescent="0.2">
      <c r="A165" s="2">
        <v>159</v>
      </c>
      <c r="B165" s="8" t="s">
        <v>16</v>
      </c>
      <c r="C165" s="21" t="s">
        <v>42</v>
      </c>
      <c r="D165" s="162" t="s">
        <v>142</v>
      </c>
      <c r="E165" s="209">
        <f t="shared" si="85"/>
        <v>42.691775087293856</v>
      </c>
      <c r="F165" s="71">
        <f t="shared" si="86"/>
        <v>35.999336376924923</v>
      </c>
      <c r="G165" s="71">
        <f t="shared" si="87"/>
        <v>47.338026006828024</v>
      </c>
      <c r="H165" s="71">
        <f t="shared" si="88"/>
        <v>39.639492529535111</v>
      </c>
      <c r="I165" s="71">
        <f t="shared" si="89"/>
        <v>47.790245435887364</v>
      </c>
      <c r="J165" s="63"/>
      <c r="K165" s="85">
        <v>2.9605316640239021</v>
      </c>
      <c r="L165" s="208">
        <v>4.4400000000000004</v>
      </c>
      <c r="M165" s="82">
        <f t="shared" si="106"/>
        <v>94.666666666666671</v>
      </c>
      <c r="N165" s="71">
        <f t="shared" si="90"/>
        <v>80.447398133466123</v>
      </c>
      <c r="O165" s="85">
        <v>34.428065031412267</v>
      </c>
      <c r="P165" s="87">
        <v>40.1</v>
      </c>
      <c r="Q165" s="70">
        <f t="shared" si="91"/>
        <v>67.971147239673485</v>
      </c>
      <c r="R165" s="168">
        <v>1.173349657332322E-2</v>
      </c>
      <c r="S165" s="85">
        <v>-1.2665230999999999</v>
      </c>
      <c r="T165" s="85">
        <v>0.21</v>
      </c>
      <c r="U165" s="90">
        <v>4.1459999999999999</v>
      </c>
      <c r="V165" s="70">
        <f t="shared" si="92"/>
        <v>21.909758330828179</v>
      </c>
      <c r="W165" s="85">
        <v>10.319000000000001</v>
      </c>
      <c r="X165" s="87">
        <v>89.3</v>
      </c>
      <c r="Y165" s="87">
        <v>15.12</v>
      </c>
      <c r="Z165" s="214">
        <v>32</v>
      </c>
      <c r="AA165" s="71">
        <f t="shared" si="93"/>
        <v>27.216181248852795</v>
      </c>
      <c r="AB165" s="63"/>
      <c r="AC165" s="85">
        <v>26.975630917967898</v>
      </c>
      <c r="AD165" s="87">
        <v>32.6</v>
      </c>
      <c r="AE165" s="88">
        <v>50</v>
      </c>
      <c r="AF165" s="85">
        <v>6</v>
      </c>
      <c r="AG165" s="91">
        <v>25.646053575738801</v>
      </c>
      <c r="AH165" s="70">
        <f t="shared" si="94"/>
        <v>51.152968002806858</v>
      </c>
      <c r="AI165" s="85">
        <v>0.56000000000000005</v>
      </c>
      <c r="AJ165" s="85">
        <v>3.08</v>
      </c>
      <c r="AK165" s="87">
        <v>75.5</v>
      </c>
      <c r="AL165" s="86">
        <v>3.7530148385169602</v>
      </c>
      <c r="AM165" s="85">
        <v>39.328207294755799</v>
      </c>
      <c r="AN165" s="70">
        <f t="shared" si="95"/>
        <v>43.523084010849175</v>
      </c>
      <c r="AO165" s="63"/>
      <c r="AP165" s="89">
        <v>57.704980094202668</v>
      </c>
      <c r="AQ165" s="89">
        <v>38.687874356194428</v>
      </c>
      <c r="AR165" s="89">
        <v>68.27</v>
      </c>
      <c r="AS165" s="158">
        <f t="shared" si="96"/>
        <v>41.702682201647889</v>
      </c>
      <c r="AT165" s="89">
        <v>68.936999999999998</v>
      </c>
      <c r="AU165" s="89">
        <v>38.679759608142504</v>
      </c>
      <c r="AV165" s="89">
        <v>48.517515300862172</v>
      </c>
      <c r="AW165" s="100">
        <v>8.6999999999999993</v>
      </c>
      <c r="AX165" s="71">
        <f t="shared" si="97"/>
        <v>55.079828995451038</v>
      </c>
      <c r="AY165" s="86">
        <v>17.109927322861108</v>
      </c>
      <c r="AZ165" s="71">
        <f t="shared" si="98"/>
        <v>17.109927322861108</v>
      </c>
      <c r="BA165" s="86">
        <v>32</v>
      </c>
      <c r="BB165" s="71">
        <f t="shared" si="99"/>
        <v>68</v>
      </c>
      <c r="BC165" s="86">
        <v>16.36</v>
      </c>
      <c r="BD165" s="86">
        <v>14.31</v>
      </c>
      <c r="BE165" s="86">
        <v>33.97</v>
      </c>
      <c r="BF165" s="71">
        <f t="shared" si="100"/>
        <v>22.584</v>
      </c>
      <c r="BG165" s="63"/>
      <c r="BH165" s="85">
        <v>1</v>
      </c>
      <c r="BI165" s="85">
        <v>4.4000000000000004</v>
      </c>
      <c r="BJ165" s="88">
        <v>99</v>
      </c>
      <c r="BK165" s="81">
        <v>72.727272727272734</v>
      </c>
      <c r="BL165" s="70">
        <f t="shared" si="101"/>
        <v>68.195032764925244</v>
      </c>
      <c r="BM165" s="90">
        <v>0.38356273325315221</v>
      </c>
      <c r="BN165" s="85">
        <v>63.36</v>
      </c>
      <c r="BO165" s="85">
        <v>24.874547956834174</v>
      </c>
      <c r="BP165" s="70">
        <f t="shared" si="102"/>
        <v>41.236773651866152</v>
      </c>
      <c r="BQ165" s="90">
        <v>0.33734553869476408</v>
      </c>
      <c r="BR165" s="90">
        <v>0.33353458016961435</v>
      </c>
      <c r="BS165" s="85">
        <v>28.9543958</v>
      </c>
      <c r="BT165" s="86">
        <v>36.9276512</v>
      </c>
      <c r="BU165" s="85">
        <v>56.3357484</v>
      </c>
      <c r="BV165" s="86">
        <v>42.590241999999996</v>
      </c>
      <c r="BW165" s="71">
        <f t="shared" si="103"/>
        <v>36.241300425989145</v>
      </c>
      <c r="BX165" s="86">
        <v>56.86</v>
      </c>
      <c r="BY165" s="158">
        <f t="shared" si="104"/>
        <v>56.86</v>
      </c>
      <c r="BZ165" s="54"/>
    </row>
    <row r="166" spans="1:79" s="30" customFormat="1" ht="15" customHeight="1" x14ac:dyDescent="0.2">
      <c r="A166" s="2">
        <v>160</v>
      </c>
      <c r="B166" s="3" t="s">
        <v>10</v>
      </c>
      <c r="C166" s="19" t="s">
        <v>35</v>
      </c>
      <c r="D166" s="162" t="s">
        <v>108</v>
      </c>
      <c r="E166" s="209">
        <f t="shared" si="85"/>
        <v>42.675331714495535</v>
      </c>
      <c r="F166" s="71">
        <f t="shared" si="86"/>
        <v>43.803710587692812</v>
      </c>
      <c r="G166" s="71">
        <f t="shared" si="87"/>
        <v>41.076287318561583</v>
      </c>
      <c r="H166" s="71">
        <f t="shared" si="88"/>
        <v>54.755812806764737</v>
      </c>
      <c r="I166" s="71">
        <f t="shared" si="89"/>
        <v>31.065516144962995</v>
      </c>
      <c r="J166" s="63"/>
      <c r="K166" s="86">
        <v>-1.0780354785147273</v>
      </c>
      <c r="L166" s="207">
        <v>3.66</v>
      </c>
      <c r="M166" s="82">
        <f t="shared" si="106"/>
        <v>97.555555555555557</v>
      </c>
      <c r="N166" s="71">
        <f t="shared" si="90"/>
        <v>59.455358452695961</v>
      </c>
      <c r="O166" s="86">
        <v>32.012156518065282</v>
      </c>
      <c r="P166" s="100">
        <v>53.9</v>
      </c>
      <c r="Q166" s="70">
        <f t="shared" si="91"/>
        <v>60.495642510036269</v>
      </c>
      <c r="R166" s="167">
        <v>8.9999999999999993E-3</v>
      </c>
      <c r="S166" s="86">
        <v>-1.5517099000000001</v>
      </c>
      <c r="T166" s="86">
        <v>0.36</v>
      </c>
      <c r="U166" s="167">
        <v>3.508</v>
      </c>
      <c r="V166" s="70">
        <f t="shared" si="92"/>
        <v>28.953186785714284</v>
      </c>
      <c r="W166" s="86">
        <v>15.484999999999999</v>
      </c>
      <c r="X166" s="100">
        <v>67.599999999999994</v>
      </c>
      <c r="Y166" s="100">
        <v>35.729999999999997</v>
      </c>
      <c r="Z166" s="107">
        <v>5.5</v>
      </c>
      <c r="AA166" s="71">
        <f t="shared" si="93"/>
        <v>57.228939892242536</v>
      </c>
      <c r="AB166" s="63"/>
      <c r="AC166" s="86">
        <v>14.356007887511154</v>
      </c>
      <c r="AD166" s="100">
        <v>8.3000000000000007</v>
      </c>
      <c r="AE166" s="94">
        <v>30</v>
      </c>
      <c r="AF166" s="85">
        <v>5.5</v>
      </c>
      <c r="AG166" s="88">
        <v>23</v>
      </c>
      <c r="AH166" s="70">
        <f t="shared" si="94"/>
        <v>35.043748848084356</v>
      </c>
      <c r="AI166" s="86">
        <v>-0.65</v>
      </c>
      <c r="AJ166" s="92">
        <v>4.2394925835676496</v>
      </c>
      <c r="AK166" s="100">
        <v>85.5</v>
      </c>
      <c r="AL166" s="86">
        <v>3.1986037865054007</v>
      </c>
      <c r="AM166" s="86">
        <v>53.068564414933597</v>
      </c>
      <c r="AN166" s="70">
        <f t="shared" si="95"/>
        <v>47.108825789038804</v>
      </c>
      <c r="AO166" s="63"/>
      <c r="AP166" s="89">
        <v>94.109341683043169</v>
      </c>
      <c r="AQ166" s="89">
        <v>63.007738755378256</v>
      </c>
      <c r="AR166" s="89">
        <v>30.02</v>
      </c>
      <c r="AS166" s="158">
        <f t="shared" si="96"/>
        <v>72.526204798449925</v>
      </c>
      <c r="AT166" s="89">
        <v>72.533900000000003</v>
      </c>
      <c r="AU166" s="89">
        <v>64.14465949631736</v>
      </c>
      <c r="AV166" s="89">
        <v>45.759989292491966</v>
      </c>
      <c r="AW166" s="100">
        <v>14.9</v>
      </c>
      <c r="AX166" s="71">
        <f t="shared" si="97"/>
        <v>63.1132861409206</v>
      </c>
      <c r="AY166" s="86">
        <v>33.607645831320198</v>
      </c>
      <c r="AZ166" s="71">
        <f t="shared" si="98"/>
        <v>33.607645831320198</v>
      </c>
      <c r="BA166" s="86">
        <v>29.77</v>
      </c>
      <c r="BB166" s="71">
        <f t="shared" si="99"/>
        <v>70.23</v>
      </c>
      <c r="BC166" s="86">
        <v>15</v>
      </c>
      <c r="BD166" s="86">
        <v>27.77</v>
      </c>
      <c r="BE166" s="86">
        <v>30.26</v>
      </c>
      <c r="BF166" s="71">
        <f t="shared" si="100"/>
        <v>26.212</v>
      </c>
      <c r="BG166" s="63"/>
      <c r="BH166" s="86">
        <v>15.4</v>
      </c>
      <c r="BI166" s="86">
        <v>7.17</v>
      </c>
      <c r="BJ166" s="95">
        <v>22</v>
      </c>
      <c r="BK166" s="82">
        <v>12.121212121212123</v>
      </c>
      <c r="BL166" s="70">
        <f t="shared" si="101"/>
        <v>16.017903044784767</v>
      </c>
      <c r="BM166" s="96">
        <v>0.37536423245146999</v>
      </c>
      <c r="BN166" s="86">
        <v>28.85</v>
      </c>
      <c r="BO166" s="86">
        <v>23.649126907460182</v>
      </c>
      <c r="BP166" s="70">
        <f t="shared" si="102"/>
        <v>31.892993349438548</v>
      </c>
      <c r="BQ166" s="96">
        <v>0.35679202750423977</v>
      </c>
      <c r="BR166" s="96">
        <v>0.32885820055934989</v>
      </c>
      <c r="BS166" s="86">
        <v>23.463464599999998</v>
      </c>
      <c r="BT166" s="86">
        <v>29.915410299999998</v>
      </c>
      <c r="BU166" s="86">
        <v>30.633252199999998</v>
      </c>
      <c r="BV166" s="86">
        <v>38.609617399999998</v>
      </c>
      <c r="BW166" s="71">
        <f t="shared" si="103"/>
        <v>31.194692511243527</v>
      </c>
      <c r="BX166" s="86">
        <v>65.75</v>
      </c>
      <c r="BY166" s="158">
        <f t="shared" si="104"/>
        <v>65.75</v>
      </c>
      <c r="BZ166" s="54"/>
    </row>
    <row r="167" spans="1:79" s="30" customFormat="1" ht="15" customHeight="1" x14ac:dyDescent="0.2">
      <c r="A167" s="2">
        <v>161</v>
      </c>
      <c r="B167" s="8" t="s">
        <v>16</v>
      </c>
      <c r="C167" s="9" t="s">
        <v>17</v>
      </c>
      <c r="D167" s="162" t="s">
        <v>130</v>
      </c>
      <c r="E167" s="209">
        <f t="shared" ref="E167:E198" si="107">(F167*25+G167*25+H167*25+I167*25)/100</f>
        <v>42.118137222878111</v>
      </c>
      <c r="F167" s="71">
        <f t="shared" ref="F167:F198" si="108">(N167*10+Q167*15+V167*50+AA167*25)/100</f>
        <v>44.301091700986525</v>
      </c>
      <c r="G167" s="71">
        <f t="shared" ref="G167:G198" si="109">(AH167*50+AN167*50)/100</f>
        <v>36.902141448419862</v>
      </c>
      <c r="H167" s="71">
        <f t="shared" ref="H167:H198" si="110">(AS167*25+AX167*35+AZ167*25+BB167*5+BF167*10)/100</f>
        <v>56.888393652862348</v>
      </c>
      <c r="I167" s="71">
        <f t="shared" ref="I167:I198" si="111">(BL167*25+BP167*30+BW167*35+BY167*10)/100</f>
        <v>30.380922089243708</v>
      </c>
      <c r="J167" s="63"/>
      <c r="K167" s="86">
        <v>2.8004807917753283</v>
      </c>
      <c r="L167" s="207">
        <v>2.74</v>
      </c>
      <c r="M167" s="82">
        <f t="shared" si="106"/>
        <v>100</v>
      </c>
      <c r="N167" s="71">
        <f t="shared" ref="N167:N198" si="112">(((MIN(MAX(K167,-3),6)-(-3))/(6-(-3)))*100+M167)/2</f>
        <v>82.224893287640711</v>
      </c>
      <c r="O167" s="86">
        <v>25.864922943983011</v>
      </c>
      <c r="P167" s="193">
        <v>83</v>
      </c>
      <c r="Q167" s="70">
        <f t="shared" ref="Q167:Q198" si="113">((MIN(MAX(O167,-5),60)/60)*100+((150-MIN(P167,150))/(150))*100*2)/3</f>
        <v>44.147179413323897</v>
      </c>
      <c r="R167" s="96">
        <v>0</v>
      </c>
      <c r="S167" s="86">
        <v>-1.7097669</v>
      </c>
      <c r="T167" s="86">
        <v>0.45</v>
      </c>
      <c r="U167" s="167">
        <v>3.1150000000000002</v>
      </c>
      <c r="V167" s="70">
        <f t="shared" ref="V167:V198" si="114">((R167/0.45)*100*2+((S167-(-4))/(2-(-4)))*100+T167*100*2+((5.5-U167)/(5.5-2))*100)/6</f>
        <v>32.718901468253968</v>
      </c>
      <c r="W167" s="86">
        <v>18.757999999999999</v>
      </c>
      <c r="X167" s="93">
        <v>65</v>
      </c>
      <c r="Y167" s="100">
        <v>22.91</v>
      </c>
      <c r="Z167" s="107">
        <v>6.8</v>
      </c>
      <c r="AA167" s="71">
        <f t="shared" ref="AA167:AA198" si="115">(((35-W167)/(35))*100*0.5+(100-X167)*1.5+((LN(MIN(MAX(Y167,1),250))-LN(1))/(LN(250)-LN(1)))*100*2+((20-MIN(Z167,20))/(20))*100*1.5)/5.5</f>
        <v>52.388298904387554</v>
      </c>
      <c r="AB167" s="63"/>
      <c r="AC167" s="86">
        <v>14.271893229082732</v>
      </c>
      <c r="AD167" s="100">
        <v>6.3</v>
      </c>
      <c r="AE167" s="94">
        <v>15</v>
      </c>
      <c r="AF167" s="85">
        <v>3</v>
      </c>
      <c r="AG167" s="91">
        <v>1.3088782622621356</v>
      </c>
      <c r="AH167" s="70">
        <f t="shared" ref="AH167:AH198" si="116">((AC167/50)*100*2+AD167*1+AE167+(1-(AF167/65))*100+AG167)/6</f>
        <v>29.180177760534743</v>
      </c>
      <c r="AI167" s="86">
        <v>-0.7</v>
      </c>
      <c r="AJ167" s="92">
        <v>4.0545514234634004</v>
      </c>
      <c r="AK167" s="100">
        <v>95</v>
      </c>
      <c r="AL167" s="86">
        <v>1.7268241110562537</v>
      </c>
      <c r="AM167" s="86">
        <v>68.094363010119807</v>
      </c>
      <c r="AN167" s="70">
        <f t="shared" ref="AN167:AN198" si="117">(((AI167-(-4))/(4-(-4)))*100+((AJ167-1)/(7-1))*100*1.5+AK167*0.5+(AL167/10)*100*2+AM167)/6</f>
        <v>44.624105136304983</v>
      </c>
      <c r="AO167" s="63"/>
      <c r="AP167" s="89">
        <v>89.670922670727848</v>
      </c>
      <c r="AQ167" s="89">
        <v>59.151389325692868</v>
      </c>
      <c r="AR167" s="97">
        <v>32.92</v>
      </c>
      <c r="AS167" s="158">
        <f t="shared" ref="AS167:AS198" si="118">(AP167+AQ167*2+(100-AR167))/4</f>
        <v>68.763425330528392</v>
      </c>
      <c r="AT167" s="89">
        <v>73.191199999999995</v>
      </c>
      <c r="AU167" s="89">
        <v>64.051523320285327</v>
      </c>
      <c r="AV167" s="89">
        <v>44.409458026040873</v>
      </c>
      <c r="AW167" s="100">
        <v>16.5</v>
      </c>
      <c r="AX167" s="71">
        <f t="shared" ref="AX167:AX198" si="119">(((AT167-50)/(85-50))*100*2+AU167*1.5+AV167+(1-((MIN(AW167,55)-2.5)/(55-2.5)))*100)/5.5</f>
        <v>62.9711307630809</v>
      </c>
      <c r="AY167" s="86">
        <v>40.471766212607783</v>
      </c>
      <c r="AZ167" s="71">
        <f t="shared" ref="AZ167:AZ198" si="120">AY167</f>
        <v>40.471766212607783</v>
      </c>
      <c r="BA167" s="92">
        <v>29.77</v>
      </c>
      <c r="BB167" s="71">
        <f t="shared" ref="BB167:BB198" si="121">100-BA167</f>
        <v>70.23</v>
      </c>
      <c r="BC167" s="92">
        <v>29.71</v>
      </c>
      <c r="BD167" s="92">
        <v>40.24</v>
      </c>
      <c r="BE167" s="92">
        <v>45.61</v>
      </c>
      <c r="BF167" s="71">
        <f t="shared" ref="BF167:BF198" si="122">(BC167*0.5+BD167+BE167)/2.5</f>
        <v>40.281999999999996</v>
      </c>
      <c r="BG167" s="63"/>
      <c r="BH167" s="92">
        <v>2.19</v>
      </c>
      <c r="BI167" s="86">
        <v>7.05</v>
      </c>
      <c r="BJ167" s="95">
        <v>35</v>
      </c>
      <c r="BK167" s="82">
        <v>9.0909090909090917</v>
      </c>
      <c r="BL167" s="70">
        <f t="shared" ref="BL167:BL198" si="123">(((30-MIN(BH167,30))/(30))*100*0.5+((10-BI167)/(10-1))*100*0.5+((BJ167-1)/(156-1))*100*5+(BK167)*3)/9</f>
        <v>22.187670612939431</v>
      </c>
      <c r="BM167" s="96">
        <v>0.30579117452395765</v>
      </c>
      <c r="BN167" s="86">
        <v>40.340000000000003</v>
      </c>
      <c r="BO167" s="86">
        <v>25.429475675481289</v>
      </c>
      <c r="BP167" s="70">
        <f t="shared" ref="BP167:BP198" si="124">(BM167*100*2+BN167+BO167)/4</f>
        <v>31.731927645068204</v>
      </c>
      <c r="BQ167" s="96">
        <v>0.29188031797412695</v>
      </c>
      <c r="BR167" s="96">
        <v>0.29313512446797058</v>
      </c>
      <c r="BS167" s="86">
        <v>16.852980199999998</v>
      </c>
      <c r="BT167" s="86">
        <v>23.739925400000001</v>
      </c>
      <c r="BU167" s="86">
        <v>33.499536200000001</v>
      </c>
      <c r="BV167" s="86">
        <v>27.4345991</v>
      </c>
      <c r="BW167" s="71">
        <f t="shared" ref="BW167:BW198" si="125">(BQ167*100+BR167*100*1.5+BS167*1.5+BT167*2+BU167*0.5+BV167)/7.5</f>
        <v>25.346931835681108</v>
      </c>
      <c r="BX167" s="86">
        <v>64.430000000000007</v>
      </c>
      <c r="BY167" s="158">
        <f t="shared" ref="BY167:BY198" si="126">BX167</f>
        <v>64.430000000000007</v>
      </c>
      <c r="BZ167" s="54"/>
    </row>
    <row r="168" spans="1:79" s="30" customFormat="1" ht="15" customHeight="1" x14ac:dyDescent="0.2">
      <c r="A168" s="2">
        <v>162</v>
      </c>
      <c r="B168" s="8" t="s">
        <v>16</v>
      </c>
      <c r="C168" s="11" t="s">
        <v>21</v>
      </c>
      <c r="D168" s="162" t="s">
        <v>136</v>
      </c>
      <c r="E168" s="209">
        <f t="shared" si="107"/>
        <v>41.983449569842676</v>
      </c>
      <c r="F168" s="71">
        <f t="shared" si="108"/>
        <v>27.494044161138628</v>
      </c>
      <c r="G168" s="71">
        <f t="shared" si="109"/>
        <v>53.566443491799525</v>
      </c>
      <c r="H168" s="71">
        <f t="shared" si="110"/>
        <v>36.430080399015772</v>
      </c>
      <c r="I168" s="71">
        <f t="shared" si="111"/>
        <v>50.443230227416798</v>
      </c>
      <c r="J168" s="63"/>
      <c r="K168" s="85">
        <v>-0.97060608625446632</v>
      </c>
      <c r="L168" s="208">
        <v>23.9</v>
      </c>
      <c r="M168" s="82">
        <f t="shared" si="106"/>
        <v>22.592592592592599</v>
      </c>
      <c r="N168" s="71">
        <f t="shared" si="112"/>
        <v>22.570706928215934</v>
      </c>
      <c r="O168" s="85">
        <v>-1.9889216872543865</v>
      </c>
      <c r="P168" s="87">
        <v>78.400000000000006</v>
      </c>
      <c r="Q168" s="70">
        <f t="shared" si="113"/>
        <v>30.717265729303111</v>
      </c>
      <c r="R168" s="90">
        <v>2E-3</v>
      </c>
      <c r="S168" s="85">
        <v>-0.97329529999999997</v>
      </c>
      <c r="T168" s="85">
        <v>0.19</v>
      </c>
      <c r="U168" s="90">
        <v>3.8839999999999999</v>
      </c>
      <c r="V168" s="70">
        <f t="shared" si="114"/>
        <v>22.584232632275132</v>
      </c>
      <c r="W168" s="85">
        <v>5.0720000000000001</v>
      </c>
      <c r="X168" s="87">
        <v>92.6</v>
      </c>
      <c r="Y168" s="87">
        <v>2.88</v>
      </c>
      <c r="Z168" s="214">
        <v>4.9000000000000004</v>
      </c>
      <c r="AA168" s="71">
        <f t="shared" si="115"/>
        <v>37.349069171135994</v>
      </c>
      <c r="AB168" s="63"/>
      <c r="AC168" s="99">
        <v>21.010212569625899</v>
      </c>
      <c r="AD168" s="87">
        <v>49.5</v>
      </c>
      <c r="AE168" s="88">
        <v>50</v>
      </c>
      <c r="AF168" s="85">
        <v>24</v>
      </c>
      <c r="AG168" s="91">
        <v>33.901882749654007</v>
      </c>
      <c r="AH168" s="70">
        <f t="shared" si="116"/>
        <v>46.75327601751345</v>
      </c>
      <c r="AI168" s="85">
        <v>1.18</v>
      </c>
      <c r="AJ168" s="85">
        <v>3.78</v>
      </c>
      <c r="AK168" s="87">
        <v>77</v>
      </c>
      <c r="AL168" s="86">
        <v>5.4553419712841755</v>
      </c>
      <c r="AM168" s="85">
        <v>80.420826370830099</v>
      </c>
      <c r="AN168" s="70">
        <f t="shared" si="117"/>
        <v>60.3796109660856</v>
      </c>
      <c r="AO168" s="63"/>
      <c r="AP168" s="89">
        <v>37.46435579116514</v>
      </c>
      <c r="AQ168" s="89">
        <v>21.781271393434743</v>
      </c>
      <c r="AR168" s="89">
        <v>97.16</v>
      </c>
      <c r="AS168" s="158">
        <f t="shared" si="118"/>
        <v>20.966724644508659</v>
      </c>
      <c r="AT168" s="89">
        <v>67.743799999999993</v>
      </c>
      <c r="AU168" s="89">
        <v>54.865993265993261</v>
      </c>
      <c r="AV168" s="89">
        <v>43.635161400667585</v>
      </c>
      <c r="AW168" s="100">
        <v>21.4</v>
      </c>
      <c r="AX168" s="71">
        <f t="shared" si="119"/>
        <v>52.968598937600056</v>
      </c>
      <c r="AY168" s="86">
        <v>23.641558438914352</v>
      </c>
      <c r="AZ168" s="71">
        <f t="shared" si="120"/>
        <v>23.641558438914352</v>
      </c>
      <c r="BA168" s="86">
        <v>38.54</v>
      </c>
      <c r="BB168" s="71">
        <f t="shared" si="121"/>
        <v>61.46</v>
      </c>
      <c r="BC168" s="86">
        <v>9.44</v>
      </c>
      <c r="BD168" s="86">
        <v>38.47</v>
      </c>
      <c r="BE168" s="86">
        <v>48.46</v>
      </c>
      <c r="BF168" s="71">
        <f t="shared" si="122"/>
        <v>36.660000000000004</v>
      </c>
      <c r="BG168" s="63"/>
      <c r="BH168" s="85">
        <v>1.78</v>
      </c>
      <c r="BI168" s="85">
        <v>4.17</v>
      </c>
      <c r="BJ168" s="88">
        <v>58</v>
      </c>
      <c r="BK168" s="81">
        <v>66.666666666666671</v>
      </c>
      <c r="BL168" s="70">
        <f t="shared" si="123"/>
        <v>51.477021107128635</v>
      </c>
      <c r="BM168" s="90">
        <v>0.57887433136452005</v>
      </c>
      <c r="BN168" s="85">
        <v>60.96</v>
      </c>
      <c r="BO168" s="85">
        <v>39.112206581510698</v>
      </c>
      <c r="BP168" s="70">
        <f t="shared" si="124"/>
        <v>53.961768213603676</v>
      </c>
      <c r="BQ168" s="90">
        <v>0.56991839830564761</v>
      </c>
      <c r="BR168" s="90">
        <v>0.49652302016102601</v>
      </c>
      <c r="BS168" s="85">
        <v>34.724939499999998</v>
      </c>
      <c r="BT168" s="86">
        <v>37.228778800000001</v>
      </c>
      <c r="BU168" s="85">
        <v>59.399825299999996</v>
      </c>
      <c r="BV168" s="86">
        <v>45.637209499999997</v>
      </c>
      <c r="BW168" s="71">
        <f t="shared" si="125"/>
        <v>44.446984247295823</v>
      </c>
      <c r="BX168" s="86">
        <v>58.29</v>
      </c>
      <c r="BY168" s="158">
        <f t="shared" si="126"/>
        <v>58.29</v>
      </c>
      <c r="BZ168" s="54"/>
    </row>
    <row r="169" spans="1:79" s="30" customFormat="1" ht="15" customHeight="1" x14ac:dyDescent="0.2">
      <c r="A169" s="2">
        <v>163</v>
      </c>
      <c r="B169" s="8" t="s">
        <v>16</v>
      </c>
      <c r="C169" s="11" t="s">
        <v>21</v>
      </c>
      <c r="D169" s="162" t="s">
        <v>213</v>
      </c>
      <c r="E169" s="209">
        <f t="shared" si="107"/>
        <v>41.185795186213454</v>
      </c>
      <c r="F169" s="71">
        <f t="shared" si="108"/>
        <v>37.07297015250024</v>
      </c>
      <c r="G169" s="71">
        <f t="shared" si="109"/>
        <v>50.518335256489934</v>
      </c>
      <c r="H169" s="71">
        <f t="shared" si="110"/>
        <v>40.178239474000421</v>
      </c>
      <c r="I169" s="71">
        <f t="shared" si="111"/>
        <v>36.973635861863222</v>
      </c>
      <c r="J169" s="63"/>
      <c r="K169" s="85">
        <v>2.644347191692531</v>
      </c>
      <c r="L169" s="208">
        <v>4.3400000000000007</v>
      </c>
      <c r="M169" s="82">
        <f t="shared" si="106"/>
        <v>95.037037037037038</v>
      </c>
      <c r="N169" s="71">
        <f t="shared" si="112"/>
        <v>78.876002916810364</v>
      </c>
      <c r="O169" s="85">
        <v>24.696877533745553</v>
      </c>
      <c r="P169" s="87">
        <v>54.2</v>
      </c>
      <c r="Q169" s="70">
        <f t="shared" si="113"/>
        <v>56.298265296525301</v>
      </c>
      <c r="R169" s="90">
        <v>8.0000000000000002E-3</v>
      </c>
      <c r="S169" s="85">
        <v>-0.51779640000000005</v>
      </c>
      <c r="T169" s="85">
        <v>0.18</v>
      </c>
      <c r="U169" s="90">
        <v>4.282</v>
      </c>
      <c r="V169" s="70">
        <f t="shared" si="114"/>
        <v>22.065380370370367</v>
      </c>
      <c r="W169" s="85">
        <v>2.746</v>
      </c>
      <c r="X169" s="87">
        <v>94.5</v>
      </c>
      <c r="Y169" s="87">
        <v>3.08</v>
      </c>
      <c r="Z169" s="214">
        <v>4.2</v>
      </c>
      <c r="AA169" s="71">
        <f t="shared" si="115"/>
        <v>38.8317595246209</v>
      </c>
      <c r="AB169" s="63"/>
      <c r="AC169" s="85">
        <v>21.856432011095187</v>
      </c>
      <c r="AD169" s="87">
        <v>42.2</v>
      </c>
      <c r="AE169" s="88">
        <v>30</v>
      </c>
      <c r="AF169" s="85">
        <v>9.75</v>
      </c>
      <c r="AG169" s="88">
        <v>26</v>
      </c>
      <c r="AH169" s="70">
        <f t="shared" si="116"/>
        <v>45.104288007396796</v>
      </c>
      <c r="AI169" s="85">
        <v>0.39</v>
      </c>
      <c r="AJ169" s="85">
        <v>3.6</v>
      </c>
      <c r="AK169" s="87">
        <v>73.400000000000006</v>
      </c>
      <c r="AL169" s="86">
        <v>4.7957993609582363</v>
      </c>
      <c r="AM169" s="85">
        <v>83.103307814333803</v>
      </c>
      <c r="AN169" s="70">
        <f t="shared" si="117"/>
        <v>55.932382505583085</v>
      </c>
      <c r="AO169" s="63"/>
      <c r="AP169" s="89">
        <v>41.355140103670635</v>
      </c>
      <c r="AQ169" s="89">
        <v>31.778165197277566</v>
      </c>
      <c r="AR169" s="89">
        <v>92.58</v>
      </c>
      <c r="AS169" s="158">
        <f t="shared" si="118"/>
        <v>28.082867624556442</v>
      </c>
      <c r="AT169" s="89">
        <v>68.707700000000003</v>
      </c>
      <c r="AU169" s="89">
        <v>50.51725370454119</v>
      </c>
      <c r="AV169" s="89">
        <v>47.186246756640514</v>
      </c>
      <c r="AW169" s="100">
        <v>22</v>
      </c>
      <c r="AX169" s="71">
        <f t="shared" si="119"/>
        <v>53.221893277770548</v>
      </c>
      <c r="AY169" s="86">
        <v>32.979439682566465</v>
      </c>
      <c r="AZ169" s="71">
        <f t="shared" si="120"/>
        <v>32.979439682566465</v>
      </c>
      <c r="BA169" s="86">
        <v>42.7</v>
      </c>
      <c r="BB169" s="71">
        <f t="shared" si="121"/>
        <v>57.3</v>
      </c>
      <c r="BC169" s="86">
        <v>25.38</v>
      </c>
      <c r="BD169" s="86">
        <v>31.06</v>
      </c>
      <c r="BE169" s="86">
        <v>41.75</v>
      </c>
      <c r="BF169" s="71">
        <f t="shared" si="122"/>
        <v>34.200000000000003</v>
      </c>
      <c r="BG169" s="63"/>
      <c r="BH169" s="85">
        <v>8.82</v>
      </c>
      <c r="BI169" s="85">
        <v>6.65</v>
      </c>
      <c r="BJ169" s="88">
        <v>41</v>
      </c>
      <c r="BK169" s="81">
        <v>27.272727272727273</v>
      </c>
      <c r="BL169" s="70">
        <f t="shared" si="123"/>
        <v>29.417950110423224</v>
      </c>
      <c r="BM169" s="90">
        <v>0.32522434779373433</v>
      </c>
      <c r="BN169" s="85">
        <v>41.98</v>
      </c>
      <c r="BO169" s="85">
        <v>28.279369215677292</v>
      </c>
      <c r="BP169" s="70">
        <f t="shared" si="124"/>
        <v>33.826059693606041</v>
      </c>
      <c r="BQ169" s="90">
        <v>0.37137812835793665</v>
      </c>
      <c r="BR169" s="90">
        <v>0.35872018554836682</v>
      </c>
      <c r="BS169" s="85">
        <v>25.261888499999998</v>
      </c>
      <c r="BT169" s="86">
        <v>44.532423199999997</v>
      </c>
      <c r="BU169" s="85">
        <v>48.433157799999996</v>
      </c>
      <c r="BV169" s="86">
        <v>46.594124699999995</v>
      </c>
      <c r="BW169" s="71">
        <f t="shared" si="125"/>
        <v>38.495229789073157</v>
      </c>
      <c r="BX169" s="86">
        <v>59.98</v>
      </c>
      <c r="BY169" s="158">
        <f t="shared" si="126"/>
        <v>59.98</v>
      </c>
      <c r="BZ169" s="54"/>
    </row>
    <row r="170" spans="1:79" s="30" customFormat="1" ht="15" customHeight="1" x14ac:dyDescent="0.2">
      <c r="A170" s="2">
        <v>164</v>
      </c>
      <c r="B170" s="8" t="s">
        <v>16</v>
      </c>
      <c r="C170" s="21" t="s">
        <v>42</v>
      </c>
      <c r="D170" s="162" t="s">
        <v>97</v>
      </c>
      <c r="E170" s="209">
        <f t="shared" si="107"/>
        <v>41.050911331495357</v>
      </c>
      <c r="F170" s="71">
        <f t="shared" si="108"/>
        <v>35.087748823884041</v>
      </c>
      <c r="G170" s="71">
        <f t="shared" si="109"/>
        <v>51.898371157164462</v>
      </c>
      <c r="H170" s="71">
        <f t="shared" si="110"/>
        <v>35.214380033270217</v>
      </c>
      <c r="I170" s="71">
        <f t="shared" si="111"/>
        <v>42.00314531166272</v>
      </c>
      <c r="J170" s="63"/>
      <c r="K170" s="85">
        <v>3.0538166666693511</v>
      </c>
      <c r="L170" s="208">
        <v>7.2200000000000006</v>
      </c>
      <c r="M170" s="82">
        <f t="shared" si="106"/>
        <v>84.370370370370367</v>
      </c>
      <c r="N170" s="71">
        <f t="shared" si="112"/>
        <v>75.817500000014917</v>
      </c>
      <c r="O170" s="85">
        <v>9.5934192519939501</v>
      </c>
      <c r="P170" s="87">
        <v>48.1</v>
      </c>
      <c r="Q170" s="70">
        <f t="shared" si="113"/>
        <v>50.618566251107751</v>
      </c>
      <c r="R170" s="168">
        <v>7.8525260578356862E-3</v>
      </c>
      <c r="S170" s="85">
        <v>-1.8048918</v>
      </c>
      <c r="T170" s="85">
        <v>0.19</v>
      </c>
      <c r="U170" s="90">
        <v>4.6180000000000003</v>
      </c>
      <c r="V170" s="70">
        <f t="shared" si="114"/>
        <v>17.212524707987829</v>
      </c>
      <c r="W170" s="85">
        <v>5.1630000000000003</v>
      </c>
      <c r="X170" s="98">
        <v>88.8</v>
      </c>
      <c r="Y170" s="87">
        <v>6.78</v>
      </c>
      <c r="Z170" s="214">
        <v>4</v>
      </c>
      <c r="AA170" s="71">
        <f t="shared" si="115"/>
        <v>45.227806128889895</v>
      </c>
      <c r="AB170" s="63"/>
      <c r="AC170" s="85">
        <v>38.074572804129616</v>
      </c>
      <c r="AD170" s="87">
        <v>21.3</v>
      </c>
      <c r="AE170" s="88">
        <v>50</v>
      </c>
      <c r="AF170" s="85">
        <v>9.5</v>
      </c>
      <c r="AG170" s="88">
        <v>35</v>
      </c>
      <c r="AH170" s="70">
        <f t="shared" si="116"/>
        <v>57.330484433522315</v>
      </c>
      <c r="AI170" s="85">
        <v>0.72</v>
      </c>
      <c r="AJ170" s="85">
        <v>3.53</v>
      </c>
      <c r="AK170" s="87">
        <v>70.099999999999994</v>
      </c>
      <c r="AL170" s="86">
        <v>3.247383952720599</v>
      </c>
      <c r="AM170" s="85">
        <v>56.549868230427698</v>
      </c>
      <c r="AN170" s="70">
        <f t="shared" si="117"/>
        <v>46.466257880806616</v>
      </c>
      <c r="AO170" s="63"/>
      <c r="AP170" s="89">
        <v>44.152099114460569</v>
      </c>
      <c r="AQ170" s="89">
        <v>31.321814701700838</v>
      </c>
      <c r="AR170" s="89">
        <v>71.06</v>
      </c>
      <c r="AS170" s="158">
        <f t="shared" si="118"/>
        <v>33.93393212946556</v>
      </c>
      <c r="AT170" s="89">
        <v>61.063899999999997</v>
      </c>
      <c r="AU170" s="89">
        <v>28.047811447811448</v>
      </c>
      <c r="AV170" s="89">
        <v>44.129029112575132</v>
      </c>
      <c r="AW170" s="100">
        <v>11.4</v>
      </c>
      <c r="AX170" s="71">
        <f t="shared" si="119"/>
        <v>42.267391099308547</v>
      </c>
      <c r="AY170" s="86">
        <v>21.97044046458333</v>
      </c>
      <c r="AZ170" s="71">
        <f t="shared" si="120"/>
        <v>21.97044046458333</v>
      </c>
      <c r="BA170" s="86">
        <v>29.59</v>
      </c>
      <c r="BB170" s="71">
        <f t="shared" si="121"/>
        <v>70.41</v>
      </c>
      <c r="BC170" s="86">
        <v>18.510000000000002</v>
      </c>
      <c r="BD170" s="86">
        <v>21.37</v>
      </c>
      <c r="BE170" s="86">
        <v>42.48</v>
      </c>
      <c r="BF170" s="71">
        <f t="shared" si="122"/>
        <v>29.241999999999997</v>
      </c>
      <c r="BG170" s="63"/>
      <c r="BH170" s="99">
        <v>5.2</v>
      </c>
      <c r="BI170" s="85">
        <v>5.05</v>
      </c>
      <c r="BJ170" s="88">
        <v>63</v>
      </c>
      <c r="BK170" s="81">
        <v>36.363636363636367</v>
      </c>
      <c r="BL170" s="70">
        <f t="shared" si="123"/>
        <v>41.991582491582498</v>
      </c>
      <c r="BM170" s="90">
        <v>0.47242544714845791</v>
      </c>
      <c r="BN170" s="85">
        <v>48.45</v>
      </c>
      <c r="BO170" s="85">
        <v>34.702454417668527</v>
      </c>
      <c r="BP170" s="70">
        <f t="shared" si="124"/>
        <v>44.409385961840023</v>
      </c>
      <c r="BQ170" s="90">
        <v>0.3651573330690574</v>
      </c>
      <c r="BR170" s="90">
        <v>0.34397001169897534</v>
      </c>
      <c r="BS170" s="85">
        <v>24.0821006</v>
      </c>
      <c r="BT170" s="86">
        <v>34.071025200000001</v>
      </c>
      <c r="BU170" s="85">
        <v>48.167745599999996</v>
      </c>
      <c r="BV170" s="86">
        <v>40.798988699999995</v>
      </c>
      <c r="BW170" s="71">
        <f t="shared" si="125"/>
        <v>34.301239714900269</v>
      </c>
      <c r="BX170" s="86">
        <v>61.77</v>
      </c>
      <c r="BY170" s="158">
        <f t="shared" si="126"/>
        <v>61.77</v>
      </c>
      <c r="BZ170" s="54"/>
    </row>
    <row r="171" spans="1:79" s="30" customFormat="1" ht="15" customHeight="1" x14ac:dyDescent="0.2">
      <c r="A171" s="2">
        <v>165</v>
      </c>
      <c r="B171" s="3" t="s">
        <v>10</v>
      </c>
      <c r="C171" s="19" t="s">
        <v>35</v>
      </c>
      <c r="D171" s="162" t="s">
        <v>127</v>
      </c>
      <c r="E171" s="209">
        <f t="shared" si="107"/>
        <v>40.916108960788222</v>
      </c>
      <c r="F171" s="71">
        <f t="shared" si="108"/>
        <v>34.133430106095922</v>
      </c>
      <c r="G171" s="71">
        <f t="shared" si="109"/>
        <v>32.47753688621345</v>
      </c>
      <c r="H171" s="71">
        <f t="shared" si="110"/>
        <v>58.832556461323151</v>
      </c>
      <c r="I171" s="71">
        <f t="shared" si="111"/>
        <v>38.220912389520379</v>
      </c>
      <c r="J171" s="63"/>
      <c r="K171" s="85">
        <v>-2.5310703694322201</v>
      </c>
      <c r="L171" s="208">
        <v>121.42</v>
      </c>
      <c r="M171" s="82">
        <f t="shared" si="106"/>
        <v>0</v>
      </c>
      <c r="N171" s="71">
        <f t="shared" si="112"/>
        <v>2.6051646142654441</v>
      </c>
      <c r="O171" s="85">
        <v>-12.545297534014965</v>
      </c>
      <c r="P171" s="87">
        <v>139.4</v>
      </c>
      <c r="Q171" s="70">
        <f t="shared" si="113"/>
        <v>1.9333333333333311</v>
      </c>
      <c r="R171" s="90">
        <v>1.6E-2</v>
      </c>
      <c r="S171" s="85">
        <v>0.39053303</v>
      </c>
      <c r="T171" s="85">
        <v>0.52</v>
      </c>
      <c r="U171" s="90">
        <v>3.536</v>
      </c>
      <c r="V171" s="70">
        <f t="shared" si="114"/>
        <v>40.066824554232802</v>
      </c>
      <c r="W171" s="85">
        <v>10.984999999999999</v>
      </c>
      <c r="X171" s="87">
        <v>55.4</v>
      </c>
      <c r="Y171" s="87">
        <v>17.600000000000001</v>
      </c>
      <c r="Z171" s="214">
        <v>7.6</v>
      </c>
      <c r="AA171" s="71">
        <f t="shared" si="115"/>
        <v>54.198005470211889</v>
      </c>
      <c r="AB171" s="63"/>
      <c r="AC171" s="85">
        <v>1.4448929602202227</v>
      </c>
      <c r="AD171" s="87">
        <v>21.8</v>
      </c>
      <c r="AE171" s="88">
        <v>20</v>
      </c>
      <c r="AF171" s="85">
        <v>20</v>
      </c>
      <c r="AG171" s="88">
        <v>11</v>
      </c>
      <c r="AH171" s="70">
        <f t="shared" si="116"/>
        <v>21.301723511941685</v>
      </c>
      <c r="AI171" s="85">
        <v>1.1499999999999999</v>
      </c>
      <c r="AJ171" s="85">
        <v>3.52</v>
      </c>
      <c r="AK171" s="87">
        <v>90.3</v>
      </c>
      <c r="AL171" s="86">
        <v>2.8505493903324597</v>
      </c>
      <c r="AM171" s="85">
        <v>32.384113756262003</v>
      </c>
      <c r="AN171" s="70">
        <f t="shared" si="117"/>
        <v>43.653350260485205</v>
      </c>
      <c r="AO171" s="63"/>
      <c r="AP171" s="89">
        <v>94.048889371776227</v>
      </c>
      <c r="AQ171" s="89">
        <v>62.27660435907606</v>
      </c>
      <c r="AR171" s="89">
        <v>53.96</v>
      </c>
      <c r="AS171" s="158">
        <f t="shared" si="118"/>
        <v>66.160524522482092</v>
      </c>
      <c r="AT171" s="89">
        <v>78.083799999999997</v>
      </c>
      <c r="AU171" s="89">
        <v>57.216477319740363</v>
      </c>
      <c r="AV171" s="89">
        <v>49.130283191244189</v>
      </c>
      <c r="AW171" s="100">
        <v>8.6999999999999993</v>
      </c>
      <c r="AX171" s="71">
        <f t="shared" si="119"/>
        <v>69.749878637125107</v>
      </c>
      <c r="AY171" s="86">
        <v>43.583071230835358</v>
      </c>
      <c r="AZ171" s="71">
        <f t="shared" si="120"/>
        <v>43.583071230835358</v>
      </c>
      <c r="BA171" s="86">
        <v>35.479999999999997</v>
      </c>
      <c r="BB171" s="71">
        <f t="shared" si="121"/>
        <v>64.52000000000001</v>
      </c>
      <c r="BC171" s="86">
        <v>45.59</v>
      </c>
      <c r="BD171" s="86">
        <v>39.94</v>
      </c>
      <c r="BE171" s="86">
        <v>31.22</v>
      </c>
      <c r="BF171" s="71">
        <f t="shared" si="122"/>
        <v>37.582000000000001</v>
      </c>
      <c r="BG171" s="63"/>
      <c r="BH171" s="85">
        <v>2.64</v>
      </c>
      <c r="BI171" s="85">
        <v>7.3</v>
      </c>
      <c r="BJ171" s="88">
        <v>19</v>
      </c>
      <c r="BK171" s="81">
        <v>54.545454545454547</v>
      </c>
      <c r="BL171" s="70">
        <f t="shared" si="123"/>
        <v>31.366764418377315</v>
      </c>
      <c r="BM171" s="90">
        <v>0.47600558987783653</v>
      </c>
      <c r="BN171" s="85">
        <v>46.49</v>
      </c>
      <c r="BO171" s="85">
        <v>28.493261986180656</v>
      </c>
      <c r="BP171" s="70">
        <f t="shared" si="124"/>
        <v>42.546094990436984</v>
      </c>
      <c r="BQ171" s="90">
        <v>0.49118825048465697</v>
      </c>
      <c r="BR171" s="90">
        <v>0.36001966555236553</v>
      </c>
      <c r="BS171" s="85">
        <v>21.457145999999998</v>
      </c>
      <c r="BT171" s="86">
        <v>29.366404599999999</v>
      </c>
      <c r="BU171" s="85">
        <v>42.156424600000001</v>
      </c>
      <c r="BV171" s="86">
        <v>39.739901499999995</v>
      </c>
      <c r="BW171" s="71">
        <f t="shared" si="125"/>
        <v>33.981122250842731</v>
      </c>
      <c r="BX171" s="86">
        <v>57.22</v>
      </c>
      <c r="BY171" s="158">
        <f t="shared" si="126"/>
        <v>57.22</v>
      </c>
      <c r="BZ171" s="54"/>
    </row>
    <row r="172" spans="1:79" s="30" customFormat="1" ht="15" customHeight="1" x14ac:dyDescent="0.2">
      <c r="A172" s="2">
        <v>166</v>
      </c>
      <c r="B172" s="17" t="s">
        <v>29</v>
      </c>
      <c r="C172" s="24" t="s">
        <v>85</v>
      </c>
      <c r="D172" s="162" t="s">
        <v>167</v>
      </c>
      <c r="E172" s="209">
        <f t="shared" si="107"/>
        <v>40.54076635838738</v>
      </c>
      <c r="F172" s="71">
        <f t="shared" si="108"/>
        <v>37.352961657432409</v>
      </c>
      <c r="G172" s="71">
        <f t="shared" si="109"/>
        <v>47.135011483308155</v>
      </c>
      <c r="H172" s="71">
        <f t="shared" si="110"/>
        <v>33.495636533768256</v>
      </c>
      <c r="I172" s="71">
        <f t="shared" si="111"/>
        <v>44.179455759040728</v>
      </c>
      <c r="J172" s="63"/>
      <c r="K172" s="86">
        <v>2.8823640292449326</v>
      </c>
      <c r="L172" s="207">
        <v>3.4200000000000004</v>
      </c>
      <c r="M172" s="82">
        <f t="shared" si="106"/>
        <v>98.444444444444429</v>
      </c>
      <c r="N172" s="71">
        <f t="shared" si="112"/>
        <v>81.902022384694064</v>
      </c>
      <c r="O172" s="86">
        <v>30.421149628466704</v>
      </c>
      <c r="P172" s="100">
        <v>52.1</v>
      </c>
      <c r="Q172" s="70">
        <f t="shared" si="113"/>
        <v>60.411749793592627</v>
      </c>
      <c r="R172" s="167">
        <v>5.0000000000000001E-3</v>
      </c>
      <c r="S172" s="86">
        <v>-2.1397344999999999</v>
      </c>
      <c r="T172" s="86">
        <v>0.22</v>
      </c>
      <c r="U172" s="167">
        <v>4.2569999999999997</v>
      </c>
      <c r="V172" s="70">
        <f t="shared" si="114"/>
        <v>18.790155489417995</v>
      </c>
      <c r="W172" s="86">
        <v>2.5710000000000002</v>
      </c>
      <c r="X172" s="93">
        <v>66.150000000000006</v>
      </c>
      <c r="Y172" s="100">
        <v>6.13</v>
      </c>
      <c r="Z172" s="107">
        <v>10.3</v>
      </c>
      <c r="AA172" s="71">
        <f t="shared" si="115"/>
        <v>42.823676820860435</v>
      </c>
      <c r="AB172" s="63"/>
      <c r="AC172" s="86">
        <v>18.133666800385974</v>
      </c>
      <c r="AD172" s="100">
        <v>45</v>
      </c>
      <c r="AE172" s="95">
        <v>25</v>
      </c>
      <c r="AF172" s="85">
        <v>5</v>
      </c>
      <c r="AG172" s="88">
        <v>27</v>
      </c>
      <c r="AH172" s="70">
        <f t="shared" si="116"/>
        <v>43.640393251539365</v>
      </c>
      <c r="AI172" s="86">
        <v>0.19</v>
      </c>
      <c r="AJ172" s="92">
        <v>3.5777535804190657</v>
      </c>
      <c r="AK172" s="100">
        <v>70.900000000000006</v>
      </c>
      <c r="AL172" s="86">
        <v>4.4379034484092985</v>
      </c>
      <c r="AM172" s="86">
        <v>62.750869811799099</v>
      </c>
      <c r="AN172" s="70">
        <f t="shared" si="117"/>
        <v>50.629629715076952</v>
      </c>
      <c r="AO172" s="63"/>
      <c r="AP172" s="89">
        <v>31.169662796114306</v>
      </c>
      <c r="AQ172" s="89">
        <v>29.99035626778749</v>
      </c>
      <c r="AR172" s="89">
        <v>89.23</v>
      </c>
      <c r="AS172" s="158">
        <f t="shared" si="118"/>
        <v>25.480093832922321</v>
      </c>
      <c r="AT172" s="89">
        <v>66.385300000000001</v>
      </c>
      <c r="AU172" s="89">
        <v>23.389225589225589</v>
      </c>
      <c r="AV172" s="89">
        <v>45.630346854824076</v>
      </c>
      <c r="AW172" s="100">
        <v>28.7</v>
      </c>
      <c r="AX172" s="71">
        <f t="shared" si="119"/>
        <v>40.807219826942962</v>
      </c>
      <c r="AY172" s="86">
        <v>28.509544544430554</v>
      </c>
      <c r="AZ172" s="71">
        <f t="shared" si="120"/>
        <v>28.509544544430554</v>
      </c>
      <c r="BA172" s="86">
        <v>41.85</v>
      </c>
      <c r="BB172" s="71">
        <f t="shared" si="121"/>
        <v>58.15</v>
      </c>
      <c r="BC172" s="86">
        <v>32.450000000000003</v>
      </c>
      <c r="BD172" s="86">
        <v>25.96</v>
      </c>
      <c r="BE172" s="86">
        <v>28.02</v>
      </c>
      <c r="BF172" s="71">
        <f t="shared" si="122"/>
        <v>28.082000000000001</v>
      </c>
      <c r="BG172" s="63"/>
      <c r="BH172" s="86">
        <v>9.34</v>
      </c>
      <c r="BI172" s="86">
        <v>5.78</v>
      </c>
      <c r="BJ172" s="95">
        <v>66</v>
      </c>
      <c r="BK172" s="82">
        <v>45.454545454545453</v>
      </c>
      <c r="BL172" s="70">
        <f t="shared" si="123"/>
        <v>44.87987038847254</v>
      </c>
      <c r="BM172" s="96">
        <v>0.50165329155472249</v>
      </c>
      <c r="BN172" s="86">
        <v>60.11</v>
      </c>
      <c r="BO172" s="86">
        <v>38.862191565064187</v>
      </c>
      <c r="BP172" s="70">
        <f t="shared" si="124"/>
        <v>49.825712469002177</v>
      </c>
      <c r="BQ172" s="96">
        <v>0.42498534667757892</v>
      </c>
      <c r="BR172" s="96">
        <v>0.43735513334189297</v>
      </c>
      <c r="BS172" s="86">
        <v>31.715213599999998</v>
      </c>
      <c r="BT172" s="86">
        <v>33.832174899999998</v>
      </c>
      <c r="BU172" s="86">
        <v>54.725161799999995</v>
      </c>
      <c r="BV172" s="86">
        <v>45.3936104</v>
      </c>
      <c r="BW172" s="71">
        <f t="shared" si="125"/>
        <v>39.479355489205574</v>
      </c>
      <c r="BX172" s="92">
        <v>41.94</v>
      </c>
      <c r="BY172" s="158">
        <f t="shared" si="126"/>
        <v>41.94</v>
      </c>
      <c r="BZ172" s="54"/>
    </row>
    <row r="173" spans="1:79" s="30" customFormat="1" ht="15" customHeight="1" x14ac:dyDescent="0.2">
      <c r="A173" s="2">
        <v>167</v>
      </c>
      <c r="B173" s="8" t="s">
        <v>16</v>
      </c>
      <c r="C173" s="21" t="s">
        <v>42</v>
      </c>
      <c r="D173" s="162" t="s">
        <v>52</v>
      </c>
      <c r="E173" s="209">
        <f t="shared" si="107"/>
        <v>40.060944209139663</v>
      </c>
      <c r="F173" s="71">
        <f t="shared" si="108"/>
        <v>34.935768181957819</v>
      </c>
      <c r="G173" s="71">
        <f t="shared" si="109"/>
        <v>47.685345974716746</v>
      </c>
      <c r="H173" s="71">
        <f t="shared" si="110"/>
        <v>35.459329739499005</v>
      </c>
      <c r="I173" s="71">
        <f t="shared" si="111"/>
        <v>42.163332940385082</v>
      </c>
      <c r="J173" s="63"/>
      <c r="K173" s="85">
        <v>1.3633923379413604</v>
      </c>
      <c r="L173" s="208">
        <v>4.4599999999999991</v>
      </c>
      <c r="M173" s="82">
        <f t="shared" si="106"/>
        <v>94.592592592592595</v>
      </c>
      <c r="N173" s="71">
        <f t="shared" si="112"/>
        <v>71.537364840414966</v>
      </c>
      <c r="O173" s="85">
        <v>15.885929813897665</v>
      </c>
      <c r="P173" s="87">
        <v>52</v>
      </c>
      <c r="Q173" s="70">
        <f t="shared" si="113"/>
        <v>52.381072118832037</v>
      </c>
      <c r="R173" s="168">
        <v>3.4287429205866406E-3</v>
      </c>
      <c r="S173" s="85">
        <v>-0.69999449999999996</v>
      </c>
      <c r="T173" s="85">
        <v>0.22</v>
      </c>
      <c r="U173" s="90">
        <v>4.6559999999999997</v>
      </c>
      <c r="V173" s="70">
        <f t="shared" si="114"/>
        <v>20.773043853905893</v>
      </c>
      <c r="W173" s="85">
        <v>3.4769999999999999</v>
      </c>
      <c r="X173" s="87">
        <v>94.7</v>
      </c>
      <c r="Y173" s="87">
        <v>2.6</v>
      </c>
      <c r="Z173" s="214">
        <v>3.7</v>
      </c>
      <c r="AA173" s="71">
        <f t="shared" si="115"/>
        <v>38.153395812554272</v>
      </c>
      <c r="AB173" s="63"/>
      <c r="AC173" s="85">
        <v>16.72921771069182</v>
      </c>
      <c r="AD173" s="87">
        <v>17.600000000000001</v>
      </c>
      <c r="AE173" s="88">
        <v>65</v>
      </c>
      <c r="AF173" s="85">
        <v>5</v>
      </c>
      <c r="AG173" s="88">
        <v>20</v>
      </c>
      <c r="AH173" s="70">
        <f t="shared" si="116"/>
        <v>43.637427191743264</v>
      </c>
      <c r="AI173" s="85">
        <v>0.31</v>
      </c>
      <c r="AJ173" s="85">
        <v>2.72</v>
      </c>
      <c r="AK173" s="87">
        <v>80.8</v>
      </c>
      <c r="AL173" s="86">
        <v>5.1366545197669593</v>
      </c>
      <c r="AM173" s="85">
        <v>70.391498150802207</v>
      </c>
      <c r="AN173" s="70">
        <f t="shared" si="117"/>
        <v>51.733264757690229</v>
      </c>
      <c r="AO173" s="63"/>
      <c r="AP173" s="89">
        <v>34.778739936824465</v>
      </c>
      <c r="AQ173" s="89">
        <v>31.574601563975712</v>
      </c>
      <c r="AR173" s="89">
        <v>90</v>
      </c>
      <c r="AS173" s="158">
        <f t="shared" si="118"/>
        <v>26.981985766193972</v>
      </c>
      <c r="AT173" s="89">
        <v>61.472900000000003</v>
      </c>
      <c r="AU173" s="89">
        <v>48.620202020202015</v>
      </c>
      <c r="AV173" s="89">
        <v>48.232128324918719</v>
      </c>
      <c r="AW173" s="100">
        <v>13.1</v>
      </c>
      <c r="AX173" s="71">
        <f t="shared" si="119"/>
        <v>48.460251588395295</v>
      </c>
      <c r="AY173" s="86">
        <v>20.693780968048614</v>
      </c>
      <c r="AZ173" s="71">
        <f t="shared" si="120"/>
        <v>20.693780968048614</v>
      </c>
      <c r="BA173" s="86">
        <v>37.39</v>
      </c>
      <c r="BB173" s="71">
        <f t="shared" si="121"/>
        <v>62.61</v>
      </c>
      <c r="BC173" s="86">
        <v>21.22</v>
      </c>
      <c r="BD173" s="86">
        <v>28.45</v>
      </c>
      <c r="BE173" s="86">
        <v>47.16</v>
      </c>
      <c r="BF173" s="71">
        <f t="shared" si="122"/>
        <v>34.488</v>
      </c>
      <c r="BG173" s="63"/>
      <c r="BH173" s="99">
        <v>4.0149999999999997</v>
      </c>
      <c r="BI173" s="85">
        <v>6.03</v>
      </c>
      <c r="BJ173" s="88">
        <v>37</v>
      </c>
      <c r="BK173" s="81">
        <v>24.242424242424246</v>
      </c>
      <c r="BL173" s="70">
        <f t="shared" si="123"/>
        <v>28.246688208247349</v>
      </c>
      <c r="BM173" s="90">
        <v>0.46826154728893871</v>
      </c>
      <c r="BN173" s="85">
        <v>48.52</v>
      </c>
      <c r="BO173" s="85">
        <v>44.680676613295496</v>
      </c>
      <c r="BP173" s="70">
        <f t="shared" si="124"/>
        <v>46.713246517770813</v>
      </c>
      <c r="BQ173" s="90">
        <v>0.47872202138735331</v>
      </c>
      <c r="BR173" s="90">
        <v>0.45019910235966931</v>
      </c>
      <c r="BS173" s="85">
        <v>42.742688299999998</v>
      </c>
      <c r="BT173" s="86">
        <v>34.3295393</v>
      </c>
      <c r="BU173" s="85">
        <v>33.331202099999999</v>
      </c>
      <c r="BV173" s="86">
        <v>46.573940399999998</v>
      </c>
      <c r="BW173" s="71">
        <f t="shared" si="125"/>
        <v>41.521962665691426</v>
      </c>
      <c r="BX173" s="86">
        <v>65.55</v>
      </c>
      <c r="BY173" s="158">
        <f t="shared" si="126"/>
        <v>65.55</v>
      </c>
      <c r="BZ173" s="54"/>
    </row>
    <row r="174" spans="1:79" s="30" customFormat="1" ht="15" customHeight="1" x14ac:dyDescent="0.2">
      <c r="A174" s="2">
        <v>168</v>
      </c>
      <c r="B174" s="8" t="s">
        <v>16</v>
      </c>
      <c r="C174" s="21" t="s">
        <v>42</v>
      </c>
      <c r="D174" s="162" t="s">
        <v>80</v>
      </c>
      <c r="E174" s="209">
        <f t="shared" si="107"/>
        <v>39.802950470272222</v>
      </c>
      <c r="F174" s="71">
        <f t="shared" si="108"/>
        <v>34.646887732376157</v>
      </c>
      <c r="G174" s="71">
        <f t="shared" si="109"/>
        <v>35.585153574364874</v>
      </c>
      <c r="H174" s="71">
        <f t="shared" si="110"/>
        <v>44.248056016707679</v>
      </c>
      <c r="I174" s="71">
        <f t="shared" si="111"/>
        <v>44.731704557640171</v>
      </c>
      <c r="J174" s="63"/>
      <c r="K174" s="86">
        <v>-4.8526236249473502</v>
      </c>
      <c r="L174" s="207">
        <v>2.6800000000000006</v>
      </c>
      <c r="M174" s="82">
        <f t="shared" si="106"/>
        <v>100</v>
      </c>
      <c r="N174" s="71">
        <f t="shared" si="112"/>
        <v>50</v>
      </c>
      <c r="O174" s="92">
        <v>21.134258479907587</v>
      </c>
      <c r="P174" s="100">
        <v>40.6</v>
      </c>
      <c r="Q174" s="70">
        <f t="shared" si="113"/>
        <v>60.363476933281994</v>
      </c>
      <c r="R174" s="96">
        <v>1.419517983750461E-2</v>
      </c>
      <c r="S174" s="86">
        <v>-2.7039241999999999</v>
      </c>
      <c r="T174" s="86">
        <v>0.14000000000000001</v>
      </c>
      <c r="U174" s="167">
        <v>3.7509999999999999</v>
      </c>
      <c r="V174" s="70">
        <f t="shared" si="114"/>
        <v>17.646943453571772</v>
      </c>
      <c r="W174" s="86">
        <v>8.3369999999999997</v>
      </c>
      <c r="X174" s="100">
        <v>83.9</v>
      </c>
      <c r="Y174" s="100">
        <v>18.239999999999998</v>
      </c>
      <c r="Z174" s="107">
        <v>7.8</v>
      </c>
      <c r="AA174" s="71">
        <f t="shared" si="115"/>
        <v>47.075577862391896</v>
      </c>
      <c r="AB174" s="63"/>
      <c r="AC174" s="86">
        <v>6.3714604780725077</v>
      </c>
      <c r="AD174" s="100">
        <v>16.899999999999999</v>
      </c>
      <c r="AE174" s="95">
        <v>40</v>
      </c>
      <c r="AF174" s="85">
        <v>4.75</v>
      </c>
      <c r="AG174" s="91">
        <v>17.650979999534677</v>
      </c>
      <c r="AH174" s="70">
        <f t="shared" si="116"/>
        <v>32.121521600688737</v>
      </c>
      <c r="AI174" s="86">
        <v>-1.45</v>
      </c>
      <c r="AJ174" s="92">
        <v>3.7963123064409294</v>
      </c>
      <c r="AK174" s="100">
        <v>81</v>
      </c>
      <c r="AL174" s="92">
        <v>3.3283481362473366</v>
      </c>
      <c r="AM174" s="86">
        <v>25.442942902276101</v>
      </c>
      <c r="AN174" s="70">
        <f t="shared" si="117"/>
        <v>39.048785548041018</v>
      </c>
      <c r="AO174" s="63"/>
      <c r="AP174" s="89">
        <v>64.366097186179289</v>
      </c>
      <c r="AQ174" s="89">
        <v>44.198702114176697</v>
      </c>
      <c r="AR174" s="89">
        <v>59.9</v>
      </c>
      <c r="AS174" s="158">
        <f t="shared" si="118"/>
        <v>48.215875353633173</v>
      </c>
      <c r="AT174" s="89">
        <v>64.100300000000004</v>
      </c>
      <c r="AU174" s="89">
        <v>33.169212065169788</v>
      </c>
      <c r="AV174" s="89">
        <v>38.96144379210925</v>
      </c>
      <c r="AW174" s="93">
        <v>13.5</v>
      </c>
      <c r="AX174" s="71">
        <f t="shared" si="119"/>
        <v>45.152004326295604</v>
      </c>
      <c r="AY174" s="86">
        <v>38.729142656383658</v>
      </c>
      <c r="AZ174" s="71">
        <f t="shared" si="120"/>
        <v>38.729142656383658</v>
      </c>
      <c r="BA174" s="86">
        <v>38.54</v>
      </c>
      <c r="BB174" s="71">
        <f t="shared" si="121"/>
        <v>61.46</v>
      </c>
      <c r="BC174" s="86">
        <v>44.86</v>
      </c>
      <c r="BD174" s="86">
        <v>24.87</v>
      </c>
      <c r="BE174" s="86">
        <v>43.59</v>
      </c>
      <c r="BF174" s="71">
        <f t="shared" si="122"/>
        <v>36.356000000000002</v>
      </c>
      <c r="BG174" s="63"/>
      <c r="BH174" s="92">
        <v>9.9849999999999994</v>
      </c>
      <c r="BI174" s="86">
        <v>4.37</v>
      </c>
      <c r="BJ174" s="95">
        <v>156</v>
      </c>
      <c r="BK174" s="82">
        <v>50</v>
      </c>
      <c r="BL174" s="70">
        <f t="shared" si="123"/>
        <v>79.404012345679007</v>
      </c>
      <c r="BM174" s="96">
        <v>0.29024250952879216</v>
      </c>
      <c r="BN174" s="86">
        <v>52.79</v>
      </c>
      <c r="BO174" s="86">
        <v>38.73908930967621</v>
      </c>
      <c r="BP174" s="70">
        <f t="shared" si="124"/>
        <v>37.394397803858659</v>
      </c>
      <c r="BQ174" s="96">
        <v>0.27331721867419589</v>
      </c>
      <c r="BR174" s="96">
        <v>0.30594187427379654</v>
      </c>
      <c r="BS174" s="86">
        <v>18.037099899999998</v>
      </c>
      <c r="BT174" s="86">
        <v>28.3476973</v>
      </c>
      <c r="BU174" s="86">
        <v>63.486955199999997</v>
      </c>
      <c r="BV174" s="86">
        <v>32.797806299999998</v>
      </c>
      <c r="BW174" s="71">
        <f t="shared" si="125"/>
        <v>29.535377514465207</v>
      </c>
      <c r="BX174" s="86">
        <v>33.25</v>
      </c>
      <c r="BY174" s="158">
        <f t="shared" si="126"/>
        <v>33.25</v>
      </c>
      <c r="BZ174" s="54"/>
      <c r="CA174" s="156"/>
    </row>
    <row r="175" spans="1:79" s="30" customFormat="1" ht="15" customHeight="1" x14ac:dyDescent="0.2">
      <c r="A175" s="2">
        <v>169</v>
      </c>
      <c r="B175" s="8" t="s">
        <v>16</v>
      </c>
      <c r="C175" s="21" t="s">
        <v>42</v>
      </c>
      <c r="D175" s="162" t="s">
        <v>66</v>
      </c>
      <c r="E175" s="209">
        <f t="shared" si="107"/>
        <v>39.779740171427264</v>
      </c>
      <c r="F175" s="71">
        <f t="shared" si="108"/>
        <v>33.474120922822493</v>
      </c>
      <c r="G175" s="71">
        <f t="shared" si="109"/>
        <v>43.36124609233584</v>
      </c>
      <c r="H175" s="71">
        <f t="shared" si="110"/>
        <v>37.877774764056745</v>
      </c>
      <c r="I175" s="71">
        <f t="shared" si="111"/>
        <v>44.405818906493977</v>
      </c>
      <c r="J175" s="63"/>
      <c r="K175" s="85">
        <v>-0.27705323058734299</v>
      </c>
      <c r="L175" s="208">
        <v>3</v>
      </c>
      <c r="M175" s="82">
        <f t="shared" si="106"/>
        <v>100</v>
      </c>
      <c r="N175" s="71">
        <f t="shared" si="112"/>
        <v>65.127482052292535</v>
      </c>
      <c r="O175" s="85">
        <v>31.656027635491142</v>
      </c>
      <c r="P175" s="87">
        <v>96.8</v>
      </c>
      <c r="Q175" s="70">
        <f t="shared" si="113"/>
        <v>41.231126464161747</v>
      </c>
      <c r="R175" s="90">
        <v>8.9999999999999993E-3</v>
      </c>
      <c r="S175" s="85">
        <v>-2.4930756000000001</v>
      </c>
      <c r="T175" s="85">
        <v>0.31</v>
      </c>
      <c r="U175" s="90">
        <v>3.9049999999999998</v>
      </c>
      <c r="V175" s="70">
        <f t="shared" si="114"/>
        <v>22.781139206349209</v>
      </c>
      <c r="W175" s="85">
        <v>19.876000000000001</v>
      </c>
      <c r="X175" s="87">
        <v>85.3</v>
      </c>
      <c r="Y175" s="87">
        <v>7.47</v>
      </c>
      <c r="Z175" s="214">
        <v>8</v>
      </c>
      <c r="AA175" s="71">
        <f t="shared" si="115"/>
        <v>37.544536579177496</v>
      </c>
      <c r="AB175" s="63"/>
      <c r="AC175" s="85">
        <v>29.081261848489802</v>
      </c>
      <c r="AD175" s="87">
        <v>28.7</v>
      </c>
      <c r="AE175" s="88">
        <v>35</v>
      </c>
      <c r="AF175" s="85">
        <v>4.75</v>
      </c>
      <c r="AG175" s="88">
        <v>18</v>
      </c>
      <c r="AH175" s="70">
        <f t="shared" si="116"/>
        <v>48.452892514377815</v>
      </c>
      <c r="AI175" s="85">
        <v>-1.37</v>
      </c>
      <c r="AJ175" s="99">
        <v>3.6217003619383901</v>
      </c>
      <c r="AK175" s="87">
        <v>73.7</v>
      </c>
      <c r="AL175" s="86">
        <v>3.337377252186168</v>
      </c>
      <c r="AM175" s="85">
        <v>27.602543929580101</v>
      </c>
      <c r="AN175" s="70">
        <f t="shared" si="117"/>
        <v>38.269599670293864</v>
      </c>
      <c r="AO175" s="63"/>
      <c r="AP175" s="89">
        <v>48.60546531332183</v>
      </c>
      <c r="AQ175" s="89">
        <v>35.249060439012851</v>
      </c>
      <c r="AR175" s="89">
        <v>89.5</v>
      </c>
      <c r="AS175" s="158">
        <f t="shared" si="118"/>
        <v>32.400896547836879</v>
      </c>
      <c r="AT175" s="89">
        <v>66.204099999999997</v>
      </c>
      <c r="AU175" s="89">
        <v>41.072227358946193</v>
      </c>
      <c r="AV175" s="89">
        <v>36.320759759483956</v>
      </c>
      <c r="AW175" s="100">
        <v>26.4</v>
      </c>
      <c r="AX175" s="71">
        <f t="shared" si="119"/>
        <v>44.545481530354699</v>
      </c>
      <c r="AY175" s="86">
        <v>33.232128365893523</v>
      </c>
      <c r="AZ175" s="71">
        <f t="shared" si="120"/>
        <v>33.232128365893523</v>
      </c>
      <c r="BA175" s="86">
        <v>48.94</v>
      </c>
      <c r="BB175" s="71">
        <f t="shared" si="121"/>
        <v>51.06</v>
      </c>
      <c r="BC175" s="86">
        <v>33.46</v>
      </c>
      <c r="BD175" s="86">
        <v>12.44</v>
      </c>
      <c r="BE175" s="86">
        <v>53.97</v>
      </c>
      <c r="BF175" s="71">
        <f t="shared" si="122"/>
        <v>33.256</v>
      </c>
      <c r="BG175" s="63"/>
      <c r="BH175" s="99">
        <v>5.2</v>
      </c>
      <c r="BI175" s="85">
        <v>5.03</v>
      </c>
      <c r="BJ175" s="88">
        <v>96</v>
      </c>
      <c r="BK175" s="81">
        <v>45.454545454545453</v>
      </c>
      <c r="BL175" s="70">
        <f t="shared" si="123"/>
        <v>56.862188190145183</v>
      </c>
      <c r="BM175" s="90">
        <v>0.39497862885708823</v>
      </c>
      <c r="BN175" s="85">
        <v>61.21</v>
      </c>
      <c r="BO175" s="85">
        <v>36.495559277923938</v>
      </c>
      <c r="BP175" s="70">
        <f t="shared" si="124"/>
        <v>44.175321262335402</v>
      </c>
      <c r="BQ175" s="90">
        <v>0.36036170813114343</v>
      </c>
      <c r="BR175" s="90">
        <v>0.38510598928262874</v>
      </c>
      <c r="BS175" s="85">
        <v>19.0396064</v>
      </c>
      <c r="BT175" s="86">
        <v>29.745210999999998</v>
      </c>
      <c r="BU175" s="85">
        <v>61.480256599999997</v>
      </c>
      <c r="BV175" s="86">
        <v>36.701016899999999</v>
      </c>
      <c r="BW175" s="71">
        <f t="shared" si="125"/>
        <v>33.239072800734483</v>
      </c>
      <c r="BX175" s="86">
        <v>53.04</v>
      </c>
      <c r="BY175" s="158">
        <f t="shared" si="126"/>
        <v>53.04</v>
      </c>
      <c r="BZ175" s="54"/>
    </row>
    <row r="176" spans="1:79" s="30" customFormat="1" ht="15" customHeight="1" x14ac:dyDescent="0.2">
      <c r="A176" s="2">
        <v>170</v>
      </c>
      <c r="B176" s="8" t="s">
        <v>16</v>
      </c>
      <c r="C176" s="21" t="s">
        <v>42</v>
      </c>
      <c r="D176" s="162" t="s">
        <v>56</v>
      </c>
      <c r="E176" s="209">
        <f t="shared" si="107"/>
        <v>39.666842108907311</v>
      </c>
      <c r="F176" s="71">
        <f t="shared" si="108"/>
        <v>38.753567917289132</v>
      </c>
      <c r="G176" s="71">
        <f t="shared" si="109"/>
        <v>45.836239918967273</v>
      </c>
      <c r="H176" s="71">
        <f t="shared" si="110"/>
        <v>40.244433927085467</v>
      </c>
      <c r="I176" s="71">
        <f t="shared" si="111"/>
        <v>33.833126672287364</v>
      </c>
      <c r="J176" s="63"/>
      <c r="K176" s="85">
        <v>0.78551362224512644</v>
      </c>
      <c r="L176" s="208">
        <v>4.7799999999999994</v>
      </c>
      <c r="M176" s="82">
        <f t="shared" si="106"/>
        <v>93.407407407407405</v>
      </c>
      <c r="N176" s="71">
        <f t="shared" si="112"/>
        <v>67.734334938398845</v>
      </c>
      <c r="O176" s="85">
        <v>15.540088586922671</v>
      </c>
      <c r="P176" s="87">
        <v>40.4</v>
      </c>
      <c r="Q176" s="70">
        <f t="shared" si="113"/>
        <v>57.344493659401479</v>
      </c>
      <c r="R176" s="90">
        <v>6.0000000000000001E-3</v>
      </c>
      <c r="S176" s="85">
        <v>-1.5909857000000001</v>
      </c>
      <c r="T176" s="85">
        <v>0.3</v>
      </c>
      <c r="U176" s="90">
        <v>3.7890000000000001</v>
      </c>
      <c r="V176" s="70">
        <f t="shared" si="114"/>
        <v>25.283769880952377</v>
      </c>
      <c r="W176" s="85">
        <v>3.6019999999999999</v>
      </c>
      <c r="X176" s="87">
        <v>87.1</v>
      </c>
      <c r="Y176" s="87">
        <v>6.1</v>
      </c>
      <c r="Z176" s="214">
        <v>5.8</v>
      </c>
      <c r="AA176" s="71">
        <f t="shared" si="115"/>
        <v>42.946301736251343</v>
      </c>
      <c r="AB176" s="63"/>
      <c r="AC176" s="85">
        <v>19.342552476236094</v>
      </c>
      <c r="AD176" s="87">
        <v>28.1</v>
      </c>
      <c r="AE176" s="88">
        <v>30</v>
      </c>
      <c r="AF176" s="85">
        <v>4.75</v>
      </c>
      <c r="AG176" s="88">
        <v>23</v>
      </c>
      <c r="AH176" s="70">
        <f t="shared" si="116"/>
        <v>41.860419599542013</v>
      </c>
      <c r="AI176" s="85">
        <v>0.67</v>
      </c>
      <c r="AJ176" s="85">
        <v>3.79</v>
      </c>
      <c r="AK176" s="87">
        <v>72.2</v>
      </c>
      <c r="AL176" s="86">
        <v>3.4556891295385794</v>
      </c>
      <c r="AM176" s="85">
        <v>65.533578839583697</v>
      </c>
      <c r="AN176" s="70">
        <f t="shared" si="117"/>
        <v>49.812060238392547</v>
      </c>
      <c r="AO176" s="63"/>
      <c r="AP176" s="89">
        <v>52.183893757354895</v>
      </c>
      <c r="AQ176" s="89">
        <v>35.778955320347016</v>
      </c>
      <c r="AR176" s="89">
        <v>73.430000000000007</v>
      </c>
      <c r="AS176" s="158">
        <f t="shared" si="118"/>
        <v>37.577951099512234</v>
      </c>
      <c r="AT176" s="89">
        <v>64.249300000000005</v>
      </c>
      <c r="AU176" s="89">
        <v>36.402356902356907</v>
      </c>
      <c r="AV176" s="89">
        <v>41.754992898425932</v>
      </c>
      <c r="AW176" s="100">
        <v>4.8</v>
      </c>
      <c r="AX176" s="71">
        <f t="shared" si="119"/>
        <v>49.709481327196436</v>
      </c>
      <c r="AY176" s="86">
        <v>30.44971075075463</v>
      </c>
      <c r="AZ176" s="71">
        <f t="shared" si="120"/>
        <v>30.44971075075463</v>
      </c>
      <c r="BA176" s="86">
        <v>42.18</v>
      </c>
      <c r="BB176" s="71">
        <f t="shared" si="121"/>
        <v>57.82</v>
      </c>
      <c r="BC176" s="86">
        <v>44.09</v>
      </c>
      <c r="BD176" s="86">
        <v>13.61</v>
      </c>
      <c r="BE176" s="86">
        <v>38.049999999999997</v>
      </c>
      <c r="BF176" s="71">
        <f t="shared" si="122"/>
        <v>29.481999999999999</v>
      </c>
      <c r="BG176" s="63"/>
      <c r="BH176" s="85">
        <v>6.76</v>
      </c>
      <c r="BI176" s="85">
        <v>6.18</v>
      </c>
      <c r="BJ176" s="88">
        <v>11</v>
      </c>
      <c r="BK176" s="81">
        <v>27.272727272727273</v>
      </c>
      <c r="BL176" s="70">
        <f t="shared" si="123"/>
        <v>19.336866876651825</v>
      </c>
      <c r="BM176" s="90">
        <v>0.33657711289953657</v>
      </c>
      <c r="BN176" s="85">
        <v>40.880000000000003</v>
      </c>
      <c r="BO176" s="85">
        <v>36.992837580181025</v>
      </c>
      <c r="BP176" s="70">
        <f t="shared" si="124"/>
        <v>36.29706504002209</v>
      </c>
      <c r="BQ176" s="90">
        <v>0.36670333523093745</v>
      </c>
      <c r="BR176" s="90">
        <v>0.32683453467239165</v>
      </c>
      <c r="BS176" s="85">
        <v>23.073412299999998</v>
      </c>
      <c r="BT176" s="86">
        <v>35.769926999999996</v>
      </c>
      <c r="BU176" s="85">
        <v>39.301689499999995</v>
      </c>
      <c r="BV176" s="86">
        <v>43.370607100000001</v>
      </c>
      <c r="BW176" s="71">
        <f t="shared" si="125"/>
        <v>33.982258403193661</v>
      </c>
      <c r="BX176" s="86">
        <v>62.16</v>
      </c>
      <c r="BY176" s="158">
        <f t="shared" si="126"/>
        <v>62.16</v>
      </c>
      <c r="BZ176" s="54"/>
    </row>
    <row r="177" spans="1:82" s="30" customFormat="1" ht="15" customHeight="1" x14ac:dyDescent="0.2">
      <c r="A177" s="2">
        <v>171</v>
      </c>
      <c r="B177" s="3" t="s">
        <v>10</v>
      </c>
      <c r="C177" s="4" t="s">
        <v>11</v>
      </c>
      <c r="D177" s="162" t="s">
        <v>163</v>
      </c>
      <c r="E177" s="209">
        <f t="shared" si="107"/>
        <v>39.586364729549743</v>
      </c>
      <c r="F177" s="71">
        <f t="shared" si="108"/>
        <v>38.121931952035922</v>
      </c>
      <c r="G177" s="71">
        <f t="shared" si="109"/>
        <v>48.562697208795413</v>
      </c>
      <c r="H177" s="71">
        <f t="shared" si="110"/>
        <v>39.506545095219309</v>
      </c>
      <c r="I177" s="71">
        <f t="shared" si="111"/>
        <v>32.154284662148321</v>
      </c>
      <c r="J177" s="63"/>
      <c r="K177" s="85">
        <v>1.1445575135121677</v>
      </c>
      <c r="L177" s="208">
        <v>15.639999999999997</v>
      </c>
      <c r="M177" s="82">
        <f t="shared" si="106"/>
        <v>53.18518518518519</v>
      </c>
      <c r="N177" s="71">
        <f t="shared" si="112"/>
        <v>49.617912112104641</v>
      </c>
      <c r="O177" s="85">
        <v>15.229929881629753</v>
      </c>
      <c r="P177" s="87">
        <v>72.8</v>
      </c>
      <c r="Q177" s="70">
        <f t="shared" si="113"/>
        <v>42.772183267572082</v>
      </c>
      <c r="R177" s="90">
        <v>2.1000000000000001E-2</v>
      </c>
      <c r="S177" s="85">
        <v>-0.22778230999999999</v>
      </c>
      <c r="T177" s="85">
        <v>0.33</v>
      </c>
      <c r="U177" s="90">
        <v>2.9420000000000002</v>
      </c>
      <c r="V177" s="70">
        <f t="shared" si="114"/>
        <v>35.214890408730156</v>
      </c>
      <c r="W177" s="85">
        <v>5.42</v>
      </c>
      <c r="X177" s="87">
        <v>88.7</v>
      </c>
      <c r="Y177" s="87">
        <v>7.16</v>
      </c>
      <c r="Z177" s="214">
        <v>10.6</v>
      </c>
      <c r="AA177" s="71">
        <f t="shared" si="115"/>
        <v>36.547472185298268</v>
      </c>
      <c r="AB177" s="63"/>
      <c r="AC177" s="85">
        <v>12.572808182894182</v>
      </c>
      <c r="AD177" s="87">
        <v>25.7</v>
      </c>
      <c r="AE177" s="88">
        <v>60</v>
      </c>
      <c r="AF177" s="85">
        <v>11.5</v>
      </c>
      <c r="AG177" s="88">
        <v>21</v>
      </c>
      <c r="AH177" s="70">
        <f t="shared" si="116"/>
        <v>39.883154173211501</v>
      </c>
      <c r="AI177" s="85">
        <v>0.42</v>
      </c>
      <c r="AJ177" s="85">
        <v>3.83</v>
      </c>
      <c r="AK177" s="87">
        <v>78.2</v>
      </c>
      <c r="AL177" s="86">
        <v>4.0828532299512119</v>
      </c>
      <c r="AM177" s="85">
        <v>96.6963768672518</v>
      </c>
      <c r="AN177" s="70">
        <f t="shared" si="117"/>
        <v>57.242240244379339</v>
      </c>
      <c r="AO177" s="63"/>
      <c r="AP177" s="89">
        <v>66.411883573357699</v>
      </c>
      <c r="AQ177" s="89">
        <v>43.987646696242628</v>
      </c>
      <c r="AR177" s="89">
        <v>87.2</v>
      </c>
      <c r="AS177" s="158">
        <f t="shared" si="118"/>
        <v>41.796794241460745</v>
      </c>
      <c r="AT177" s="89">
        <v>67.937100000000001</v>
      </c>
      <c r="AU177" s="89">
        <v>49.792900073551294</v>
      </c>
      <c r="AV177" s="89">
        <v>42.338431826873922</v>
      </c>
      <c r="AW177" s="100">
        <v>16.5</v>
      </c>
      <c r="AX177" s="71">
        <f t="shared" si="119"/>
        <v>53.247059919317898</v>
      </c>
      <c r="AY177" s="86">
        <v>18.949902252371427</v>
      </c>
      <c r="AZ177" s="71">
        <f t="shared" si="120"/>
        <v>18.949902252371427</v>
      </c>
      <c r="BA177" s="86">
        <v>33.54</v>
      </c>
      <c r="BB177" s="71">
        <f t="shared" si="121"/>
        <v>66.460000000000008</v>
      </c>
      <c r="BC177" s="86">
        <v>29.76</v>
      </c>
      <c r="BD177" s="86">
        <v>7.54</v>
      </c>
      <c r="BE177" s="86">
        <v>36.590000000000003</v>
      </c>
      <c r="BF177" s="71">
        <f t="shared" si="122"/>
        <v>23.604000000000003</v>
      </c>
      <c r="BG177" s="63"/>
      <c r="BH177" s="85">
        <v>4.33</v>
      </c>
      <c r="BI177" s="85">
        <v>6.32</v>
      </c>
      <c r="BJ177" s="88">
        <v>10</v>
      </c>
      <c r="BK177" s="81">
        <v>9.0909090909090917</v>
      </c>
      <c r="BL177" s="70">
        <f t="shared" si="123"/>
        <v>13.281418123891241</v>
      </c>
      <c r="BM177" s="90">
        <v>0.32690809534262444</v>
      </c>
      <c r="BN177" s="85">
        <v>32.61</v>
      </c>
      <c r="BO177" s="85">
        <v>33.42517092801063</v>
      </c>
      <c r="BP177" s="70">
        <f t="shared" si="124"/>
        <v>32.854197499133875</v>
      </c>
      <c r="BQ177" s="90">
        <v>0.43330151251887128</v>
      </c>
      <c r="BR177" s="90">
        <v>0.36663682790675434</v>
      </c>
      <c r="BS177" s="85">
        <v>26.284968499999998</v>
      </c>
      <c r="BT177" s="86">
        <v>39.667702499999997</v>
      </c>
      <c r="BU177" s="85">
        <v>30.6476878</v>
      </c>
      <c r="BV177" s="86">
        <v>42.359141799999996</v>
      </c>
      <c r="BW177" s="71">
        <f t="shared" si="125"/>
        <v>36.636202518386696</v>
      </c>
      <c r="BX177" s="86">
        <v>61.55</v>
      </c>
      <c r="BY177" s="158">
        <f t="shared" si="126"/>
        <v>61.55</v>
      </c>
      <c r="BZ177" s="54"/>
    </row>
    <row r="178" spans="1:82" s="30" customFormat="1" ht="15" customHeight="1" x14ac:dyDescent="0.2">
      <c r="A178" s="2">
        <v>172</v>
      </c>
      <c r="B178" s="8" t="s">
        <v>16</v>
      </c>
      <c r="C178" s="21" t="s">
        <v>42</v>
      </c>
      <c r="D178" s="162" t="s">
        <v>98</v>
      </c>
      <c r="E178" s="209">
        <f t="shared" si="107"/>
        <v>39.580181644452693</v>
      </c>
      <c r="F178" s="71">
        <f t="shared" si="108"/>
        <v>31.677693163899097</v>
      </c>
      <c r="G178" s="71">
        <f t="shared" si="109"/>
        <v>40.175025882208132</v>
      </c>
      <c r="H178" s="71">
        <f t="shared" si="110"/>
        <v>33.97680902586302</v>
      </c>
      <c r="I178" s="71">
        <f t="shared" si="111"/>
        <v>52.491198505840529</v>
      </c>
      <c r="J178" s="63"/>
      <c r="K178" s="86">
        <v>2.7761716694935767</v>
      </c>
      <c r="L178" s="207">
        <v>4.5999999999999996</v>
      </c>
      <c r="M178" s="82">
        <f t="shared" si="106"/>
        <v>94.074074074074062</v>
      </c>
      <c r="N178" s="71">
        <f t="shared" si="112"/>
        <v>79.126879645334668</v>
      </c>
      <c r="O178" s="86">
        <v>19.080079290184742</v>
      </c>
      <c r="P178" s="100">
        <v>75.3</v>
      </c>
      <c r="Q178" s="70">
        <f t="shared" si="113"/>
        <v>43.800044050102635</v>
      </c>
      <c r="R178" s="96">
        <v>9.9324866911795805E-4</v>
      </c>
      <c r="S178" s="92">
        <v>-1.8818738152104124</v>
      </c>
      <c r="T178" s="86">
        <v>0.15</v>
      </c>
      <c r="U178" s="167">
        <v>4.6289999999999996</v>
      </c>
      <c r="V178" s="70">
        <f t="shared" si="114"/>
        <v>15.104876869747011</v>
      </c>
      <c r="W178" s="86">
        <v>2.673</v>
      </c>
      <c r="X178" s="100">
        <v>94.8</v>
      </c>
      <c r="Y178" s="100">
        <v>3.18</v>
      </c>
      <c r="Z178" s="107">
        <v>4.5</v>
      </c>
      <c r="AA178" s="71">
        <f t="shared" si="115"/>
        <v>38.570240627906919</v>
      </c>
      <c r="AB178" s="63"/>
      <c r="AC178" s="86">
        <v>22.293458890130847</v>
      </c>
      <c r="AD178" s="100">
        <v>28.4</v>
      </c>
      <c r="AE178" s="95">
        <v>30</v>
      </c>
      <c r="AF178" s="85">
        <v>5</v>
      </c>
      <c r="AG178" s="91">
        <v>21.076346947809682</v>
      </c>
      <c r="AH178" s="70">
        <f t="shared" si="116"/>
        <v>43.49297913600423</v>
      </c>
      <c r="AI178" s="86">
        <v>0.59</v>
      </c>
      <c r="AJ178" s="92">
        <v>2.59187808533847</v>
      </c>
      <c r="AK178" s="100">
        <v>89</v>
      </c>
      <c r="AL178" s="86">
        <v>3.6519418168077267</v>
      </c>
      <c r="AM178" s="86">
        <v>6.4316473008558201</v>
      </c>
      <c r="AN178" s="70">
        <f t="shared" si="117"/>
        <v>36.85707262841202</v>
      </c>
      <c r="AO178" s="63"/>
      <c r="AP178" s="89">
        <v>42.332149173129608</v>
      </c>
      <c r="AQ178" s="89">
        <v>29.942292440696839</v>
      </c>
      <c r="AR178" s="89">
        <v>90.26</v>
      </c>
      <c r="AS178" s="158">
        <f t="shared" si="118"/>
        <v>27.98918351363082</v>
      </c>
      <c r="AT178" s="89">
        <v>64.410799999999995</v>
      </c>
      <c r="AU178" s="89">
        <v>31.62188552188552</v>
      </c>
      <c r="AV178" s="89">
        <v>42.041682041970915</v>
      </c>
      <c r="AW178" s="100">
        <v>22.1</v>
      </c>
      <c r="AX178" s="71">
        <f t="shared" si="119"/>
        <v>42.634291920526259</v>
      </c>
      <c r="AY178" s="86">
        <v>24.290843901084489</v>
      </c>
      <c r="AZ178" s="71">
        <f t="shared" si="120"/>
        <v>24.290843901084489</v>
      </c>
      <c r="BA178" s="86">
        <v>33.44</v>
      </c>
      <c r="BB178" s="71">
        <f t="shared" si="121"/>
        <v>66.56</v>
      </c>
      <c r="BC178" s="86">
        <v>19.059999999999999</v>
      </c>
      <c r="BD178" s="86">
        <v>18</v>
      </c>
      <c r="BE178" s="86">
        <v>38.89</v>
      </c>
      <c r="BF178" s="71">
        <f t="shared" si="122"/>
        <v>26.568000000000001</v>
      </c>
      <c r="BG178" s="63"/>
      <c r="BH178" s="86">
        <v>1.1200000000000001</v>
      </c>
      <c r="BI178" s="86">
        <v>4.88</v>
      </c>
      <c r="BJ178" s="95">
        <v>140</v>
      </c>
      <c r="BK178" s="82">
        <v>90.909090909090907</v>
      </c>
      <c r="BL178" s="70">
        <f t="shared" si="123"/>
        <v>88.632460808804893</v>
      </c>
      <c r="BM178" s="96">
        <v>0.41479164137014257</v>
      </c>
      <c r="BN178" s="86">
        <v>51.99</v>
      </c>
      <c r="BO178" s="86">
        <v>45.93229367461182</v>
      </c>
      <c r="BP178" s="70">
        <f t="shared" si="124"/>
        <v>45.220155487160085</v>
      </c>
      <c r="BQ178" s="96">
        <v>0.40681888674255484</v>
      </c>
      <c r="BR178" s="96">
        <v>0.34397086190847903</v>
      </c>
      <c r="BS178" s="86">
        <v>20.609331299999997</v>
      </c>
      <c r="BT178" s="86">
        <v>24.748560599999998</v>
      </c>
      <c r="BU178" s="86">
        <v>55.330456899999994</v>
      </c>
      <c r="BV178" s="86">
        <v>36.089778099999997</v>
      </c>
      <c r="BW178" s="71">
        <f t="shared" si="125"/>
        <v>31.525819021403645</v>
      </c>
      <c r="BX178" s="86">
        <v>57.33</v>
      </c>
      <c r="BY178" s="158">
        <f t="shared" si="126"/>
        <v>57.33</v>
      </c>
      <c r="BZ178" s="54"/>
      <c r="CA178" s="31"/>
    </row>
    <row r="179" spans="1:82" s="30" customFormat="1" ht="15" customHeight="1" x14ac:dyDescent="0.2">
      <c r="A179" s="2">
        <v>173</v>
      </c>
      <c r="B179" s="8" t="s">
        <v>16</v>
      </c>
      <c r="C179" s="21" t="s">
        <v>42</v>
      </c>
      <c r="D179" s="162" t="s">
        <v>184</v>
      </c>
      <c r="E179" s="209">
        <f t="shared" si="107"/>
        <v>39.274674784054426</v>
      </c>
      <c r="F179" s="71">
        <f t="shared" si="108"/>
        <v>30.54453992782495</v>
      </c>
      <c r="G179" s="71">
        <f t="shared" si="109"/>
        <v>46.348942868651775</v>
      </c>
      <c r="H179" s="71">
        <f t="shared" si="110"/>
        <v>31.794198588718338</v>
      </c>
      <c r="I179" s="71">
        <f t="shared" si="111"/>
        <v>48.411017751022634</v>
      </c>
      <c r="J179" s="63"/>
      <c r="K179" s="85">
        <v>2.7520028449816047</v>
      </c>
      <c r="L179" s="208">
        <v>24.560000000000002</v>
      </c>
      <c r="M179" s="82">
        <f t="shared" si="106"/>
        <v>20.148148148148142</v>
      </c>
      <c r="N179" s="71">
        <f t="shared" si="112"/>
        <v>42.02964543508299</v>
      </c>
      <c r="O179" s="85">
        <v>19.18121872624846</v>
      </c>
      <c r="P179" s="87">
        <v>45.2</v>
      </c>
      <c r="Q179" s="70">
        <f t="shared" si="113"/>
        <v>57.234010403471359</v>
      </c>
      <c r="R179" s="168">
        <v>2.1472568997035523E-3</v>
      </c>
      <c r="S179" s="85">
        <v>-0.24359075999999999</v>
      </c>
      <c r="T179" s="85">
        <v>0</v>
      </c>
      <c r="U179" s="90">
        <v>4.6959999999999997</v>
      </c>
      <c r="V179" s="70">
        <f t="shared" si="114"/>
        <v>14.422097606327249</v>
      </c>
      <c r="W179" s="85">
        <v>3.15</v>
      </c>
      <c r="X179" s="87">
        <v>94.5</v>
      </c>
      <c r="Y179" s="87">
        <v>4.41</v>
      </c>
      <c r="Z179" s="214">
        <v>3.4</v>
      </c>
      <c r="AA179" s="71">
        <f t="shared" si="115"/>
        <v>42.181700082529275</v>
      </c>
      <c r="AB179" s="63"/>
      <c r="AC179" s="85">
        <v>23.19727922262183</v>
      </c>
      <c r="AD179" s="87">
        <v>32.9</v>
      </c>
      <c r="AE179" s="88">
        <v>30</v>
      </c>
      <c r="AF179" s="85">
        <v>16.75</v>
      </c>
      <c r="AG179" s="91">
        <v>25.824902135828449</v>
      </c>
      <c r="AH179" s="70">
        <f t="shared" si="116"/>
        <v>42.624131376180834</v>
      </c>
      <c r="AI179" s="85">
        <v>1.1100000000000001</v>
      </c>
      <c r="AJ179" s="99">
        <v>2.58952656989345</v>
      </c>
      <c r="AK179" s="87">
        <v>88.2</v>
      </c>
      <c r="AL179" s="86">
        <v>4.8051443156093026</v>
      </c>
      <c r="AM179" s="85">
        <v>56.626475607214097</v>
      </c>
      <c r="AN179" s="70">
        <f t="shared" si="117"/>
        <v>50.073754361122731</v>
      </c>
      <c r="AO179" s="63"/>
      <c r="AP179" s="89">
        <v>34.219019561638518</v>
      </c>
      <c r="AQ179" s="89">
        <v>27.993343235354658</v>
      </c>
      <c r="AR179" s="89">
        <v>89.69</v>
      </c>
      <c r="AS179" s="158">
        <f t="shared" si="118"/>
        <v>25.128926508086959</v>
      </c>
      <c r="AT179" s="89">
        <v>62.150300000000001</v>
      </c>
      <c r="AU179" s="89">
        <v>46.678787878787873</v>
      </c>
      <c r="AV179" s="89">
        <v>41.439733477289344</v>
      </c>
      <c r="AW179" s="100">
        <v>24.1</v>
      </c>
      <c r="AX179" s="71">
        <f t="shared" si="119"/>
        <v>43.590062521254495</v>
      </c>
      <c r="AY179" s="86">
        <v>16.798180317030088</v>
      </c>
      <c r="AZ179" s="71">
        <f t="shared" si="120"/>
        <v>16.798180317030088</v>
      </c>
      <c r="BA179" s="86">
        <v>35.69</v>
      </c>
      <c r="BB179" s="71">
        <f t="shared" si="121"/>
        <v>64.31</v>
      </c>
      <c r="BC179" s="86">
        <v>28.4</v>
      </c>
      <c r="BD179" s="86">
        <v>22.73</v>
      </c>
      <c r="BE179" s="86">
        <v>34.08</v>
      </c>
      <c r="BF179" s="71">
        <f t="shared" si="122"/>
        <v>28.403999999999996</v>
      </c>
      <c r="BG179" s="63"/>
      <c r="BH179" s="85">
        <v>2.2200000000000002</v>
      </c>
      <c r="BI179" s="85">
        <v>5.42</v>
      </c>
      <c r="BJ179" s="88">
        <v>88</v>
      </c>
      <c r="BK179" s="81">
        <v>77.272727272727266</v>
      </c>
      <c r="BL179" s="70">
        <f t="shared" si="123"/>
        <v>64.911976394772097</v>
      </c>
      <c r="BM179" s="90">
        <v>0.48395998594890388</v>
      </c>
      <c r="BN179" s="85">
        <v>57.06</v>
      </c>
      <c r="BO179" s="85">
        <v>35.637081264623852</v>
      </c>
      <c r="BP179" s="70">
        <f t="shared" si="124"/>
        <v>47.372269613601155</v>
      </c>
      <c r="BQ179" s="90">
        <v>0.47420242294188913</v>
      </c>
      <c r="BR179" s="90">
        <v>0.39298771531244603</v>
      </c>
      <c r="BS179" s="85">
        <v>33.639517599999998</v>
      </c>
      <c r="BT179" s="86">
        <v>32.536133700000001</v>
      </c>
      <c r="BU179" s="85">
        <v>58.2050494</v>
      </c>
      <c r="BV179" s="86">
        <v>38.162019799999996</v>
      </c>
      <c r="BW179" s="71">
        <f t="shared" si="125"/>
        <v>38.555265052140776</v>
      </c>
      <c r="BX179" s="86">
        <v>44.77</v>
      </c>
      <c r="BY179" s="158">
        <f t="shared" si="126"/>
        <v>44.77</v>
      </c>
      <c r="BZ179" s="54"/>
    </row>
    <row r="180" spans="1:82" s="30" customFormat="1" ht="15" customHeight="1" x14ac:dyDescent="0.2">
      <c r="A180" s="2">
        <v>174</v>
      </c>
      <c r="B180" s="8" t="s">
        <v>16</v>
      </c>
      <c r="C180" s="11" t="s">
        <v>21</v>
      </c>
      <c r="D180" s="162" t="s">
        <v>135</v>
      </c>
      <c r="E180" s="209">
        <f t="shared" si="107"/>
        <v>38.777018311532828</v>
      </c>
      <c r="F180" s="71">
        <f t="shared" si="108"/>
        <v>35.325061190722572</v>
      </c>
      <c r="G180" s="71">
        <f t="shared" si="109"/>
        <v>46.544158453132788</v>
      </c>
      <c r="H180" s="71">
        <f t="shared" si="110"/>
        <v>29.915134369141033</v>
      </c>
      <c r="I180" s="71">
        <f t="shared" si="111"/>
        <v>43.323719233134938</v>
      </c>
      <c r="J180" s="63"/>
      <c r="K180" s="85">
        <v>1.4127043722585553</v>
      </c>
      <c r="L180" s="208">
        <v>7.9</v>
      </c>
      <c r="M180" s="82">
        <f t="shared" si="106"/>
        <v>81.851851851851848</v>
      </c>
      <c r="N180" s="71">
        <f t="shared" si="112"/>
        <v>65.440950216251224</v>
      </c>
      <c r="O180" s="85">
        <v>17.526560288256093</v>
      </c>
      <c r="P180" s="87">
        <v>48.7</v>
      </c>
      <c r="Q180" s="70">
        <f t="shared" si="113"/>
        <v>54.759200160142278</v>
      </c>
      <c r="R180" s="90">
        <v>4.0000000000000001E-3</v>
      </c>
      <c r="S180" s="85">
        <v>-1.0754284999999999</v>
      </c>
      <c r="T180" s="85">
        <v>0.2</v>
      </c>
      <c r="U180" s="90">
        <v>3.64</v>
      </c>
      <c r="V180" s="70">
        <f t="shared" si="114"/>
        <v>23.943915542328043</v>
      </c>
      <c r="W180" s="85">
        <v>3.0409999999999999</v>
      </c>
      <c r="X180" s="87">
        <v>96.1</v>
      </c>
      <c r="Y180" s="87">
        <v>1.84</v>
      </c>
      <c r="Z180" s="214">
        <v>4.5999999999999996</v>
      </c>
      <c r="AA180" s="71">
        <f t="shared" si="115"/>
        <v>34.380513495648366</v>
      </c>
      <c r="AB180" s="63"/>
      <c r="AC180" s="85">
        <v>21.036288520206924</v>
      </c>
      <c r="AD180" s="87">
        <v>39.799999999999997</v>
      </c>
      <c r="AE180" s="88">
        <v>50</v>
      </c>
      <c r="AF180" s="85">
        <v>12</v>
      </c>
      <c r="AG180" s="88">
        <v>25</v>
      </c>
      <c r="AH180" s="70">
        <f t="shared" si="116"/>
        <v>46.747269269881542</v>
      </c>
      <c r="AI180" s="85">
        <v>0.97</v>
      </c>
      <c r="AJ180" s="85">
        <v>3.34</v>
      </c>
      <c r="AK180" s="87">
        <v>90.5</v>
      </c>
      <c r="AL180" s="86">
        <v>4.023378323715507</v>
      </c>
      <c r="AM180" s="85">
        <v>31.703719343993999</v>
      </c>
      <c r="AN180" s="70">
        <f t="shared" si="117"/>
        <v>46.341047636384019</v>
      </c>
      <c r="AO180" s="63"/>
      <c r="AP180" s="89">
        <v>34.231081571138546</v>
      </c>
      <c r="AQ180" s="89">
        <v>23.262966283689842</v>
      </c>
      <c r="AR180" s="89">
        <v>96.36</v>
      </c>
      <c r="AS180" s="158">
        <f t="shared" si="118"/>
        <v>21.099253534629558</v>
      </c>
      <c r="AT180" s="89">
        <v>64.037400000000005</v>
      </c>
      <c r="AU180" s="89">
        <v>30.653198653198654</v>
      </c>
      <c r="AV180" s="89">
        <v>45.759674623841292</v>
      </c>
      <c r="AW180" s="100">
        <v>39.5</v>
      </c>
      <c r="AX180" s="71">
        <f t="shared" si="119"/>
        <v>36.632181166029653</v>
      </c>
      <c r="AY180" s="86">
        <v>21.145030309493055</v>
      </c>
      <c r="AZ180" s="71">
        <f t="shared" si="120"/>
        <v>21.145030309493055</v>
      </c>
      <c r="BA180" s="86">
        <v>36.82</v>
      </c>
      <c r="BB180" s="71">
        <f t="shared" si="121"/>
        <v>63.18</v>
      </c>
      <c r="BC180" s="86">
        <v>27.83</v>
      </c>
      <c r="BD180" s="86">
        <v>38.799999999999997</v>
      </c>
      <c r="BE180" s="86">
        <v>31.63</v>
      </c>
      <c r="BF180" s="71">
        <f t="shared" si="122"/>
        <v>33.738</v>
      </c>
      <c r="BG180" s="63"/>
      <c r="BH180" s="99">
        <v>4.0149999999999997</v>
      </c>
      <c r="BI180" s="85">
        <v>5.83</v>
      </c>
      <c r="BJ180" s="88">
        <v>55</v>
      </c>
      <c r="BK180" s="81">
        <v>40.909090909090907</v>
      </c>
      <c r="BL180" s="70">
        <f t="shared" si="123"/>
        <v>40.377313457152162</v>
      </c>
      <c r="BM180" s="90">
        <v>0.44366316788181681</v>
      </c>
      <c r="BN180" s="85">
        <v>50.95</v>
      </c>
      <c r="BO180" s="85">
        <v>44.849147967223075</v>
      </c>
      <c r="BP180" s="70">
        <f t="shared" si="124"/>
        <v>46.132945385896605</v>
      </c>
      <c r="BQ180" s="90">
        <v>0.41431639223604311</v>
      </c>
      <c r="BR180" s="90">
        <v>0.37565312290138753</v>
      </c>
      <c r="BS180" s="85">
        <v>27.412567799999998</v>
      </c>
      <c r="BT180" s="86">
        <v>34.556540399999996</v>
      </c>
      <c r="BU180" s="85">
        <v>57.685686699999998</v>
      </c>
      <c r="BV180" s="86">
        <v>43.056486199999995</v>
      </c>
      <c r="BW180" s="71">
        <f t="shared" si="125"/>
        <v>37.321449294508319</v>
      </c>
      <c r="BX180" s="86">
        <v>63.27</v>
      </c>
      <c r="BY180" s="158">
        <f t="shared" si="126"/>
        <v>63.27</v>
      </c>
      <c r="BZ180" s="54"/>
    </row>
    <row r="181" spans="1:82" s="30" customFormat="1" ht="15" customHeight="1" x14ac:dyDescent="0.2">
      <c r="A181" s="2">
        <v>175</v>
      </c>
      <c r="B181" s="8" t="s">
        <v>16</v>
      </c>
      <c r="C181" s="21" t="s">
        <v>42</v>
      </c>
      <c r="D181" s="162" t="s">
        <v>129</v>
      </c>
      <c r="E181" s="209">
        <f t="shared" si="107"/>
        <v>38.543764897139319</v>
      </c>
      <c r="F181" s="71">
        <f t="shared" si="108"/>
        <v>33.256684864371302</v>
      </c>
      <c r="G181" s="71">
        <f t="shared" si="109"/>
        <v>43.211992135622928</v>
      </c>
      <c r="H181" s="71">
        <f t="shared" si="110"/>
        <v>32.003760624011555</v>
      </c>
      <c r="I181" s="71">
        <f t="shared" si="111"/>
        <v>45.702621964551462</v>
      </c>
      <c r="J181" s="63"/>
      <c r="K181" s="85">
        <v>2.4082854132564835</v>
      </c>
      <c r="L181" s="208">
        <v>8.4</v>
      </c>
      <c r="M181" s="82">
        <f t="shared" si="106"/>
        <v>80</v>
      </c>
      <c r="N181" s="71">
        <f t="shared" si="112"/>
        <v>70.046030073647131</v>
      </c>
      <c r="O181" s="99">
        <v>18.303319789220417</v>
      </c>
      <c r="P181" s="87">
        <v>54.9</v>
      </c>
      <c r="Q181" s="70">
        <f t="shared" si="113"/>
        <v>52.435177660678015</v>
      </c>
      <c r="R181" s="168">
        <v>1.6164912413809132E-3</v>
      </c>
      <c r="S181" s="85">
        <v>-2.1942685000000002</v>
      </c>
      <c r="T181" s="85">
        <v>0.21</v>
      </c>
      <c r="U181" s="90">
        <v>4.2009999999999996</v>
      </c>
      <c r="V181" s="70">
        <f t="shared" si="114"/>
        <v>18.321375211001762</v>
      </c>
      <c r="W181" s="85">
        <v>2.8839999999999999</v>
      </c>
      <c r="X181" s="87">
        <v>89.4</v>
      </c>
      <c r="Y181" s="87">
        <v>1.49</v>
      </c>
      <c r="Z181" s="214">
        <v>3.1</v>
      </c>
      <c r="AA181" s="71">
        <f t="shared" si="115"/>
        <v>36.904470409616039</v>
      </c>
      <c r="AB181" s="63"/>
      <c r="AC181" s="99">
        <v>21.010212569625899</v>
      </c>
      <c r="AD181" s="87">
        <v>40.4</v>
      </c>
      <c r="AE181" s="88">
        <v>55</v>
      </c>
      <c r="AF181" s="85">
        <v>16.25</v>
      </c>
      <c r="AG181" s="91">
        <v>25.353056032360858</v>
      </c>
      <c r="AH181" s="70">
        <f t="shared" si="116"/>
        <v>46.632317718477417</v>
      </c>
      <c r="AI181" s="85">
        <v>0.75</v>
      </c>
      <c r="AJ181" s="99">
        <v>2.5694284810032699</v>
      </c>
      <c r="AK181" s="87">
        <v>86.1</v>
      </c>
      <c r="AL181" s="86">
        <v>3.7872151140231143</v>
      </c>
      <c r="AM181" s="85">
        <v>21.344985011066701</v>
      </c>
      <c r="AN181" s="70">
        <f t="shared" si="117"/>
        <v>39.791666552768454</v>
      </c>
      <c r="AO181" s="63"/>
      <c r="AP181" s="89">
        <v>35.902046517551334</v>
      </c>
      <c r="AQ181" s="89">
        <v>30.080644122384477</v>
      </c>
      <c r="AR181" s="89">
        <v>88.3</v>
      </c>
      <c r="AS181" s="158">
        <f t="shared" si="118"/>
        <v>26.940833690580074</v>
      </c>
      <c r="AT181" s="89">
        <v>62.471299999999999</v>
      </c>
      <c r="AU181" s="89">
        <v>42.225925925925935</v>
      </c>
      <c r="AV181" s="89">
        <v>42.922000649045273</v>
      </c>
      <c r="AW181" s="100">
        <v>35.5</v>
      </c>
      <c r="AX181" s="71">
        <f t="shared" si="119"/>
        <v>39.030603292611403</v>
      </c>
      <c r="AY181" s="86">
        <v>23.322164195810181</v>
      </c>
      <c r="AZ181" s="71">
        <f t="shared" si="120"/>
        <v>23.322164195810181</v>
      </c>
      <c r="BA181" s="86">
        <v>35.270000000000003</v>
      </c>
      <c r="BB181" s="71">
        <f t="shared" si="121"/>
        <v>64.72999999999999</v>
      </c>
      <c r="BC181" s="86">
        <v>30.46</v>
      </c>
      <c r="BD181" s="86">
        <v>25.73</v>
      </c>
      <c r="BE181" s="86">
        <v>22.56</v>
      </c>
      <c r="BF181" s="71">
        <f t="shared" si="122"/>
        <v>25.407999999999998</v>
      </c>
      <c r="BG181" s="63"/>
      <c r="BH181" s="85">
        <v>3.09</v>
      </c>
      <c r="BI181" s="85">
        <v>5.65</v>
      </c>
      <c r="BJ181" s="88">
        <v>73</v>
      </c>
      <c r="BK181" s="81">
        <v>63.636363636363633</v>
      </c>
      <c r="BL181" s="70">
        <f t="shared" si="123"/>
        <v>54.687091343542953</v>
      </c>
      <c r="BM181" s="90">
        <v>0.50174137453584489</v>
      </c>
      <c r="BN181" s="85">
        <v>64.540000000000006</v>
      </c>
      <c r="BO181" s="85">
        <v>41.08683962098187</v>
      </c>
      <c r="BP181" s="70">
        <f t="shared" si="124"/>
        <v>51.49377863203771</v>
      </c>
      <c r="BQ181" s="90">
        <v>0.49960451402217093</v>
      </c>
      <c r="BR181" s="90">
        <v>0.36832495132632548</v>
      </c>
      <c r="BS181" s="85">
        <v>26.654151899999999</v>
      </c>
      <c r="BT181" s="86">
        <v>27.107532499999998</v>
      </c>
      <c r="BU181" s="85">
        <v>61.990410599999997</v>
      </c>
      <c r="BV181" s="86">
        <v>41.586069299999998</v>
      </c>
      <c r="BW181" s="71">
        <f t="shared" si="125"/>
        <v>36.264901540155456</v>
      </c>
      <c r="BX181" s="86">
        <v>38.9</v>
      </c>
      <c r="BY181" s="158">
        <f t="shared" si="126"/>
        <v>38.9</v>
      </c>
      <c r="BZ181" s="54"/>
    </row>
    <row r="182" spans="1:82" s="30" customFormat="1" ht="15" customHeight="1" x14ac:dyDescent="0.2">
      <c r="A182" s="2">
        <v>176</v>
      </c>
      <c r="B182" s="8" t="s">
        <v>16</v>
      </c>
      <c r="C182" s="21" t="s">
        <v>42</v>
      </c>
      <c r="D182" s="162" t="s">
        <v>159</v>
      </c>
      <c r="E182" s="209">
        <f t="shared" si="107"/>
        <v>38.255245887693412</v>
      </c>
      <c r="F182" s="71">
        <f t="shared" si="108"/>
        <v>38.361954677433289</v>
      </c>
      <c r="G182" s="71">
        <f t="shared" si="109"/>
        <v>46.468704886454532</v>
      </c>
      <c r="H182" s="71">
        <f t="shared" si="110"/>
        <v>32.464196372424546</v>
      </c>
      <c r="I182" s="71">
        <f t="shared" si="111"/>
        <v>35.726127614461291</v>
      </c>
      <c r="J182" s="63"/>
      <c r="K182" s="85">
        <v>1.7855350760939359</v>
      </c>
      <c r="L182" s="208">
        <v>23.34</v>
      </c>
      <c r="M182" s="82">
        <f t="shared" si="106"/>
        <v>24.666666666666668</v>
      </c>
      <c r="N182" s="71">
        <f t="shared" si="112"/>
        <v>38.919639311632977</v>
      </c>
      <c r="O182" s="99">
        <v>15.553385596760563</v>
      </c>
      <c r="P182" s="87">
        <v>35.5</v>
      </c>
      <c r="Q182" s="70">
        <f t="shared" si="113"/>
        <v>59.529658664866979</v>
      </c>
      <c r="R182" s="90">
        <v>1.4E-2</v>
      </c>
      <c r="S182" s="85">
        <v>-2.2590789999999998</v>
      </c>
      <c r="T182" s="85">
        <v>0.39</v>
      </c>
      <c r="U182" s="90">
        <v>2.7429999999999999</v>
      </c>
      <c r="V182" s="70">
        <f t="shared" si="114"/>
        <v>32.001500132275133</v>
      </c>
      <c r="W182" s="85">
        <v>3.0640000000000001</v>
      </c>
      <c r="X182" s="87">
        <v>93.1</v>
      </c>
      <c r="Y182" s="87">
        <v>5.6</v>
      </c>
      <c r="Z182" s="214">
        <v>7.8</v>
      </c>
      <c r="AA182" s="71">
        <f t="shared" si="115"/>
        <v>38.159167521609497</v>
      </c>
      <c r="AB182" s="63"/>
      <c r="AC182" s="99">
        <v>21.560469650192651</v>
      </c>
      <c r="AD182" s="87">
        <v>29.7</v>
      </c>
      <c r="AE182" s="88">
        <v>30</v>
      </c>
      <c r="AF182" s="85">
        <v>26.5</v>
      </c>
      <c r="AG182" s="88">
        <v>26</v>
      </c>
      <c r="AH182" s="70">
        <f t="shared" si="116"/>
        <v>38.528774638589972</v>
      </c>
      <c r="AI182" s="85">
        <v>1.36</v>
      </c>
      <c r="AJ182" s="85">
        <v>3.36</v>
      </c>
      <c r="AK182" s="87">
        <v>84.6</v>
      </c>
      <c r="AL182" s="86">
        <v>3.7874969095336528</v>
      </c>
      <c r="AM182" s="85">
        <v>82.401872615241601</v>
      </c>
      <c r="AN182" s="70">
        <f t="shared" si="117"/>
        <v>54.408635134319105</v>
      </c>
      <c r="AO182" s="63"/>
      <c r="AP182" s="89">
        <v>47.955189826454671</v>
      </c>
      <c r="AQ182" s="89">
        <v>38.981941377573975</v>
      </c>
      <c r="AR182" s="89">
        <v>92.6</v>
      </c>
      <c r="AS182" s="158">
        <f t="shared" si="118"/>
        <v>33.329768145400656</v>
      </c>
      <c r="AT182" s="89">
        <v>54.783999999999999</v>
      </c>
      <c r="AU182" s="89">
        <v>32.605809403870211</v>
      </c>
      <c r="AV182" s="89">
        <v>47.154975686519528</v>
      </c>
      <c r="AW182" s="100">
        <v>19.899999999999999</v>
      </c>
      <c r="AX182" s="71">
        <f t="shared" si="119"/>
        <v>34.5923591830201</v>
      </c>
      <c r="AY182" s="86">
        <v>24.113314488069392</v>
      </c>
      <c r="AZ182" s="71">
        <f t="shared" si="120"/>
        <v>24.113314488069392</v>
      </c>
      <c r="BA182" s="86">
        <v>33.89</v>
      </c>
      <c r="BB182" s="71">
        <f t="shared" si="121"/>
        <v>66.11</v>
      </c>
      <c r="BC182" s="86">
        <v>38.11</v>
      </c>
      <c r="BD182" s="86">
        <v>10.76</v>
      </c>
      <c r="BE182" s="86">
        <v>37.450000000000003</v>
      </c>
      <c r="BF182" s="71">
        <f t="shared" si="122"/>
        <v>26.905999999999999</v>
      </c>
      <c r="BG182" s="63"/>
      <c r="BH182" s="85">
        <v>15.75</v>
      </c>
      <c r="BI182" s="85">
        <v>7.32</v>
      </c>
      <c r="BJ182" s="88">
        <v>5</v>
      </c>
      <c r="BK182" s="81">
        <v>39.393939393939398</v>
      </c>
      <c r="BL182" s="70">
        <f t="shared" si="123"/>
        <v>18.858214764128743</v>
      </c>
      <c r="BM182" s="90">
        <v>0.39806831476095628</v>
      </c>
      <c r="BN182" s="85">
        <v>48.11</v>
      </c>
      <c r="BO182" s="85">
        <v>36.10988809890744</v>
      </c>
      <c r="BP182" s="70">
        <f t="shared" si="124"/>
        <v>40.95838776277467</v>
      </c>
      <c r="BQ182" s="90">
        <v>0.47796408392885875</v>
      </c>
      <c r="BR182" s="90">
        <v>0.41691648437076673</v>
      </c>
      <c r="BS182" s="85">
        <v>25.293797299999998</v>
      </c>
      <c r="BT182" s="86">
        <v>31.7683438</v>
      </c>
      <c r="BU182" s="85">
        <v>31.6874346</v>
      </c>
      <c r="BV182" s="86">
        <v>44.8748237</v>
      </c>
      <c r="BW182" s="71">
        <f t="shared" si="125"/>
        <v>36.337307413133445</v>
      </c>
      <c r="BX182" s="86">
        <v>60.06</v>
      </c>
      <c r="BY182" s="158">
        <f t="shared" si="126"/>
        <v>60.06</v>
      </c>
      <c r="BZ182" s="54"/>
    </row>
    <row r="183" spans="1:82" s="30" customFormat="1" ht="15" customHeight="1" x14ac:dyDescent="0.2">
      <c r="A183" s="2">
        <v>177</v>
      </c>
      <c r="B183" s="8" t="s">
        <v>16</v>
      </c>
      <c r="C183" s="21" t="s">
        <v>42</v>
      </c>
      <c r="D183" s="162" t="s">
        <v>158</v>
      </c>
      <c r="E183" s="209">
        <f t="shared" si="107"/>
        <v>38.215201428930158</v>
      </c>
      <c r="F183" s="71">
        <f t="shared" si="108"/>
        <v>35.171602293814225</v>
      </c>
      <c r="G183" s="71">
        <f t="shared" si="109"/>
        <v>45.240817882747109</v>
      </c>
      <c r="H183" s="71">
        <f t="shared" si="110"/>
        <v>29.49473483244628</v>
      </c>
      <c r="I183" s="71">
        <f t="shared" si="111"/>
        <v>42.953650706713027</v>
      </c>
      <c r="J183" s="63"/>
      <c r="K183" s="85">
        <v>4.0418419797762395</v>
      </c>
      <c r="L183" s="208">
        <v>3.2399999999999993</v>
      </c>
      <c r="M183" s="82">
        <f t="shared" si="106"/>
        <v>99.111111111111114</v>
      </c>
      <c r="N183" s="71">
        <f t="shared" si="112"/>
        <v>88.676899887645774</v>
      </c>
      <c r="O183" s="85">
        <v>17.468993100079409</v>
      </c>
      <c r="P183" s="87">
        <v>45.4</v>
      </c>
      <c r="Q183" s="70">
        <f t="shared" si="113"/>
        <v>56.193885055599658</v>
      </c>
      <c r="R183" s="90">
        <v>2E-3</v>
      </c>
      <c r="S183" s="85">
        <v>-0.75277316999999999</v>
      </c>
      <c r="T183" s="85">
        <v>0.18</v>
      </c>
      <c r="U183" s="90">
        <v>4.8860000000000001</v>
      </c>
      <c r="V183" s="70">
        <f t="shared" si="114"/>
        <v>18.092032199735449</v>
      </c>
      <c r="W183" s="85">
        <v>0.39400000000000002</v>
      </c>
      <c r="X183" s="87">
        <v>98.5</v>
      </c>
      <c r="Y183" s="87">
        <v>2.11</v>
      </c>
      <c r="Z183" s="214">
        <v>4.5999999999999996</v>
      </c>
      <c r="AA183" s="71">
        <f t="shared" si="115"/>
        <v>35.315253787367887</v>
      </c>
      <c r="AB183" s="63"/>
      <c r="AC183" s="85">
        <v>20.941331891037898</v>
      </c>
      <c r="AD183" s="87">
        <v>16.600000000000001</v>
      </c>
      <c r="AE183" s="88">
        <v>55</v>
      </c>
      <c r="AF183" s="85">
        <v>5</v>
      </c>
      <c r="AG183" s="88">
        <v>15</v>
      </c>
      <c r="AH183" s="70">
        <f t="shared" si="116"/>
        <v>43.778836645307315</v>
      </c>
      <c r="AI183" s="85">
        <v>0.5</v>
      </c>
      <c r="AJ183" s="99">
        <v>2.5608001102434099</v>
      </c>
      <c r="AK183" s="87">
        <v>78.2</v>
      </c>
      <c r="AL183" s="86">
        <v>5.1991433473171025</v>
      </c>
      <c r="AM183" s="85">
        <v>41.863925018693998</v>
      </c>
      <c r="AN183" s="70">
        <f t="shared" si="117"/>
        <v>46.702799120186882</v>
      </c>
      <c r="AO183" s="63"/>
      <c r="AP183" s="89">
        <v>30.815450902939023</v>
      </c>
      <c r="AQ183" s="89">
        <v>23.557957964492989</v>
      </c>
      <c r="AR183" s="89">
        <v>95.3</v>
      </c>
      <c r="AS183" s="158">
        <f t="shared" si="118"/>
        <v>20.657841707981252</v>
      </c>
      <c r="AT183" s="89">
        <v>61.659700000000001</v>
      </c>
      <c r="AU183" s="89">
        <v>35.95454545454546</v>
      </c>
      <c r="AV183" s="89">
        <v>48.062351732152564</v>
      </c>
      <c r="AW183" s="100">
        <v>12.9</v>
      </c>
      <c r="AX183" s="71">
        <f t="shared" si="119"/>
        <v>45.238455135873465</v>
      </c>
      <c r="AY183" s="86">
        <v>8.8872604315810175</v>
      </c>
      <c r="AZ183" s="71">
        <f t="shared" si="120"/>
        <v>8.8872604315810175</v>
      </c>
      <c r="BA183" s="86">
        <v>32.86</v>
      </c>
      <c r="BB183" s="71">
        <f t="shared" si="121"/>
        <v>67.14</v>
      </c>
      <c r="BC183" s="86">
        <v>12.46</v>
      </c>
      <c r="BD183" s="86">
        <v>15.15</v>
      </c>
      <c r="BE183" s="86">
        <v>51.57</v>
      </c>
      <c r="BF183" s="71">
        <f t="shared" si="122"/>
        <v>29.18</v>
      </c>
      <c r="BG183" s="63"/>
      <c r="BH183" s="85">
        <v>4.42</v>
      </c>
      <c r="BI183" s="85">
        <v>5.93</v>
      </c>
      <c r="BJ183" s="88">
        <v>36</v>
      </c>
      <c r="BK183" s="81">
        <v>60.606060606060602</v>
      </c>
      <c r="BL183" s="70">
        <f t="shared" si="123"/>
        <v>39.9962057854531</v>
      </c>
      <c r="BM183" s="90">
        <v>0.43998460897683489</v>
      </c>
      <c r="BN183" s="85">
        <v>46.02</v>
      </c>
      <c r="BO183" s="85">
        <v>46.859877236365129</v>
      </c>
      <c r="BP183" s="70">
        <f t="shared" si="124"/>
        <v>45.219199757933026</v>
      </c>
      <c r="BQ183" s="90">
        <v>0.36749354777472104</v>
      </c>
      <c r="BR183" s="90">
        <v>0.389050235955401</v>
      </c>
      <c r="BS183" s="85">
        <v>35.367545499999999</v>
      </c>
      <c r="BT183" s="86">
        <v>36.375073499999999</v>
      </c>
      <c r="BU183" s="85">
        <v>35.772333599999996</v>
      </c>
      <c r="BV183" s="86">
        <v>42.837749199999998</v>
      </c>
      <c r="BW183" s="71">
        <f t="shared" si="125"/>
        <v>37.55096952277097</v>
      </c>
      <c r="BX183" s="86">
        <v>62.46</v>
      </c>
      <c r="BY183" s="158">
        <f t="shared" si="126"/>
        <v>62.46</v>
      </c>
      <c r="BZ183" s="54"/>
    </row>
    <row r="184" spans="1:82" s="30" customFormat="1" ht="15" customHeight="1" x14ac:dyDescent="0.2">
      <c r="A184" s="2">
        <v>178</v>
      </c>
      <c r="B184" s="8" t="s">
        <v>16</v>
      </c>
      <c r="C184" s="11" t="s">
        <v>21</v>
      </c>
      <c r="D184" s="162" t="s">
        <v>22</v>
      </c>
      <c r="E184" s="209">
        <f t="shared" si="107"/>
        <v>38.136987377738357</v>
      </c>
      <c r="F184" s="71">
        <f t="shared" si="108"/>
        <v>35.462066078438994</v>
      </c>
      <c r="G184" s="71">
        <f t="shared" si="109"/>
        <v>38.867393769164572</v>
      </c>
      <c r="H184" s="71">
        <f t="shared" si="110"/>
        <v>35.2183576414415</v>
      </c>
      <c r="I184" s="71">
        <f t="shared" si="111"/>
        <v>43.000132021908364</v>
      </c>
      <c r="J184" s="63"/>
      <c r="K184" s="85">
        <v>0.11448864571823592</v>
      </c>
      <c r="L184" s="208">
        <v>21.84</v>
      </c>
      <c r="M184" s="82">
        <f t="shared" si="106"/>
        <v>30.222222222222221</v>
      </c>
      <c r="N184" s="71">
        <f t="shared" si="112"/>
        <v>32.413825809545756</v>
      </c>
      <c r="O184" s="85">
        <v>15.876218195173644</v>
      </c>
      <c r="P184" s="87">
        <v>51.3</v>
      </c>
      <c r="Q184" s="70">
        <f t="shared" si="113"/>
        <v>52.686787886207576</v>
      </c>
      <c r="R184" s="90">
        <v>5.0000000000000001E-3</v>
      </c>
      <c r="S184" s="85">
        <v>-0.74009290000000005</v>
      </c>
      <c r="T184" s="85">
        <v>0.26</v>
      </c>
      <c r="U184" s="90">
        <v>3.6429999999999998</v>
      </c>
      <c r="V184" s="70">
        <f t="shared" si="114"/>
        <v>26.935191679894178</v>
      </c>
      <c r="W184" s="85">
        <v>14.108000000000001</v>
      </c>
      <c r="X184" s="87">
        <v>94.5</v>
      </c>
      <c r="Y184" s="87">
        <v>9.4499999999999993</v>
      </c>
      <c r="Z184" s="214">
        <v>4.0999999999999996</v>
      </c>
      <c r="AA184" s="71">
        <f t="shared" si="115"/>
        <v>43.400277898424754</v>
      </c>
      <c r="AB184" s="63"/>
      <c r="AC184" s="85">
        <v>10.622754433865698</v>
      </c>
      <c r="AD184" s="87">
        <v>36.9</v>
      </c>
      <c r="AE184" s="88">
        <v>30</v>
      </c>
      <c r="AF184" s="85">
        <v>17</v>
      </c>
      <c r="AG184" s="88">
        <v>25</v>
      </c>
      <c r="AH184" s="70">
        <f t="shared" si="116"/>
        <v>34.706195263602773</v>
      </c>
      <c r="AI184" s="85">
        <v>-0.66</v>
      </c>
      <c r="AJ184" s="85">
        <v>2.59</v>
      </c>
      <c r="AK184" s="87">
        <v>86.9</v>
      </c>
      <c r="AL184" s="86">
        <v>4.67928342366175</v>
      </c>
      <c r="AM184" s="85">
        <v>39.635885175123299</v>
      </c>
      <c r="AN184" s="70">
        <f t="shared" si="117"/>
        <v>43.028592274726378</v>
      </c>
      <c r="AO184" s="63"/>
      <c r="AP184" s="89">
        <v>51.091405523425777</v>
      </c>
      <c r="AQ184" s="89">
        <v>37.122893229412263</v>
      </c>
      <c r="AR184" s="89">
        <v>82.34</v>
      </c>
      <c r="AS184" s="158">
        <f t="shared" si="118"/>
        <v>35.749297995562571</v>
      </c>
      <c r="AT184" s="89">
        <v>64.984800000000007</v>
      </c>
      <c r="AU184" s="89">
        <v>24.749158249158249</v>
      </c>
      <c r="AV184" s="89">
        <v>37.297700980474488</v>
      </c>
      <c r="AW184" s="100">
        <v>22.5</v>
      </c>
      <c r="AX184" s="71">
        <f t="shared" si="119"/>
        <v>40.355205241891341</v>
      </c>
      <c r="AY184" s="86">
        <v>25.457245231555554</v>
      </c>
      <c r="AZ184" s="71">
        <f t="shared" si="120"/>
        <v>25.457245231555554</v>
      </c>
      <c r="BA184" s="86">
        <v>51.26</v>
      </c>
      <c r="BB184" s="71">
        <f t="shared" si="121"/>
        <v>48.74</v>
      </c>
      <c r="BC184" s="86">
        <v>56.47</v>
      </c>
      <c r="BD184" s="86">
        <v>19.45</v>
      </c>
      <c r="BE184" s="86">
        <v>36.200000000000003</v>
      </c>
      <c r="BF184" s="71">
        <f t="shared" si="122"/>
        <v>33.554000000000002</v>
      </c>
      <c r="BG184" s="63"/>
      <c r="BH184" s="85">
        <v>4.0999999999999996</v>
      </c>
      <c r="BI184" s="85">
        <v>5.62</v>
      </c>
      <c r="BJ184" s="88">
        <v>57</v>
      </c>
      <c r="BK184" s="81">
        <v>48.484848484848492</v>
      </c>
      <c r="BL184" s="70">
        <f t="shared" si="123"/>
        <v>43.733300749429787</v>
      </c>
      <c r="BM184" s="90">
        <v>0.35866175748644641</v>
      </c>
      <c r="BN184" s="85">
        <v>48.82</v>
      </c>
      <c r="BO184" s="85">
        <v>42.576653597069601</v>
      </c>
      <c r="BP184" s="70">
        <f t="shared" si="124"/>
        <v>40.782251273589722</v>
      </c>
      <c r="BQ184" s="90">
        <v>0.40376636145832495</v>
      </c>
      <c r="BR184" s="90">
        <v>0.3857309131431168</v>
      </c>
      <c r="BS184" s="85">
        <v>35.252867099999996</v>
      </c>
      <c r="BT184" s="86">
        <v>36.073210899999999</v>
      </c>
      <c r="BU184" s="85">
        <v>56.096448799999997</v>
      </c>
      <c r="BV184" s="86">
        <v>42.671168299999998</v>
      </c>
      <c r="BW184" s="71">
        <f t="shared" si="125"/>
        <v>39.197518435639999</v>
      </c>
      <c r="BX184" s="86">
        <v>61.13</v>
      </c>
      <c r="BY184" s="158">
        <f t="shared" si="126"/>
        <v>61.13</v>
      </c>
      <c r="BZ184" s="54"/>
    </row>
    <row r="185" spans="1:82" s="30" customFormat="1" ht="15" customHeight="1" x14ac:dyDescent="0.2">
      <c r="A185" s="2">
        <v>179</v>
      </c>
      <c r="B185" s="8" t="s">
        <v>16</v>
      </c>
      <c r="C185" s="11" t="s">
        <v>21</v>
      </c>
      <c r="D185" s="162" t="s">
        <v>84</v>
      </c>
      <c r="E185" s="209">
        <f t="shared" si="107"/>
        <v>37.446888642260397</v>
      </c>
      <c r="F185" s="71">
        <f t="shared" si="108"/>
        <v>37.413172238337864</v>
      </c>
      <c r="G185" s="71">
        <f t="shared" si="109"/>
        <v>42.673549231047836</v>
      </c>
      <c r="H185" s="71">
        <f t="shared" si="110"/>
        <v>36.157543735261832</v>
      </c>
      <c r="I185" s="71">
        <f t="shared" si="111"/>
        <v>33.543289364394056</v>
      </c>
      <c r="J185" s="63"/>
      <c r="K185" s="85">
        <v>4.5688036631889695</v>
      </c>
      <c r="L185" s="208">
        <v>25.020000000000003</v>
      </c>
      <c r="M185" s="82">
        <f t="shared" si="106"/>
        <v>18.444444444444432</v>
      </c>
      <c r="N185" s="71">
        <f t="shared" si="112"/>
        <v>51.271131462160938</v>
      </c>
      <c r="O185" s="85">
        <v>19.672898168271892</v>
      </c>
      <c r="P185" s="87">
        <v>43.1</v>
      </c>
      <c r="Q185" s="70">
        <f t="shared" si="113"/>
        <v>58.440498982373271</v>
      </c>
      <c r="R185" s="90">
        <v>2E-3</v>
      </c>
      <c r="S185" s="85">
        <v>-1.1086562</v>
      </c>
      <c r="T185" s="85">
        <v>0.21</v>
      </c>
      <c r="U185" s="90">
        <v>3.3479999999999999</v>
      </c>
      <c r="V185" s="70">
        <f t="shared" si="114"/>
        <v>25.427277751322752</v>
      </c>
      <c r="W185" s="85">
        <v>3.323</v>
      </c>
      <c r="X185" s="87">
        <v>77.7</v>
      </c>
      <c r="Y185" s="87">
        <v>4.7300000000000004</v>
      </c>
      <c r="Z185" s="214">
        <v>6.3</v>
      </c>
      <c r="AA185" s="71">
        <f t="shared" si="115"/>
        <v>43.225381476417596</v>
      </c>
      <c r="AB185" s="63"/>
      <c r="AC185" s="85">
        <v>20.119972162316067</v>
      </c>
      <c r="AD185" s="87">
        <v>22.1</v>
      </c>
      <c r="AE185" s="88">
        <v>30</v>
      </c>
      <c r="AF185" s="85">
        <v>15</v>
      </c>
      <c r="AG185" s="88">
        <v>15</v>
      </c>
      <c r="AH185" s="70">
        <f t="shared" si="116"/>
        <v>37.417160928723526</v>
      </c>
      <c r="AI185" s="85">
        <v>-0.63</v>
      </c>
      <c r="AJ185" s="85">
        <v>3.26</v>
      </c>
      <c r="AK185" s="87">
        <v>78.599999999999994</v>
      </c>
      <c r="AL185" s="86">
        <v>3.6573645138460051</v>
      </c>
      <c r="AM185" s="85">
        <v>76.507334923312698</v>
      </c>
      <c r="AN185" s="70">
        <f t="shared" si="117"/>
        <v>47.92993753337214</v>
      </c>
      <c r="AO185" s="63"/>
      <c r="AP185" s="89">
        <v>40.294226945745983</v>
      </c>
      <c r="AQ185" s="89">
        <v>26.385021625361169</v>
      </c>
      <c r="AR185" s="89">
        <v>91.52</v>
      </c>
      <c r="AS185" s="158">
        <f t="shared" si="118"/>
        <v>25.386067549117083</v>
      </c>
      <c r="AT185" s="89">
        <v>67.875799999999998</v>
      </c>
      <c r="AU185" s="89">
        <v>39.692398344262614</v>
      </c>
      <c r="AV185" s="89">
        <v>49.324356567686394</v>
      </c>
      <c r="AW185" s="100">
        <v>19.7</v>
      </c>
      <c r="AX185" s="71">
        <f t="shared" si="119"/>
        <v>50.590632344291656</v>
      </c>
      <c r="AY185" s="86">
        <v>20.99802210992193</v>
      </c>
      <c r="AZ185" s="71">
        <f t="shared" si="120"/>
        <v>20.99802210992193</v>
      </c>
      <c r="BA185" s="86">
        <v>31.14</v>
      </c>
      <c r="BB185" s="71">
        <f t="shared" si="121"/>
        <v>68.86</v>
      </c>
      <c r="BC185" s="86">
        <v>25.81</v>
      </c>
      <c r="BD185" s="86">
        <v>32.89</v>
      </c>
      <c r="BE185" s="86">
        <v>39.5</v>
      </c>
      <c r="BF185" s="71">
        <f t="shared" si="122"/>
        <v>34.118000000000002</v>
      </c>
      <c r="BG185" s="63"/>
      <c r="BH185" s="85">
        <v>8.51</v>
      </c>
      <c r="BI185" s="85">
        <v>6.03</v>
      </c>
      <c r="BJ185" s="88">
        <v>22</v>
      </c>
      <c r="BK185" s="81">
        <v>18.181818181818183</v>
      </c>
      <c r="BL185" s="70">
        <f t="shared" si="123"/>
        <v>20.017734694616415</v>
      </c>
      <c r="BM185" s="90">
        <v>0.2597417070511816</v>
      </c>
      <c r="BN185" s="85">
        <v>34.659999999999997</v>
      </c>
      <c r="BO185" s="85">
        <v>33.560221540465498</v>
      </c>
      <c r="BP185" s="70">
        <f t="shared" si="124"/>
        <v>30.042140737675453</v>
      </c>
      <c r="BQ185" s="90">
        <v>0.31427355307858457</v>
      </c>
      <c r="BR185" s="90">
        <v>0.37064092548627497</v>
      </c>
      <c r="BS185" s="85">
        <v>38.991802399999997</v>
      </c>
      <c r="BT185" s="86">
        <v>38.779816599999997</v>
      </c>
      <c r="BU185" s="85">
        <v>33.696022399999997</v>
      </c>
      <c r="BV185" s="86">
        <v>41.721446499999999</v>
      </c>
      <c r="BW185" s="71">
        <f t="shared" si="125"/>
        <v>37.552038484106625</v>
      </c>
      <c r="BX185" s="86">
        <v>63.83</v>
      </c>
      <c r="BY185" s="158">
        <f t="shared" si="126"/>
        <v>63.83</v>
      </c>
      <c r="BZ185" s="54"/>
    </row>
    <row r="186" spans="1:82" s="30" customFormat="1" ht="15" customHeight="1" x14ac:dyDescent="0.2">
      <c r="A186" s="2">
        <v>180</v>
      </c>
      <c r="B186" s="8" t="s">
        <v>16</v>
      </c>
      <c r="C186" s="11" t="s">
        <v>21</v>
      </c>
      <c r="D186" s="162" t="s">
        <v>150</v>
      </c>
      <c r="E186" s="209">
        <f t="shared" si="107"/>
        <v>37.173986208526614</v>
      </c>
      <c r="F186" s="71">
        <f t="shared" si="108"/>
        <v>28.80182064219629</v>
      </c>
      <c r="G186" s="71">
        <f t="shared" si="109"/>
        <v>45.469687634901057</v>
      </c>
      <c r="H186" s="71">
        <f t="shared" si="110"/>
        <v>34.596949404206995</v>
      </c>
      <c r="I186" s="71">
        <f t="shared" si="111"/>
        <v>39.827487152802128</v>
      </c>
      <c r="J186" s="63"/>
      <c r="K186" s="85">
        <v>-0.107841496913752</v>
      </c>
      <c r="L186" s="208">
        <v>6.32</v>
      </c>
      <c r="M186" s="82">
        <f t="shared" si="106"/>
        <v>87.703703703703709</v>
      </c>
      <c r="N186" s="71">
        <f t="shared" si="112"/>
        <v>59.919399091219901</v>
      </c>
      <c r="O186" s="85">
        <v>1.7058330957550896</v>
      </c>
      <c r="P186" s="87">
        <v>102.5</v>
      </c>
      <c r="Q186" s="70">
        <f t="shared" si="113"/>
        <v>22.058796164308379</v>
      </c>
      <c r="R186" s="90">
        <v>3.0000000000000001E-3</v>
      </c>
      <c r="S186" s="85">
        <v>-1.2456417</v>
      </c>
      <c r="T186" s="85">
        <v>0.16</v>
      </c>
      <c r="U186" s="90">
        <v>3.9489999999999998</v>
      </c>
      <c r="V186" s="70">
        <f t="shared" si="114"/>
        <v>20.592265119047621</v>
      </c>
      <c r="W186" s="85">
        <v>6.6280000000000001</v>
      </c>
      <c r="X186" s="87">
        <v>95.5</v>
      </c>
      <c r="Y186" s="87">
        <v>2.15</v>
      </c>
      <c r="Z186" s="214">
        <v>3</v>
      </c>
      <c r="AA186" s="71">
        <f t="shared" si="115"/>
        <v>36.819714995616913</v>
      </c>
      <c r="AB186" s="63"/>
      <c r="AC186" s="99">
        <v>21.010212569625899</v>
      </c>
      <c r="AD186" s="87">
        <v>29.7</v>
      </c>
      <c r="AE186" s="88">
        <v>40</v>
      </c>
      <c r="AF186" s="85">
        <v>9.25</v>
      </c>
      <c r="AG186" s="88">
        <v>18</v>
      </c>
      <c r="AH186" s="70">
        <f t="shared" si="116"/>
        <v>42.918346841289065</v>
      </c>
      <c r="AI186" s="85">
        <v>-0.08</v>
      </c>
      <c r="AJ186" s="85">
        <v>3.1</v>
      </c>
      <c r="AK186" s="87">
        <v>75.8</v>
      </c>
      <c r="AL186" s="86">
        <v>4.1330125153880779</v>
      </c>
      <c r="AM186" s="85">
        <v>66.065920263316599</v>
      </c>
      <c r="AN186" s="70">
        <f t="shared" si="117"/>
        <v>48.021028428513034</v>
      </c>
      <c r="AO186" s="63"/>
      <c r="AP186" s="89">
        <v>43.75291547552159</v>
      </c>
      <c r="AQ186" s="89">
        <v>27.169666325754044</v>
      </c>
      <c r="AR186" s="89">
        <v>96.22</v>
      </c>
      <c r="AS186" s="158">
        <f t="shared" si="118"/>
        <v>25.46806203175742</v>
      </c>
      <c r="AT186" s="89">
        <v>63.968600000000002</v>
      </c>
      <c r="AU186" s="89">
        <v>37.119528619528616</v>
      </c>
      <c r="AV186" s="89">
        <v>43.781932268469426</v>
      </c>
      <c r="AW186" s="100">
        <v>21.8</v>
      </c>
      <c r="AX186" s="71">
        <f t="shared" si="119"/>
        <v>44.094525793532554</v>
      </c>
      <c r="AY186" s="86">
        <v>24.444199474125</v>
      </c>
      <c r="AZ186" s="71">
        <f t="shared" si="120"/>
        <v>24.444199474125</v>
      </c>
      <c r="BA186" s="86">
        <v>49.56</v>
      </c>
      <c r="BB186" s="71">
        <f t="shared" si="121"/>
        <v>50.44</v>
      </c>
      <c r="BC186" s="86">
        <v>27.43</v>
      </c>
      <c r="BD186" s="86">
        <v>44.19</v>
      </c>
      <c r="BE186" s="86">
        <v>46.19</v>
      </c>
      <c r="BF186" s="71">
        <f t="shared" si="122"/>
        <v>41.637999999999998</v>
      </c>
      <c r="BG186" s="63"/>
      <c r="BH186" s="85">
        <v>3.59</v>
      </c>
      <c r="BI186" s="85">
        <v>6.63</v>
      </c>
      <c r="BJ186" s="88">
        <v>39</v>
      </c>
      <c r="BK186" s="81">
        <v>36.363636363636367</v>
      </c>
      <c r="BL186" s="70">
        <f t="shared" si="123"/>
        <v>32.712271460120924</v>
      </c>
      <c r="BM186" s="90">
        <v>0.35568071497368409</v>
      </c>
      <c r="BN186" s="85">
        <v>52.27</v>
      </c>
      <c r="BO186" s="85">
        <v>49.472497562009984</v>
      </c>
      <c r="BP186" s="70">
        <f t="shared" si="124"/>
        <v>43.219660139186701</v>
      </c>
      <c r="BQ186" s="90">
        <v>0.38988145899239862</v>
      </c>
      <c r="BR186" s="90">
        <v>0.35712266395971848</v>
      </c>
      <c r="BS186" s="85">
        <v>26.362155599999998</v>
      </c>
      <c r="BT186" s="86">
        <v>37.422579299999995</v>
      </c>
      <c r="BU186" s="85">
        <v>35.861567899999997</v>
      </c>
      <c r="BV186" s="86">
        <v>42.821162399999999</v>
      </c>
      <c r="BW186" s="71">
        <f t="shared" si="125"/>
        <v>35.692917845759681</v>
      </c>
      <c r="BX186" s="86">
        <v>61.91</v>
      </c>
      <c r="BY186" s="158">
        <f t="shared" si="126"/>
        <v>61.91</v>
      </c>
      <c r="BZ186" s="54"/>
    </row>
    <row r="187" spans="1:82" s="30" customFormat="1" ht="15" customHeight="1" x14ac:dyDescent="0.2">
      <c r="A187" s="2">
        <v>182</v>
      </c>
      <c r="B187" s="8" t="s">
        <v>16</v>
      </c>
      <c r="C187" s="21" t="s">
        <v>42</v>
      </c>
      <c r="D187" s="162" t="s">
        <v>139</v>
      </c>
      <c r="E187" s="209">
        <f t="shared" si="107"/>
        <v>37.153623899240493</v>
      </c>
      <c r="F187" s="71">
        <f t="shared" si="108"/>
        <v>36.120967833008613</v>
      </c>
      <c r="G187" s="71">
        <f t="shared" si="109"/>
        <v>46.976730815217991</v>
      </c>
      <c r="H187" s="71">
        <f t="shared" si="110"/>
        <v>30.591827923680842</v>
      </c>
      <c r="I187" s="71">
        <f t="shared" si="111"/>
        <v>34.924969025054523</v>
      </c>
      <c r="J187" s="63"/>
      <c r="K187" s="85">
        <v>1.7167945280696095</v>
      </c>
      <c r="L187" s="208">
        <v>4.2200000000000006</v>
      </c>
      <c r="M187" s="82">
        <f t="shared" si="106"/>
        <v>95.481481481481495</v>
      </c>
      <c r="N187" s="71">
        <f t="shared" si="112"/>
        <v>73.945154785571916</v>
      </c>
      <c r="O187" s="85">
        <v>15.080513306367308</v>
      </c>
      <c r="P187" s="87">
        <v>41.9</v>
      </c>
      <c r="Q187" s="70">
        <f t="shared" si="113"/>
        <v>56.422507392426276</v>
      </c>
      <c r="R187" s="168">
        <v>6.7597795006187761E-3</v>
      </c>
      <c r="S187" s="85">
        <v>-0.95243710000000004</v>
      </c>
      <c r="T187" s="85">
        <v>0.21</v>
      </c>
      <c r="U187" s="90">
        <v>4.4459999999999997</v>
      </c>
      <c r="V187" s="70">
        <f t="shared" si="114"/>
        <v>20.985224526500861</v>
      </c>
      <c r="W187" s="85">
        <v>2.831</v>
      </c>
      <c r="X187" s="87">
        <v>92.8</v>
      </c>
      <c r="Y187" s="87">
        <v>3.68</v>
      </c>
      <c r="Z187" s="214">
        <v>5.2</v>
      </c>
      <c r="AA187" s="71">
        <f t="shared" si="115"/>
        <v>39.081855929348208</v>
      </c>
      <c r="AB187" s="63"/>
      <c r="AC187" s="85">
        <v>21.669354439275455</v>
      </c>
      <c r="AD187" s="87">
        <v>13.8</v>
      </c>
      <c r="AE187" s="88">
        <v>65</v>
      </c>
      <c r="AF187" s="85">
        <v>5</v>
      </c>
      <c r="AG187" s="88">
        <v>15</v>
      </c>
      <c r="AH187" s="70">
        <f t="shared" si="116"/>
        <v>45.464185010799021</v>
      </c>
      <c r="AI187" s="85">
        <v>1.35</v>
      </c>
      <c r="AJ187" s="85">
        <v>3.93</v>
      </c>
      <c r="AK187" s="87">
        <v>67.900000000000006</v>
      </c>
      <c r="AL187" s="86">
        <v>4.3695237983883244</v>
      </c>
      <c r="AM187" s="85">
        <v>29.470183750055298</v>
      </c>
      <c r="AN187" s="70">
        <f t="shared" si="117"/>
        <v>48.489276619636961</v>
      </c>
      <c r="AO187" s="63"/>
      <c r="AP187" s="89">
        <v>54.791879617386314</v>
      </c>
      <c r="AQ187" s="89">
        <v>29.62788613682077</v>
      </c>
      <c r="AR187" s="89">
        <v>87.92</v>
      </c>
      <c r="AS187" s="158">
        <f t="shared" si="118"/>
        <v>31.531912972756963</v>
      </c>
      <c r="AT187" s="89">
        <v>60.893700000000003</v>
      </c>
      <c r="AU187" s="89">
        <v>37.318467797379256</v>
      </c>
      <c r="AV187" s="89">
        <v>43.76956865355038</v>
      </c>
      <c r="AW187" s="100">
        <v>12.3</v>
      </c>
      <c r="AX187" s="71">
        <f t="shared" si="119"/>
        <v>44.241875994303065</v>
      </c>
      <c r="AY187" s="86">
        <v>6.5995723299421298</v>
      </c>
      <c r="AZ187" s="71">
        <f t="shared" si="120"/>
        <v>6.5995723299421298</v>
      </c>
      <c r="BA187" s="86">
        <v>35.65</v>
      </c>
      <c r="BB187" s="71">
        <f t="shared" si="121"/>
        <v>64.349999999999994</v>
      </c>
      <c r="BC187" s="86">
        <v>9.56</v>
      </c>
      <c r="BD187" s="86">
        <v>20.92</v>
      </c>
      <c r="BE187" s="86">
        <v>33.22</v>
      </c>
      <c r="BF187" s="71">
        <f t="shared" si="122"/>
        <v>23.568000000000001</v>
      </c>
      <c r="BG187" s="63"/>
      <c r="BH187" s="99">
        <v>5.2</v>
      </c>
      <c r="BI187" s="85">
        <v>6.33</v>
      </c>
      <c r="BJ187" s="88">
        <v>27</v>
      </c>
      <c r="BK187" s="81">
        <v>4.5454545454545459</v>
      </c>
      <c r="BL187" s="70">
        <f t="shared" si="123"/>
        <v>17.69217262228015</v>
      </c>
      <c r="BM187" s="90">
        <v>0.43904308403323133</v>
      </c>
      <c r="BN187" s="85">
        <v>45.63</v>
      </c>
      <c r="BO187" s="85">
        <v>40.687481528236155</v>
      </c>
      <c r="BP187" s="70">
        <f t="shared" si="124"/>
        <v>43.531524583720611</v>
      </c>
      <c r="BQ187" s="90">
        <v>0.396810913410858</v>
      </c>
      <c r="BR187" s="90">
        <v>0.3345420091120424</v>
      </c>
      <c r="BS187" s="85">
        <v>28.000738199999997</v>
      </c>
      <c r="BT187" s="86">
        <v>26.313285099999998</v>
      </c>
      <c r="BU187" s="85">
        <v>23.344775799999997</v>
      </c>
      <c r="BV187" s="86">
        <v>42.840438200000001</v>
      </c>
      <c r="BW187" s="71">
        <f t="shared" si="125"/>
        <v>31.867052841052285</v>
      </c>
      <c r="BX187" s="86">
        <v>62.89</v>
      </c>
      <c r="BY187" s="158">
        <f t="shared" si="126"/>
        <v>62.89</v>
      </c>
      <c r="BZ187" s="54"/>
      <c r="CB187" s="31"/>
      <c r="CC187" s="31"/>
      <c r="CD187" s="31"/>
    </row>
    <row r="188" spans="1:82" s="30" customFormat="1" ht="15" customHeight="1" x14ac:dyDescent="0.2">
      <c r="A188" s="2">
        <v>181</v>
      </c>
      <c r="B188" s="3" t="s">
        <v>10</v>
      </c>
      <c r="C188" s="22" t="s">
        <v>49</v>
      </c>
      <c r="D188" s="162" t="s">
        <v>151</v>
      </c>
      <c r="E188" s="209">
        <f t="shared" si="107"/>
        <v>36.961803897853656</v>
      </c>
      <c r="F188" s="71">
        <f t="shared" si="108"/>
        <v>35.050331755017574</v>
      </c>
      <c r="G188" s="71">
        <f t="shared" si="109"/>
        <v>44.878196420301492</v>
      </c>
      <c r="H188" s="71">
        <f t="shared" si="110"/>
        <v>44.903791235168057</v>
      </c>
      <c r="I188" s="71">
        <f t="shared" si="111"/>
        <v>23.014896180927519</v>
      </c>
      <c r="J188" s="63"/>
      <c r="K188" s="85">
        <v>-0.20020997676145624</v>
      </c>
      <c r="L188" s="208">
        <v>23.2</v>
      </c>
      <c r="M188" s="82">
        <f t="shared" si="106"/>
        <v>25.185185185185187</v>
      </c>
      <c r="N188" s="71">
        <f t="shared" si="112"/>
        <v>28.146981610584504</v>
      </c>
      <c r="O188" s="99">
        <v>30.112661721372351</v>
      </c>
      <c r="P188" s="87">
        <v>51.9</v>
      </c>
      <c r="Q188" s="70">
        <f t="shared" si="113"/>
        <v>60.329256511873524</v>
      </c>
      <c r="R188" s="90">
        <v>1.9E-2</v>
      </c>
      <c r="S188" s="85">
        <v>-0.99655574999999996</v>
      </c>
      <c r="T188" s="85">
        <v>0.31</v>
      </c>
      <c r="U188" s="90">
        <v>3.7490000000000001</v>
      </c>
      <c r="V188" s="70">
        <f t="shared" si="114"/>
        <v>28.421736673280424</v>
      </c>
      <c r="W188" s="85">
        <v>3.0470000000000002</v>
      </c>
      <c r="X188" s="87">
        <v>80.7</v>
      </c>
      <c r="Y188" s="87">
        <v>5.79</v>
      </c>
      <c r="Z188" s="214">
        <v>12.1</v>
      </c>
      <c r="AA188" s="71">
        <f t="shared" si="115"/>
        <v>35.901507122151521</v>
      </c>
      <c r="AB188" s="63"/>
      <c r="AC188" s="99">
        <v>29.007654096179579</v>
      </c>
      <c r="AD188" s="87">
        <v>5.7</v>
      </c>
      <c r="AE188" s="88">
        <v>30</v>
      </c>
      <c r="AF188" s="85">
        <v>9</v>
      </c>
      <c r="AG188" s="91">
        <v>11.052816459734139</v>
      </c>
      <c r="AH188" s="70">
        <f t="shared" si="116"/>
        <v>41.489546499716432</v>
      </c>
      <c r="AI188" s="85">
        <v>-1.23</v>
      </c>
      <c r="AJ188" s="85">
        <v>2.91</v>
      </c>
      <c r="AK188" s="87">
        <v>88.6</v>
      </c>
      <c r="AL188" s="86">
        <v>4.4672286506208003</v>
      </c>
      <c r="AM188" s="85">
        <v>73.581505032903294</v>
      </c>
      <c r="AN188" s="70">
        <f t="shared" si="117"/>
        <v>48.266846340886552</v>
      </c>
      <c r="AO188" s="63"/>
      <c r="AP188" s="89">
        <v>65.965224292863951</v>
      </c>
      <c r="AQ188" s="89">
        <v>41.503804681763711</v>
      </c>
      <c r="AR188" s="89">
        <v>83.57</v>
      </c>
      <c r="AS188" s="158">
        <f t="shared" si="118"/>
        <v>41.350708414097845</v>
      </c>
      <c r="AT188" s="89">
        <v>67.302000000000007</v>
      </c>
      <c r="AU188" s="89">
        <v>43.600030678372654</v>
      </c>
      <c r="AV188" s="89">
        <v>50.950029910631564</v>
      </c>
      <c r="AW188" s="100">
        <v>5.4</v>
      </c>
      <c r="AX188" s="71">
        <f t="shared" si="119"/>
        <v>56.308152333264097</v>
      </c>
      <c r="AY188" s="86">
        <v>36.837843260004632</v>
      </c>
      <c r="AZ188" s="71">
        <f t="shared" si="120"/>
        <v>36.837843260004632</v>
      </c>
      <c r="BA188" s="86">
        <v>30.7</v>
      </c>
      <c r="BB188" s="71">
        <f t="shared" si="121"/>
        <v>69.3</v>
      </c>
      <c r="BC188" s="86">
        <v>43.03</v>
      </c>
      <c r="BD188" s="86">
        <v>6.33</v>
      </c>
      <c r="BE188" s="86">
        <v>26.75</v>
      </c>
      <c r="BF188" s="71">
        <f t="shared" si="122"/>
        <v>21.838000000000001</v>
      </c>
      <c r="BG188" s="63"/>
      <c r="BH188" s="85">
        <v>3.9</v>
      </c>
      <c r="BI188" s="85">
        <v>8.08</v>
      </c>
      <c r="BJ188" s="88">
        <v>2</v>
      </c>
      <c r="BK188" s="81">
        <v>0</v>
      </c>
      <c r="BL188" s="70">
        <f t="shared" si="123"/>
        <v>6.3769414575866188</v>
      </c>
      <c r="BM188" s="90">
        <v>0.13747833256714273</v>
      </c>
      <c r="BN188" s="85">
        <v>26.38</v>
      </c>
      <c r="BO188" s="85">
        <v>24.467270731639132</v>
      </c>
      <c r="BP188" s="70">
        <f t="shared" si="124"/>
        <v>19.585734311266918</v>
      </c>
      <c r="BQ188" s="90">
        <v>0.25198843817620059</v>
      </c>
      <c r="BR188" s="90">
        <v>0.27880159061835935</v>
      </c>
      <c r="BS188" s="85">
        <v>22.498131699999998</v>
      </c>
      <c r="BT188" s="86">
        <v>21.0407163</v>
      </c>
      <c r="BU188" s="85">
        <v>30.187041499999999</v>
      </c>
      <c r="BV188" s="86">
        <v>32.471777899999999</v>
      </c>
      <c r="BW188" s="71">
        <f t="shared" si="125"/>
        <v>25.388401494716529</v>
      </c>
      <c r="BX188" s="86">
        <v>66.59</v>
      </c>
      <c r="BY188" s="158">
        <f t="shared" si="126"/>
        <v>66.59</v>
      </c>
      <c r="BZ188" s="54"/>
    </row>
    <row r="189" spans="1:82" s="30" customFormat="1" ht="15" customHeight="1" x14ac:dyDescent="0.2">
      <c r="A189" s="2">
        <v>183</v>
      </c>
      <c r="B189" s="8" t="s">
        <v>16</v>
      </c>
      <c r="C189" s="11" t="s">
        <v>21</v>
      </c>
      <c r="D189" s="162" t="s">
        <v>225</v>
      </c>
      <c r="E189" s="209">
        <f t="shared" si="107"/>
        <v>36.18776827143828</v>
      </c>
      <c r="F189" s="71">
        <f t="shared" si="108"/>
        <v>31.852319526472765</v>
      </c>
      <c r="G189" s="71">
        <f t="shared" si="109"/>
        <v>30.975328041303214</v>
      </c>
      <c r="H189" s="71">
        <f t="shared" si="110"/>
        <v>41.7722737037762</v>
      </c>
      <c r="I189" s="71">
        <f t="shared" si="111"/>
        <v>40.151151814200922</v>
      </c>
      <c r="J189" s="63"/>
      <c r="K189" s="85">
        <v>3.4533205610355555</v>
      </c>
      <c r="L189" s="208">
        <v>355.36</v>
      </c>
      <c r="M189" s="82">
        <f t="shared" si="106"/>
        <v>0</v>
      </c>
      <c r="N189" s="71">
        <f t="shared" si="112"/>
        <v>35.851780894641976</v>
      </c>
      <c r="O189" s="85">
        <v>10.704706596772628</v>
      </c>
      <c r="P189" s="87">
        <v>43.8</v>
      </c>
      <c r="Q189" s="70">
        <f t="shared" si="113"/>
        <v>53.147059220429242</v>
      </c>
      <c r="R189" s="90">
        <v>1.0999999999999999E-2</v>
      </c>
      <c r="S189" s="85">
        <v>-1.0843754999999999</v>
      </c>
      <c r="T189" s="85">
        <v>0.22</v>
      </c>
      <c r="U189" s="90">
        <v>4.6619999999999999</v>
      </c>
      <c r="V189" s="70">
        <f t="shared" si="114"/>
        <v>20.237581283068781</v>
      </c>
      <c r="W189" s="85">
        <v>9.2929999999999993</v>
      </c>
      <c r="X189" s="87">
        <v>85</v>
      </c>
      <c r="Y189" s="87">
        <v>4.22</v>
      </c>
      <c r="Z189" s="214">
        <v>5</v>
      </c>
      <c r="AA189" s="71">
        <f t="shared" si="115"/>
        <v>40.705167649639158</v>
      </c>
      <c r="AB189" s="63"/>
      <c r="AC189" s="85">
        <v>7.9295889857070092</v>
      </c>
      <c r="AD189" s="87">
        <v>19.399999999999999</v>
      </c>
      <c r="AE189" s="88">
        <v>10</v>
      </c>
      <c r="AF189" s="85">
        <v>30</v>
      </c>
      <c r="AG189" s="91">
        <v>21.532621047419724</v>
      </c>
      <c r="AH189" s="70">
        <f t="shared" si="116"/>
        <v>22.749521806066934</v>
      </c>
      <c r="AI189" s="85">
        <v>-0.96</v>
      </c>
      <c r="AJ189" s="85">
        <v>3.46</v>
      </c>
      <c r="AK189" s="87">
        <v>73.599999999999994</v>
      </c>
      <c r="AL189" s="86">
        <v>2.9523021115709622</v>
      </c>
      <c r="AM189" s="85">
        <v>39.860763427817702</v>
      </c>
      <c r="AN189" s="70">
        <f t="shared" si="117"/>
        <v>39.201134276539499</v>
      </c>
      <c r="AO189" s="63"/>
      <c r="AP189" s="89">
        <v>46.023293933697701</v>
      </c>
      <c r="AQ189" s="89">
        <v>37.260041076626365</v>
      </c>
      <c r="AR189" s="89">
        <v>85.41</v>
      </c>
      <c r="AS189" s="158">
        <f t="shared" si="118"/>
        <v>33.783344021737605</v>
      </c>
      <c r="AT189" s="89">
        <v>63.3459</v>
      </c>
      <c r="AU189" s="89">
        <v>55.623889599424189</v>
      </c>
      <c r="AV189" s="89">
        <v>39.369657210765489</v>
      </c>
      <c r="AW189" s="100">
        <v>19.7</v>
      </c>
      <c r="AX189" s="71">
        <f t="shared" si="119"/>
        <v>48.419249556778681</v>
      </c>
      <c r="AY189" s="86">
        <v>37.424401413877057</v>
      </c>
      <c r="AZ189" s="71">
        <f t="shared" si="120"/>
        <v>37.424401413877057</v>
      </c>
      <c r="BA189" s="86">
        <v>50.26</v>
      </c>
      <c r="BB189" s="71">
        <f t="shared" si="121"/>
        <v>49.74</v>
      </c>
      <c r="BC189" s="86">
        <v>32.93</v>
      </c>
      <c r="BD189" s="86">
        <v>36.47</v>
      </c>
      <c r="BE189" s="86">
        <v>60.48</v>
      </c>
      <c r="BF189" s="71">
        <f t="shared" si="122"/>
        <v>45.366</v>
      </c>
      <c r="BG189" s="63"/>
      <c r="BH189" s="85">
        <v>6.76</v>
      </c>
      <c r="BI189" s="85">
        <v>5.55</v>
      </c>
      <c r="BJ189" s="88">
        <v>77</v>
      </c>
      <c r="BK189" s="84">
        <v>36.363636363636367</v>
      </c>
      <c r="BL189" s="70">
        <f t="shared" si="123"/>
        <v>46.411972774338359</v>
      </c>
      <c r="BM189" s="90">
        <v>0.33718853855039815</v>
      </c>
      <c r="BN189" s="85">
        <v>44.37</v>
      </c>
      <c r="BO189" s="85">
        <v>35.398139576655417</v>
      </c>
      <c r="BP189" s="70">
        <f t="shared" si="124"/>
        <v>36.801461821683759</v>
      </c>
      <c r="BQ189" s="90">
        <v>0.31818033158157261</v>
      </c>
      <c r="BR189" s="90">
        <v>0.40639581539007574</v>
      </c>
      <c r="BS189" s="85">
        <v>22.5194258</v>
      </c>
      <c r="BT189" s="86">
        <v>32.136983000000001</v>
      </c>
      <c r="BU189" s="85">
        <v>48.518336900000001</v>
      </c>
      <c r="BV189" s="86">
        <v>36.282894399999996</v>
      </c>
      <c r="BW189" s="71">
        <f t="shared" si="125"/>
        <v>33.516343068889149</v>
      </c>
      <c r="BX189" s="86">
        <v>57.77</v>
      </c>
      <c r="BY189" s="158">
        <f t="shared" si="126"/>
        <v>57.77</v>
      </c>
      <c r="BZ189" s="54"/>
    </row>
    <row r="190" spans="1:82" s="30" customFormat="1" ht="15" customHeight="1" x14ac:dyDescent="0.2">
      <c r="A190" s="2">
        <v>184</v>
      </c>
      <c r="B190" s="8" t="s">
        <v>16</v>
      </c>
      <c r="C190" s="21" t="s">
        <v>42</v>
      </c>
      <c r="D190" s="162" t="s">
        <v>53</v>
      </c>
      <c r="E190" s="209">
        <f t="shared" si="107"/>
        <v>34.671730733465978</v>
      </c>
      <c r="F190" s="71">
        <f t="shared" si="108"/>
        <v>28.368923571489049</v>
      </c>
      <c r="G190" s="71">
        <f t="shared" si="109"/>
        <v>42.677027826962238</v>
      </c>
      <c r="H190" s="71">
        <f t="shared" si="110"/>
        <v>34.341748609686022</v>
      </c>
      <c r="I190" s="71">
        <f t="shared" si="111"/>
        <v>33.299222925726603</v>
      </c>
      <c r="J190" s="63"/>
      <c r="K190" s="86">
        <v>0.81643908241089136</v>
      </c>
      <c r="L190" s="207">
        <v>21.759999999999998</v>
      </c>
      <c r="M190" s="82">
        <f t="shared" si="106"/>
        <v>30.51851851851853</v>
      </c>
      <c r="N190" s="71">
        <f t="shared" si="112"/>
        <v>36.461698605986442</v>
      </c>
      <c r="O190" s="86">
        <v>43.05962815208089</v>
      </c>
      <c r="P190" s="100">
        <v>41.2</v>
      </c>
      <c r="Q190" s="70">
        <f t="shared" si="113"/>
        <v>72.277571195600487</v>
      </c>
      <c r="R190" s="167">
        <v>1E-3</v>
      </c>
      <c r="S190" s="92">
        <v>-1.1524538917426346</v>
      </c>
      <c r="T190" s="86">
        <v>0.08</v>
      </c>
      <c r="U190" s="167">
        <v>4.6829999999999998</v>
      </c>
      <c r="V190" s="70">
        <f t="shared" si="114"/>
        <v>14.541067231931835</v>
      </c>
      <c r="W190" s="86">
        <v>0.92200000000000004</v>
      </c>
      <c r="X190" s="100">
        <v>98</v>
      </c>
      <c r="Y190" s="100">
        <v>0.92</v>
      </c>
      <c r="Z190" s="107">
        <v>7.5</v>
      </c>
      <c r="AA190" s="71">
        <f t="shared" si="115"/>
        <v>26.44233766233766</v>
      </c>
      <c r="AB190" s="63"/>
      <c r="AC190" s="92">
        <v>21.010212569625899</v>
      </c>
      <c r="AD190" s="100">
        <v>27.2</v>
      </c>
      <c r="AE190" s="95">
        <v>50</v>
      </c>
      <c r="AF190" s="85">
        <v>10</v>
      </c>
      <c r="AG190" s="91">
        <v>20.467041278779877</v>
      </c>
      <c r="AH190" s="70">
        <f t="shared" si="116"/>
        <v>44.387212695444681</v>
      </c>
      <c r="AI190" s="86">
        <v>-0.38</v>
      </c>
      <c r="AJ190" s="86">
        <v>3.46</v>
      </c>
      <c r="AK190" s="100">
        <v>76.099999999999994</v>
      </c>
      <c r="AL190" s="86">
        <v>4.2115858839612805</v>
      </c>
      <c r="AM190" s="86">
        <v>16.7693400716532</v>
      </c>
      <c r="AN190" s="70">
        <f t="shared" si="117"/>
        <v>40.966842958479802</v>
      </c>
      <c r="AO190" s="63"/>
      <c r="AP190" s="89">
        <v>37.257033611505292</v>
      </c>
      <c r="AQ190" s="89">
        <v>20.660854317716691</v>
      </c>
      <c r="AR190" s="89">
        <v>97.32</v>
      </c>
      <c r="AS190" s="158">
        <f t="shared" si="118"/>
        <v>20.31468556173467</v>
      </c>
      <c r="AT190" s="89">
        <v>63.9726</v>
      </c>
      <c r="AU190" s="89">
        <v>45.501010101010102</v>
      </c>
      <c r="AV190" s="89">
        <v>46.59278837196846</v>
      </c>
      <c r="AW190" s="93">
        <v>22.200000000000003</v>
      </c>
      <c r="AX190" s="71">
        <f t="shared" si="119"/>
        <v>46.757076831109572</v>
      </c>
      <c r="AY190" s="86">
        <v>28.66360131345602</v>
      </c>
      <c r="AZ190" s="71">
        <f t="shared" si="120"/>
        <v>28.66360131345602</v>
      </c>
      <c r="BA190" s="86">
        <v>37.46</v>
      </c>
      <c r="BB190" s="71">
        <f t="shared" si="121"/>
        <v>62.54</v>
      </c>
      <c r="BC190" s="86">
        <v>10.28</v>
      </c>
      <c r="BD190" s="86">
        <v>27.81</v>
      </c>
      <c r="BE190" s="86">
        <v>32.18</v>
      </c>
      <c r="BF190" s="71">
        <f t="shared" si="122"/>
        <v>26.052</v>
      </c>
      <c r="BG190" s="63"/>
      <c r="BH190" s="86">
        <v>5.65</v>
      </c>
      <c r="BI190" s="86">
        <v>4.7300000000000004</v>
      </c>
      <c r="BJ190" s="95">
        <v>30</v>
      </c>
      <c r="BK190" s="82">
        <v>9.0909090909090917</v>
      </c>
      <c r="BL190" s="70">
        <f t="shared" si="123"/>
        <v>21.186913942290289</v>
      </c>
      <c r="BM190" s="96">
        <v>0.32699256451118563</v>
      </c>
      <c r="BN190" s="86">
        <v>46.14</v>
      </c>
      <c r="BO190" s="86">
        <v>35.033189530723824</v>
      </c>
      <c r="BP190" s="70">
        <f t="shared" si="124"/>
        <v>36.64292560824024</v>
      </c>
      <c r="BQ190" s="96">
        <v>0.31437572851914264</v>
      </c>
      <c r="BR190" s="96">
        <v>0.3385316106084707</v>
      </c>
      <c r="BS190" s="86">
        <v>18.251815999999998</v>
      </c>
      <c r="BT190" s="86">
        <v>31.7781047</v>
      </c>
      <c r="BU190" s="86">
        <v>42.384019899999998</v>
      </c>
      <c r="BV190" s="86">
        <v>42.027101299999998</v>
      </c>
      <c r="BW190" s="71">
        <f t="shared" si="125"/>
        <v>31.516047879091317</v>
      </c>
      <c r="BX190" s="86">
        <v>59.79</v>
      </c>
      <c r="BY190" s="158">
        <f t="shared" si="126"/>
        <v>59.79</v>
      </c>
      <c r="BZ190" s="54"/>
    </row>
    <row r="191" spans="1:82" s="30" customFormat="1" ht="15" customHeight="1" x14ac:dyDescent="0.2">
      <c r="A191" s="2">
        <v>185</v>
      </c>
      <c r="B191" s="8" t="s">
        <v>16</v>
      </c>
      <c r="C191" s="21" t="s">
        <v>42</v>
      </c>
      <c r="D191" s="162" t="s">
        <v>65</v>
      </c>
      <c r="E191" s="209">
        <f t="shared" si="107"/>
        <v>33.583022213491205</v>
      </c>
      <c r="F191" s="71">
        <f t="shared" si="108"/>
        <v>33.678219007996859</v>
      </c>
      <c r="G191" s="71">
        <f t="shared" si="109"/>
        <v>41.677325106915021</v>
      </c>
      <c r="H191" s="71">
        <f t="shared" si="110"/>
        <v>28.778470389627795</v>
      </c>
      <c r="I191" s="71">
        <f t="shared" si="111"/>
        <v>30.198074349425152</v>
      </c>
      <c r="J191" s="63"/>
      <c r="K191" s="85">
        <v>3.9995786993693772</v>
      </c>
      <c r="L191" s="208">
        <v>12.66</v>
      </c>
      <c r="M191" s="82">
        <f t="shared" si="106"/>
        <v>64.222222222222229</v>
      </c>
      <c r="N191" s="71">
        <f t="shared" si="112"/>
        <v>70.997659440940993</v>
      </c>
      <c r="O191" s="85">
        <v>28.691458203555037</v>
      </c>
      <c r="P191" s="87">
        <v>20.2</v>
      </c>
      <c r="Q191" s="70">
        <f t="shared" si="113"/>
        <v>73.628587890863912</v>
      </c>
      <c r="R191" s="168">
        <v>4.6539903734712992E-3</v>
      </c>
      <c r="S191" s="85">
        <v>-3.1336681999999998</v>
      </c>
      <c r="T191" s="85">
        <v>0.11</v>
      </c>
      <c r="U191" s="90">
        <v>4.0789999999999997</v>
      </c>
      <c r="V191" s="70">
        <f t="shared" si="114"/>
        <v>13.1845505832201</v>
      </c>
      <c r="W191" s="85">
        <v>4.4340000000000002</v>
      </c>
      <c r="X191" s="87">
        <v>96.3</v>
      </c>
      <c r="Y191" s="87">
        <v>2.37</v>
      </c>
      <c r="Z191" s="214">
        <v>4.5</v>
      </c>
      <c r="AA191" s="71">
        <f t="shared" si="115"/>
        <v>35.767558354652479</v>
      </c>
      <c r="AB191" s="63"/>
      <c r="AC191" s="85">
        <v>28.790288643338062</v>
      </c>
      <c r="AD191" s="87">
        <v>15.4</v>
      </c>
      <c r="AE191" s="88">
        <v>30</v>
      </c>
      <c r="AF191" s="85">
        <v>13.5</v>
      </c>
      <c r="AG191" s="88">
        <v>25</v>
      </c>
      <c r="AH191" s="70">
        <f t="shared" si="116"/>
        <v>44.131987300686909</v>
      </c>
      <c r="AI191" s="85">
        <v>0.18</v>
      </c>
      <c r="AJ191" s="99">
        <v>2.5493477079557798</v>
      </c>
      <c r="AK191" s="87">
        <v>73.8</v>
      </c>
      <c r="AL191" s="86">
        <v>2.5349884431838738</v>
      </c>
      <c r="AM191" s="85">
        <v>56.752515916286903</v>
      </c>
      <c r="AN191" s="70">
        <f t="shared" si="117"/>
        <v>39.222662913143147</v>
      </c>
      <c r="AO191" s="63"/>
      <c r="AP191" s="89">
        <v>32.482721580486626</v>
      </c>
      <c r="AQ191" s="89">
        <v>21.90729606784517</v>
      </c>
      <c r="AR191" s="89">
        <v>97.54</v>
      </c>
      <c r="AS191" s="158">
        <f t="shared" si="118"/>
        <v>19.689328429044242</v>
      </c>
      <c r="AT191" s="89">
        <v>62.228000000000002</v>
      </c>
      <c r="AU191" s="89">
        <v>35.550505050505052</v>
      </c>
      <c r="AV191" s="89">
        <v>38.107577487832756</v>
      </c>
      <c r="AW191" s="100">
        <v>38.5</v>
      </c>
      <c r="AX191" s="71">
        <f t="shared" si="119"/>
        <v>35.042944037535904</v>
      </c>
      <c r="AY191" s="86">
        <v>23.70643147691667</v>
      </c>
      <c r="AZ191" s="71">
        <f t="shared" si="120"/>
        <v>23.70643147691667</v>
      </c>
      <c r="BA191" s="86">
        <v>44.67</v>
      </c>
      <c r="BB191" s="71">
        <f t="shared" si="121"/>
        <v>55.33</v>
      </c>
      <c r="BC191" s="86">
        <v>12.24</v>
      </c>
      <c r="BD191" s="86">
        <v>21.26</v>
      </c>
      <c r="BE191" s="86">
        <v>45.07</v>
      </c>
      <c r="BF191" s="71">
        <f t="shared" si="122"/>
        <v>28.98</v>
      </c>
      <c r="BG191" s="63"/>
      <c r="BH191" s="99">
        <v>4.0149999999999997</v>
      </c>
      <c r="BI191" s="85">
        <v>7.47</v>
      </c>
      <c r="BJ191" s="88">
        <v>11</v>
      </c>
      <c r="BK191" s="81">
        <v>18.181818181818183</v>
      </c>
      <c r="BL191" s="70">
        <f t="shared" si="123"/>
        <v>16.01860088338583</v>
      </c>
      <c r="BM191" s="90">
        <v>0.37874449546353445</v>
      </c>
      <c r="BN191" s="85">
        <v>42.16</v>
      </c>
      <c r="BO191" s="85">
        <v>35.684346322325425</v>
      </c>
      <c r="BP191" s="70">
        <f t="shared" si="124"/>
        <v>38.398311353758075</v>
      </c>
      <c r="BQ191" s="90">
        <v>0.3890325712615183</v>
      </c>
      <c r="BR191" s="90">
        <v>0.31537646574726441</v>
      </c>
      <c r="BS191" s="85">
        <v>17.182028599999999</v>
      </c>
      <c r="BT191" s="86">
        <v>18.413101999999999</v>
      </c>
      <c r="BU191" s="85">
        <v>29.695472299999999</v>
      </c>
      <c r="BV191" s="86">
        <v>34.598948299999996</v>
      </c>
      <c r="BW191" s="71">
        <f t="shared" si="125"/>
        <v>26.434087778432197</v>
      </c>
      <c r="BX191" s="86">
        <v>54.22</v>
      </c>
      <c r="BY191" s="158">
        <f t="shared" si="126"/>
        <v>54.22</v>
      </c>
      <c r="BZ191" s="54"/>
    </row>
    <row r="192" spans="1:82" s="30" customFormat="1" ht="15" customHeight="1" x14ac:dyDescent="0.2">
      <c r="A192" s="2">
        <v>186</v>
      </c>
      <c r="B192" s="14" t="s">
        <v>23</v>
      </c>
      <c r="C192" s="16" t="s">
        <v>26</v>
      </c>
      <c r="D192" s="162" t="s">
        <v>221</v>
      </c>
      <c r="E192" s="209">
        <f t="shared" si="107"/>
        <v>33.048460641442553</v>
      </c>
      <c r="F192" s="71">
        <f t="shared" si="108"/>
        <v>30.060006307007782</v>
      </c>
      <c r="G192" s="71">
        <f t="shared" si="109"/>
        <v>16.833753854660976</v>
      </c>
      <c r="H192" s="71">
        <f t="shared" si="110"/>
        <v>57.518683066139232</v>
      </c>
      <c r="I192" s="71">
        <f t="shared" si="111"/>
        <v>27.78139933796222</v>
      </c>
      <c r="J192" s="63"/>
      <c r="K192" s="99">
        <v>0</v>
      </c>
      <c r="L192" s="208">
        <v>482.78000000000003</v>
      </c>
      <c r="M192" s="82">
        <f t="shared" si="106"/>
        <v>0</v>
      </c>
      <c r="N192" s="71">
        <f t="shared" si="112"/>
        <v>16.666666666666664</v>
      </c>
      <c r="O192" s="85">
        <v>25.223902726379688</v>
      </c>
      <c r="P192" s="87">
        <v>308.7</v>
      </c>
      <c r="Q192" s="70">
        <f t="shared" si="113"/>
        <v>14.013279292433159</v>
      </c>
      <c r="R192" s="90">
        <v>1.0999999999999999E-2</v>
      </c>
      <c r="S192" s="85">
        <v>-1.6307532</v>
      </c>
      <c r="T192" s="85">
        <v>0.35</v>
      </c>
      <c r="U192" s="90">
        <v>3.875</v>
      </c>
      <c r="V192" s="70">
        <f t="shared" si="114"/>
        <v>26.800817830687834</v>
      </c>
      <c r="W192" s="85">
        <v>5.3070000000000004</v>
      </c>
      <c r="X192" s="87">
        <v>58.3</v>
      </c>
      <c r="Y192" s="87">
        <v>15.76</v>
      </c>
      <c r="Z192" s="214">
        <v>9.5</v>
      </c>
      <c r="AA192" s="71">
        <f t="shared" si="115"/>
        <v>51.563755324528913</v>
      </c>
      <c r="AB192" s="63"/>
      <c r="AC192" s="85">
        <v>4.5750115677640526</v>
      </c>
      <c r="AD192" s="87">
        <v>0</v>
      </c>
      <c r="AE192" s="88">
        <v>0</v>
      </c>
      <c r="AF192" s="85">
        <v>58.91</v>
      </c>
      <c r="AG192" s="88">
        <v>11</v>
      </c>
      <c r="AH192" s="70">
        <f t="shared" si="116"/>
        <v>6.4448795067144973</v>
      </c>
      <c r="AI192" s="85">
        <v>-1.78</v>
      </c>
      <c r="AJ192" s="85">
        <v>2.87</v>
      </c>
      <c r="AK192" s="87">
        <v>73.400000000000006</v>
      </c>
      <c r="AL192" s="86">
        <v>0.58184941791666667</v>
      </c>
      <c r="AM192" s="85">
        <v>40.498780857311402</v>
      </c>
      <c r="AN192" s="70">
        <f t="shared" si="117"/>
        <v>27.222628202607456</v>
      </c>
      <c r="AO192" s="63"/>
      <c r="AP192" s="89">
        <v>88.051890851152933</v>
      </c>
      <c r="AQ192" s="89">
        <v>61.216686516355836</v>
      </c>
      <c r="AR192" s="97">
        <v>45.06</v>
      </c>
      <c r="AS192" s="158">
        <f t="shared" si="118"/>
        <v>66.356315970966151</v>
      </c>
      <c r="AT192" s="89">
        <v>72.841800000000006</v>
      </c>
      <c r="AU192" s="89">
        <v>57.643875558173008</v>
      </c>
      <c r="AV192" s="89">
        <v>48.908723377516452</v>
      </c>
      <c r="AW192" s="100">
        <v>5.9</v>
      </c>
      <c r="AX192" s="71">
        <f t="shared" si="119"/>
        <v>65.349621394028532</v>
      </c>
      <c r="AY192" s="86">
        <v>41.700946341950839</v>
      </c>
      <c r="AZ192" s="71">
        <f t="shared" si="120"/>
        <v>41.700946341950839</v>
      </c>
      <c r="BA192" s="86">
        <v>44.7</v>
      </c>
      <c r="BB192" s="71">
        <f t="shared" si="121"/>
        <v>55.3</v>
      </c>
      <c r="BC192" s="101">
        <v>43.5</v>
      </c>
      <c r="BD192" s="101">
        <v>54.1</v>
      </c>
      <c r="BE192" s="92">
        <v>45.825000000000003</v>
      </c>
      <c r="BF192" s="71">
        <f t="shared" si="122"/>
        <v>48.67</v>
      </c>
      <c r="BG192" s="63"/>
      <c r="BH192" s="85">
        <v>13.81</v>
      </c>
      <c r="BI192" s="85">
        <v>6.97</v>
      </c>
      <c r="BJ192" s="88">
        <v>34</v>
      </c>
      <c r="BK192" s="81">
        <v>6.0606060606060632</v>
      </c>
      <c r="BL192" s="70">
        <f t="shared" si="123"/>
        <v>18.71667752796785</v>
      </c>
      <c r="BM192" s="90">
        <v>0.26039910653821413</v>
      </c>
      <c r="BN192" s="85">
        <v>30.48</v>
      </c>
      <c r="BO192" s="85">
        <v>39.009738330772073</v>
      </c>
      <c r="BP192" s="70">
        <f t="shared" si="124"/>
        <v>30.392389909603722</v>
      </c>
      <c r="BQ192" s="90">
        <v>0.17804540357548615</v>
      </c>
      <c r="BR192" s="90">
        <v>0.18118663562907736</v>
      </c>
      <c r="BS192" s="85">
        <v>15.7286763</v>
      </c>
      <c r="BT192" s="86">
        <v>22.830690000000001</v>
      </c>
      <c r="BU192" s="85">
        <v>36.165162599999995</v>
      </c>
      <c r="BV192" s="86">
        <v>24.8486239</v>
      </c>
      <c r="BW192" s="71">
        <f t="shared" si="125"/>
        <v>20.955751380254696</v>
      </c>
      <c r="BX192" s="86">
        <v>66.5</v>
      </c>
      <c r="BY192" s="158">
        <f t="shared" si="126"/>
        <v>66.5</v>
      </c>
      <c r="BZ192" s="54"/>
    </row>
    <row r="193" spans="1:78" s="30" customFormat="1" ht="15" customHeight="1" x14ac:dyDescent="0.2">
      <c r="A193" s="2">
        <v>187</v>
      </c>
      <c r="B193" s="8" t="s">
        <v>16</v>
      </c>
      <c r="C193" s="21" t="s">
        <v>42</v>
      </c>
      <c r="D193" s="162" t="s">
        <v>60</v>
      </c>
      <c r="E193" s="209">
        <f t="shared" si="107"/>
        <v>32.401425750548036</v>
      </c>
      <c r="F193" s="71">
        <f t="shared" si="108"/>
        <v>31.096028090066078</v>
      </c>
      <c r="G193" s="71">
        <f t="shared" si="109"/>
        <v>40.057275385937707</v>
      </c>
      <c r="H193" s="71">
        <f t="shared" si="110"/>
        <v>23.355713577254232</v>
      </c>
      <c r="I193" s="71">
        <f t="shared" si="111"/>
        <v>35.09668594893413</v>
      </c>
      <c r="J193" s="63"/>
      <c r="K193" s="86">
        <v>0.46325476167712321</v>
      </c>
      <c r="L193" s="207">
        <v>2.4400000000000004</v>
      </c>
      <c r="M193" s="82">
        <f t="shared" si="106"/>
        <v>100</v>
      </c>
      <c r="N193" s="71">
        <f t="shared" si="112"/>
        <v>69.240304231539568</v>
      </c>
      <c r="O193" s="86">
        <v>13.405072784355069</v>
      </c>
      <c r="P193" s="100">
        <v>30.4</v>
      </c>
      <c r="Q193" s="70">
        <f t="shared" si="113"/>
        <v>60.60281821353059</v>
      </c>
      <c r="R193" s="96">
        <v>3.227277038069003E-3</v>
      </c>
      <c r="S193" s="86">
        <v>-3.5245291999999999</v>
      </c>
      <c r="T193" s="86">
        <v>0.1</v>
      </c>
      <c r="U193" s="167">
        <v>4.3070000000000004</v>
      </c>
      <c r="V193" s="70">
        <f t="shared" si="114"/>
        <v>10.574095494883416</v>
      </c>
      <c r="W193" s="86">
        <v>1.0569999999999999</v>
      </c>
      <c r="X193" s="100">
        <v>97.6</v>
      </c>
      <c r="Y193" s="100">
        <v>4.91</v>
      </c>
      <c r="Z193" s="107">
        <v>5.9</v>
      </c>
      <c r="AA193" s="71">
        <f t="shared" si="115"/>
        <v>39.178108749763311</v>
      </c>
      <c r="AB193" s="63"/>
      <c r="AC193" s="86">
        <v>16.388408931798875</v>
      </c>
      <c r="AD193" s="100">
        <v>17.2</v>
      </c>
      <c r="AE193" s="95">
        <v>60</v>
      </c>
      <c r="AF193" s="85">
        <v>4.75</v>
      </c>
      <c r="AG193" s="88">
        <v>25</v>
      </c>
      <c r="AH193" s="70">
        <f t="shared" si="116"/>
        <v>43.407657236583866</v>
      </c>
      <c r="AI193" s="86">
        <v>0.97</v>
      </c>
      <c r="AJ193" s="92">
        <v>2.57628842829092</v>
      </c>
      <c r="AK193" s="100">
        <v>77.900000000000006</v>
      </c>
      <c r="AL193" s="86">
        <v>1.5540578890641159</v>
      </c>
      <c r="AM193" s="86">
        <v>48.677992723194002</v>
      </c>
      <c r="AN193" s="70">
        <f t="shared" si="117"/>
        <v>36.706893535291549</v>
      </c>
      <c r="AO193" s="63"/>
      <c r="AP193" s="89">
        <v>19.292672421627856</v>
      </c>
      <c r="AQ193" s="89">
        <v>23.131125259621733</v>
      </c>
      <c r="AR193" s="89">
        <v>89.73</v>
      </c>
      <c r="AS193" s="158">
        <f t="shared" si="118"/>
        <v>18.956230735217829</v>
      </c>
      <c r="AT193" s="89">
        <v>55.428600000000003</v>
      </c>
      <c r="AU193" s="89">
        <v>27.626262626262623</v>
      </c>
      <c r="AV193" s="89">
        <v>40.043639805432711</v>
      </c>
      <c r="AW193" s="100">
        <v>32</v>
      </c>
      <c r="AX193" s="71">
        <f t="shared" si="119"/>
        <v>28.420568905985803</v>
      </c>
      <c r="AY193" s="86">
        <v>11.58502710541898</v>
      </c>
      <c r="AZ193" s="71">
        <f t="shared" si="120"/>
        <v>11.58502710541898</v>
      </c>
      <c r="BA193" s="86">
        <v>37.36</v>
      </c>
      <c r="BB193" s="71">
        <f t="shared" si="121"/>
        <v>62.64</v>
      </c>
      <c r="BC193" s="86">
        <v>14.52</v>
      </c>
      <c r="BD193" s="86">
        <v>15.09</v>
      </c>
      <c r="BE193" s="86">
        <v>43.68</v>
      </c>
      <c r="BF193" s="71">
        <f t="shared" si="122"/>
        <v>26.411999999999999</v>
      </c>
      <c r="BG193" s="63"/>
      <c r="BH193" s="92">
        <v>4.0149999999999997</v>
      </c>
      <c r="BI193" s="86">
        <v>6</v>
      </c>
      <c r="BJ193" s="95">
        <v>50</v>
      </c>
      <c r="BK193" s="82">
        <v>24.242424242424239</v>
      </c>
      <c r="BL193" s="70">
        <f t="shared" si="123"/>
        <v>32.924704934651167</v>
      </c>
      <c r="BM193" s="96">
        <v>0.3185164962763084</v>
      </c>
      <c r="BN193" s="86">
        <v>53.9</v>
      </c>
      <c r="BO193" s="86">
        <v>34.565675356307921</v>
      </c>
      <c r="BP193" s="70">
        <f t="shared" si="124"/>
        <v>38.042243652892395</v>
      </c>
      <c r="BQ193" s="96">
        <v>0.30392152601125527</v>
      </c>
      <c r="BR193" s="96">
        <v>0.31839509390729864</v>
      </c>
      <c r="BS193" s="86">
        <v>19.700611899999998</v>
      </c>
      <c r="BT193" s="86">
        <v>29.942322799999999</v>
      </c>
      <c r="BU193" s="86">
        <v>35.507384299999998</v>
      </c>
      <c r="BV193" s="86">
        <v>37.705826699999996</v>
      </c>
      <c r="BW193" s="71">
        <f t="shared" si="125"/>
        <v>29.739533198296044</v>
      </c>
      <c r="BX193" s="86">
        <v>50.44</v>
      </c>
      <c r="BY193" s="158">
        <f t="shared" si="126"/>
        <v>50.44</v>
      </c>
      <c r="BZ193" s="54"/>
    </row>
    <row r="194" spans="1:78" s="30" customFormat="1" ht="15" customHeight="1" x14ac:dyDescent="0.2">
      <c r="A194" s="2">
        <v>188</v>
      </c>
      <c r="B194" s="3" t="s">
        <v>10</v>
      </c>
      <c r="C194" s="19" t="s">
        <v>35</v>
      </c>
      <c r="D194" s="162" t="s">
        <v>201</v>
      </c>
      <c r="E194" s="209">
        <f t="shared" si="107"/>
        <v>30.435273422151194</v>
      </c>
      <c r="F194" s="71">
        <f t="shared" si="108"/>
        <v>31.264154207508952</v>
      </c>
      <c r="G194" s="71">
        <f t="shared" si="109"/>
        <v>22.941620404926503</v>
      </c>
      <c r="H194" s="71">
        <f t="shared" si="110"/>
        <v>45.079281044291122</v>
      </c>
      <c r="I194" s="71">
        <f t="shared" si="111"/>
        <v>22.456038031878197</v>
      </c>
      <c r="J194" s="63"/>
      <c r="K194" s="86">
        <v>-0.99085610777408495</v>
      </c>
      <c r="L194" s="207" t="s">
        <v>812</v>
      </c>
      <c r="M194" s="159">
        <v>0</v>
      </c>
      <c r="N194" s="71">
        <f t="shared" si="112"/>
        <v>11.161910512366196</v>
      </c>
      <c r="O194" s="86">
        <v>15.841588708732068</v>
      </c>
      <c r="P194" s="196">
        <v>30</v>
      </c>
      <c r="Q194" s="70">
        <f t="shared" si="113"/>
        <v>62.134215949295594</v>
      </c>
      <c r="R194" s="167">
        <v>5.0000000000000001E-3</v>
      </c>
      <c r="S194" s="92">
        <v>-0.486749807798454</v>
      </c>
      <c r="T194" s="92">
        <v>0.11</v>
      </c>
      <c r="U194" s="167">
        <v>3.923</v>
      </c>
      <c r="V194" s="70">
        <f t="shared" si="114"/>
        <v>21.305589158231808</v>
      </c>
      <c r="W194" s="86">
        <v>13.569000000000001</v>
      </c>
      <c r="X194" s="93">
        <v>85.800000000000011</v>
      </c>
      <c r="Y194" s="100">
        <v>11.1</v>
      </c>
      <c r="Z194" s="107">
        <v>8.6999999999999993</v>
      </c>
      <c r="AA194" s="71">
        <f t="shared" si="115"/>
        <v>40.700144739048362</v>
      </c>
      <c r="AB194" s="63"/>
      <c r="AC194" s="86">
        <v>4.4443819872826431</v>
      </c>
      <c r="AD194" s="100">
        <v>4</v>
      </c>
      <c r="AE194" s="94">
        <v>10</v>
      </c>
      <c r="AF194" s="165">
        <v>60</v>
      </c>
      <c r="AG194" s="91">
        <v>0</v>
      </c>
      <c r="AH194" s="70">
        <f t="shared" si="116"/>
        <v>6.5783059402397095</v>
      </c>
      <c r="AI194" s="86">
        <v>0.28000000000000003</v>
      </c>
      <c r="AJ194" s="92">
        <v>2.8586765036976001</v>
      </c>
      <c r="AK194" s="100">
        <v>87.3</v>
      </c>
      <c r="AL194" s="86">
        <v>2.0331110511359598</v>
      </c>
      <c r="AM194" s="86">
        <v>51.550475602520599</v>
      </c>
      <c r="AN194" s="70">
        <f t="shared" si="117"/>
        <v>39.304934869613298</v>
      </c>
      <c r="AO194" s="63"/>
      <c r="AP194" s="89">
        <v>90.381854364429472</v>
      </c>
      <c r="AQ194" s="89">
        <v>50.292740074530371</v>
      </c>
      <c r="AR194" s="89">
        <v>91.66</v>
      </c>
      <c r="AS194" s="158">
        <f t="shared" si="118"/>
        <v>49.826833628372555</v>
      </c>
      <c r="AT194" s="89">
        <v>72.989900000000006</v>
      </c>
      <c r="AU194" s="89">
        <v>56.060201902021518</v>
      </c>
      <c r="AV194" s="89">
        <v>47.342373644947727</v>
      </c>
      <c r="AW194" s="100">
        <v>39</v>
      </c>
      <c r="AX194" s="71">
        <f t="shared" si="119"/>
        <v>53.323586203095942</v>
      </c>
      <c r="AY194" s="86">
        <v>25.496869864457626</v>
      </c>
      <c r="AZ194" s="71">
        <f t="shared" si="120"/>
        <v>25.496869864457626</v>
      </c>
      <c r="BA194" s="86">
        <v>26.37</v>
      </c>
      <c r="BB194" s="71">
        <f t="shared" si="121"/>
        <v>73.63</v>
      </c>
      <c r="BC194" s="92">
        <v>42.6</v>
      </c>
      <c r="BD194" s="92">
        <v>38.630000000000003</v>
      </c>
      <c r="BE194" s="92">
        <v>37.659999999999997</v>
      </c>
      <c r="BF194" s="71">
        <f t="shared" si="122"/>
        <v>39.036000000000001</v>
      </c>
      <c r="BG194" s="63"/>
      <c r="BH194" s="86">
        <v>2.06</v>
      </c>
      <c r="BI194" s="86">
        <v>6.98</v>
      </c>
      <c r="BJ194" s="95">
        <v>3</v>
      </c>
      <c r="BK194" s="82">
        <v>0</v>
      </c>
      <c r="BL194" s="70">
        <f t="shared" si="123"/>
        <v>7.7551174830744731</v>
      </c>
      <c r="BM194" s="96">
        <v>0.19338917593139399</v>
      </c>
      <c r="BN194" s="86">
        <v>39.44</v>
      </c>
      <c r="BO194" s="86">
        <v>22.615976310341114</v>
      </c>
      <c r="BP194" s="70">
        <f t="shared" si="124"/>
        <v>25.183452874154977</v>
      </c>
      <c r="BQ194" s="96">
        <v>0.22250409835906437</v>
      </c>
      <c r="BR194" s="96">
        <v>0.30078109564582622</v>
      </c>
      <c r="BS194" s="86">
        <v>13.4112838</v>
      </c>
      <c r="BT194" s="86">
        <v>18.8174812</v>
      </c>
      <c r="BU194" s="86">
        <v>25.4439405</v>
      </c>
      <c r="BV194" s="86">
        <v>23.359770299999997</v>
      </c>
      <c r="BW194" s="71">
        <f t="shared" si="125"/>
        <v>21.493493711037384</v>
      </c>
      <c r="BX194" s="92">
        <v>54.395000000000003</v>
      </c>
      <c r="BY194" s="158">
        <f t="shared" si="126"/>
        <v>54.395000000000003</v>
      </c>
      <c r="BZ194" s="54"/>
    </row>
    <row r="195" spans="1:78" s="30" customFormat="1" ht="15" customHeight="1" x14ac:dyDescent="0.2">
      <c r="A195" s="2">
        <v>189</v>
      </c>
      <c r="B195" s="14" t="s">
        <v>23</v>
      </c>
      <c r="C195" s="16" t="s">
        <v>26</v>
      </c>
      <c r="D195" s="162" t="s">
        <v>100</v>
      </c>
      <c r="E195" s="209">
        <f t="shared" si="107"/>
        <v>29.972278490390277</v>
      </c>
      <c r="F195" s="71">
        <f t="shared" si="108"/>
        <v>27.109963652414699</v>
      </c>
      <c r="G195" s="71">
        <f t="shared" si="109"/>
        <v>31.930804733995501</v>
      </c>
      <c r="H195" s="71">
        <f t="shared" si="110"/>
        <v>30.939007912876296</v>
      </c>
      <c r="I195" s="71">
        <f t="shared" si="111"/>
        <v>29.909337662274609</v>
      </c>
      <c r="J195" s="63"/>
      <c r="K195" s="85">
        <v>-3.7215055401577546</v>
      </c>
      <c r="L195" s="208">
        <v>28.339999999999996</v>
      </c>
      <c r="M195" s="82">
        <f>IF(L195&lt;-5, 0, IF(AND(L195&gt;=1, L195&lt;=3), 100, IF(L195&gt;30, 0, IF(L195&lt;1, 100 * ((L195 + 5) / 6), 100 * ((30 - L195) / (30 - 3))))))</f>
        <v>6.1481481481481612</v>
      </c>
      <c r="N195" s="71">
        <f t="shared" si="112"/>
        <v>3.0740740740740806</v>
      </c>
      <c r="O195" s="85">
        <v>13.426761985995968</v>
      </c>
      <c r="P195" s="87">
        <v>12.3</v>
      </c>
      <c r="Q195" s="70">
        <f t="shared" si="113"/>
        <v>68.65931221444221</v>
      </c>
      <c r="R195" s="90">
        <v>4.0000000000000001E-3</v>
      </c>
      <c r="S195" s="99">
        <v>-1.232230042508397</v>
      </c>
      <c r="T195" s="85">
        <v>0.19</v>
      </c>
      <c r="U195" s="90">
        <v>4.88</v>
      </c>
      <c r="V195" s="70">
        <f t="shared" si="114"/>
        <v>17.270260463931702</v>
      </c>
      <c r="W195" s="85">
        <v>14.944000000000001</v>
      </c>
      <c r="X195" s="87">
        <v>91.6</v>
      </c>
      <c r="Y195" s="87">
        <v>3.31</v>
      </c>
      <c r="Z195" s="214">
        <v>8.1999999999999993</v>
      </c>
      <c r="AA195" s="71">
        <f t="shared" si="115"/>
        <v>31.474116723500437</v>
      </c>
      <c r="AB195" s="63"/>
      <c r="AC195" s="85">
        <v>12.059576540836561</v>
      </c>
      <c r="AD195" s="87">
        <v>6.6</v>
      </c>
      <c r="AE195" s="88">
        <v>20</v>
      </c>
      <c r="AF195" s="85">
        <v>17</v>
      </c>
      <c r="AG195" s="91">
        <v>0</v>
      </c>
      <c r="AH195" s="70">
        <f t="shared" si="116"/>
        <v>24.780743334916682</v>
      </c>
      <c r="AI195" s="85">
        <v>1.54</v>
      </c>
      <c r="AJ195" s="99">
        <v>3.1031840083312199</v>
      </c>
      <c r="AK195" s="87">
        <v>81.7</v>
      </c>
      <c r="AL195" s="86">
        <v>2.3762412766570309</v>
      </c>
      <c r="AM195" s="85">
        <v>24.280771057024801</v>
      </c>
      <c r="AN195" s="70">
        <f t="shared" si="117"/>
        <v>39.080866133074316</v>
      </c>
      <c r="AO195" s="63"/>
      <c r="AP195" s="89">
        <v>45.694784257023223</v>
      </c>
      <c r="AQ195" s="89">
        <v>26.645737597423892</v>
      </c>
      <c r="AR195" s="89">
        <v>91.02</v>
      </c>
      <c r="AS195" s="158">
        <f t="shared" si="118"/>
        <v>26.991564862967753</v>
      </c>
      <c r="AT195" s="89">
        <v>65.297899999999998</v>
      </c>
      <c r="AU195" s="89">
        <v>34.537745754432827</v>
      </c>
      <c r="AV195" s="89">
        <v>44.532686271153267</v>
      </c>
      <c r="AW195" s="100">
        <v>54.2</v>
      </c>
      <c r="AX195" s="71">
        <f t="shared" si="119"/>
        <v>33.687215610033348</v>
      </c>
      <c r="AY195" s="86">
        <v>25.565564934490741</v>
      </c>
      <c r="AZ195" s="71">
        <f t="shared" si="120"/>
        <v>25.565564934490741</v>
      </c>
      <c r="BA195" s="86">
        <v>41.1</v>
      </c>
      <c r="BB195" s="71">
        <f t="shared" si="121"/>
        <v>58.9</v>
      </c>
      <c r="BC195" s="86">
        <v>47.11</v>
      </c>
      <c r="BD195" s="86">
        <v>25.49</v>
      </c>
      <c r="BE195" s="86">
        <v>27.56</v>
      </c>
      <c r="BF195" s="71">
        <f t="shared" si="122"/>
        <v>30.642000000000003</v>
      </c>
      <c r="BG195" s="63"/>
      <c r="BH195" s="85">
        <v>64.34</v>
      </c>
      <c r="BI195" s="85">
        <v>6.53</v>
      </c>
      <c r="BJ195" s="88">
        <v>8</v>
      </c>
      <c r="BK195" s="81">
        <v>63.636363636363633</v>
      </c>
      <c r="BL195" s="70">
        <f t="shared" si="123"/>
        <v>25.863057094239892</v>
      </c>
      <c r="BM195" s="90">
        <v>0.39965297010654449</v>
      </c>
      <c r="BN195" s="85">
        <v>50.32</v>
      </c>
      <c r="BO195" s="85">
        <v>36.769182838177976</v>
      </c>
      <c r="BP195" s="70">
        <f t="shared" si="124"/>
        <v>41.75494421487172</v>
      </c>
      <c r="BQ195" s="90">
        <v>0.3425375021461185</v>
      </c>
      <c r="BR195" s="90">
        <v>0.28308507274827133</v>
      </c>
      <c r="BS195" s="85">
        <v>16.6757919</v>
      </c>
      <c r="BT195" s="86">
        <v>12.147423999999999</v>
      </c>
      <c r="BU195" s="85">
        <v>45.374188199999999</v>
      </c>
      <c r="BV195" s="86">
        <v>31.782647299999997</v>
      </c>
      <c r="BW195" s="71">
        <f t="shared" si="125"/>
        <v>24.065971783580338</v>
      </c>
      <c r="BX195" s="86">
        <v>24.94</v>
      </c>
      <c r="BY195" s="158">
        <f t="shared" si="126"/>
        <v>24.94</v>
      </c>
      <c r="BZ195" s="54"/>
    </row>
    <row r="196" spans="1:78" s="30" customFormat="1" ht="15" customHeight="1" x14ac:dyDescent="0.2">
      <c r="A196" s="2">
        <v>190</v>
      </c>
      <c r="B196" s="8" t="s">
        <v>16</v>
      </c>
      <c r="C196" s="21" t="s">
        <v>42</v>
      </c>
      <c r="D196" s="162" t="s">
        <v>59</v>
      </c>
      <c r="E196" s="209">
        <f t="shared" si="107"/>
        <v>29.455033064235671</v>
      </c>
      <c r="F196" s="71">
        <f t="shared" si="108"/>
        <v>27.084501991770285</v>
      </c>
      <c r="G196" s="71">
        <f t="shared" si="109"/>
        <v>33.225530235616482</v>
      </c>
      <c r="H196" s="71">
        <f t="shared" si="110"/>
        <v>24.212002010073146</v>
      </c>
      <c r="I196" s="71">
        <f t="shared" si="111"/>
        <v>33.298098019482765</v>
      </c>
      <c r="J196" s="63"/>
      <c r="K196" s="86">
        <v>-0.12854355602056611</v>
      </c>
      <c r="L196" s="207">
        <v>3.0799999999999996</v>
      </c>
      <c r="M196" s="82">
        <f>IF(L196&lt;-5, 0, IF(AND(L196&gt;=1, L196&lt;=3), 100, IF(L196&gt;30, 0, IF(L196&lt;1, 100 * ((L196 + 5) / 6), 100 * ((30 - L196) / (30 - 3))))))</f>
        <v>99.703703703703709</v>
      </c>
      <c r="N196" s="71">
        <f t="shared" si="112"/>
        <v>65.804387651737599</v>
      </c>
      <c r="O196" s="86">
        <v>15.092129101314672</v>
      </c>
      <c r="P196" s="100">
        <v>61.8</v>
      </c>
      <c r="Q196" s="70">
        <f t="shared" si="113"/>
        <v>47.584516167397034</v>
      </c>
      <c r="R196" s="167">
        <v>3.0000000000000001E-3</v>
      </c>
      <c r="S196" s="92">
        <v>-1.2609133901667648</v>
      </c>
      <c r="T196" s="92">
        <v>0</v>
      </c>
      <c r="U196" s="167">
        <v>4.867</v>
      </c>
      <c r="V196" s="70">
        <f t="shared" si="114"/>
        <v>10.845081852711367</v>
      </c>
      <c r="W196" s="86">
        <v>6.2510000000000003</v>
      </c>
      <c r="X196" s="93">
        <v>94.5</v>
      </c>
      <c r="Y196" s="100">
        <v>1.49</v>
      </c>
      <c r="Z196" s="107">
        <v>5.2</v>
      </c>
      <c r="AA196" s="71">
        <f t="shared" si="115"/>
        <v>31.775379500525137</v>
      </c>
      <c r="AB196" s="63"/>
      <c r="AC196" s="86">
        <v>14.782577058112912</v>
      </c>
      <c r="AD196" s="100">
        <v>5.6</v>
      </c>
      <c r="AE196" s="95">
        <v>45</v>
      </c>
      <c r="AF196" s="85">
        <v>4.75</v>
      </c>
      <c r="AG196" s="91">
        <v>15.456522960779406</v>
      </c>
      <c r="AH196" s="70">
        <f t="shared" si="116"/>
        <v>36.313189814256454</v>
      </c>
      <c r="AI196" s="86">
        <v>1.61</v>
      </c>
      <c r="AJ196" s="92">
        <v>2.5657991017780599</v>
      </c>
      <c r="AK196" s="100">
        <v>65.5</v>
      </c>
      <c r="AL196" s="86">
        <v>1.7024640341560906</v>
      </c>
      <c r="AM196" s="86">
        <v>4.7579657142857101</v>
      </c>
      <c r="AN196" s="70">
        <f t="shared" si="117"/>
        <v>30.137870656976506</v>
      </c>
      <c r="AO196" s="63"/>
      <c r="AP196" s="89">
        <v>18.153438279705881</v>
      </c>
      <c r="AQ196" s="89">
        <v>23.183222646454865</v>
      </c>
      <c r="AR196" s="89">
        <v>96.14</v>
      </c>
      <c r="AS196" s="158">
        <f t="shared" si="118"/>
        <v>17.094970893153903</v>
      </c>
      <c r="AT196" s="89">
        <v>57.903100000000002</v>
      </c>
      <c r="AU196" s="89">
        <v>23.729557562841347</v>
      </c>
      <c r="AV196" s="89">
        <v>31.668711735765307</v>
      </c>
      <c r="AW196" s="100">
        <v>29.8</v>
      </c>
      <c r="AX196" s="71">
        <f t="shared" si="119"/>
        <v>29.16793081974523</v>
      </c>
      <c r="AY196" s="86">
        <v>15.301533999495371</v>
      </c>
      <c r="AZ196" s="71">
        <f t="shared" si="120"/>
        <v>15.301533999495371</v>
      </c>
      <c r="BA196" s="86">
        <v>43.03</v>
      </c>
      <c r="BB196" s="71">
        <f t="shared" si="121"/>
        <v>56.97</v>
      </c>
      <c r="BC196" s="86">
        <v>17.78</v>
      </c>
      <c r="BD196" s="86">
        <v>19.059999999999999</v>
      </c>
      <c r="BE196" s="86">
        <v>48.44</v>
      </c>
      <c r="BF196" s="71">
        <f t="shared" si="122"/>
        <v>30.556000000000001</v>
      </c>
      <c r="BG196" s="63"/>
      <c r="BH196" s="92">
        <v>4.0149999999999997</v>
      </c>
      <c r="BI196" s="86">
        <v>7.03</v>
      </c>
      <c r="BJ196" s="95">
        <v>29</v>
      </c>
      <c r="BK196" s="82">
        <v>39.393939393939398</v>
      </c>
      <c r="BL196" s="70">
        <f t="shared" si="123"/>
        <v>29.812525795590311</v>
      </c>
      <c r="BM196" s="96">
        <v>0.33324496369322942</v>
      </c>
      <c r="BN196" s="86">
        <v>56.73</v>
      </c>
      <c r="BO196" s="86">
        <v>34.67955049661041</v>
      </c>
      <c r="BP196" s="70">
        <f t="shared" si="124"/>
        <v>39.51463580881407</v>
      </c>
      <c r="BQ196" s="96">
        <v>0.31624463738455871</v>
      </c>
      <c r="BR196" s="96">
        <v>0.27848463302090859</v>
      </c>
      <c r="BS196" s="86">
        <v>21.3390083</v>
      </c>
      <c r="BT196" s="86">
        <v>20.686008699999999</v>
      </c>
      <c r="BU196" s="86">
        <v>34.584726799999999</v>
      </c>
      <c r="BV196" s="86">
        <v>34.863715800000001</v>
      </c>
      <c r="BW196" s="71">
        <f t="shared" si="125"/>
        <v>26.524502365545619</v>
      </c>
      <c r="BX196" s="86">
        <v>47.07</v>
      </c>
      <c r="BY196" s="158">
        <f t="shared" si="126"/>
        <v>47.07</v>
      </c>
      <c r="BZ196" s="54"/>
    </row>
    <row r="197" spans="1:78" s="30" customFormat="1" ht="15" customHeight="1" x14ac:dyDescent="0.2">
      <c r="A197" s="2">
        <v>191</v>
      </c>
      <c r="B197" s="3" t="s">
        <v>10</v>
      </c>
      <c r="C197" s="19" t="s">
        <v>35</v>
      </c>
      <c r="D197" s="162" t="s">
        <v>165</v>
      </c>
      <c r="E197" s="209">
        <f t="shared" si="107"/>
        <v>28.536830971766449</v>
      </c>
      <c r="F197" s="71">
        <f t="shared" si="108"/>
        <v>28.979446044971436</v>
      </c>
      <c r="G197" s="71">
        <f t="shared" si="109"/>
        <v>27.481611028231491</v>
      </c>
      <c r="H197" s="71">
        <f t="shared" si="110"/>
        <v>38.765416666666667</v>
      </c>
      <c r="I197" s="71">
        <f t="shared" si="111"/>
        <v>18.920850147196198</v>
      </c>
      <c r="J197" s="63"/>
      <c r="K197" s="86">
        <v>-6.8022411268444998</v>
      </c>
      <c r="L197" s="207">
        <v>15</v>
      </c>
      <c r="M197" s="82">
        <f>IF(L197&lt;-5, 0, IF(AND(L197&gt;=1, L197&lt;=3), 100, IF(L197&gt;30, 0, IF(L197&lt;1, 100 * ((L197 + 5) / 6), 100 * ((30 - L197) / (30 - 3))))))</f>
        <v>55.555555555555557</v>
      </c>
      <c r="N197" s="71">
        <f t="shared" si="112"/>
        <v>27.777777777777779</v>
      </c>
      <c r="O197" s="86">
        <v>9.1899878203302023</v>
      </c>
      <c r="P197" s="100">
        <v>56.1</v>
      </c>
      <c r="Q197" s="70">
        <f t="shared" si="113"/>
        <v>46.838882122405664</v>
      </c>
      <c r="R197" s="167">
        <v>0.01</v>
      </c>
      <c r="S197" s="92">
        <v>-0.33550440661096098</v>
      </c>
      <c r="T197" s="92">
        <v>0.11</v>
      </c>
      <c r="U197" s="167">
        <v>5.077</v>
      </c>
      <c r="V197" s="70">
        <f t="shared" si="114"/>
        <v>16.600847547773785</v>
      </c>
      <c r="W197" s="86">
        <v>24.42</v>
      </c>
      <c r="X197" s="100">
        <v>48.8</v>
      </c>
      <c r="Y197" s="93">
        <v>7.3687231080290516</v>
      </c>
      <c r="Z197" s="215">
        <v>10</v>
      </c>
      <c r="AA197" s="71">
        <f t="shared" si="115"/>
        <v>43.501648699783672</v>
      </c>
      <c r="AB197" s="63"/>
      <c r="AC197" s="86">
        <v>23.959783539444636</v>
      </c>
      <c r="AD197" s="93">
        <v>6.6</v>
      </c>
      <c r="AE197" s="105">
        <v>2.5</v>
      </c>
      <c r="AF197" s="165">
        <v>60</v>
      </c>
      <c r="AG197" s="91">
        <v>5</v>
      </c>
      <c r="AH197" s="70">
        <f t="shared" si="116"/>
        <v>19.605240308347707</v>
      </c>
      <c r="AI197" s="86">
        <v>0.28999999999999998</v>
      </c>
      <c r="AJ197" s="92">
        <v>2.71</v>
      </c>
      <c r="AK197" s="129">
        <v>88.945780977383194</v>
      </c>
      <c r="AL197" s="92">
        <v>2.65</v>
      </c>
      <c r="AM197" s="92">
        <v>18.3</v>
      </c>
      <c r="AN197" s="70">
        <f t="shared" si="117"/>
        <v>35.357981748115272</v>
      </c>
      <c r="AO197" s="63"/>
      <c r="AP197" s="97">
        <v>41.8</v>
      </c>
      <c r="AQ197" s="97">
        <v>32.799999999999997</v>
      </c>
      <c r="AR197" s="89">
        <v>41.58</v>
      </c>
      <c r="AS197" s="158">
        <f t="shared" si="118"/>
        <v>41.454999999999998</v>
      </c>
      <c r="AT197" s="89">
        <v>73.101100000000002</v>
      </c>
      <c r="AU197" s="97">
        <v>30</v>
      </c>
      <c r="AV197" s="97">
        <v>35</v>
      </c>
      <c r="AW197" s="93">
        <v>42</v>
      </c>
      <c r="AX197" s="71">
        <f t="shared" si="119"/>
        <v>43.048761904761903</v>
      </c>
      <c r="AY197" s="92">
        <v>25</v>
      </c>
      <c r="AZ197" s="71">
        <f t="shared" si="120"/>
        <v>25</v>
      </c>
      <c r="BA197" s="86">
        <v>36.380000000000003</v>
      </c>
      <c r="BB197" s="71">
        <f t="shared" si="121"/>
        <v>63.62</v>
      </c>
      <c r="BC197" s="92">
        <v>42.6</v>
      </c>
      <c r="BD197" s="92">
        <v>38.630000000000003</v>
      </c>
      <c r="BE197" s="92">
        <v>37.659999999999997</v>
      </c>
      <c r="BF197" s="71">
        <f t="shared" si="122"/>
        <v>39.036000000000001</v>
      </c>
      <c r="BG197" s="63"/>
      <c r="BH197" s="86">
        <v>0.62</v>
      </c>
      <c r="BI197" s="92">
        <v>6.2000310461686503</v>
      </c>
      <c r="BJ197" s="95">
        <v>1</v>
      </c>
      <c r="BK197" s="159">
        <v>0</v>
      </c>
      <c r="BL197" s="70">
        <f t="shared" si="123"/>
        <v>7.7864005887847831</v>
      </c>
      <c r="BM197" s="96">
        <v>0.22</v>
      </c>
      <c r="BN197" s="86">
        <v>32.090000000000003</v>
      </c>
      <c r="BO197" s="86">
        <v>19.5</v>
      </c>
      <c r="BP197" s="70">
        <f t="shared" si="124"/>
        <v>23.897500000000001</v>
      </c>
      <c r="BQ197" s="96">
        <v>0.24</v>
      </c>
      <c r="BR197" s="96">
        <v>0.3</v>
      </c>
      <c r="BS197" s="92">
        <v>16.5</v>
      </c>
      <c r="BT197" s="92">
        <v>19</v>
      </c>
      <c r="BU197" s="92">
        <v>15</v>
      </c>
      <c r="BV197" s="92">
        <v>28</v>
      </c>
      <c r="BW197" s="71">
        <f t="shared" si="125"/>
        <v>22.3</v>
      </c>
      <c r="BX197" s="92">
        <v>20</v>
      </c>
      <c r="BY197" s="158">
        <f t="shared" si="126"/>
        <v>20</v>
      </c>
      <c r="BZ197" s="54"/>
    </row>
    <row r="198" spans="1:78" s="30" customFormat="1" ht="15" customHeight="1" x14ac:dyDescent="0.2">
      <c r="A198" s="2">
        <v>192</v>
      </c>
      <c r="B198" s="8" t="s">
        <v>16</v>
      </c>
      <c r="C198" s="11" t="s">
        <v>21</v>
      </c>
      <c r="D198" s="162" t="s">
        <v>189</v>
      </c>
      <c r="E198" s="209">
        <f t="shared" si="107"/>
        <v>28.375449253678156</v>
      </c>
      <c r="F198" s="71">
        <f t="shared" si="108"/>
        <v>30.957641502738987</v>
      </c>
      <c r="G198" s="71">
        <f t="shared" si="109"/>
        <v>29.909083046686941</v>
      </c>
      <c r="H198" s="71">
        <f t="shared" si="110"/>
        <v>25.683106361157115</v>
      </c>
      <c r="I198" s="71">
        <f t="shared" si="111"/>
        <v>26.951966104129589</v>
      </c>
      <c r="J198" s="63"/>
      <c r="K198" s="86">
        <v>0.20578357176508355</v>
      </c>
      <c r="L198" s="207">
        <v>5.3599999999999994</v>
      </c>
      <c r="M198" s="82">
        <f>IF(L198&lt;-5, 0, IF(AND(L198&gt;=1, L198&lt;=3), 100, IF(L198&gt;30, 0, IF(L198&lt;1, 100 * ((L198 + 5) / 6), 100 * ((30 - L198) / (30 - 3))))))</f>
        <v>91.259259259259267</v>
      </c>
      <c r="N198" s="71">
        <f t="shared" si="112"/>
        <v>63.439538361657881</v>
      </c>
      <c r="O198" s="92">
        <v>18.303319789220417</v>
      </c>
      <c r="P198" s="195">
        <v>8.9</v>
      </c>
      <c r="Q198" s="70">
        <f t="shared" si="113"/>
        <v>72.879622105122451</v>
      </c>
      <c r="R198" s="96">
        <v>2.5701256083578475E-3</v>
      </c>
      <c r="S198" s="92">
        <v>-1.792484118707008</v>
      </c>
      <c r="T198" s="92">
        <v>0</v>
      </c>
      <c r="U198" s="167">
        <v>5.2569999999999997</v>
      </c>
      <c r="V198" s="70">
        <f t="shared" si="114"/>
        <v>7.479511090983233</v>
      </c>
      <c r="W198" s="86">
        <v>18.948</v>
      </c>
      <c r="X198" s="100">
        <v>81.900000000000006</v>
      </c>
      <c r="Y198" s="100">
        <v>6.04</v>
      </c>
      <c r="Z198" s="107">
        <v>6.2</v>
      </c>
      <c r="AA198" s="71">
        <f t="shared" si="115"/>
        <v>39.767955221252869</v>
      </c>
      <c r="AB198" s="63"/>
      <c r="AC198" s="86">
        <v>28.114226790855749</v>
      </c>
      <c r="AD198" s="100">
        <v>0.8</v>
      </c>
      <c r="AE198" s="105">
        <v>2.5</v>
      </c>
      <c r="AF198" s="165">
        <v>60</v>
      </c>
      <c r="AG198" s="91">
        <v>9.6352099052721201</v>
      </c>
      <c r="AH198" s="70">
        <f t="shared" si="116"/>
        <v>22.180737460167137</v>
      </c>
      <c r="AI198" s="86">
        <v>1.81</v>
      </c>
      <c r="AJ198" s="92">
        <v>2.5618768345918399</v>
      </c>
      <c r="AK198" s="100">
        <v>99.9</v>
      </c>
      <c r="AL198" s="86">
        <v>1.3408333333333333</v>
      </c>
      <c r="AM198" s="86">
        <v>37.3859842677778</v>
      </c>
      <c r="AN198" s="70">
        <f t="shared" si="117"/>
        <v>37.637428633206746</v>
      </c>
      <c r="AO198" s="63"/>
      <c r="AP198" s="89">
        <v>47.853839261455256</v>
      </c>
      <c r="AQ198" s="89">
        <v>28.420456847429527</v>
      </c>
      <c r="AR198" s="97">
        <v>92.05</v>
      </c>
      <c r="AS198" s="158">
        <f t="shared" si="118"/>
        <v>28.16118823907858</v>
      </c>
      <c r="AT198" s="89">
        <v>59.1083</v>
      </c>
      <c r="AU198" s="89">
        <v>25.511784511784516</v>
      </c>
      <c r="AV198" s="89">
        <v>47.196930051298565</v>
      </c>
      <c r="AW198" s="100">
        <v>53.2</v>
      </c>
      <c r="AX198" s="71">
        <f t="shared" si="119"/>
        <v>25.625564876177336</v>
      </c>
      <c r="AY198" s="86">
        <v>13.783846378901622</v>
      </c>
      <c r="AZ198" s="71">
        <f t="shared" si="120"/>
        <v>13.783846378901622</v>
      </c>
      <c r="BA198" s="92">
        <v>37.659999999999997</v>
      </c>
      <c r="BB198" s="71">
        <f t="shared" si="121"/>
        <v>62.34</v>
      </c>
      <c r="BC198" s="92">
        <v>22.215</v>
      </c>
      <c r="BD198" s="92">
        <v>24.914999999999999</v>
      </c>
      <c r="BE198" s="92">
        <v>41.75</v>
      </c>
      <c r="BF198" s="71">
        <f t="shared" si="122"/>
        <v>31.109000000000002</v>
      </c>
      <c r="BG198" s="63"/>
      <c r="BH198" s="92">
        <v>4.0149999999999997</v>
      </c>
      <c r="BI198" s="86">
        <v>6.55</v>
      </c>
      <c r="BJ198" s="95">
        <v>17</v>
      </c>
      <c r="BK198" s="82">
        <v>22.727272727272727</v>
      </c>
      <c r="BL198" s="70">
        <f t="shared" si="123"/>
        <v>20.252191267513847</v>
      </c>
      <c r="BM198" s="96">
        <v>0.28328174065897516</v>
      </c>
      <c r="BN198" s="86">
        <v>43.84</v>
      </c>
      <c r="BO198" s="86">
        <v>25.626387372938609</v>
      </c>
      <c r="BP198" s="70">
        <f t="shared" si="124"/>
        <v>31.53068387618341</v>
      </c>
      <c r="BQ198" s="96">
        <v>0.25852694965980472</v>
      </c>
      <c r="BR198" s="96">
        <v>0.20985947414052575</v>
      </c>
      <c r="BS198" s="86">
        <v>11.701147299999999</v>
      </c>
      <c r="BT198" s="86">
        <v>13.423622499999999</v>
      </c>
      <c r="BU198" s="86">
        <v>27.237397599999998</v>
      </c>
      <c r="BV198" s="86">
        <v>27.616000399999997</v>
      </c>
      <c r="BW198" s="71">
        <f t="shared" si="125"/>
        <v>19.062037498274581</v>
      </c>
      <c r="BX198" s="86">
        <v>57.58</v>
      </c>
      <c r="BY198" s="158">
        <f t="shared" si="126"/>
        <v>57.58</v>
      </c>
      <c r="BZ198" s="54"/>
    </row>
    <row r="199" spans="1:78" s="30" customFormat="1" ht="15" customHeight="1" x14ac:dyDescent="0.2">
      <c r="A199" s="2">
        <v>193</v>
      </c>
      <c r="B199" s="3" t="s">
        <v>10</v>
      </c>
      <c r="C199" s="22" t="s">
        <v>49</v>
      </c>
      <c r="D199" s="162" t="s">
        <v>120</v>
      </c>
      <c r="E199" s="209">
        <f t="shared" ref="E199:E204" si="127">(F199*25+G199*25+H199*25+I199*25)/100</f>
        <v>27.240043351873982</v>
      </c>
      <c r="F199" s="71">
        <f t="shared" ref="F199:F204" si="128">(N199*10+Q199*15+V199*50+AA199*25)/100</f>
        <v>21.691045681967026</v>
      </c>
      <c r="G199" s="71">
        <f t="shared" ref="G199:G204" si="129">(AH199*50+AN199*50)/100</f>
        <v>4.8104554027221811</v>
      </c>
      <c r="H199" s="71">
        <f t="shared" ref="H199:H204" si="130">(AS199*25+AX199*35+AZ199*25+BB199*5+BF199*10)/100</f>
        <v>48.000185593251942</v>
      </c>
      <c r="I199" s="71">
        <f t="shared" ref="I199:I204" si="131">(BL199*25+BP199*30+BW199*35+BY199*10)/100</f>
        <v>34.458486729554785</v>
      </c>
      <c r="J199" s="63"/>
      <c r="K199" s="92">
        <v>0</v>
      </c>
      <c r="L199" s="207" t="s">
        <v>812</v>
      </c>
      <c r="M199" s="159">
        <v>0</v>
      </c>
      <c r="N199" s="71">
        <f t="shared" ref="N199:N204" si="132">(((MIN(MAX(K199,-3),6)-(-3))/(6-(-3)))*100+M199)/2</f>
        <v>16.666666666666664</v>
      </c>
      <c r="O199" s="92">
        <v>-2.7377694412265661</v>
      </c>
      <c r="P199" s="93">
        <v>41.1</v>
      </c>
      <c r="Q199" s="70">
        <f t="shared" ref="Q199:Q204" si="133">((MIN(MAX(O199,-5),60)/60)*100+((150-MIN(P199,150))/(150))*100*2)/3</f>
        <v>46.879016977096363</v>
      </c>
      <c r="R199" s="96">
        <v>0.05</v>
      </c>
      <c r="S199" s="92">
        <v>-0.37264815256922956</v>
      </c>
      <c r="T199" s="92">
        <v>0.11</v>
      </c>
      <c r="U199" s="167">
        <v>5.3479999999999999</v>
      </c>
      <c r="V199" s="70">
        <f t="shared" ref="V199:V204" si="134">((R199/0.45)*100*2+((S199-(-4))/(2-(-4)))*100+T199*100*2+((5.5-U199)/(5.5-2))*100)/6</f>
        <v>18.170157248154258</v>
      </c>
      <c r="W199" s="86">
        <v>3.5449999999999999</v>
      </c>
      <c r="X199" s="93">
        <v>80.599999999999994</v>
      </c>
      <c r="Y199" s="100">
        <v>1.39</v>
      </c>
      <c r="Z199" s="107">
        <v>104.6</v>
      </c>
      <c r="AA199" s="71">
        <f t="shared" ref="AA199:AA204" si="135">(((35-W199)/(35))*100*0.5+(100-X199)*1.5+((LN(MIN(MAX(Y199,1),250))-LN(1))/(LN(250)-LN(1)))*100*2+((20-MIN(Z199,20))/(20))*100*1.5)/5.5</f>
        <v>15.629791378635106</v>
      </c>
      <c r="AB199" s="63"/>
      <c r="AC199" s="92">
        <v>5.3105463855965169</v>
      </c>
      <c r="AD199" s="100">
        <v>16.3</v>
      </c>
      <c r="AE199" s="95">
        <v>0</v>
      </c>
      <c r="AF199" s="166">
        <v>65</v>
      </c>
      <c r="AG199" s="91">
        <v>5</v>
      </c>
      <c r="AH199" s="70">
        <f t="shared" ref="AH199:AH204" si="136">((AC199/50)*100*2+AD199*1+AE199+(1-(AF199/65))*100+AG199)/6</f>
        <v>7.0903642570643441</v>
      </c>
      <c r="AI199" s="86">
        <v>-3.28</v>
      </c>
      <c r="AJ199" s="164">
        <v>1</v>
      </c>
      <c r="AK199" s="100">
        <v>0</v>
      </c>
      <c r="AL199" s="103">
        <v>0</v>
      </c>
      <c r="AM199" s="86">
        <v>6.1832792902801099</v>
      </c>
      <c r="AN199" s="70">
        <f t="shared" ref="AN199:AN204" si="137">(((AI199-(-4))/(4-(-4)))*100+((AJ199-1)/(7-1))*100*1.5+AK199*0.5+(AL199/10)*100*2+AM199)/6</f>
        <v>2.5305465483800185</v>
      </c>
      <c r="AO199" s="63"/>
      <c r="AP199" s="89">
        <v>79.489523872276479</v>
      </c>
      <c r="AQ199" s="89">
        <v>33.703205283650234</v>
      </c>
      <c r="AR199" s="97">
        <v>94.435000000000002</v>
      </c>
      <c r="AS199" s="158">
        <f t="shared" ref="AS199:AS204" si="138">(AP199+AQ199*2+(100-AR199))/4</f>
        <v>38.115233609894233</v>
      </c>
      <c r="AT199" s="89">
        <v>73.859399999999994</v>
      </c>
      <c r="AU199" s="89">
        <v>68.974921811230928</v>
      </c>
      <c r="AV199" s="89">
        <v>53.676809127535726</v>
      </c>
      <c r="AW199" s="100">
        <v>47</v>
      </c>
      <c r="AX199" s="71">
        <f t="shared" ref="AX199:AX204" si="139">(((AT199-50)/(85-50))*100*2+AU199*1.5+AV199+(1-((MIN(AW199,55)-2.5)/(55-2.5)))*100)/5.5</f>
        <v>56.130311937073792</v>
      </c>
      <c r="AY199" s="86">
        <v>51.907872051210212</v>
      </c>
      <c r="AZ199" s="71">
        <f t="shared" ref="AZ199:AZ204" si="140">AY199</f>
        <v>51.907872051210212</v>
      </c>
      <c r="BA199" s="163">
        <v>34.75</v>
      </c>
      <c r="BB199" s="71">
        <f t="shared" ref="BB199:BB204" si="141">100-BA199</f>
        <v>65.25</v>
      </c>
      <c r="BC199" s="92">
        <v>20.234999999999999</v>
      </c>
      <c r="BD199" s="92">
        <v>21.134999999999998</v>
      </c>
      <c r="BE199" s="92">
        <v>33.405000000000001</v>
      </c>
      <c r="BF199" s="71">
        <f t="shared" ref="BF199:BF204" si="142">(BC199*0.5+BD199+BE199)/2.5</f>
        <v>25.863</v>
      </c>
      <c r="BG199" s="63"/>
      <c r="BH199" s="92">
        <v>3.9</v>
      </c>
      <c r="BI199" s="86">
        <v>4.68</v>
      </c>
      <c r="BJ199" s="95">
        <v>145</v>
      </c>
      <c r="BK199" s="82">
        <v>0</v>
      </c>
      <c r="BL199" s="70">
        <f t="shared" ref="BL199:BL204" si="143">(((30-MIN(BH199,30))/(30))*100*0.5+((10-BI199)/(10-1))*100*0.5+((BJ199-1)/(156-1))*100*5+(BK199)*3)/9</f>
        <v>59.730187176423733</v>
      </c>
      <c r="BM199" s="96">
        <v>8.0177857202996999E-2</v>
      </c>
      <c r="BN199" s="86">
        <v>12.67</v>
      </c>
      <c r="BO199" s="86">
        <v>30.538911531263164</v>
      </c>
      <c r="BP199" s="70">
        <f t="shared" ref="BP199:BP204" si="144">(BM199*100*2+BN199+BO199)/4</f>
        <v>14.811120742965642</v>
      </c>
      <c r="BQ199" s="96">
        <v>0.15403844765656299</v>
      </c>
      <c r="BR199" s="96">
        <v>0.2667381364993151</v>
      </c>
      <c r="BS199" s="86">
        <v>16.331009699999999</v>
      </c>
      <c r="BT199" s="86">
        <v>26.621097499999998</v>
      </c>
      <c r="BU199" s="86">
        <v>71.39578569999999</v>
      </c>
      <c r="BV199" s="86">
        <v>25.304626199999998</v>
      </c>
      <c r="BW199" s="71">
        <f t="shared" ref="BW199:BW204" si="145">(BQ199*100+BR199*100*1.5+BS199*1.5+BT199*2+BU199*0.5+BV199)/7.5</f>
        <v>25.887439178740472</v>
      </c>
      <c r="BX199" s="92">
        <v>60.22</v>
      </c>
      <c r="BY199" s="158">
        <f t="shared" ref="BY199:BY204" si="146">BX199</f>
        <v>60.22</v>
      </c>
      <c r="BZ199" s="54"/>
    </row>
    <row r="200" spans="1:78" s="30" customFormat="1" ht="15" customHeight="1" x14ac:dyDescent="0.2">
      <c r="A200" s="2">
        <v>194</v>
      </c>
      <c r="B200" s="3" t="s">
        <v>10</v>
      </c>
      <c r="C200" s="4" t="s">
        <v>11</v>
      </c>
      <c r="D200" s="162" t="s">
        <v>12</v>
      </c>
      <c r="E200" s="209">
        <f t="shared" si="127"/>
        <v>27.18324469332418</v>
      </c>
      <c r="F200" s="71">
        <f t="shared" si="128"/>
        <v>31.41528668069969</v>
      </c>
      <c r="G200" s="71">
        <f t="shared" si="129"/>
        <v>20.872422011682705</v>
      </c>
      <c r="H200" s="71">
        <f t="shared" si="130"/>
        <v>33.801253272910152</v>
      </c>
      <c r="I200" s="71">
        <f t="shared" si="131"/>
        <v>22.644016808004185</v>
      </c>
      <c r="J200" s="63"/>
      <c r="K200" s="85">
        <v>-2.1646639188739991</v>
      </c>
      <c r="L200" s="208">
        <v>1.8599999999999999</v>
      </c>
      <c r="M200" s="82">
        <f>IF(L200&lt;-5, 0, IF(AND(L200&gt;=1, L200&lt;=3), 100, IF(L200&gt;30, 0, IF(L200&lt;1, 100 * ((L200 + 5) / 6), 100 * ((30 - L200) / (30 - 3))))))</f>
        <v>100</v>
      </c>
      <c r="N200" s="71">
        <f t="shared" si="132"/>
        <v>54.640756006255558</v>
      </c>
      <c r="O200" s="85">
        <v>-2.7377694412265661</v>
      </c>
      <c r="P200" s="87">
        <v>8</v>
      </c>
      <c r="Q200" s="70">
        <f t="shared" si="133"/>
        <v>61.590128088207472</v>
      </c>
      <c r="R200" s="90">
        <v>1E-3</v>
      </c>
      <c r="S200" s="85">
        <v>-0.79159789999999997</v>
      </c>
      <c r="T200" s="85">
        <v>0.11</v>
      </c>
      <c r="U200" s="90">
        <v>4.3789999999999996</v>
      </c>
      <c r="V200" s="70">
        <f t="shared" si="134"/>
        <v>17.991064034391535</v>
      </c>
      <c r="W200" s="85">
        <v>13.351000000000001</v>
      </c>
      <c r="X200" s="87">
        <v>86.1</v>
      </c>
      <c r="Y200" s="87">
        <v>6.1</v>
      </c>
      <c r="Z200" s="214">
        <v>13</v>
      </c>
      <c r="AA200" s="71">
        <f t="shared" si="135"/>
        <v>30.868639398589007</v>
      </c>
      <c r="AB200" s="63"/>
      <c r="AC200" s="85">
        <v>17.034535097098498</v>
      </c>
      <c r="AD200" s="87">
        <v>3.6</v>
      </c>
      <c r="AE200" s="105">
        <v>2.5</v>
      </c>
      <c r="AF200" s="166">
        <v>65</v>
      </c>
      <c r="AG200" s="91">
        <v>0</v>
      </c>
      <c r="AH200" s="70">
        <f t="shared" si="136"/>
        <v>12.373023398065664</v>
      </c>
      <c r="AI200" s="85">
        <v>-2.3199999999999998</v>
      </c>
      <c r="AJ200" s="99">
        <v>2.4819397948367801</v>
      </c>
      <c r="AK200" s="87">
        <v>92</v>
      </c>
      <c r="AL200" s="92">
        <v>2.6881891028441869</v>
      </c>
      <c r="AM200" s="85">
        <v>18.418646823995299</v>
      </c>
      <c r="AN200" s="70">
        <f t="shared" si="137"/>
        <v>29.371820625299751</v>
      </c>
      <c r="AO200" s="63"/>
      <c r="AP200" s="89">
        <v>61.409759299608751</v>
      </c>
      <c r="AQ200" s="89">
        <v>26.231679422341148</v>
      </c>
      <c r="AR200" s="97">
        <v>94.435000000000002</v>
      </c>
      <c r="AS200" s="158">
        <f t="shared" si="138"/>
        <v>29.859529536072763</v>
      </c>
      <c r="AT200" s="89">
        <v>66.537999999999997</v>
      </c>
      <c r="AU200" s="89">
        <v>28.25629283547925</v>
      </c>
      <c r="AV200" s="89">
        <v>45.852050307986829</v>
      </c>
      <c r="AW200" s="100">
        <v>28.1</v>
      </c>
      <c r="AX200" s="71">
        <f t="shared" si="139"/>
        <v>42.541353080392376</v>
      </c>
      <c r="AY200" s="86">
        <v>19.493589243018519</v>
      </c>
      <c r="AZ200" s="71">
        <f t="shared" si="140"/>
        <v>19.493589243018519</v>
      </c>
      <c r="BA200" s="92">
        <v>30.93</v>
      </c>
      <c r="BB200" s="71">
        <f t="shared" si="141"/>
        <v>69.069999999999993</v>
      </c>
      <c r="BC200" s="86">
        <v>38.380000000000003</v>
      </c>
      <c r="BD200" s="86">
        <v>24.44</v>
      </c>
      <c r="BE200" s="86">
        <v>34.369999999999997</v>
      </c>
      <c r="BF200" s="71">
        <f t="shared" si="142"/>
        <v>31.2</v>
      </c>
      <c r="BG200" s="63"/>
      <c r="BH200" s="85">
        <v>4.22</v>
      </c>
      <c r="BI200" s="85">
        <v>7.02</v>
      </c>
      <c r="BJ200" s="88">
        <v>32</v>
      </c>
      <c r="BK200" s="81">
        <v>0</v>
      </c>
      <c r="BL200" s="70">
        <f t="shared" si="143"/>
        <v>17.724691358024693</v>
      </c>
      <c r="BM200" s="90">
        <v>0.22299479936894748</v>
      </c>
      <c r="BN200" s="85">
        <v>19.510000000000002</v>
      </c>
      <c r="BO200" s="85">
        <v>14.436681672655565</v>
      </c>
      <c r="BP200" s="70">
        <f t="shared" si="144"/>
        <v>19.636410386611267</v>
      </c>
      <c r="BQ200" s="90">
        <v>0.34064523870546831</v>
      </c>
      <c r="BR200" s="90">
        <v>0.28044993350796898</v>
      </c>
      <c r="BS200" s="85">
        <v>21.3643608</v>
      </c>
      <c r="BT200" s="86">
        <v>13.7358099</v>
      </c>
      <c r="BU200" s="85">
        <v>28.225856799999999</v>
      </c>
      <c r="BV200" s="86">
        <v>30.5994864</v>
      </c>
      <c r="BW200" s="71">
        <f t="shared" si="145"/>
        <v>24.048345292898951</v>
      </c>
      <c r="BX200" s="86">
        <v>39.049999999999997</v>
      </c>
      <c r="BY200" s="158">
        <f t="shared" si="146"/>
        <v>39.049999999999997</v>
      </c>
      <c r="BZ200" s="54"/>
    </row>
    <row r="201" spans="1:78" s="30" customFormat="1" ht="15" customHeight="1" x14ac:dyDescent="0.2">
      <c r="A201" s="2">
        <v>195</v>
      </c>
      <c r="B201" s="3" t="s">
        <v>10</v>
      </c>
      <c r="C201" s="19" t="s">
        <v>35</v>
      </c>
      <c r="D201" s="162" t="s">
        <v>223</v>
      </c>
      <c r="E201" s="209">
        <f t="shared" si="127"/>
        <v>26.203470239573832</v>
      </c>
      <c r="F201" s="71">
        <f t="shared" si="128"/>
        <v>26.293442507669006</v>
      </c>
      <c r="G201" s="71">
        <f t="shared" si="129"/>
        <v>18.665027092099589</v>
      </c>
      <c r="H201" s="71">
        <f t="shared" si="130"/>
        <v>36.176809588610375</v>
      </c>
      <c r="I201" s="71">
        <f t="shared" si="131"/>
        <v>23.678601769916344</v>
      </c>
      <c r="J201" s="63"/>
      <c r="K201" s="92">
        <v>0</v>
      </c>
      <c r="L201" s="207">
        <v>32.36</v>
      </c>
      <c r="M201" s="82">
        <f>IF(L201&lt;-5, 0, IF(AND(L201&gt;=1, L201&lt;=3), 100, IF(L201&gt;30, 0, IF(L201&lt;1, 100 * ((L201 + 5) / 6), 100 * ((30 - L201) / (30 - 3))))))</f>
        <v>0</v>
      </c>
      <c r="N201" s="71">
        <f t="shared" si="132"/>
        <v>16.666666666666664</v>
      </c>
      <c r="O201" s="86">
        <v>-4.5073553710651426</v>
      </c>
      <c r="P201" s="194">
        <v>71.2</v>
      </c>
      <c r="Q201" s="70">
        <f t="shared" si="133"/>
        <v>32.518135904963806</v>
      </c>
      <c r="R201" s="167">
        <v>1E-3</v>
      </c>
      <c r="S201" s="86">
        <v>-1.7361017000000001</v>
      </c>
      <c r="T201" s="86">
        <v>0.11</v>
      </c>
      <c r="U201" s="167">
        <v>4.226</v>
      </c>
      <c r="V201" s="70">
        <f t="shared" si="134"/>
        <v>16.096013796296294</v>
      </c>
      <c r="W201" s="86">
        <v>17.321999999999999</v>
      </c>
      <c r="X201" s="100">
        <v>77.400000000000006</v>
      </c>
      <c r="Y201" s="100">
        <v>13.13</v>
      </c>
      <c r="Z201" s="107">
        <v>6</v>
      </c>
      <c r="AA201" s="71">
        <f t="shared" si="135"/>
        <v>46.80419422843849</v>
      </c>
      <c r="AB201" s="63"/>
      <c r="AC201" s="86">
        <v>6.1767107839103899</v>
      </c>
      <c r="AD201" s="100">
        <v>3.5</v>
      </c>
      <c r="AE201" s="105">
        <v>2.5</v>
      </c>
      <c r="AF201" s="165">
        <v>60</v>
      </c>
      <c r="AG201" s="91">
        <v>0</v>
      </c>
      <c r="AH201" s="70">
        <f t="shared" si="136"/>
        <v>6.3998584713248752</v>
      </c>
      <c r="AI201" s="86">
        <v>-0.64</v>
      </c>
      <c r="AJ201" s="92">
        <v>2.7017937571894599</v>
      </c>
      <c r="AK201" s="100">
        <v>93.7</v>
      </c>
      <c r="AL201" s="86">
        <v>2.3495728678312156</v>
      </c>
      <c r="AM201" s="86">
        <v>7.1948729908849796</v>
      </c>
      <c r="AN201" s="70">
        <f t="shared" si="137"/>
        <v>30.930195712874305</v>
      </c>
      <c r="AO201" s="63"/>
      <c r="AP201" s="89">
        <v>69.566044513477095</v>
      </c>
      <c r="AQ201" s="89">
        <v>32.574484458336443</v>
      </c>
      <c r="AR201" s="89">
        <v>97.21</v>
      </c>
      <c r="AS201" s="158">
        <f t="shared" si="138"/>
        <v>34.376253357537493</v>
      </c>
      <c r="AT201" s="89">
        <v>69.579599999999999</v>
      </c>
      <c r="AU201" s="89">
        <v>26.715502128367469</v>
      </c>
      <c r="AV201" s="89">
        <v>44.524524218236458</v>
      </c>
      <c r="AW201" s="93">
        <v>25</v>
      </c>
      <c r="AX201" s="71">
        <f t="shared" si="139"/>
        <v>46.11346602274061</v>
      </c>
      <c r="AY201" s="86">
        <v>17.499732565067127</v>
      </c>
      <c r="AZ201" s="71">
        <f t="shared" si="140"/>
        <v>17.499732565067127</v>
      </c>
      <c r="BA201" s="86">
        <v>36.71</v>
      </c>
      <c r="BB201" s="71">
        <f t="shared" si="141"/>
        <v>63.29</v>
      </c>
      <c r="BC201" s="92">
        <v>42.6</v>
      </c>
      <c r="BD201" s="92">
        <v>38.630000000000003</v>
      </c>
      <c r="BE201" s="92">
        <v>37.659999999999997</v>
      </c>
      <c r="BF201" s="71">
        <f t="shared" si="142"/>
        <v>39.036000000000001</v>
      </c>
      <c r="BG201" s="63"/>
      <c r="BH201" s="86">
        <v>5.81</v>
      </c>
      <c r="BI201" s="86">
        <v>6.63</v>
      </c>
      <c r="BJ201" s="95">
        <v>15</v>
      </c>
      <c r="BK201" s="82">
        <v>7.5757575757575726</v>
      </c>
      <c r="BL201" s="70">
        <f t="shared" si="143"/>
        <v>14.103050215415806</v>
      </c>
      <c r="BM201" s="96">
        <v>0.22618204034163983</v>
      </c>
      <c r="BN201" s="86">
        <v>27.89</v>
      </c>
      <c r="BO201" s="86">
        <v>21.614548725489069</v>
      </c>
      <c r="BP201" s="70">
        <f t="shared" si="144"/>
        <v>23.685239198454262</v>
      </c>
      <c r="BQ201" s="96">
        <v>0.23277649405544248</v>
      </c>
      <c r="BR201" s="96">
        <v>0.28019568070486389</v>
      </c>
      <c r="BS201" s="86">
        <v>14.7421343</v>
      </c>
      <c r="BT201" s="86">
        <v>14.9257528</v>
      </c>
      <c r="BU201" s="86">
        <v>18.910356499999999</v>
      </c>
      <c r="BV201" s="86">
        <v>29.878844399999998</v>
      </c>
      <c r="BW201" s="71">
        <f t="shared" si="145"/>
        <v>20.88076416150318</v>
      </c>
      <c r="BX201" s="86">
        <v>57.39</v>
      </c>
      <c r="BY201" s="158">
        <f t="shared" si="146"/>
        <v>57.39</v>
      </c>
      <c r="BZ201" s="54"/>
    </row>
    <row r="202" spans="1:78" s="30" customFormat="1" ht="15" customHeight="1" x14ac:dyDescent="0.2">
      <c r="A202" s="2">
        <v>196</v>
      </c>
      <c r="B202" s="8" t="s">
        <v>16</v>
      </c>
      <c r="C202" s="11" t="s">
        <v>21</v>
      </c>
      <c r="D202" s="162" t="s">
        <v>197</v>
      </c>
      <c r="E202" s="209">
        <f t="shared" si="127"/>
        <v>25.817885963754769</v>
      </c>
      <c r="F202" s="71">
        <f t="shared" si="128"/>
        <v>17.824955166432076</v>
      </c>
      <c r="G202" s="71">
        <f t="shared" si="129"/>
        <v>23.096374284495692</v>
      </c>
      <c r="H202" s="71">
        <f t="shared" si="130"/>
        <v>37.632831031411172</v>
      </c>
      <c r="I202" s="71">
        <f t="shared" si="131"/>
        <v>24.717383372680139</v>
      </c>
      <c r="J202" s="63"/>
      <c r="K202" s="85">
        <v>-12.859472696611085</v>
      </c>
      <c r="L202" s="208">
        <v>172.2</v>
      </c>
      <c r="M202" s="82">
        <f>IF(L202&lt;-5, 0, IF(AND(L202&gt;=1, L202&lt;=3), 100, IF(L202&gt;30, 0, IF(L202&lt;1, 100 * ((L202 + 5) / 6), 100 * ((30 - L202) / (30 - 3))))))</f>
        <v>0</v>
      </c>
      <c r="N202" s="71">
        <f t="shared" si="132"/>
        <v>0</v>
      </c>
      <c r="O202" s="85">
        <v>4.9906228883529771</v>
      </c>
      <c r="P202" s="87">
        <v>187.6</v>
      </c>
      <c r="Q202" s="70">
        <f t="shared" si="133"/>
        <v>2.7725682713072093</v>
      </c>
      <c r="R202" s="168">
        <v>0</v>
      </c>
      <c r="S202" s="85">
        <v>-2.1275819999999999</v>
      </c>
      <c r="T202" s="85">
        <v>0.11</v>
      </c>
      <c r="U202" s="90">
        <v>4.8920000000000003</v>
      </c>
      <c r="V202" s="70">
        <f t="shared" si="134"/>
        <v>11.763065873015874</v>
      </c>
      <c r="W202" s="85">
        <v>7.53</v>
      </c>
      <c r="X202" s="87">
        <v>94.2</v>
      </c>
      <c r="Y202" s="98">
        <v>10.643222828169705</v>
      </c>
      <c r="Z202" s="214">
        <v>4</v>
      </c>
      <c r="AA202" s="71">
        <f t="shared" si="135"/>
        <v>46.110147956912243</v>
      </c>
      <c r="AB202" s="63"/>
      <c r="AC202" s="85">
        <v>0.73429187269687923</v>
      </c>
      <c r="AD202" s="87">
        <v>6.5</v>
      </c>
      <c r="AE202" s="88">
        <v>5</v>
      </c>
      <c r="AF202" s="165">
        <v>60</v>
      </c>
      <c r="AG202" s="91">
        <v>0</v>
      </c>
      <c r="AH202" s="70">
        <f t="shared" si="136"/>
        <v>3.6882458638492004</v>
      </c>
      <c r="AI202" s="85">
        <v>-1.01</v>
      </c>
      <c r="AJ202" s="99">
        <v>2.89519179873807</v>
      </c>
      <c r="AK202" s="87">
        <v>84.7</v>
      </c>
      <c r="AL202" s="86">
        <v>3.9871048546131584</v>
      </c>
      <c r="AM202" s="85">
        <v>48.1801241701382</v>
      </c>
      <c r="AN202" s="70">
        <f t="shared" si="137"/>
        <v>42.504502705142187</v>
      </c>
      <c r="AO202" s="63"/>
      <c r="AP202" s="89">
        <v>68.637297930462609</v>
      </c>
      <c r="AQ202" s="89">
        <v>39.771406636364745</v>
      </c>
      <c r="AR202" s="89">
        <v>93.08</v>
      </c>
      <c r="AS202" s="158">
        <f t="shared" si="138"/>
        <v>38.775027800798028</v>
      </c>
      <c r="AT202" s="89">
        <v>66.704499999999996</v>
      </c>
      <c r="AU202" s="89">
        <v>25.872868022834542</v>
      </c>
      <c r="AV202" s="89">
        <v>46.776439335289744</v>
      </c>
      <c r="AW202" s="100">
        <v>11</v>
      </c>
      <c r="AX202" s="71">
        <f t="shared" si="139"/>
        <v>48.154463798791106</v>
      </c>
      <c r="AY202" s="86">
        <v>20.776847006539111</v>
      </c>
      <c r="AZ202" s="71">
        <f t="shared" si="140"/>
        <v>20.776847006539111</v>
      </c>
      <c r="BA202" s="86">
        <v>34.24</v>
      </c>
      <c r="BB202" s="71">
        <f t="shared" si="141"/>
        <v>65.759999999999991</v>
      </c>
      <c r="BC202" s="86">
        <v>37.9</v>
      </c>
      <c r="BD202" s="86">
        <v>11.82</v>
      </c>
      <c r="BE202" s="86">
        <v>34.299999999999997</v>
      </c>
      <c r="BF202" s="71">
        <f t="shared" si="142"/>
        <v>26.027999999999999</v>
      </c>
      <c r="BG202" s="63"/>
      <c r="BH202" s="99">
        <v>3.9350000000000001</v>
      </c>
      <c r="BI202" s="85">
        <v>6.63</v>
      </c>
      <c r="BJ202" s="88">
        <v>8</v>
      </c>
      <c r="BK202" s="81">
        <v>13.636363636363637</v>
      </c>
      <c r="BL202" s="70">
        <f t="shared" si="143"/>
        <v>13.961513884363347</v>
      </c>
      <c r="BM202" s="90">
        <v>0.278900154753983</v>
      </c>
      <c r="BN202" s="85">
        <v>29.02</v>
      </c>
      <c r="BO202" s="85">
        <v>19.603206847353583</v>
      </c>
      <c r="BP202" s="70">
        <f t="shared" si="144"/>
        <v>26.100809449537543</v>
      </c>
      <c r="BQ202" s="90">
        <v>0.24959056418473266</v>
      </c>
      <c r="BR202" s="90">
        <v>0.33507340598085034</v>
      </c>
      <c r="BS202" s="85">
        <v>16.3300138</v>
      </c>
      <c r="BT202" s="86">
        <v>16.459147099999999</v>
      </c>
      <c r="BU202" s="85">
        <v>31.315458799999998</v>
      </c>
      <c r="BV202" s="86">
        <v>28.6395041</v>
      </c>
      <c r="BW202" s="71">
        <f t="shared" si="145"/>
        <v>23.590748762080111</v>
      </c>
      <c r="BX202" s="86">
        <v>51.4</v>
      </c>
      <c r="BY202" s="158">
        <f t="shared" si="146"/>
        <v>51.4</v>
      </c>
      <c r="BZ202" s="54"/>
    </row>
    <row r="203" spans="1:78" s="30" customFormat="1" ht="15" customHeight="1" x14ac:dyDescent="0.2">
      <c r="A203" s="2">
        <v>197</v>
      </c>
      <c r="B203" s="8" t="s">
        <v>16</v>
      </c>
      <c r="C203" s="11" t="s">
        <v>21</v>
      </c>
      <c r="D203" s="162" t="s">
        <v>81</v>
      </c>
      <c r="E203" s="209">
        <f t="shared" si="127"/>
        <v>25.317334211946537</v>
      </c>
      <c r="F203" s="71">
        <f t="shared" si="128"/>
        <v>11.109641990011939</v>
      </c>
      <c r="G203" s="71">
        <f t="shared" si="129"/>
        <v>19.004179306827879</v>
      </c>
      <c r="H203" s="71">
        <f t="shared" si="130"/>
        <v>36.731556895933188</v>
      </c>
      <c r="I203" s="71">
        <f t="shared" si="131"/>
        <v>34.423958655013145</v>
      </c>
      <c r="J203" s="63"/>
      <c r="K203" s="92">
        <v>0</v>
      </c>
      <c r="L203" s="207" t="s">
        <v>812</v>
      </c>
      <c r="M203" s="159">
        <v>0</v>
      </c>
      <c r="N203" s="71">
        <f t="shared" si="132"/>
        <v>16.666666666666664</v>
      </c>
      <c r="O203" s="86">
        <v>15.820719466929189</v>
      </c>
      <c r="P203" s="192">
        <v>164</v>
      </c>
      <c r="Q203" s="70">
        <f t="shared" si="133"/>
        <v>8.7892885927384388</v>
      </c>
      <c r="R203" s="167">
        <v>0</v>
      </c>
      <c r="S203" s="92">
        <v>-1.2418435882460386</v>
      </c>
      <c r="T203" s="92">
        <v>0</v>
      </c>
      <c r="U203" s="167">
        <v>5.282</v>
      </c>
      <c r="V203" s="70">
        <f t="shared" si="134"/>
        <v>8.6996408263006852</v>
      </c>
      <c r="W203" s="86">
        <v>5.9779999999999998</v>
      </c>
      <c r="X203" s="93">
        <v>94.5</v>
      </c>
      <c r="Y203" s="100">
        <v>2.5099999999999998</v>
      </c>
      <c r="Z203" s="107">
        <v>90.3</v>
      </c>
      <c r="AA203" s="71">
        <f t="shared" si="135"/>
        <v>15.099046485136661</v>
      </c>
      <c r="AB203" s="63"/>
      <c r="AC203" s="86">
        <v>12.626317662695987</v>
      </c>
      <c r="AD203" s="100">
        <v>4.8</v>
      </c>
      <c r="AE203" s="95">
        <v>0</v>
      </c>
      <c r="AF203" s="165">
        <v>60</v>
      </c>
      <c r="AG203" s="91">
        <v>14.5039087078826</v>
      </c>
      <c r="AH203" s="70">
        <f t="shared" si="136"/>
        <v>12.916914508495706</v>
      </c>
      <c r="AI203" s="86">
        <v>-2.69</v>
      </c>
      <c r="AJ203" s="92">
        <v>2.5744837034732901</v>
      </c>
      <c r="AK203" s="100">
        <v>80.3</v>
      </c>
      <c r="AL203" s="92">
        <v>2.6228140639358051</v>
      </c>
      <c r="AM203" s="86">
        <v>2.2052907654120002</v>
      </c>
      <c r="AN203" s="70">
        <f t="shared" si="137"/>
        <v>25.091444105160054</v>
      </c>
      <c r="AO203" s="63"/>
      <c r="AP203" s="89">
        <v>43.122133957820061</v>
      </c>
      <c r="AQ203" s="89">
        <v>32.141894740503396</v>
      </c>
      <c r="AR203" s="97">
        <v>92.05</v>
      </c>
      <c r="AS203" s="158">
        <f t="shared" si="138"/>
        <v>28.838980859706712</v>
      </c>
      <c r="AT203" s="89">
        <v>69.151200000000003</v>
      </c>
      <c r="AU203" s="89">
        <v>38.339820520364732</v>
      </c>
      <c r="AV203" s="89">
        <v>45.909301913364708</v>
      </c>
      <c r="AW203" s="93">
        <v>22.200000000000003</v>
      </c>
      <c r="AX203" s="71">
        <f t="shared" si="139"/>
        <v>50.060118498460156</v>
      </c>
      <c r="AY203" s="86">
        <v>21.519080826181799</v>
      </c>
      <c r="AZ203" s="71">
        <f t="shared" si="140"/>
        <v>21.519080826181799</v>
      </c>
      <c r="BA203" s="92">
        <v>37.659999999999997</v>
      </c>
      <c r="BB203" s="71">
        <f t="shared" si="141"/>
        <v>62.34</v>
      </c>
      <c r="BC203" s="101">
        <v>38.1</v>
      </c>
      <c r="BD203" s="101">
        <v>26.8</v>
      </c>
      <c r="BE203" s="92">
        <v>41.75</v>
      </c>
      <c r="BF203" s="71">
        <f t="shared" si="142"/>
        <v>35.04</v>
      </c>
      <c r="BG203" s="63"/>
      <c r="BH203" s="86">
        <v>15.61</v>
      </c>
      <c r="BI203" s="86">
        <v>3.92</v>
      </c>
      <c r="BJ203" s="95">
        <v>156</v>
      </c>
      <c r="BK203" s="82">
        <v>30.303030303030308</v>
      </c>
      <c r="BL203" s="70">
        <f t="shared" si="143"/>
        <v>72.074466891133554</v>
      </c>
      <c r="BM203" s="96">
        <v>0.21299931806589101</v>
      </c>
      <c r="BN203" s="86">
        <v>10.24</v>
      </c>
      <c r="BO203" s="86">
        <v>26.775385171040664</v>
      </c>
      <c r="BP203" s="70">
        <f t="shared" si="144"/>
        <v>19.903812196054716</v>
      </c>
      <c r="BQ203" s="96">
        <v>0.1896985830760925</v>
      </c>
      <c r="BR203" s="96">
        <v>0.27180336967498725</v>
      </c>
      <c r="BS203" s="86">
        <v>14.7976467</v>
      </c>
      <c r="BT203" s="86">
        <v>23.0265068</v>
      </c>
      <c r="BU203" s="86">
        <v>53.790121899999995</v>
      </c>
      <c r="BV203" s="86">
        <v>22.762197499999999</v>
      </c>
      <c r="BW203" s="71">
        <f t="shared" si="145"/>
        <v>23.686280781180979</v>
      </c>
      <c r="BX203" s="86">
        <v>21.44</v>
      </c>
      <c r="BY203" s="158">
        <f t="shared" si="146"/>
        <v>21.44</v>
      </c>
      <c r="BZ203" s="54"/>
    </row>
    <row r="204" spans="1:78" s="30" customFormat="1" ht="15" customHeight="1" x14ac:dyDescent="0.2">
      <c r="A204" s="2">
        <v>198</v>
      </c>
      <c r="B204" s="8" t="s">
        <v>16</v>
      </c>
      <c r="C204" s="11" t="s">
        <v>21</v>
      </c>
      <c r="D204" s="162" t="s">
        <v>191</v>
      </c>
      <c r="E204" s="209">
        <f t="shared" si="127"/>
        <v>23.749694209171949</v>
      </c>
      <c r="F204" s="71">
        <f t="shared" si="128"/>
        <v>20.779024984966956</v>
      </c>
      <c r="G204" s="71">
        <f t="shared" si="129"/>
        <v>25.322507697155071</v>
      </c>
      <c r="H204" s="71">
        <f t="shared" si="130"/>
        <v>24.666186167953214</v>
      </c>
      <c r="I204" s="71">
        <f t="shared" si="131"/>
        <v>24.231057986612569</v>
      </c>
      <c r="J204" s="64"/>
      <c r="K204" s="92">
        <v>0</v>
      </c>
      <c r="L204" s="207">
        <v>52.820000000000007</v>
      </c>
      <c r="M204" s="82">
        <f>IF(L204&lt;-5, 0, IF(AND(L204&gt;=1, L204&lt;=3), 100, IF(L204&gt;30, 0, IF(L204&lt;1, 100 * ((L204 + 5) / 6), 100 * ((30 - L204) / (30 - 3))))))</f>
        <v>0</v>
      </c>
      <c r="N204" s="71">
        <f t="shared" si="132"/>
        <v>16.666666666666664</v>
      </c>
      <c r="O204" s="86">
        <v>6.1768618439460914</v>
      </c>
      <c r="P204" s="100">
        <v>62.1</v>
      </c>
      <c r="Q204" s="70">
        <f t="shared" si="133"/>
        <v>42.498256579970054</v>
      </c>
      <c r="R204" s="96">
        <v>1.6808625448292576E-3</v>
      </c>
      <c r="S204" s="92">
        <v>-1.9015395484411608</v>
      </c>
      <c r="T204" s="86">
        <v>0.02</v>
      </c>
      <c r="U204" s="167">
        <v>4.58</v>
      </c>
      <c r="V204" s="70">
        <f t="shared" si="134"/>
        <v>11.001184194158732</v>
      </c>
      <c r="W204" s="86">
        <v>12.374000000000001</v>
      </c>
      <c r="X204" s="93">
        <v>94.5</v>
      </c>
      <c r="Y204" s="100">
        <v>3.55</v>
      </c>
      <c r="Z204" s="107">
        <v>10.3</v>
      </c>
      <c r="AA204" s="71">
        <f t="shared" si="135"/>
        <v>28.948110936901649</v>
      </c>
      <c r="AB204" s="64"/>
      <c r="AC204" s="86">
        <v>5.7507563715105245</v>
      </c>
      <c r="AD204" s="93">
        <v>2.1966454778316518</v>
      </c>
      <c r="AE204" s="105">
        <v>2.5</v>
      </c>
      <c r="AF204" s="85">
        <v>13</v>
      </c>
      <c r="AG204" s="91">
        <v>12.207497131475439</v>
      </c>
      <c r="AH204" s="70">
        <f t="shared" si="136"/>
        <v>19.984528015891531</v>
      </c>
      <c r="AI204" s="86">
        <v>-1.97</v>
      </c>
      <c r="AJ204" s="92">
        <v>2.5619616709000401</v>
      </c>
      <c r="AK204" s="124">
        <v>86.662951000000007</v>
      </c>
      <c r="AL204" s="92">
        <v>2.0914974513564402</v>
      </c>
      <c r="AM204" s="86">
        <v>34.3774579708818</v>
      </c>
      <c r="AN204" s="70">
        <f t="shared" si="137"/>
        <v>30.660487378418605</v>
      </c>
      <c r="AO204" s="64"/>
      <c r="AP204" s="89">
        <v>14.763394240729408</v>
      </c>
      <c r="AQ204" s="89">
        <v>19.902389229933547</v>
      </c>
      <c r="AR204" s="89">
        <v>99.22</v>
      </c>
      <c r="AS204" s="158">
        <f t="shared" si="138"/>
        <v>13.837043175149127</v>
      </c>
      <c r="AT204" s="89">
        <v>57.851300000000002</v>
      </c>
      <c r="AU204" s="89">
        <v>30.102394644434831</v>
      </c>
      <c r="AV204" s="89">
        <v>43.472557082280488</v>
      </c>
      <c r="AW204" s="100">
        <v>22.3</v>
      </c>
      <c r="AX204" s="71">
        <f t="shared" si="139"/>
        <v>35.595715411494261</v>
      </c>
      <c r="AY204" s="86">
        <v>11.360099920571756</v>
      </c>
      <c r="AZ204" s="71">
        <f t="shared" si="140"/>
        <v>11.360099920571756</v>
      </c>
      <c r="BA204" s="86">
        <v>44.05</v>
      </c>
      <c r="BB204" s="71">
        <f t="shared" si="141"/>
        <v>55.95</v>
      </c>
      <c r="BC204" s="92">
        <v>22.215</v>
      </c>
      <c r="BD204" s="92">
        <v>24.914999999999999</v>
      </c>
      <c r="BE204" s="92">
        <v>41.75</v>
      </c>
      <c r="BF204" s="71">
        <f t="shared" si="142"/>
        <v>31.109000000000002</v>
      </c>
      <c r="BG204" s="64"/>
      <c r="BH204" s="86">
        <v>13.98</v>
      </c>
      <c r="BI204" s="86">
        <v>6.42</v>
      </c>
      <c r="BJ204" s="95">
        <v>25</v>
      </c>
      <c r="BK204" s="82">
        <v>12.121212121212119</v>
      </c>
      <c r="BL204" s="70">
        <f t="shared" si="143"/>
        <v>17.819097787914991</v>
      </c>
      <c r="BM204" s="96">
        <v>0.25425486209761289</v>
      </c>
      <c r="BN204" s="86">
        <v>46.16</v>
      </c>
      <c r="BO204" s="86">
        <v>23.702456363084107</v>
      </c>
      <c r="BP204" s="70">
        <f t="shared" si="144"/>
        <v>30.178357195651671</v>
      </c>
      <c r="BQ204" s="96">
        <v>0.23085332544881562</v>
      </c>
      <c r="BR204" s="96">
        <v>0.24509214802531182</v>
      </c>
      <c r="BS204" s="86">
        <v>6.0617039999999998</v>
      </c>
      <c r="BT204" s="86">
        <v>9.0916192999999996</v>
      </c>
      <c r="BU204" s="86">
        <v>40.4488488</v>
      </c>
      <c r="BV204" s="86">
        <v>24.4315487</v>
      </c>
      <c r="BW204" s="71">
        <f t="shared" si="145"/>
        <v>17.570789659823781</v>
      </c>
      <c r="BX204" s="86">
        <v>45.73</v>
      </c>
      <c r="BY204" s="158">
        <f t="shared" si="146"/>
        <v>45.73</v>
      </c>
      <c r="BZ204" s="54"/>
    </row>
    <row r="205" spans="1:78" ht="4.5" customHeight="1" x14ac:dyDescent="0.25">
      <c r="A205" s="33"/>
      <c r="B205" s="33"/>
      <c r="C205" s="33"/>
      <c r="D205" s="34"/>
      <c r="E205" s="35"/>
      <c r="F205" s="35"/>
      <c r="G205" s="37"/>
      <c r="H205" s="32"/>
      <c r="I205" s="32"/>
      <c r="J205" s="1"/>
      <c r="K205" s="35"/>
      <c r="L205" s="35"/>
      <c r="M205" s="35"/>
      <c r="N205" s="35"/>
      <c r="O205" s="35"/>
      <c r="P205" s="35"/>
      <c r="Q205" s="35"/>
      <c r="R205" s="35"/>
      <c r="S205" s="35"/>
      <c r="T205" s="35"/>
      <c r="U205" s="35"/>
      <c r="V205" s="35"/>
      <c r="W205" s="35"/>
      <c r="X205" s="35"/>
      <c r="Y205" s="35"/>
      <c r="Z205" s="35"/>
      <c r="AA205" s="35"/>
      <c r="AB205" s="1"/>
      <c r="AC205" s="35"/>
      <c r="AD205" s="36"/>
      <c r="AE205" s="37"/>
      <c r="AF205" s="38"/>
      <c r="AG205" s="37"/>
      <c r="AH205" s="37"/>
      <c r="AI205" s="38"/>
      <c r="AJ205" s="38"/>
      <c r="AK205" s="36"/>
      <c r="AL205" s="32"/>
      <c r="AM205" s="37"/>
      <c r="AN205" s="37"/>
      <c r="AO205" s="1"/>
      <c r="AP205" s="39"/>
      <c r="AQ205" s="39"/>
      <c r="AR205" s="39"/>
      <c r="AS205" s="39"/>
      <c r="AT205" s="39"/>
      <c r="AU205" s="39"/>
      <c r="AV205" s="39"/>
      <c r="AW205" s="32"/>
      <c r="AX205" s="32"/>
      <c r="AY205" s="32"/>
      <c r="AZ205" s="38"/>
      <c r="BA205" s="32"/>
      <c r="BB205" s="32"/>
      <c r="BC205" s="32"/>
      <c r="BD205" s="32"/>
      <c r="BE205" s="32"/>
      <c r="BF205" s="38"/>
      <c r="BG205" s="1"/>
      <c r="BH205" s="32"/>
      <c r="BI205" s="32"/>
      <c r="BJ205" s="32"/>
      <c r="BK205" s="32"/>
      <c r="BL205" s="32"/>
      <c r="BM205" s="32"/>
      <c r="BN205" s="32"/>
      <c r="BO205" s="32"/>
      <c r="BP205" s="32"/>
      <c r="BQ205" s="32"/>
      <c r="BR205" s="32"/>
      <c r="BS205" s="32"/>
      <c r="BT205" s="32"/>
      <c r="BU205" s="32"/>
      <c r="BV205" s="32"/>
      <c r="BW205" s="32"/>
      <c r="BX205" s="32"/>
      <c r="BY205" s="32"/>
      <c r="BZ205" s="1"/>
    </row>
    <row r="206" spans="1:78" ht="15" customHeight="1" x14ac:dyDescent="0.25">
      <c r="A206" s="33"/>
      <c r="B206" s="447" t="s">
        <v>1066</v>
      </c>
      <c r="C206" s="448"/>
      <c r="D206" s="448"/>
      <c r="E206" s="448"/>
      <c r="F206" s="448"/>
      <c r="G206" s="448"/>
      <c r="H206" s="448"/>
      <c r="I206" s="449"/>
      <c r="J206" s="181"/>
      <c r="K206" s="181"/>
      <c r="L206" s="181"/>
      <c r="M206" s="181"/>
      <c r="N206" s="492"/>
      <c r="O206" s="493"/>
      <c r="P206" s="493"/>
      <c r="Q206" s="493"/>
      <c r="R206" s="493"/>
      <c r="S206" s="493"/>
      <c r="T206" s="493"/>
      <c r="U206" s="493"/>
      <c r="V206" s="494"/>
      <c r="W206" s="456" t="s">
        <v>336</v>
      </c>
      <c r="X206" s="457"/>
      <c r="Y206" s="457"/>
      <c r="Z206" s="457"/>
      <c r="AA206" s="458"/>
      <c r="AB206" s="181"/>
      <c r="AC206" s="492"/>
      <c r="AD206" s="493"/>
      <c r="AE206" s="493"/>
      <c r="AF206" s="493"/>
      <c r="AG206" s="493"/>
      <c r="AH206" s="493"/>
      <c r="AI206" s="493"/>
      <c r="AJ206" s="493"/>
      <c r="AK206" s="493"/>
      <c r="AL206" s="493"/>
      <c r="AM206" s="493"/>
      <c r="AN206" s="493"/>
      <c r="AO206" s="493"/>
      <c r="AP206" s="493"/>
      <c r="AQ206" s="493"/>
      <c r="AR206" s="493"/>
      <c r="AS206" s="493"/>
      <c r="AT206" s="493"/>
      <c r="AU206" s="493"/>
      <c r="AV206" s="493"/>
      <c r="AW206" s="493"/>
      <c r="AX206" s="493"/>
      <c r="AY206" s="493"/>
      <c r="AZ206" s="493"/>
      <c r="BA206" s="493"/>
      <c r="BB206" s="493"/>
      <c r="BC206" s="493"/>
      <c r="BD206" s="493"/>
      <c r="BE206" s="493"/>
      <c r="BF206" s="493"/>
      <c r="BG206" s="493"/>
      <c r="BH206" s="493"/>
      <c r="BI206" s="493"/>
      <c r="BJ206" s="493"/>
      <c r="BK206" s="493"/>
      <c r="BL206" s="493"/>
      <c r="BM206" s="493"/>
      <c r="BN206" s="493"/>
      <c r="BO206" s="493"/>
      <c r="BP206" s="493"/>
      <c r="BQ206" s="493"/>
      <c r="BR206" s="493"/>
      <c r="BS206" s="493"/>
      <c r="BT206" s="493"/>
      <c r="BU206" s="493"/>
      <c r="BV206" s="493"/>
      <c r="BW206" s="493"/>
      <c r="BX206" s="493"/>
      <c r="BY206" s="494"/>
      <c r="BZ206" s="40"/>
    </row>
    <row r="207" spans="1:78" ht="15" customHeight="1" x14ac:dyDescent="0.25">
      <c r="A207" s="33"/>
      <c r="B207" s="450"/>
      <c r="C207" s="451"/>
      <c r="D207" s="451"/>
      <c r="E207" s="451"/>
      <c r="F207" s="451"/>
      <c r="G207" s="451"/>
      <c r="H207" s="451"/>
      <c r="I207" s="452"/>
      <c r="J207" s="181"/>
      <c r="K207" s="181"/>
      <c r="L207" s="181"/>
      <c r="M207" s="181"/>
      <c r="N207" s="495"/>
      <c r="O207" s="496"/>
      <c r="P207" s="496"/>
      <c r="Q207" s="496"/>
      <c r="R207" s="496"/>
      <c r="S207" s="496"/>
      <c r="T207" s="496"/>
      <c r="U207" s="496"/>
      <c r="V207" s="497"/>
      <c r="W207" s="459"/>
      <c r="X207" s="460"/>
      <c r="Y207" s="460"/>
      <c r="Z207" s="460"/>
      <c r="AA207" s="461"/>
      <c r="AB207" s="181"/>
      <c r="AC207" s="495"/>
      <c r="AD207" s="496"/>
      <c r="AE207" s="496"/>
      <c r="AF207" s="496"/>
      <c r="AG207" s="496"/>
      <c r="AH207" s="496"/>
      <c r="AI207" s="496"/>
      <c r="AJ207" s="496"/>
      <c r="AK207" s="496"/>
      <c r="AL207" s="496"/>
      <c r="AM207" s="496"/>
      <c r="AN207" s="496"/>
      <c r="AO207" s="496"/>
      <c r="AP207" s="496"/>
      <c r="AQ207" s="496"/>
      <c r="AR207" s="496"/>
      <c r="AS207" s="496"/>
      <c r="AT207" s="496"/>
      <c r="AU207" s="496"/>
      <c r="AV207" s="496"/>
      <c r="AW207" s="496"/>
      <c r="AX207" s="496"/>
      <c r="AY207" s="496"/>
      <c r="AZ207" s="496"/>
      <c r="BA207" s="496"/>
      <c r="BB207" s="496"/>
      <c r="BC207" s="496"/>
      <c r="BD207" s="496"/>
      <c r="BE207" s="496"/>
      <c r="BF207" s="496"/>
      <c r="BG207" s="496"/>
      <c r="BH207" s="496"/>
      <c r="BI207" s="496"/>
      <c r="BJ207" s="496"/>
      <c r="BK207" s="496"/>
      <c r="BL207" s="496"/>
      <c r="BM207" s="496"/>
      <c r="BN207" s="496"/>
      <c r="BO207" s="496"/>
      <c r="BP207" s="496"/>
      <c r="BQ207" s="496"/>
      <c r="BR207" s="496"/>
      <c r="BS207" s="496"/>
      <c r="BT207" s="496"/>
      <c r="BU207" s="496"/>
      <c r="BV207" s="496"/>
      <c r="BW207" s="496"/>
      <c r="BX207" s="496"/>
      <c r="BY207" s="497"/>
      <c r="BZ207" s="41"/>
    </row>
    <row r="208" spans="1:78" s="43" customFormat="1" ht="14.25" customHeight="1" x14ac:dyDescent="0.25">
      <c r="A208" s="33"/>
      <c r="B208" s="450"/>
      <c r="C208" s="451"/>
      <c r="D208" s="451"/>
      <c r="E208" s="451"/>
      <c r="F208" s="451"/>
      <c r="G208" s="451"/>
      <c r="H208" s="451"/>
      <c r="I208" s="452"/>
      <c r="J208" s="181"/>
      <c r="K208" s="181"/>
      <c r="L208" s="181"/>
      <c r="M208" s="181"/>
      <c r="N208" s="495"/>
      <c r="O208" s="496"/>
      <c r="P208" s="496"/>
      <c r="Q208" s="496"/>
      <c r="R208" s="496"/>
      <c r="S208" s="496"/>
      <c r="T208" s="496"/>
      <c r="U208" s="496"/>
      <c r="V208" s="497"/>
      <c r="W208" s="459"/>
      <c r="X208" s="460"/>
      <c r="Y208" s="460"/>
      <c r="Z208" s="460"/>
      <c r="AA208" s="461"/>
      <c r="AB208" s="181"/>
      <c r="AC208" s="495"/>
      <c r="AD208" s="496"/>
      <c r="AE208" s="496"/>
      <c r="AF208" s="496"/>
      <c r="AG208" s="496"/>
      <c r="AH208" s="496"/>
      <c r="AI208" s="496"/>
      <c r="AJ208" s="496"/>
      <c r="AK208" s="496"/>
      <c r="AL208" s="496"/>
      <c r="AM208" s="496"/>
      <c r="AN208" s="496"/>
      <c r="AO208" s="496"/>
      <c r="AP208" s="496"/>
      <c r="AQ208" s="496"/>
      <c r="AR208" s="496"/>
      <c r="AS208" s="496"/>
      <c r="AT208" s="496"/>
      <c r="AU208" s="496"/>
      <c r="AV208" s="496"/>
      <c r="AW208" s="496"/>
      <c r="AX208" s="496"/>
      <c r="AY208" s="496"/>
      <c r="AZ208" s="496"/>
      <c r="BA208" s="496"/>
      <c r="BB208" s="496"/>
      <c r="BC208" s="496"/>
      <c r="BD208" s="496"/>
      <c r="BE208" s="496"/>
      <c r="BF208" s="496"/>
      <c r="BG208" s="496"/>
      <c r="BH208" s="496"/>
      <c r="BI208" s="496"/>
      <c r="BJ208" s="496"/>
      <c r="BK208" s="496"/>
      <c r="BL208" s="496"/>
      <c r="BM208" s="496"/>
      <c r="BN208" s="496"/>
      <c r="BO208" s="496"/>
      <c r="BP208" s="496"/>
      <c r="BQ208" s="496"/>
      <c r="BR208" s="496"/>
      <c r="BS208" s="496"/>
      <c r="BT208" s="496"/>
      <c r="BU208" s="496"/>
      <c r="BV208" s="496"/>
      <c r="BW208" s="496"/>
      <c r="BX208" s="496"/>
      <c r="BY208" s="497"/>
      <c r="BZ208" s="42"/>
    </row>
    <row r="209" spans="1:78" ht="26.25" customHeight="1" x14ac:dyDescent="0.25">
      <c r="A209" s="33"/>
      <c r="B209" s="450"/>
      <c r="C209" s="451"/>
      <c r="D209" s="451"/>
      <c r="E209" s="451"/>
      <c r="F209" s="451"/>
      <c r="G209" s="451"/>
      <c r="H209" s="451"/>
      <c r="I209" s="452"/>
      <c r="J209" s="181"/>
      <c r="K209" s="181"/>
      <c r="L209" s="181"/>
      <c r="M209" s="181"/>
      <c r="N209" s="495"/>
      <c r="O209" s="496"/>
      <c r="P209" s="496"/>
      <c r="Q209" s="496"/>
      <c r="R209" s="496"/>
      <c r="S209" s="496"/>
      <c r="T209" s="496"/>
      <c r="U209" s="496"/>
      <c r="V209" s="497"/>
      <c r="W209" s="462"/>
      <c r="X209" s="463"/>
      <c r="Y209" s="463"/>
      <c r="Z209" s="463"/>
      <c r="AA209" s="464"/>
      <c r="AB209" s="181"/>
      <c r="AC209" s="495"/>
      <c r="AD209" s="496"/>
      <c r="AE209" s="496"/>
      <c r="AF209" s="496"/>
      <c r="AG209" s="496"/>
      <c r="AH209" s="496"/>
      <c r="AI209" s="496"/>
      <c r="AJ209" s="496"/>
      <c r="AK209" s="496"/>
      <c r="AL209" s="496"/>
      <c r="AM209" s="496"/>
      <c r="AN209" s="496"/>
      <c r="AO209" s="496"/>
      <c r="AP209" s="496"/>
      <c r="AQ209" s="496"/>
      <c r="AR209" s="496"/>
      <c r="AS209" s="496"/>
      <c r="AT209" s="496"/>
      <c r="AU209" s="496"/>
      <c r="AV209" s="496"/>
      <c r="AW209" s="496"/>
      <c r="AX209" s="496"/>
      <c r="AY209" s="496"/>
      <c r="AZ209" s="496"/>
      <c r="BA209" s="496"/>
      <c r="BB209" s="496"/>
      <c r="BC209" s="496"/>
      <c r="BD209" s="496"/>
      <c r="BE209" s="496"/>
      <c r="BF209" s="496"/>
      <c r="BG209" s="496"/>
      <c r="BH209" s="496"/>
      <c r="BI209" s="496"/>
      <c r="BJ209" s="496"/>
      <c r="BK209" s="496"/>
      <c r="BL209" s="496"/>
      <c r="BM209" s="496"/>
      <c r="BN209" s="496"/>
      <c r="BO209" s="496"/>
      <c r="BP209" s="496"/>
      <c r="BQ209" s="496"/>
      <c r="BR209" s="496"/>
      <c r="BS209" s="496"/>
      <c r="BT209" s="496"/>
      <c r="BU209" s="496"/>
      <c r="BV209" s="496"/>
      <c r="BW209" s="496"/>
      <c r="BX209" s="496"/>
      <c r="BY209" s="497"/>
      <c r="BZ209" s="41"/>
    </row>
    <row r="210" spans="1:78" x14ac:dyDescent="0.25">
      <c r="A210" s="33"/>
      <c r="B210" s="450"/>
      <c r="C210" s="451"/>
      <c r="D210" s="451"/>
      <c r="E210" s="451"/>
      <c r="F210" s="451"/>
      <c r="G210" s="451"/>
      <c r="H210" s="451"/>
      <c r="I210" s="452"/>
      <c r="J210" s="181"/>
      <c r="K210" s="181"/>
      <c r="L210" s="181"/>
      <c r="M210" s="181"/>
      <c r="N210" s="495"/>
      <c r="O210" s="496"/>
      <c r="P210" s="496"/>
      <c r="Q210" s="496"/>
      <c r="R210" s="496"/>
      <c r="S210" s="496"/>
      <c r="T210" s="496"/>
      <c r="U210" s="496"/>
      <c r="V210" s="497"/>
      <c r="W210" s="459"/>
      <c r="X210" s="460"/>
      <c r="Y210" s="460"/>
      <c r="Z210" s="460"/>
      <c r="AA210" s="461"/>
      <c r="AB210" s="181"/>
      <c r="AC210" s="495"/>
      <c r="AD210" s="496"/>
      <c r="AE210" s="496"/>
      <c r="AF210" s="496"/>
      <c r="AG210" s="496"/>
      <c r="AH210" s="496"/>
      <c r="AI210" s="496"/>
      <c r="AJ210" s="496"/>
      <c r="AK210" s="496"/>
      <c r="AL210" s="496"/>
      <c r="AM210" s="496"/>
      <c r="AN210" s="496"/>
      <c r="AO210" s="496"/>
      <c r="AP210" s="496"/>
      <c r="AQ210" s="496"/>
      <c r="AR210" s="496"/>
      <c r="AS210" s="496"/>
      <c r="AT210" s="496"/>
      <c r="AU210" s="496"/>
      <c r="AV210" s="496"/>
      <c r="AW210" s="496"/>
      <c r="AX210" s="496"/>
      <c r="AY210" s="496"/>
      <c r="AZ210" s="496"/>
      <c r="BA210" s="496"/>
      <c r="BB210" s="496"/>
      <c r="BC210" s="496"/>
      <c r="BD210" s="496"/>
      <c r="BE210" s="496"/>
      <c r="BF210" s="496"/>
      <c r="BG210" s="496"/>
      <c r="BH210" s="496"/>
      <c r="BI210" s="496"/>
      <c r="BJ210" s="496"/>
      <c r="BK210" s="496"/>
      <c r="BL210" s="496"/>
      <c r="BM210" s="496"/>
      <c r="BN210" s="496"/>
      <c r="BO210" s="496"/>
      <c r="BP210" s="496"/>
      <c r="BQ210" s="496"/>
      <c r="BR210" s="496"/>
      <c r="BS210" s="496"/>
      <c r="BT210" s="496"/>
      <c r="BU210" s="496"/>
      <c r="BV210" s="496"/>
      <c r="BW210" s="496"/>
      <c r="BX210" s="496"/>
      <c r="BY210" s="497"/>
      <c r="BZ210" s="41"/>
    </row>
    <row r="211" spans="1:78" ht="15" customHeight="1" x14ac:dyDescent="0.25">
      <c r="A211" s="33"/>
      <c r="B211" s="450"/>
      <c r="C211" s="451"/>
      <c r="D211" s="451"/>
      <c r="E211" s="451"/>
      <c r="F211" s="451"/>
      <c r="G211" s="451"/>
      <c r="H211" s="451"/>
      <c r="I211" s="452"/>
      <c r="J211" s="181"/>
      <c r="K211" s="181"/>
      <c r="L211" s="181"/>
      <c r="M211" s="181"/>
      <c r="N211" s="495"/>
      <c r="O211" s="496"/>
      <c r="P211" s="496"/>
      <c r="Q211" s="496"/>
      <c r="R211" s="496"/>
      <c r="S211" s="496"/>
      <c r="T211" s="496"/>
      <c r="U211" s="496"/>
      <c r="V211" s="497"/>
      <c r="W211" s="459"/>
      <c r="X211" s="460"/>
      <c r="Y211" s="460"/>
      <c r="Z211" s="460"/>
      <c r="AA211" s="461"/>
      <c r="AB211" s="181"/>
      <c r="AC211" s="495"/>
      <c r="AD211" s="496"/>
      <c r="AE211" s="496"/>
      <c r="AF211" s="496"/>
      <c r="AG211" s="496"/>
      <c r="AH211" s="496"/>
      <c r="AI211" s="496"/>
      <c r="AJ211" s="496"/>
      <c r="AK211" s="496"/>
      <c r="AL211" s="496"/>
      <c r="AM211" s="496"/>
      <c r="AN211" s="496"/>
      <c r="AO211" s="496"/>
      <c r="AP211" s="496"/>
      <c r="AQ211" s="496"/>
      <c r="AR211" s="496"/>
      <c r="AS211" s="496"/>
      <c r="AT211" s="496"/>
      <c r="AU211" s="496"/>
      <c r="AV211" s="496"/>
      <c r="AW211" s="496"/>
      <c r="AX211" s="496"/>
      <c r="AY211" s="496"/>
      <c r="AZ211" s="496"/>
      <c r="BA211" s="496"/>
      <c r="BB211" s="496"/>
      <c r="BC211" s="496"/>
      <c r="BD211" s="496"/>
      <c r="BE211" s="496"/>
      <c r="BF211" s="496"/>
      <c r="BG211" s="496"/>
      <c r="BH211" s="496"/>
      <c r="BI211" s="496"/>
      <c r="BJ211" s="496"/>
      <c r="BK211" s="496"/>
      <c r="BL211" s="496"/>
      <c r="BM211" s="496"/>
      <c r="BN211" s="496"/>
      <c r="BO211" s="496"/>
      <c r="BP211" s="496"/>
      <c r="BQ211" s="496"/>
      <c r="BR211" s="496"/>
      <c r="BS211" s="496"/>
      <c r="BT211" s="496"/>
      <c r="BU211" s="496"/>
      <c r="BV211" s="496"/>
      <c r="BW211" s="496"/>
      <c r="BX211" s="496"/>
      <c r="BY211" s="497"/>
      <c r="BZ211" s="41"/>
    </row>
    <row r="212" spans="1:78" x14ac:dyDescent="0.25">
      <c r="A212" s="33"/>
      <c r="B212" s="450"/>
      <c r="C212" s="451"/>
      <c r="D212" s="451"/>
      <c r="E212" s="451"/>
      <c r="F212" s="451"/>
      <c r="G212" s="451"/>
      <c r="H212" s="451"/>
      <c r="I212" s="452"/>
      <c r="J212" s="181"/>
      <c r="K212" s="181"/>
      <c r="L212" s="181"/>
      <c r="M212" s="181"/>
      <c r="N212" s="495"/>
      <c r="O212" s="496"/>
      <c r="P212" s="496"/>
      <c r="Q212" s="496"/>
      <c r="R212" s="496"/>
      <c r="S212" s="496"/>
      <c r="T212" s="496"/>
      <c r="U212" s="496"/>
      <c r="V212" s="497"/>
      <c r="W212" s="459"/>
      <c r="X212" s="460"/>
      <c r="Y212" s="460"/>
      <c r="Z212" s="460"/>
      <c r="AA212" s="461"/>
      <c r="AB212" s="181"/>
      <c r="AC212" s="495"/>
      <c r="AD212" s="496"/>
      <c r="AE212" s="496"/>
      <c r="AF212" s="496"/>
      <c r="AG212" s="496"/>
      <c r="AH212" s="496"/>
      <c r="AI212" s="496"/>
      <c r="AJ212" s="496"/>
      <c r="AK212" s="496"/>
      <c r="AL212" s="496"/>
      <c r="AM212" s="496"/>
      <c r="AN212" s="496"/>
      <c r="AO212" s="496"/>
      <c r="AP212" s="496"/>
      <c r="AQ212" s="496"/>
      <c r="AR212" s="496"/>
      <c r="AS212" s="496"/>
      <c r="AT212" s="496"/>
      <c r="AU212" s="496"/>
      <c r="AV212" s="496"/>
      <c r="AW212" s="496"/>
      <c r="AX212" s="496"/>
      <c r="AY212" s="496"/>
      <c r="AZ212" s="496"/>
      <c r="BA212" s="496"/>
      <c r="BB212" s="496"/>
      <c r="BC212" s="496"/>
      <c r="BD212" s="496"/>
      <c r="BE212" s="496"/>
      <c r="BF212" s="496"/>
      <c r="BG212" s="496"/>
      <c r="BH212" s="496"/>
      <c r="BI212" s="496"/>
      <c r="BJ212" s="496"/>
      <c r="BK212" s="496"/>
      <c r="BL212" s="496"/>
      <c r="BM212" s="496"/>
      <c r="BN212" s="496"/>
      <c r="BO212" s="496"/>
      <c r="BP212" s="496"/>
      <c r="BQ212" s="496"/>
      <c r="BR212" s="496"/>
      <c r="BS212" s="496"/>
      <c r="BT212" s="496"/>
      <c r="BU212" s="496"/>
      <c r="BV212" s="496"/>
      <c r="BW212" s="496"/>
      <c r="BX212" s="496"/>
      <c r="BY212" s="497"/>
      <c r="BZ212" s="41"/>
    </row>
    <row r="213" spans="1:78" x14ac:dyDescent="0.25">
      <c r="A213" s="33"/>
      <c r="B213" s="450"/>
      <c r="C213" s="451"/>
      <c r="D213" s="451"/>
      <c r="E213" s="451"/>
      <c r="F213" s="451"/>
      <c r="G213" s="451"/>
      <c r="H213" s="451"/>
      <c r="I213" s="452"/>
      <c r="J213" s="181"/>
      <c r="K213" s="181"/>
      <c r="L213" s="181"/>
      <c r="M213" s="181"/>
      <c r="N213" s="495"/>
      <c r="O213" s="496"/>
      <c r="P213" s="496"/>
      <c r="Q213" s="496"/>
      <c r="R213" s="496"/>
      <c r="S213" s="496"/>
      <c r="T213" s="496"/>
      <c r="U213" s="496"/>
      <c r="V213" s="497"/>
      <c r="W213" s="459"/>
      <c r="X213" s="460"/>
      <c r="Y213" s="460"/>
      <c r="Z213" s="460"/>
      <c r="AA213" s="461"/>
      <c r="AB213" s="181"/>
      <c r="AC213" s="495"/>
      <c r="AD213" s="496"/>
      <c r="AE213" s="496"/>
      <c r="AF213" s="496"/>
      <c r="AG213" s="496"/>
      <c r="AH213" s="496"/>
      <c r="AI213" s="496"/>
      <c r="AJ213" s="496"/>
      <c r="AK213" s="496"/>
      <c r="AL213" s="496"/>
      <c r="AM213" s="496"/>
      <c r="AN213" s="496"/>
      <c r="AO213" s="496"/>
      <c r="AP213" s="496"/>
      <c r="AQ213" s="496"/>
      <c r="AR213" s="496"/>
      <c r="AS213" s="496"/>
      <c r="AT213" s="496"/>
      <c r="AU213" s="496"/>
      <c r="AV213" s="496"/>
      <c r="AW213" s="496"/>
      <c r="AX213" s="496"/>
      <c r="AY213" s="496"/>
      <c r="AZ213" s="496"/>
      <c r="BA213" s="496"/>
      <c r="BB213" s="496"/>
      <c r="BC213" s="496"/>
      <c r="BD213" s="496"/>
      <c r="BE213" s="496"/>
      <c r="BF213" s="496"/>
      <c r="BG213" s="496"/>
      <c r="BH213" s="496"/>
      <c r="BI213" s="496"/>
      <c r="BJ213" s="496"/>
      <c r="BK213" s="496"/>
      <c r="BL213" s="496"/>
      <c r="BM213" s="496"/>
      <c r="BN213" s="496"/>
      <c r="BO213" s="496"/>
      <c r="BP213" s="496"/>
      <c r="BQ213" s="496"/>
      <c r="BR213" s="496"/>
      <c r="BS213" s="496"/>
      <c r="BT213" s="496"/>
      <c r="BU213" s="496"/>
      <c r="BV213" s="496"/>
      <c r="BW213" s="496"/>
      <c r="BX213" s="496"/>
      <c r="BY213" s="497"/>
      <c r="BZ213" s="41"/>
    </row>
    <row r="214" spans="1:78" x14ac:dyDescent="0.25">
      <c r="A214" s="33"/>
      <c r="B214" s="450"/>
      <c r="C214" s="451"/>
      <c r="D214" s="451"/>
      <c r="E214" s="451"/>
      <c r="F214" s="451"/>
      <c r="G214" s="451"/>
      <c r="H214" s="451"/>
      <c r="I214" s="452"/>
      <c r="J214" s="181"/>
      <c r="K214" s="181"/>
      <c r="L214" s="181"/>
      <c r="M214" s="181"/>
      <c r="N214" s="495"/>
      <c r="O214" s="496"/>
      <c r="P214" s="496"/>
      <c r="Q214" s="496"/>
      <c r="R214" s="496"/>
      <c r="S214" s="496"/>
      <c r="T214" s="496"/>
      <c r="U214" s="496"/>
      <c r="V214" s="497"/>
      <c r="W214" s="459"/>
      <c r="X214" s="460"/>
      <c r="Y214" s="460"/>
      <c r="Z214" s="460"/>
      <c r="AA214" s="461"/>
      <c r="AB214" s="181"/>
      <c r="AC214" s="495"/>
      <c r="AD214" s="496"/>
      <c r="AE214" s="496"/>
      <c r="AF214" s="496"/>
      <c r="AG214" s="496"/>
      <c r="AH214" s="496"/>
      <c r="AI214" s="496"/>
      <c r="AJ214" s="496"/>
      <c r="AK214" s="496"/>
      <c r="AL214" s="496"/>
      <c r="AM214" s="496"/>
      <c r="AN214" s="496"/>
      <c r="AO214" s="496"/>
      <c r="AP214" s="496"/>
      <c r="AQ214" s="496"/>
      <c r="AR214" s="496"/>
      <c r="AS214" s="496"/>
      <c r="AT214" s="496"/>
      <c r="AU214" s="496"/>
      <c r="AV214" s="496"/>
      <c r="AW214" s="496"/>
      <c r="AX214" s="496"/>
      <c r="AY214" s="496"/>
      <c r="AZ214" s="496"/>
      <c r="BA214" s="496"/>
      <c r="BB214" s="496"/>
      <c r="BC214" s="496"/>
      <c r="BD214" s="496"/>
      <c r="BE214" s="496"/>
      <c r="BF214" s="496"/>
      <c r="BG214" s="496"/>
      <c r="BH214" s="496"/>
      <c r="BI214" s="496"/>
      <c r="BJ214" s="496"/>
      <c r="BK214" s="496"/>
      <c r="BL214" s="496"/>
      <c r="BM214" s="496"/>
      <c r="BN214" s="496"/>
      <c r="BO214" s="496"/>
      <c r="BP214" s="496"/>
      <c r="BQ214" s="496"/>
      <c r="BR214" s="496"/>
      <c r="BS214" s="496"/>
      <c r="BT214" s="496"/>
      <c r="BU214" s="496"/>
      <c r="BV214" s="496"/>
      <c r="BW214" s="496"/>
      <c r="BX214" s="496"/>
      <c r="BY214" s="497"/>
      <c r="BZ214" s="41"/>
    </row>
    <row r="215" spans="1:78" x14ac:dyDescent="0.25">
      <c r="A215" s="33"/>
      <c r="B215" s="453"/>
      <c r="C215" s="454"/>
      <c r="D215" s="454"/>
      <c r="E215" s="454"/>
      <c r="F215" s="454"/>
      <c r="G215" s="454"/>
      <c r="H215" s="454"/>
      <c r="I215" s="455"/>
      <c r="J215" s="181"/>
      <c r="K215" s="181"/>
      <c r="L215" s="181"/>
      <c r="M215" s="181"/>
      <c r="N215" s="498"/>
      <c r="O215" s="499"/>
      <c r="P215" s="499"/>
      <c r="Q215" s="499"/>
      <c r="R215" s="499"/>
      <c r="S215" s="499"/>
      <c r="T215" s="499"/>
      <c r="U215" s="499"/>
      <c r="V215" s="500"/>
      <c r="W215" s="462"/>
      <c r="X215" s="463"/>
      <c r="Y215" s="463"/>
      <c r="Z215" s="463"/>
      <c r="AA215" s="464"/>
      <c r="AB215" s="181"/>
      <c r="AC215" s="498"/>
      <c r="AD215" s="499"/>
      <c r="AE215" s="499"/>
      <c r="AF215" s="499"/>
      <c r="AG215" s="499"/>
      <c r="AH215" s="499"/>
      <c r="AI215" s="499"/>
      <c r="AJ215" s="499"/>
      <c r="AK215" s="499"/>
      <c r="AL215" s="499"/>
      <c r="AM215" s="499"/>
      <c r="AN215" s="499"/>
      <c r="AO215" s="499"/>
      <c r="AP215" s="499"/>
      <c r="AQ215" s="499"/>
      <c r="AR215" s="499"/>
      <c r="AS215" s="499"/>
      <c r="AT215" s="499"/>
      <c r="AU215" s="499"/>
      <c r="AV215" s="499"/>
      <c r="AW215" s="499"/>
      <c r="AX215" s="499"/>
      <c r="AY215" s="499"/>
      <c r="AZ215" s="499"/>
      <c r="BA215" s="499"/>
      <c r="BB215" s="499"/>
      <c r="BC215" s="499"/>
      <c r="BD215" s="499"/>
      <c r="BE215" s="499"/>
      <c r="BF215" s="499"/>
      <c r="BG215" s="499"/>
      <c r="BH215" s="499"/>
      <c r="BI215" s="499"/>
      <c r="BJ215" s="499"/>
      <c r="BK215" s="499"/>
      <c r="BL215" s="499"/>
      <c r="BM215" s="499"/>
      <c r="BN215" s="499"/>
      <c r="BO215" s="499"/>
      <c r="BP215" s="499"/>
      <c r="BQ215" s="499"/>
      <c r="BR215" s="499"/>
      <c r="BS215" s="499"/>
      <c r="BT215" s="499"/>
      <c r="BU215" s="499"/>
      <c r="BV215" s="499"/>
      <c r="BW215" s="499"/>
      <c r="BX215" s="499"/>
      <c r="BY215" s="500"/>
      <c r="BZ215" s="41"/>
    </row>
    <row r="216" spans="1:78" x14ac:dyDescent="0.25">
      <c r="A216" s="33"/>
      <c r="B216" s="33"/>
      <c r="C216" s="33"/>
      <c r="D216" s="33"/>
      <c r="E216" s="35"/>
      <c r="F216" s="35"/>
      <c r="G216" s="37"/>
      <c r="H216" s="45"/>
      <c r="I216" s="45"/>
      <c r="J216" s="41"/>
      <c r="K216" s="35"/>
      <c r="L216" s="35"/>
      <c r="M216" s="35"/>
      <c r="N216" s="35"/>
      <c r="O216" s="35"/>
      <c r="P216" s="35"/>
      <c r="Q216" s="35"/>
      <c r="R216" s="35"/>
      <c r="S216" s="35"/>
      <c r="T216" s="35"/>
      <c r="U216" s="35"/>
      <c r="V216" s="35"/>
      <c r="W216" s="35"/>
      <c r="X216" s="35"/>
      <c r="Y216" s="35"/>
      <c r="Z216" s="35"/>
      <c r="AA216" s="35"/>
      <c r="AB216" s="41"/>
      <c r="AC216" s="35"/>
      <c r="AD216" s="36"/>
      <c r="AE216" s="37"/>
      <c r="AF216" s="38"/>
      <c r="AG216" s="37"/>
      <c r="AH216" s="37"/>
      <c r="AI216" s="38"/>
      <c r="AJ216" s="38"/>
      <c r="AK216" s="36"/>
      <c r="AL216" s="32"/>
      <c r="AM216" s="37"/>
      <c r="AN216" s="37"/>
      <c r="AO216" s="41"/>
      <c r="AP216" s="44"/>
      <c r="AQ216" s="44"/>
      <c r="AR216" s="44"/>
      <c r="AS216" s="44"/>
      <c r="AT216" s="44"/>
      <c r="AU216" s="44"/>
      <c r="AV216" s="44"/>
      <c r="AW216" s="45"/>
      <c r="AX216" s="45"/>
      <c r="AY216" s="45"/>
      <c r="AZ216" s="106"/>
      <c r="BA216" s="45"/>
      <c r="BB216" s="45"/>
      <c r="BC216" s="45"/>
      <c r="BD216" s="45"/>
      <c r="BE216" s="45"/>
      <c r="BF216" s="106"/>
      <c r="BG216" s="41"/>
      <c r="BH216" s="45"/>
      <c r="BI216" s="45"/>
      <c r="BJ216" s="45"/>
      <c r="BK216" s="45"/>
      <c r="BL216" s="45"/>
      <c r="BM216" s="45"/>
      <c r="BN216" s="45"/>
      <c r="BO216" s="45"/>
      <c r="BP216" s="45"/>
      <c r="BQ216" s="45"/>
      <c r="BR216" s="45"/>
      <c r="BS216" s="45"/>
      <c r="BT216" s="45"/>
      <c r="BU216" s="45"/>
      <c r="BV216" s="45"/>
      <c r="BW216" s="45"/>
      <c r="BX216" s="45"/>
      <c r="BY216" s="45"/>
      <c r="BZ216" s="41"/>
    </row>
    <row r="217" spans="1:78" s="51" customFormat="1" x14ac:dyDescent="0.25">
      <c r="B217" s="109"/>
      <c r="C217" s="109"/>
      <c r="D217" s="109"/>
      <c r="E217" s="111"/>
      <c r="F217" s="111"/>
      <c r="G217" s="112"/>
      <c r="H217" s="113"/>
      <c r="I217" s="113"/>
      <c r="J217" s="109"/>
      <c r="K217" s="111"/>
      <c r="L217" s="111"/>
      <c r="M217" s="111"/>
      <c r="N217" s="111"/>
      <c r="O217" s="111"/>
      <c r="P217" s="111"/>
      <c r="Q217" s="111"/>
      <c r="R217" s="111"/>
      <c r="S217" s="111"/>
      <c r="T217" s="111"/>
      <c r="U217" s="111"/>
      <c r="V217" s="111"/>
      <c r="W217" s="111"/>
      <c r="X217" s="111"/>
      <c r="Y217" s="111"/>
      <c r="Z217" s="111"/>
      <c r="AA217" s="111"/>
      <c r="AB217" s="109"/>
      <c r="AC217" s="111"/>
      <c r="AD217" s="114"/>
      <c r="AE217" s="112"/>
      <c r="AF217" s="115"/>
      <c r="AG217" s="112"/>
      <c r="AH217" s="112"/>
      <c r="AI217" s="115"/>
      <c r="AJ217" s="115"/>
      <c r="AK217" s="114"/>
      <c r="AL217" s="116"/>
      <c r="AM217" s="112"/>
      <c r="AN217" s="112"/>
      <c r="AO217" s="109"/>
      <c r="AP217" s="117"/>
      <c r="AQ217" s="117"/>
      <c r="AR217" s="117"/>
      <c r="AS217" s="117"/>
      <c r="AT217" s="117"/>
      <c r="AU217" s="117"/>
      <c r="AV217" s="117"/>
      <c r="AX217" s="113"/>
      <c r="AY217" s="113"/>
      <c r="AZ217" s="118"/>
      <c r="BA217" s="113"/>
      <c r="BB217" s="113"/>
      <c r="BC217" s="113"/>
      <c r="BD217" s="113"/>
      <c r="BE217" s="113"/>
      <c r="BF217" s="118"/>
      <c r="BG217" s="109"/>
      <c r="BH217" s="115"/>
      <c r="BI217" s="115"/>
      <c r="BJ217" s="112"/>
      <c r="BK217" s="112"/>
      <c r="BL217" s="112"/>
      <c r="BM217" s="111"/>
      <c r="BN217" s="115"/>
      <c r="BO217" s="111"/>
      <c r="BP217" s="111"/>
      <c r="BQ217" s="111"/>
      <c r="BR217" s="111"/>
      <c r="BS217" s="112"/>
      <c r="BT217" s="116"/>
      <c r="BU217" s="112"/>
      <c r="BV217" s="116"/>
      <c r="BW217" s="116"/>
      <c r="BX217" s="113"/>
      <c r="BY217" s="113"/>
      <c r="BZ217" s="109"/>
    </row>
    <row r="218" spans="1:78" s="51" customFormat="1" ht="17.25" customHeight="1" x14ac:dyDescent="0.25">
      <c r="B218" s="109"/>
      <c r="C218" s="109"/>
      <c r="D218" s="109"/>
      <c r="E218" s="111"/>
      <c r="F218" s="111"/>
      <c r="G218" s="112"/>
      <c r="H218" s="113"/>
      <c r="I218" s="113"/>
      <c r="J218" s="109"/>
      <c r="K218" s="491" t="s">
        <v>811</v>
      </c>
      <c r="L218" s="491"/>
      <c r="M218" s="111"/>
      <c r="N218" s="111"/>
      <c r="O218" s="111" t="s">
        <v>351</v>
      </c>
      <c r="P218" s="111" t="s">
        <v>351</v>
      </c>
      <c r="Q218" s="111"/>
      <c r="R218" s="111"/>
      <c r="S218" s="111"/>
      <c r="T218" s="111"/>
      <c r="U218" s="111"/>
      <c r="V218" s="111"/>
      <c r="W218" s="111"/>
      <c r="X218" s="111"/>
      <c r="Y218" s="111"/>
      <c r="Z218" s="111"/>
      <c r="AA218" s="111"/>
      <c r="AB218" s="109"/>
      <c r="AC218" s="111"/>
      <c r="AD218" s="114"/>
      <c r="AE218" s="112"/>
      <c r="AF218" s="115"/>
      <c r="AG218" s="112"/>
      <c r="AH218" s="112"/>
      <c r="AI218" s="115"/>
      <c r="AJ218" s="115"/>
      <c r="AK218" s="114"/>
      <c r="AL218" s="116"/>
      <c r="AM218" s="112"/>
      <c r="AN218" s="112"/>
      <c r="AO218" s="109"/>
      <c r="AP218" s="117"/>
      <c r="AQ218" s="117"/>
      <c r="AR218" s="117" t="s">
        <v>307</v>
      </c>
      <c r="AS218" s="117"/>
      <c r="AT218" s="117"/>
      <c r="AU218" s="117"/>
      <c r="AV218" s="117"/>
      <c r="AW218" s="113" t="s">
        <v>294</v>
      </c>
      <c r="AX218" s="113"/>
      <c r="AY218" s="113"/>
      <c r="AZ218" s="118"/>
      <c r="BA218" s="113"/>
      <c r="BB218" s="113"/>
      <c r="BC218" s="113"/>
      <c r="BD218" s="113"/>
      <c r="BE218" s="113"/>
      <c r="BF218" s="118"/>
      <c r="BG218" s="109"/>
      <c r="BH218" s="115"/>
      <c r="BI218" s="115"/>
      <c r="BJ218" s="112"/>
      <c r="BK218" s="112"/>
      <c r="BL218" s="112"/>
      <c r="BM218" s="111"/>
      <c r="BN218" s="115"/>
      <c r="BO218" s="111"/>
      <c r="BP218" s="111"/>
      <c r="BQ218" s="111"/>
      <c r="BR218" s="111"/>
      <c r="BS218" s="112"/>
      <c r="BT218" s="116"/>
      <c r="BU218" s="112"/>
      <c r="BV218" s="116"/>
      <c r="BW218" s="116"/>
      <c r="BX218" s="113"/>
      <c r="BY218" s="113"/>
      <c r="BZ218" s="109"/>
    </row>
    <row r="219" spans="1:78" s="51" customFormat="1" x14ac:dyDescent="0.25">
      <c r="B219" s="109"/>
      <c r="C219" s="109"/>
      <c r="D219" s="109"/>
      <c r="E219" s="111"/>
      <c r="F219" s="111"/>
      <c r="G219" s="112"/>
      <c r="H219" s="113"/>
      <c r="I219" s="113"/>
      <c r="J219" s="109"/>
      <c r="K219" s="111"/>
      <c r="L219" s="111"/>
      <c r="M219" s="111"/>
      <c r="N219" s="111"/>
      <c r="O219" s="111" t="s">
        <v>313</v>
      </c>
      <c r="P219" s="111"/>
      <c r="Q219" s="111"/>
      <c r="R219" s="111"/>
      <c r="S219" s="111"/>
      <c r="T219" s="111"/>
      <c r="U219" s="111"/>
      <c r="V219" s="111"/>
      <c r="W219" s="111"/>
      <c r="X219" s="115" t="s">
        <v>313</v>
      </c>
      <c r="Y219" s="111"/>
      <c r="Z219" s="111"/>
      <c r="AA219" s="111"/>
      <c r="AB219" s="109"/>
      <c r="AC219" s="111"/>
      <c r="AD219" s="114"/>
      <c r="AE219" s="112"/>
      <c r="AF219" s="115"/>
      <c r="AG219" s="112"/>
      <c r="AH219" s="112"/>
      <c r="AI219" s="115"/>
      <c r="AJ219" s="115"/>
      <c r="AK219" s="114"/>
      <c r="AL219" s="116"/>
      <c r="AM219" s="112"/>
      <c r="AN219" s="112"/>
      <c r="AO219" s="109"/>
      <c r="AP219" s="117"/>
      <c r="AQ219" s="117"/>
      <c r="AR219" s="117" t="s">
        <v>308</v>
      </c>
      <c r="AS219" s="117"/>
      <c r="AT219" s="117"/>
      <c r="AU219" s="117"/>
      <c r="AV219" s="117"/>
      <c r="AW219" s="119" t="s">
        <v>293</v>
      </c>
      <c r="AX219" s="113"/>
      <c r="AY219" s="113"/>
      <c r="AZ219" s="118"/>
      <c r="BA219" s="113"/>
      <c r="BB219" s="113"/>
      <c r="BC219" s="113"/>
      <c r="BD219" s="113"/>
      <c r="BE219" s="113"/>
      <c r="BF219" s="118"/>
      <c r="BG219" s="109"/>
      <c r="BH219" s="115" t="s">
        <v>313</v>
      </c>
      <c r="BI219" s="115"/>
      <c r="BJ219" s="112"/>
      <c r="BK219" s="112"/>
      <c r="BL219" s="112"/>
      <c r="BM219" s="111"/>
      <c r="BN219" s="115"/>
      <c r="BO219" s="111"/>
      <c r="BP219" s="111"/>
      <c r="BQ219" s="111"/>
      <c r="BR219" s="111"/>
      <c r="BS219" s="112"/>
      <c r="BT219" s="116"/>
      <c r="BU219" s="112"/>
      <c r="BV219" s="116"/>
      <c r="BW219" s="116"/>
      <c r="BX219" s="113"/>
      <c r="BY219" s="113"/>
      <c r="BZ219" s="109"/>
    </row>
    <row r="220" spans="1:78" s="51" customFormat="1" x14ac:dyDescent="0.25">
      <c r="B220" s="109"/>
      <c r="C220" s="109"/>
      <c r="D220" s="109"/>
      <c r="E220" s="111"/>
      <c r="F220" s="111"/>
      <c r="G220" s="112"/>
      <c r="H220" s="113"/>
      <c r="I220" s="113"/>
      <c r="J220" s="109"/>
      <c r="K220" s="111"/>
      <c r="L220" s="111"/>
      <c r="M220" s="111"/>
      <c r="N220" s="111"/>
      <c r="O220" s="111"/>
      <c r="P220" s="111"/>
      <c r="Q220" s="111"/>
      <c r="R220" s="111"/>
      <c r="S220" s="111"/>
      <c r="T220" s="111"/>
      <c r="U220" s="111"/>
      <c r="V220" s="111"/>
      <c r="W220" s="111"/>
      <c r="X220" s="111"/>
      <c r="Y220" s="111"/>
      <c r="Z220" s="111"/>
      <c r="AA220" s="111"/>
      <c r="AB220" s="109"/>
      <c r="AC220" s="111"/>
      <c r="AD220" s="114"/>
      <c r="AE220" s="112"/>
      <c r="AF220" s="115"/>
      <c r="AG220" s="112"/>
      <c r="AH220" s="112"/>
      <c r="AI220" s="115"/>
      <c r="AJ220" s="115"/>
      <c r="AK220" s="114"/>
      <c r="AL220" s="116"/>
      <c r="AM220" s="112"/>
      <c r="AN220" s="112"/>
      <c r="AO220" s="109"/>
      <c r="AP220" s="117"/>
      <c r="AQ220" s="117"/>
      <c r="AR220" s="117"/>
      <c r="AS220" s="117"/>
      <c r="AT220" s="117"/>
      <c r="AU220" s="117"/>
      <c r="AV220" s="117"/>
      <c r="AW220" s="113"/>
      <c r="AX220" s="113"/>
      <c r="AY220" s="113"/>
      <c r="AZ220" s="118"/>
      <c r="BA220" s="113"/>
      <c r="BB220" s="113"/>
      <c r="BC220" s="113"/>
      <c r="BD220" s="113"/>
      <c r="BE220" s="113"/>
      <c r="BF220" s="118"/>
      <c r="BG220" s="109"/>
      <c r="BH220" s="115"/>
      <c r="BI220" s="115"/>
      <c r="BJ220" s="112"/>
      <c r="BK220" s="112"/>
      <c r="BL220" s="112"/>
      <c r="BM220" s="111"/>
      <c r="BN220" s="115"/>
      <c r="BO220" s="111"/>
      <c r="BP220" s="111"/>
      <c r="BQ220" s="111"/>
      <c r="BR220" s="111"/>
      <c r="BS220" s="112"/>
      <c r="BT220" s="116"/>
      <c r="BU220" s="112"/>
      <c r="BV220" s="116"/>
      <c r="BW220" s="116"/>
      <c r="BX220" s="113"/>
      <c r="BY220" s="113"/>
      <c r="BZ220" s="109"/>
    </row>
    <row r="221" spans="1:78" s="51" customFormat="1" x14ac:dyDescent="0.25">
      <c r="B221" s="109"/>
      <c r="C221" s="109"/>
      <c r="D221" s="109"/>
      <c r="E221" s="111"/>
      <c r="F221" s="111"/>
      <c r="G221" s="112"/>
      <c r="H221" s="113"/>
      <c r="I221" s="113"/>
      <c r="J221" s="109"/>
      <c r="K221" s="111" t="s">
        <v>742</v>
      </c>
      <c r="L221" s="111"/>
      <c r="M221" s="111"/>
      <c r="N221" s="111"/>
      <c r="P221" s="111" t="s">
        <v>294</v>
      </c>
      <c r="Q221" s="182"/>
      <c r="R221" s="111"/>
      <c r="S221" s="111"/>
      <c r="T221" s="111"/>
      <c r="U221" s="111"/>
      <c r="V221" s="111" t="s">
        <v>339</v>
      </c>
      <c r="W221" s="183" t="s">
        <v>337</v>
      </c>
      <c r="X221" s="183"/>
      <c r="Y221" s="111"/>
      <c r="Z221" s="111"/>
      <c r="AA221" s="111"/>
      <c r="AB221" s="109"/>
      <c r="AC221" s="111"/>
      <c r="AD221" s="114"/>
      <c r="AE221" s="112"/>
      <c r="AF221" s="115"/>
      <c r="AG221" s="112"/>
      <c r="AH221" s="112"/>
      <c r="AI221" s="115"/>
      <c r="AJ221" s="115"/>
      <c r="AK221" s="114"/>
      <c r="AL221" s="116"/>
      <c r="AM221" s="112"/>
      <c r="AN221" s="112"/>
      <c r="AO221" s="109"/>
      <c r="AP221" s="117"/>
      <c r="AQ221" s="117"/>
      <c r="AR221" s="117"/>
      <c r="AS221" s="117"/>
      <c r="AT221" s="117"/>
      <c r="AU221" s="117"/>
      <c r="AV221" s="117"/>
      <c r="AW221" s="113"/>
      <c r="AX221" s="113"/>
      <c r="AY221" s="113"/>
      <c r="AZ221" s="118"/>
      <c r="BA221" s="113"/>
      <c r="BB221" s="113"/>
      <c r="BC221" s="113"/>
      <c r="BD221" s="113"/>
      <c r="BE221" s="113"/>
      <c r="BF221" s="118"/>
      <c r="BG221" s="109"/>
      <c r="BH221" s="115"/>
      <c r="BI221" s="115"/>
      <c r="BJ221" s="112"/>
      <c r="BK221" s="112"/>
      <c r="BL221" s="112"/>
      <c r="BM221" s="111"/>
      <c r="BN221" s="115"/>
      <c r="BO221" s="111"/>
      <c r="BP221" s="111"/>
      <c r="BQ221" s="111"/>
      <c r="BR221" s="111"/>
      <c r="BS221" s="112"/>
      <c r="BT221" s="116"/>
      <c r="BU221" s="112"/>
      <c r="BV221" s="116"/>
      <c r="BW221" s="116"/>
      <c r="BX221" s="113"/>
      <c r="BY221" s="113"/>
      <c r="BZ221" s="109"/>
    </row>
    <row r="222" spans="1:78" s="51" customFormat="1" x14ac:dyDescent="0.25">
      <c r="B222" s="109"/>
      <c r="C222" s="109"/>
      <c r="D222" s="109"/>
      <c r="E222" s="111"/>
      <c r="F222" s="111"/>
      <c r="G222" s="112"/>
      <c r="H222" s="113"/>
      <c r="I222" s="113"/>
      <c r="J222" s="109"/>
      <c r="K222" s="182" t="s">
        <v>741</v>
      </c>
      <c r="L222" s="111"/>
      <c r="M222" s="111"/>
      <c r="N222" s="111"/>
      <c r="O222" s="111"/>
      <c r="P222" s="182" t="s">
        <v>352</v>
      </c>
      <c r="Q222" s="111"/>
      <c r="R222" s="111"/>
      <c r="S222" s="111"/>
      <c r="T222" s="111"/>
      <c r="U222" s="111"/>
      <c r="V222" s="111" t="s">
        <v>340</v>
      </c>
      <c r="W222" s="182" t="s">
        <v>338</v>
      </c>
      <c r="X222" s="184"/>
      <c r="Y222" s="111"/>
      <c r="Z222" s="111"/>
      <c r="AA222" s="111"/>
      <c r="AB222" s="109"/>
      <c r="AC222" s="111"/>
      <c r="AD222" s="114"/>
      <c r="AE222" s="112"/>
      <c r="AF222" s="115"/>
      <c r="AG222" s="112"/>
      <c r="AH222" s="112"/>
      <c r="AI222" s="115"/>
      <c r="AJ222" s="115"/>
      <c r="AK222" s="114"/>
      <c r="AL222" s="116"/>
      <c r="AM222" s="112"/>
      <c r="AN222" s="112"/>
      <c r="AO222" s="109"/>
      <c r="AP222" s="117"/>
      <c r="AQ222" s="117"/>
      <c r="AR222" s="117"/>
      <c r="AS222" s="117"/>
      <c r="AT222" s="117"/>
      <c r="AU222" s="117"/>
      <c r="AV222" s="117"/>
      <c r="AW222" s="113"/>
      <c r="AX222" s="113"/>
      <c r="AY222" s="113"/>
      <c r="AZ222" s="118"/>
      <c r="BA222" s="113"/>
      <c r="BB222" s="113"/>
      <c r="BC222" s="113"/>
      <c r="BD222" s="113"/>
      <c r="BE222" s="113"/>
      <c r="BF222" s="118"/>
      <c r="BG222" s="109"/>
      <c r="BH222" s="115"/>
      <c r="BI222" s="115"/>
      <c r="BJ222" s="112"/>
      <c r="BK222" s="112"/>
      <c r="BL222" s="112"/>
      <c r="BM222" s="111"/>
      <c r="BN222" s="115"/>
      <c r="BO222" s="111"/>
      <c r="BP222" s="111"/>
      <c r="BQ222" s="111"/>
      <c r="BR222" s="111"/>
      <c r="BS222" s="112"/>
      <c r="BT222" s="116"/>
      <c r="BU222" s="112"/>
      <c r="BV222" s="116"/>
      <c r="BW222" s="116"/>
      <c r="BX222" s="113"/>
      <c r="BY222" s="113"/>
      <c r="BZ222" s="109"/>
    </row>
    <row r="223" spans="1:78" s="51" customFormat="1" x14ac:dyDescent="0.25">
      <c r="B223" s="109"/>
      <c r="C223" s="109"/>
      <c r="D223" s="109"/>
      <c r="E223" s="111"/>
      <c r="F223" s="111"/>
      <c r="G223" s="112"/>
      <c r="H223" s="113"/>
      <c r="I223" s="113"/>
      <c r="J223" s="109"/>
      <c r="K223" s="111"/>
      <c r="L223" s="111"/>
      <c r="M223" s="111"/>
      <c r="N223" s="111"/>
      <c r="O223" s="111"/>
      <c r="P223" s="111" t="s">
        <v>354</v>
      </c>
      <c r="Q223" s="111"/>
      <c r="R223" s="111"/>
      <c r="S223" s="111"/>
      <c r="T223" s="111"/>
      <c r="U223" s="111"/>
      <c r="V223" s="111" t="s">
        <v>342</v>
      </c>
      <c r="W223" s="182" t="s">
        <v>341</v>
      </c>
      <c r="X223" s="111"/>
      <c r="Y223" s="111"/>
      <c r="Z223" s="111"/>
      <c r="AA223" s="111"/>
      <c r="AB223" s="109"/>
      <c r="AC223" s="111"/>
      <c r="AD223" s="114"/>
      <c r="AE223" s="112"/>
      <c r="AF223" s="115"/>
      <c r="AG223" s="112"/>
      <c r="AH223" s="112"/>
      <c r="AI223" s="115"/>
      <c r="AJ223" s="115"/>
      <c r="AK223" s="114"/>
      <c r="AL223" s="116"/>
      <c r="AM223" s="112"/>
      <c r="AN223" s="112"/>
      <c r="AO223" s="109"/>
      <c r="AP223" s="117"/>
      <c r="AQ223" s="117"/>
      <c r="AR223" s="117"/>
      <c r="AS223" s="117"/>
      <c r="AT223" s="117"/>
      <c r="AU223" s="117"/>
      <c r="AV223" s="117"/>
      <c r="AW223" s="113"/>
      <c r="AX223" s="113"/>
      <c r="AY223" s="113"/>
      <c r="AZ223" s="118"/>
      <c r="BA223" s="113"/>
      <c r="BB223" s="113"/>
      <c r="BC223" s="113"/>
      <c r="BD223" s="113"/>
      <c r="BE223" s="113"/>
      <c r="BF223" s="118"/>
      <c r="BG223" s="109"/>
      <c r="BH223" s="115"/>
      <c r="BI223" s="115"/>
      <c r="BJ223" s="112"/>
      <c r="BK223" s="112"/>
      <c r="BL223" s="112"/>
      <c r="BM223" s="111"/>
      <c r="BN223" s="115"/>
      <c r="BO223" s="111"/>
      <c r="BP223" s="111"/>
      <c r="BQ223" s="111"/>
      <c r="BR223" s="111"/>
      <c r="BS223" s="112"/>
      <c r="BT223" s="116"/>
      <c r="BU223" s="112"/>
      <c r="BV223" s="116"/>
      <c r="BW223" s="116"/>
      <c r="BX223" s="113"/>
      <c r="BY223" s="113"/>
      <c r="BZ223" s="109"/>
    </row>
    <row r="224" spans="1:78" s="51" customFormat="1" ht="17.25" customHeight="1" x14ac:dyDescent="0.25">
      <c r="B224" s="109"/>
      <c r="C224" s="109"/>
      <c r="D224" s="109"/>
      <c r="E224" s="111"/>
      <c r="F224" s="111"/>
      <c r="G224" s="112"/>
      <c r="H224" s="113"/>
      <c r="I224" s="113"/>
      <c r="J224" s="109"/>
      <c r="K224" s="111"/>
      <c r="L224" s="111"/>
      <c r="M224" s="111"/>
      <c r="N224" s="111"/>
      <c r="O224" s="111"/>
      <c r="P224" s="182" t="s">
        <v>353</v>
      </c>
      <c r="Q224" s="111"/>
      <c r="R224" s="111"/>
      <c r="S224" s="111"/>
      <c r="T224" s="111"/>
      <c r="U224" s="111"/>
      <c r="V224" s="111" t="s">
        <v>344</v>
      </c>
      <c r="W224" s="182" t="s">
        <v>343</v>
      </c>
      <c r="X224" s="111"/>
      <c r="Y224" s="111"/>
      <c r="Z224" s="111"/>
      <c r="AA224" s="111"/>
      <c r="AB224" s="109"/>
      <c r="AC224" s="111"/>
      <c r="AD224" s="114"/>
      <c r="AE224" s="112"/>
      <c r="AF224" s="115"/>
      <c r="AG224" s="112"/>
      <c r="AH224" s="112"/>
      <c r="AI224" s="115"/>
      <c r="AJ224" s="115"/>
      <c r="AK224" s="114"/>
      <c r="AL224" s="116"/>
      <c r="AM224" s="112"/>
      <c r="AN224" s="112"/>
      <c r="AO224" s="109"/>
      <c r="AP224" s="117"/>
      <c r="AQ224" s="117"/>
      <c r="AR224" s="117"/>
      <c r="AS224" s="117"/>
      <c r="AT224" s="117"/>
      <c r="AU224" s="117"/>
      <c r="AV224" s="117"/>
      <c r="AW224" s="113"/>
      <c r="AX224" s="113"/>
      <c r="AY224" s="113"/>
      <c r="AZ224" s="118"/>
      <c r="BA224" s="113"/>
      <c r="BB224" s="113"/>
      <c r="BC224" s="113"/>
      <c r="BD224" s="113"/>
      <c r="BE224" s="113"/>
      <c r="BF224" s="118"/>
      <c r="BG224" s="109"/>
      <c r="BH224" s="115"/>
      <c r="BI224" s="115"/>
      <c r="BJ224" s="112"/>
      <c r="BK224" s="112"/>
      <c r="BL224" s="112"/>
      <c r="BM224" s="111"/>
      <c r="BN224" s="115"/>
      <c r="BO224" s="111"/>
      <c r="BP224" s="111"/>
      <c r="BQ224" s="111"/>
      <c r="BR224" s="111"/>
      <c r="BS224" s="112"/>
      <c r="BT224" s="116"/>
      <c r="BU224" s="112"/>
      <c r="BV224" s="116"/>
      <c r="BW224" s="116"/>
      <c r="BX224" s="113"/>
      <c r="BY224" s="113"/>
      <c r="BZ224" s="109"/>
    </row>
    <row r="225" spans="2:78" s="51" customFormat="1" x14ac:dyDescent="0.25">
      <c r="B225" s="120"/>
      <c r="C225" s="120"/>
      <c r="E225" s="111"/>
      <c r="F225" s="111"/>
      <c r="G225" s="112"/>
      <c r="H225" s="116"/>
      <c r="I225" s="116"/>
      <c r="J225" s="109"/>
      <c r="K225" s="111"/>
      <c r="L225" s="111"/>
      <c r="M225" s="111"/>
      <c r="N225" s="111"/>
      <c r="O225" s="111"/>
      <c r="P225" s="111" t="s">
        <v>356</v>
      </c>
      <c r="Q225" s="111"/>
      <c r="R225" s="111"/>
      <c r="S225" s="111"/>
      <c r="T225" s="111"/>
      <c r="U225" s="111"/>
      <c r="V225" s="111" t="s">
        <v>346</v>
      </c>
      <c r="W225" s="182" t="s">
        <v>345</v>
      </c>
      <c r="X225" s="111"/>
      <c r="Y225" s="111"/>
      <c r="Z225" s="111"/>
      <c r="AA225" s="111"/>
      <c r="AB225" s="109"/>
      <c r="AC225" s="111"/>
      <c r="AD225" s="114"/>
      <c r="AE225" s="112"/>
      <c r="AF225" s="115"/>
      <c r="AG225" s="112"/>
      <c r="AH225" s="112"/>
      <c r="AI225" s="115"/>
      <c r="AJ225" s="115"/>
      <c r="AK225" s="114"/>
      <c r="AL225" s="116"/>
      <c r="AM225" s="112"/>
      <c r="AN225" s="112"/>
      <c r="AO225" s="109"/>
      <c r="AP225" s="121"/>
      <c r="AQ225" s="121"/>
      <c r="AR225" s="121"/>
      <c r="AS225" s="121"/>
      <c r="AT225" s="121"/>
      <c r="AU225" s="121"/>
      <c r="AV225" s="121"/>
      <c r="AW225" s="116"/>
      <c r="AX225" s="116"/>
      <c r="AY225" s="116"/>
      <c r="AZ225" s="115"/>
      <c r="BA225" s="116"/>
      <c r="BB225" s="116"/>
      <c r="BC225" s="116"/>
      <c r="BD225" s="116"/>
      <c r="BE225" s="116"/>
      <c r="BF225" s="115"/>
      <c r="BG225" s="109"/>
      <c r="BH225" s="115"/>
      <c r="BI225" s="115"/>
      <c r="BJ225" s="112"/>
      <c r="BK225" s="112"/>
      <c r="BL225" s="112"/>
      <c r="BM225" s="111"/>
      <c r="BN225" s="115"/>
      <c r="BO225" s="111"/>
      <c r="BP225" s="111"/>
      <c r="BQ225" s="111"/>
      <c r="BR225" s="111"/>
      <c r="BS225" s="112"/>
      <c r="BT225" s="116"/>
      <c r="BU225" s="112"/>
      <c r="BV225" s="116"/>
      <c r="BW225" s="116"/>
      <c r="BX225" s="116"/>
      <c r="BY225" s="116"/>
      <c r="BZ225" s="109"/>
    </row>
    <row r="226" spans="2:78" s="51" customFormat="1" x14ac:dyDescent="0.25">
      <c r="B226" s="120"/>
      <c r="C226" s="120"/>
      <c r="E226" s="111"/>
      <c r="F226" s="111"/>
      <c r="G226" s="112"/>
      <c r="H226" s="116"/>
      <c r="I226" s="116"/>
      <c r="J226" s="109"/>
      <c r="K226" s="111"/>
      <c r="L226" s="111"/>
      <c r="M226" s="111"/>
      <c r="N226" s="111"/>
      <c r="O226" s="111"/>
      <c r="P226" s="182" t="s">
        <v>355</v>
      </c>
      <c r="Q226" s="111"/>
      <c r="R226" s="111"/>
      <c r="S226" s="111"/>
      <c r="T226" s="111"/>
      <c r="U226" s="111"/>
      <c r="V226" s="111" t="s">
        <v>348</v>
      </c>
      <c r="W226" s="182" t="s">
        <v>347</v>
      </c>
      <c r="X226" s="111"/>
      <c r="Y226" s="111"/>
      <c r="Z226" s="111"/>
      <c r="AA226" s="111"/>
      <c r="AB226" s="109"/>
      <c r="AC226" s="111"/>
      <c r="AD226" s="114"/>
      <c r="AE226" s="112"/>
      <c r="AF226" s="115"/>
      <c r="AG226" s="112"/>
      <c r="AH226" s="112"/>
      <c r="AI226" s="115"/>
      <c r="AJ226" s="115"/>
      <c r="AK226" s="114"/>
      <c r="AL226" s="116"/>
      <c r="AM226" s="112"/>
      <c r="AN226" s="112"/>
      <c r="AO226" s="109"/>
      <c r="AP226" s="121"/>
      <c r="AQ226" s="121"/>
      <c r="AR226" s="121"/>
      <c r="AS226" s="121"/>
      <c r="AT226" s="121"/>
      <c r="AU226" s="121"/>
      <c r="AV226" s="121"/>
      <c r="AW226" s="116"/>
      <c r="AX226" s="116"/>
      <c r="AY226" s="116"/>
      <c r="AZ226" s="115"/>
      <c r="BA226" s="116"/>
      <c r="BB226" s="116"/>
      <c r="BC226" s="116"/>
      <c r="BD226" s="116"/>
      <c r="BE226" s="116"/>
      <c r="BF226" s="115"/>
      <c r="BG226" s="109"/>
      <c r="BH226" s="115"/>
      <c r="BI226" s="115"/>
      <c r="BJ226" s="112"/>
      <c r="BK226" s="112"/>
      <c r="BL226" s="112"/>
      <c r="BM226" s="111"/>
      <c r="BN226" s="115"/>
      <c r="BO226" s="111"/>
      <c r="BP226" s="111"/>
      <c r="BQ226" s="111"/>
      <c r="BR226" s="111"/>
      <c r="BS226" s="112"/>
      <c r="BT226" s="116"/>
      <c r="BU226" s="112"/>
      <c r="BV226" s="116"/>
      <c r="BW226" s="116"/>
      <c r="BX226" s="116"/>
      <c r="BY226" s="116"/>
      <c r="BZ226" s="109"/>
    </row>
    <row r="227" spans="2:78" s="51" customFormat="1" x14ac:dyDescent="0.25">
      <c r="B227" s="120"/>
      <c r="C227" s="120"/>
      <c r="E227" s="111"/>
      <c r="F227" s="111"/>
      <c r="G227" s="112"/>
      <c r="H227" s="116"/>
      <c r="I227" s="116"/>
      <c r="J227" s="109"/>
      <c r="K227" s="111"/>
      <c r="L227" s="111"/>
      <c r="M227" s="111"/>
      <c r="N227" s="111"/>
      <c r="O227" s="111"/>
      <c r="P227" s="111" t="s">
        <v>358</v>
      </c>
      <c r="Q227" s="111"/>
      <c r="R227" s="111"/>
      <c r="S227" s="111"/>
      <c r="T227" s="111"/>
      <c r="U227" s="111"/>
      <c r="V227" s="111" t="s">
        <v>350</v>
      </c>
      <c r="W227" s="182" t="s">
        <v>349</v>
      </c>
      <c r="X227" s="111"/>
      <c r="Y227" s="111"/>
      <c r="Z227" s="111"/>
      <c r="AA227" s="111"/>
      <c r="AB227" s="109"/>
      <c r="AC227" s="111"/>
      <c r="AD227" s="114"/>
      <c r="AE227" s="112"/>
      <c r="AF227" s="115"/>
      <c r="AG227" s="112"/>
      <c r="AH227" s="112"/>
      <c r="AI227" s="115"/>
      <c r="AJ227" s="115"/>
      <c r="AK227" s="114"/>
      <c r="AL227" s="116"/>
      <c r="AM227" s="112"/>
      <c r="AN227" s="112"/>
      <c r="AO227" s="109"/>
      <c r="AP227" s="121"/>
      <c r="AQ227" s="121"/>
      <c r="AR227" s="121"/>
      <c r="AS227" s="121"/>
      <c r="AT227" s="121"/>
      <c r="AU227" s="121"/>
      <c r="AV227" s="121"/>
      <c r="AW227" s="116"/>
      <c r="AX227" s="116"/>
      <c r="AY227" s="116"/>
      <c r="AZ227" s="115"/>
      <c r="BA227" s="116"/>
      <c r="BB227" s="116"/>
      <c r="BC227" s="116"/>
      <c r="BD227" s="116"/>
      <c r="BE227" s="116"/>
      <c r="BF227" s="115"/>
      <c r="BG227" s="109"/>
      <c r="BH227" s="115"/>
      <c r="BI227" s="115"/>
      <c r="BJ227" s="112"/>
      <c r="BK227" s="112"/>
      <c r="BL227" s="112"/>
      <c r="BM227" s="111"/>
      <c r="BN227" s="115"/>
      <c r="BO227" s="111"/>
      <c r="BP227" s="111"/>
      <c r="BQ227" s="111"/>
      <c r="BR227" s="111"/>
      <c r="BS227" s="112"/>
      <c r="BT227" s="116"/>
      <c r="BU227" s="112"/>
      <c r="BV227" s="116"/>
      <c r="BW227" s="116"/>
      <c r="BX227" s="116"/>
      <c r="BY227" s="116"/>
      <c r="BZ227" s="109"/>
    </row>
    <row r="228" spans="2:78" s="51" customFormat="1" x14ac:dyDescent="0.25">
      <c r="B228" s="120"/>
      <c r="C228" s="120"/>
      <c r="E228" s="111"/>
      <c r="F228" s="111"/>
      <c r="G228" s="112"/>
      <c r="H228" s="116"/>
      <c r="I228" s="116"/>
      <c r="J228" s="109"/>
      <c r="K228" s="111"/>
      <c r="L228" s="111"/>
      <c r="M228" s="111"/>
      <c r="N228" s="111"/>
      <c r="O228" s="111"/>
      <c r="P228" s="182" t="s">
        <v>357</v>
      </c>
      <c r="Q228" s="111"/>
      <c r="R228" s="111"/>
      <c r="S228" s="111"/>
      <c r="T228" s="111"/>
      <c r="U228" s="111"/>
      <c r="V228" s="111"/>
      <c r="W228" s="111"/>
      <c r="X228" s="111"/>
      <c r="Y228" s="111"/>
      <c r="Z228" s="111"/>
      <c r="AA228" s="111"/>
      <c r="AB228" s="109"/>
      <c r="AC228" s="111"/>
      <c r="AD228" s="114"/>
      <c r="AE228" s="112"/>
      <c r="AF228" s="115"/>
      <c r="AG228" s="112"/>
      <c r="AH228" s="112"/>
      <c r="AI228" s="115"/>
      <c r="AJ228" s="115"/>
      <c r="AK228" s="114"/>
      <c r="AL228" s="116"/>
      <c r="AM228" s="112"/>
      <c r="AN228" s="112"/>
      <c r="AO228" s="109"/>
      <c r="AP228" s="121"/>
      <c r="AQ228" s="121"/>
      <c r="AR228" s="121"/>
      <c r="AS228" s="121"/>
      <c r="AT228" s="121"/>
      <c r="AU228" s="121"/>
      <c r="AV228" s="121"/>
      <c r="AW228" s="116"/>
      <c r="AX228" s="116"/>
      <c r="AY228" s="116"/>
      <c r="AZ228" s="115"/>
      <c r="BA228" s="116"/>
      <c r="BB228" s="116"/>
      <c r="BC228" s="116"/>
      <c r="BD228" s="116"/>
      <c r="BE228" s="116"/>
      <c r="BF228" s="115"/>
      <c r="BG228" s="109"/>
      <c r="BH228" s="115"/>
      <c r="BI228" s="115"/>
      <c r="BJ228" s="112"/>
      <c r="BK228" s="112"/>
      <c r="BL228" s="112"/>
      <c r="BM228" s="111"/>
      <c r="BN228" s="115"/>
      <c r="BO228" s="111"/>
      <c r="BP228" s="111"/>
      <c r="BQ228" s="111"/>
      <c r="BR228" s="111"/>
      <c r="BS228" s="112"/>
      <c r="BT228" s="116"/>
      <c r="BU228" s="112"/>
      <c r="BV228" s="116"/>
      <c r="BW228" s="116"/>
      <c r="BX228" s="116"/>
      <c r="BY228" s="116"/>
      <c r="BZ228" s="109"/>
    </row>
    <row r="229" spans="2:78" s="51" customFormat="1" x14ac:dyDescent="0.25">
      <c r="B229" s="120"/>
      <c r="C229" s="120"/>
      <c r="E229" s="111"/>
      <c r="F229" s="111"/>
      <c r="G229" s="112"/>
      <c r="H229" s="116"/>
      <c r="I229" s="116"/>
      <c r="J229" s="109"/>
      <c r="K229" s="111"/>
      <c r="L229" s="111"/>
      <c r="M229" s="111"/>
      <c r="N229" s="111"/>
      <c r="O229" s="111"/>
      <c r="P229" s="111" t="s">
        <v>360</v>
      </c>
      <c r="Q229" s="111"/>
      <c r="R229" s="111"/>
      <c r="S229" s="111"/>
      <c r="T229" s="111"/>
      <c r="U229" s="111"/>
      <c r="V229" s="111"/>
      <c r="W229" s="111"/>
      <c r="X229" s="111"/>
      <c r="Y229" s="111"/>
      <c r="Z229" s="111"/>
      <c r="AA229" s="111"/>
      <c r="AB229" s="109"/>
      <c r="AC229" s="111"/>
      <c r="AD229" s="114"/>
      <c r="AE229" s="112"/>
      <c r="AF229" s="115"/>
      <c r="AG229" s="112"/>
      <c r="AH229" s="112"/>
      <c r="AI229" s="115"/>
      <c r="AJ229" s="115"/>
      <c r="AK229" s="114"/>
      <c r="AL229" s="116"/>
      <c r="AM229" s="112"/>
      <c r="AN229" s="112"/>
      <c r="AO229" s="109"/>
      <c r="AP229" s="121"/>
      <c r="AQ229" s="121"/>
      <c r="AR229" s="121"/>
      <c r="AS229" s="121"/>
      <c r="AT229" s="121"/>
      <c r="AU229" s="121"/>
      <c r="AV229" s="121"/>
      <c r="AW229" s="116"/>
      <c r="AX229" s="116"/>
      <c r="AY229" s="116"/>
      <c r="AZ229" s="115"/>
      <c r="BA229" s="116"/>
      <c r="BB229" s="116"/>
      <c r="BC229" s="116"/>
      <c r="BD229" s="116"/>
      <c r="BE229" s="116"/>
      <c r="BF229" s="115"/>
      <c r="BG229" s="109"/>
      <c r="BH229" s="115"/>
      <c r="BI229" s="115"/>
      <c r="BJ229" s="112"/>
      <c r="BK229" s="112"/>
      <c r="BL229" s="112"/>
      <c r="BM229" s="111"/>
      <c r="BN229" s="115"/>
      <c r="BO229" s="111"/>
      <c r="BP229" s="111"/>
      <c r="BQ229" s="111"/>
      <c r="BR229" s="111"/>
      <c r="BS229" s="112"/>
      <c r="BT229" s="116"/>
      <c r="BU229" s="112"/>
      <c r="BV229" s="116"/>
      <c r="BW229" s="116"/>
      <c r="BX229" s="116"/>
      <c r="BY229" s="116"/>
      <c r="BZ229" s="109"/>
    </row>
    <row r="230" spans="2:78" s="51" customFormat="1" x14ac:dyDescent="0.25">
      <c r="B230" s="120"/>
      <c r="C230" s="120"/>
      <c r="E230" s="111"/>
      <c r="F230" s="111"/>
      <c r="G230" s="112"/>
      <c r="H230" s="116"/>
      <c r="I230" s="116"/>
      <c r="J230" s="109"/>
      <c r="K230" s="111"/>
      <c r="L230" s="111"/>
      <c r="M230" s="111"/>
      <c r="N230" s="111"/>
      <c r="O230" s="111"/>
      <c r="P230" s="182" t="s">
        <v>359</v>
      </c>
      <c r="Q230" s="111"/>
      <c r="R230" s="111"/>
      <c r="S230" s="111"/>
      <c r="T230" s="111"/>
      <c r="U230" s="111"/>
      <c r="V230" s="111"/>
      <c r="W230" s="111"/>
      <c r="X230" s="111"/>
      <c r="Y230" s="111"/>
      <c r="Z230" s="111"/>
      <c r="AA230" s="111"/>
      <c r="AB230" s="109"/>
      <c r="AC230" s="111"/>
      <c r="AD230" s="114"/>
      <c r="AE230" s="112"/>
      <c r="AF230" s="115"/>
      <c r="AG230" s="112"/>
      <c r="AH230" s="112"/>
      <c r="AI230" s="115"/>
      <c r="AJ230" s="115"/>
      <c r="AK230" s="114"/>
      <c r="AL230" s="116"/>
      <c r="AM230" s="112"/>
      <c r="AN230" s="112"/>
      <c r="AO230" s="109"/>
      <c r="AP230" s="121"/>
      <c r="AQ230" s="121"/>
      <c r="AR230" s="121"/>
      <c r="AS230" s="121"/>
      <c r="AT230" s="121"/>
      <c r="AU230" s="121"/>
      <c r="AV230" s="121"/>
      <c r="AW230" s="116"/>
      <c r="AX230" s="116"/>
      <c r="AY230" s="116"/>
      <c r="AZ230" s="115"/>
      <c r="BA230" s="116"/>
      <c r="BB230" s="116"/>
      <c r="BC230" s="116"/>
      <c r="BD230" s="116"/>
      <c r="BE230" s="116"/>
      <c r="BF230" s="115"/>
      <c r="BG230" s="109"/>
      <c r="BH230" s="115"/>
      <c r="BI230" s="115"/>
      <c r="BJ230" s="112"/>
      <c r="BK230" s="112"/>
      <c r="BL230" s="112"/>
      <c r="BM230" s="111"/>
      <c r="BN230" s="115"/>
      <c r="BO230" s="111"/>
      <c r="BP230" s="111"/>
      <c r="BQ230" s="111"/>
      <c r="BR230" s="111"/>
      <c r="BS230" s="112"/>
      <c r="BT230" s="116"/>
      <c r="BU230" s="112"/>
      <c r="BV230" s="116"/>
      <c r="BW230" s="116"/>
      <c r="BX230" s="116"/>
      <c r="BY230" s="116"/>
      <c r="BZ230" s="109"/>
    </row>
    <row r="231" spans="2:78" s="51" customFormat="1" x14ac:dyDescent="0.25">
      <c r="B231" s="120"/>
      <c r="C231" s="120"/>
      <c r="E231" s="111"/>
      <c r="F231" s="111"/>
      <c r="G231" s="112"/>
      <c r="H231" s="116"/>
      <c r="I231" s="116"/>
      <c r="J231" s="109"/>
      <c r="K231" s="111"/>
      <c r="L231" s="111"/>
      <c r="M231" s="111"/>
      <c r="N231" s="111"/>
      <c r="O231" s="111"/>
      <c r="P231" s="111" t="s">
        <v>362</v>
      </c>
      <c r="Q231" s="111"/>
      <c r="R231" s="111"/>
      <c r="S231" s="111"/>
      <c r="T231" s="111"/>
      <c r="U231" s="111"/>
      <c r="V231" s="111"/>
      <c r="W231" s="111"/>
      <c r="X231" s="111"/>
      <c r="Y231" s="111"/>
      <c r="Z231" s="111"/>
      <c r="AA231" s="111"/>
      <c r="AB231" s="109"/>
      <c r="AC231" s="111"/>
      <c r="AD231" s="114"/>
      <c r="AE231" s="112"/>
      <c r="AF231" s="115"/>
      <c r="AG231" s="112"/>
      <c r="AH231" s="112"/>
      <c r="AI231" s="115"/>
      <c r="AJ231" s="115"/>
      <c r="AK231" s="114"/>
      <c r="AL231" s="116"/>
      <c r="AM231" s="112"/>
      <c r="AN231" s="112"/>
      <c r="AO231" s="109"/>
      <c r="AP231" s="121"/>
      <c r="AQ231" s="121"/>
      <c r="AR231" s="121"/>
      <c r="AS231" s="121"/>
      <c r="AT231" s="121"/>
      <c r="AU231" s="121"/>
      <c r="AV231" s="121"/>
      <c r="AW231" s="116"/>
      <c r="AX231" s="116"/>
      <c r="AY231" s="116"/>
      <c r="AZ231" s="115"/>
      <c r="BA231" s="116"/>
      <c r="BB231" s="116"/>
      <c r="BC231" s="116"/>
      <c r="BD231" s="116"/>
      <c r="BE231" s="116"/>
      <c r="BF231" s="115"/>
      <c r="BG231" s="109"/>
      <c r="BH231" s="115"/>
      <c r="BI231" s="115"/>
      <c r="BJ231" s="112"/>
      <c r="BK231" s="112"/>
      <c r="BL231" s="112"/>
      <c r="BM231" s="111"/>
      <c r="BN231" s="115"/>
      <c r="BO231" s="111"/>
      <c r="BP231" s="111"/>
      <c r="BQ231" s="111"/>
      <c r="BR231" s="111"/>
      <c r="BS231" s="112"/>
      <c r="BT231" s="116"/>
      <c r="BU231" s="112"/>
      <c r="BV231" s="116"/>
      <c r="BW231" s="116"/>
      <c r="BX231" s="116"/>
      <c r="BY231" s="116"/>
      <c r="BZ231" s="109"/>
    </row>
    <row r="232" spans="2:78" s="51" customFormat="1" x14ac:dyDescent="0.25">
      <c r="B232" s="120"/>
      <c r="C232" s="120"/>
      <c r="E232" s="111"/>
      <c r="F232" s="111"/>
      <c r="G232" s="112"/>
      <c r="H232" s="116"/>
      <c r="I232" s="116"/>
      <c r="J232" s="109"/>
      <c r="K232" s="111"/>
      <c r="L232" s="111"/>
      <c r="M232" s="111"/>
      <c r="N232" s="111"/>
      <c r="O232" s="111"/>
      <c r="P232" s="182" t="s">
        <v>361</v>
      </c>
      <c r="Q232" s="111"/>
      <c r="R232" s="111"/>
      <c r="S232" s="111"/>
      <c r="T232" s="111"/>
      <c r="U232" s="111"/>
      <c r="V232" s="111"/>
      <c r="W232" s="111"/>
      <c r="X232" s="111"/>
      <c r="Y232" s="111"/>
      <c r="Z232" s="111"/>
      <c r="AA232" s="111"/>
      <c r="AB232" s="109"/>
      <c r="AC232" s="111"/>
      <c r="AD232" s="114"/>
      <c r="AE232" s="112"/>
      <c r="AF232" s="115"/>
      <c r="AG232" s="112"/>
      <c r="AH232" s="112"/>
      <c r="AI232" s="115"/>
      <c r="AJ232" s="115"/>
      <c r="AK232" s="114"/>
      <c r="AL232" s="116"/>
      <c r="AM232" s="112"/>
      <c r="AN232" s="112"/>
      <c r="AO232" s="109"/>
      <c r="AP232" s="121"/>
      <c r="AQ232" s="121"/>
      <c r="AR232" s="121"/>
      <c r="AS232" s="121"/>
      <c r="AT232" s="121"/>
      <c r="AU232" s="121"/>
      <c r="AV232" s="121"/>
      <c r="AW232" s="116"/>
      <c r="AX232" s="116"/>
      <c r="AY232" s="116"/>
      <c r="AZ232" s="115"/>
      <c r="BA232" s="116"/>
      <c r="BB232" s="116"/>
      <c r="BC232" s="116"/>
      <c r="BD232" s="116"/>
      <c r="BE232" s="116"/>
      <c r="BF232" s="115"/>
      <c r="BG232" s="109"/>
      <c r="BH232" s="115"/>
      <c r="BI232" s="115"/>
      <c r="BJ232" s="112"/>
      <c r="BK232" s="112"/>
      <c r="BL232" s="112"/>
      <c r="BM232" s="111"/>
      <c r="BN232" s="115"/>
      <c r="BO232" s="111"/>
      <c r="BP232" s="111"/>
      <c r="BQ232" s="111"/>
      <c r="BR232" s="111"/>
      <c r="BS232" s="112"/>
      <c r="BT232" s="116"/>
      <c r="BU232" s="112"/>
      <c r="BV232" s="116"/>
      <c r="BW232" s="116"/>
      <c r="BX232" s="116"/>
      <c r="BY232" s="116"/>
      <c r="BZ232" s="109"/>
    </row>
    <row r="233" spans="2:78" s="51" customFormat="1" x14ac:dyDescent="0.25">
      <c r="B233" s="120"/>
      <c r="C233" s="120"/>
      <c r="E233" s="111"/>
      <c r="F233" s="111"/>
      <c r="G233" s="112"/>
      <c r="H233" s="116"/>
      <c r="I233" s="116"/>
      <c r="J233" s="109"/>
      <c r="K233" s="111"/>
      <c r="L233" s="111"/>
      <c r="M233" s="111"/>
      <c r="N233" s="111"/>
      <c r="O233" s="111"/>
      <c r="P233" s="111"/>
      <c r="Q233" s="111"/>
      <c r="R233" s="111"/>
      <c r="S233" s="111"/>
      <c r="T233" s="111"/>
      <c r="U233" s="111"/>
      <c r="V233" s="111"/>
      <c r="W233" s="111"/>
      <c r="X233" s="111"/>
      <c r="Y233" s="111"/>
      <c r="Z233" s="111"/>
      <c r="AA233" s="111"/>
      <c r="AB233" s="109"/>
      <c r="AC233" s="111"/>
      <c r="AD233" s="114"/>
      <c r="AE233" s="112"/>
      <c r="AF233" s="115"/>
      <c r="AG233" s="112"/>
      <c r="AH233" s="112"/>
      <c r="AI233" s="115"/>
      <c r="AJ233" s="115"/>
      <c r="AK233" s="114"/>
      <c r="AL233" s="116"/>
      <c r="AM233" s="112"/>
      <c r="AN233" s="112"/>
      <c r="AO233" s="109"/>
      <c r="AP233" s="121"/>
      <c r="AQ233" s="121"/>
      <c r="AR233" s="121"/>
      <c r="AS233" s="121"/>
      <c r="AT233" s="121"/>
      <c r="AU233" s="121"/>
      <c r="AV233" s="121"/>
      <c r="AW233" s="116"/>
      <c r="AX233" s="116"/>
      <c r="AY233" s="116"/>
      <c r="AZ233" s="115"/>
      <c r="BA233" s="116"/>
      <c r="BB233" s="116"/>
      <c r="BC233" s="116"/>
      <c r="BD233" s="116"/>
      <c r="BE233" s="116"/>
      <c r="BF233" s="115"/>
      <c r="BG233" s="109"/>
      <c r="BH233" s="115"/>
      <c r="BI233" s="115"/>
      <c r="BJ233" s="112"/>
      <c r="BK233" s="112"/>
      <c r="BL233" s="112"/>
      <c r="BM233" s="111"/>
      <c r="BN233" s="115"/>
      <c r="BO233" s="111"/>
      <c r="BP233" s="111"/>
      <c r="BQ233" s="111"/>
      <c r="BR233" s="111"/>
      <c r="BS233" s="112"/>
      <c r="BT233" s="116"/>
      <c r="BU233" s="112"/>
      <c r="BV233" s="116"/>
      <c r="BW233" s="116"/>
      <c r="BX233" s="116"/>
      <c r="BY233" s="116"/>
      <c r="BZ233" s="109"/>
    </row>
    <row r="234" spans="2:78" s="51" customFormat="1" x14ac:dyDescent="0.25">
      <c r="B234" s="120"/>
      <c r="C234" s="120"/>
      <c r="E234" s="111"/>
      <c r="F234" s="111"/>
      <c r="G234" s="112"/>
      <c r="H234" s="116"/>
      <c r="I234" s="116"/>
      <c r="J234" s="109"/>
      <c r="K234" s="111"/>
      <c r="L234" s="111"/>
      <c r="M234" s="111"/>
      <c r="N234" s="111"/>
      <c r="O234" s="111"/>
      <c r="P234" s="111"/>
      <c r="Q234" s="111"/>
      <c r="R234" s="111"/>
      <c r="S234" s="111"/>
      <c r="T234" s="111"/>
      <c r="U234" s="111"/>
      <c r="V234" s="111"/>
      <c r="W234" s="111"/>
      <c r="X234" s="111"/>
      <c r="Y234" s="111"/>
      <c r="Z234" s="111"/>
      <c r="AA234" s="111"/>
      <c r="AB234" s="109"/>
      <c r="AC234" s="111"/>
      <c r="AD234" s="114"/>
      <c r="AE234" s="112"/>
      <c r="AF234" s="115"/>
      <c r="AG234" s="112"/>
      <c r="AH234" s="112"/>
      <c r="AI234" s="115"/>
      <c r="AJ234" s="115"/>
      <c r="AK234" s="114"/>
      <c r="AL234" s="116"/>
      <c r="AM234" s="112"/>
      <c r="AN234" s="112"/>
      <c r="AO234" s="109"/>
      <c r="AP234" s="121"/>
      <c r="AQ234" s="121"/>
      <c r="AR234" s="121"/>
      <c r="AS234" s="121"/>
      <c r="AT234" s="121"/>
      <c r="AU234" s="121"/>
      <c r="AV234" s="121"/>
      <c r="AW234" s="116"/>
      <c r="AX234" s="116"/>
      <c r="AY234" s="116"/>
      <c r="AZ234" s="115"/>
      <c r="BA234" s="116"/>
      <c r="BB234" s="116"/>
      <c r="BC234" s="116"/>
      <c r="BD234" s="116"/>
      <c r="BE234" s="116"/>
      <c r="BF234" s="115"/>
      <c r="BG234" s="109"/>
      <c r="BH234" s="115"/>
      <c r="BI234" s="115"/>
      <c r="BJ234" s="112"/>
      <c r="BK234" s="112"/>
      <c r="BL234" s="112"/>
      <c r="BM234" s="111"/>
      <c r="BN234" s="115"/>
      <c r="BO234" s="111"/>
      <c r="BP234" s="111"/>
      <c r="BQ234" s="111"/>
      <c r="BR234" s="111"/>
      <c r="BS234" s="112"/>
      <c r="BT234" s="116"/>
      <c r="BU234" s="112"/>
      <c r="BV234" s="116"/>
      <c r="BW234" s="116"/>
      <c r="BX234" s="116"/>
      <c r="BY234" s="116"/>
      <c r="BZ234" s="109"/>
    </row>
    <row r="235" spans="2:78" s="51" customFormat="1" x14ac:dyDescent="0.25">
      <c r="B235" s="120"/>
      <c r="C235" s="120"/>
      <c r="E235" s="111"/>
      <c r="F235" s="111"/>
      <c r="G235" s="112"/>
      <c r="H235" s="116"/>
      <c r="I235" s="116"/>
      <c r="J235" s="109"/>
      <c r="K235" s="111"/>
      <c r="L235" s="111"/>
      <c r="M235" s="111"/>
      <c r="N235" s="111"/>
      <c r="O235" s="111"/>
      <c r="P235" s="111"/>
      <c r="Q235" s="111"/>
      <c r="R235" s="111"/>
      <c r="S235" s="111"/>
      <c r="T235" s="111"/>
      <c r="U235" s="111"/>
      <c r="V235" s="111"/>
      <c r="W235" s="111"/>
      <c r="X235" s="111"/>
      <c r="Y235" s="111"/>
      <c r="Z235" s="111"/>
      <c r="AA235" s="111"/>
      <c r="AB235" s="109"/>
      <c r="AC235" s="111"/>
      <c r="AD235" s="114"/>
      <c r="AE235" s="112"/>
      <c r="AF235" s="115"/>
      <c r="AG235" s="112"/>
      <c r="AH235" s="112"/>
      <c r="AI235" s="115"/>
      <c r="AJ235" s="115"/>
      <c r="AK235" s="114"/>
      <c r="AL235" s="116"/>
      <c r="AM235" s="112"/>
      <c r="AN235" s="112"/>
      <c r="AO235" s="109"/>
      <c r="AP235" s="121"/>
      <c r="AQ235" s="121"/>
      <c r="AR235" s="121"/>
      <c r="AS235" s="121"/>
      <c r="AT235" s="121"/>
      <c r="AU235" s="121"/>
      <c r="AV235" s="121"/>
      <c r="AW235" s="116"/>
      <c r="AX235" s="116"/>
      <c r="AY235" s="116"/>
      <c r="AZ235" s="115"/>
      <c r="BA235" s="116"/>
      <c r="BB235" s="116"/>
      <c r="BC235" s="116"/>
      <c r="BD235" s="116"/>
      <c r="BE235" s="116"/>
      <c r="BF235" s="115"/>
      <c r="BG235" s="109"/>
      <c r="BH235" s="115"/>
      <c r="BI235" s="115"/>
      <c r="BJ235" s="112"/>
      <c r="BK235" s="112"/>
      <c r="BL235" s="112"/>
      <c r="BM235" s="111"/>
      <c r="BN235" s="115"/>
      <c r="BO235" s="111"/>
      <c r="BP235" s="111"/>
      <c r="BQ235" s="111"/>
      <c r="BR235" s="111"/>
      <c r="BS235" s="112"/>
      <c r="BT235" s="116"/>
      <c r="BU235" s="112"/>
      <c r="BV235" s="116"/>
      <c r="BW235" s="116"/>
      <c r="BX235" s="116"/>
      <c r="BY235" s="116"/>
      <c r="BZ235" s="109"/>
    </row>
    <row r="236" spans="2:78" s="51" customFormat="1" x14ac:dyDescent="0.25">
      <c r="B236" s="120"/>
      <c r="C236" s="120"/>
      <c r="E236" s="111"/>
      <c r="F236" s="111"/>
      <c r="G236" s="112"/>
      <c r="H236" s="116"/>
      <c r="I236" s="116"/>
      <c r="J236" s="109"/>
      <c r="K236" s="111"/>
      <c r="L236" s="111"/>
      <c r="M236" s="111"/>
      <c r="N236" s="111"/>
      <c r="O236" s="111"/>
      <c r="P236" s="111"/>
      <c r="Q236" s="111"/>
      <c r="R236" s="111"/>
      <c r="S236" s="111"/>
      <c r="T236" s="111"/>
      <c r="U236" s="111"/>
      <c r="V236" s="111"/>
      <c r="W236" s="111"/>
      <c r="X236" s="111"/>
      <c r="Y236" s="111"/>
      <c r="Z236" s="111"/>
      <c r="AA236" s="111"/>
      <c r="AB236" s="109"/>
      <c r="AC236" s="111"/>
      <c r="AD236" s="114"/>
      <c r="AE236" s="112"/>
      <c r="AF236" s="115"/>
      <c r="AG236" s="112"/>
      <c r="AH236" s="112"/>
      <c r="AI236" s="115"/>
      <c r="AJ236" s="115"/>
      <c r="AK236" s="114"/>
      <c r="AL236" s="116"/>
      <c r="AM236" s="112"/>
      <c r="AN236" s="112"/>
      <c r="AO236" s="109"/>
      <c r="AP236" s="121"/>
      <c r="AQ236" s="121"/>
      <c r="AR236" s="121"/>
      <c r="AS236" s="121"/>
      <c r="AT236" s="121"/>
      <c r="AU236" s="121"/>
      <c r="AV236" s="121"/>
      <c r="AW236" s="116"/>
      <c r="AX236" s="116"/>
      <c r="AY236" s="116"/>
      <c r="AZ236" s="115"/>
      <c r="BA236" s="116"/>
      <c r="BB236" s="116"/>
      <c r="BC236" s="116"/>
      <c r="BD236" s="116"/>
      <c r="BE236" s="116"/>
      <c r="BF236" s="115"/>
      <c r="BG236" s="109"/>
      <c r="BH236" s="115"/>
      <c r="BI236" s="115"/>
      <c r="BJ236" s="112"/>
      <c r="BK236" s="112"/>
      <c r="BL236" s="112"/>
      <c r="BM236" s="111"/>
      <c r="BN236" s="115"/>
      <c r="BO236" s="111"/>
      <c r="BP236" s="111"/>
      <c r="BQ236" s="111"/>
      <c r="BR236" s="111"/>
      <c r="BS236" s="112"/>
      <c r="BT236" s="116"/>
      <c r="BU236" s="112"/>
      <c r="BV236" s="116"/>
      <c r="BW236" s="116"/>
      <c r="BX236" s="116"/>
      <c r="BY236" s="116"/>
      <c r="BZ236" s="109"/>
    </row>
    <row r="237" spans="2:78" s="51" customFormat="1" x14ac:dyDescent="0.25">
      <c r="B237" s="120"/>
      <c r="C237" s="120"/>
      <c r="E237" s="111"/>
      <c r="F237" s="111"/>
      <c r="G237" s="112"/>
      <c r="H237" s="116"/>
      <c r="I237" s="116"/>
      <c r="J237" s="109"/>
      <c r="K237" s="111"/>
      <c r="L237" s="111"/>
      <c r="M237" s="111"/>
      <c r="N237" s="111"/>
      <c r="O237" s="111"/>
      <c r="P237" s="111"/>
      <c r="Q237" s="111"/>
      <c r="R237" s="111"/>
      <c r="S237" s="111"/>
      <c r="T237" s="111"/>
      <c r="U237" s="111"/>
      <c r="V237" s="111"/>
      <c r="W237" s="111"/>
      <c r="X237" s="111"/>
      <c r="Y237" s="111"/>
      <c r="Z237" s="111"/>
      <c r="AA237" s="111"/>
      <c r="AB237" s="109"/>
      <c r="AC237" s="111"/>
      <c r="AD237" s="114"/>
      <c r="AE237" s="112"/>
      <c r="AF237" s="115"/>
      <c r="AG237" s="112"/>
      <c r="AH237" s="112"/>
      <c r="AI237" s="115"/>
      <c r="AJ237" s="115"/>
      <c r="AK237" s="114"/>
      <c r="AL237" s="116"/>
      <c r="AM237" s="112"/>
      <c r="AN237" s="112"/>
      <c r="AO237" s="109"/>
      <c r="AP237" s="121"/>
      <c r="AQ237" s="121"/>
      <c r="AR237" s="121"/>
      <c r="AS237" s="121"/>
      <c r="AT237" s="121"/>
      <c r="AU237" s="121"/>
      <c r="AV237" s="121"/>
      <c r="AW237" s="116"/>
      <c r="AX237" s="116"/>
      <c r="AY237" s="116"/>
      <c r="AZ237" s="115"/>
      <c r="BA237" s="116"/>
      <c r="BB237" s="116"/>
      <c r="BC237" s="116"/>
      <c r="BD237" s="116"/>
      <c r="BE237" s="116"/>
      <c r="BF237" s="115"/>
      <c r="BG237" s="109"/>
      <c r="BH237" s="115"/>
      <c r="BI237" s="115"/>
      <c r="BJ237" s="112"/>
      <c r="BK237" s="112"/>
      <c r="BL237" s="112"/>
      <c r="BM237" s="111"/>
      <c r="BN237" s="115"/>
      <c r="BO237" s="111"/>
      <c r="BP237" s="111"/>
      <c r="BQ237" s="111"/>
      <c r="BR237" s="111"/>
      <c r="BS237" s="112"/>
      <c r="BT237" s="116"/>
      <c r="BU237" s="112"/>
      <c r="BV237" s="116"/>
      <c r="BW237" s="116"/>
      <c r="BX237" s="116"/>
      <c r="BY237" s="116"/>
      <c r="BZ237" s="109"/>
    </row>
    <row r="238" spans="2:78" s="51" customFormat="1" x14ac:dyDescent="0.25">
      <c r="E238" s="111"/>
      <c r="F238" s="111"/>
      <c r="G238" s="112"/>
      <c r="H238" s="116"/>
      <c r="I238" s="116"/>
      <c r="J238" s="109"/>
      <c r="K238" s="111"/>
      <c r="L238" s="111"/>
      <c r="M238" s="111"/>
      <c r="N238" s="111"/>
      <c r="O238" s="111"/>
      <c r="P238" s="111"/>
      <c r="Q238" s="111"/>
      <c r="R238" s="111"/>
      <c r="S238" s="111"/>
      <c r="T238" s="111"/>
      <c r="U238" s="111"/>
      <c r="V238" s="111"/>
      <c r="W238" s="111"/>
      <c r="X238" s="111"/>
      <c r="Y238" s="111"/>
      <c r="Z238" s="111"/>
      <c r="AA238" s="111"/>
      <c r="AB238" s="109"/>
      <c r="AC238" s="111"/>
      <c r="AD238" s="114"/>
      <c r="AE238" s="112"/>
      <c r="AF238" s="115"/>
      <c r="AG238" s="112"/>
      <c r="AH238" s="112"/>
      <c r="AI238" s="115"/>
      <c r="AJ238" s="115"/>
      <c r="AK238" s="114"/>
      <c r="AL238" s="116"/>
      <c r="AM238" s="112"/>
      <c r="AN238" s="112"/>
      <c r="AO238" s="109"/>
      <c r="AP238" s="121"/>
      <c r="AQ238" s="121"/>
      <c r="AR238" s="121"/>
      <c r="AS238" s="121"/>
      <c r="AT238" s="121"/>
      <c r="AU238" s="121"/>
      <c r="AV238" s="121"/>
      <c r="AW238" s="116"/>
      <c r="AX238" s="116"/>
      <c r="AY238" s="116"/>
      <c r="AZ238" s="115"/>
      <c r="BA238" s="116"/>
      <c r="BB238" s="116"/>
      <c r="BC238" s="116"/>
      <c r="BD238" s="116"/>
      <c r="BE238" s="116"/>
      <c r="BF238" s="115"/>
      <c r="BG238" s="109"/>
      <c r="BH238" s="115"/>
      <c r="BI238" s="115"/>
      <c r="BJ238" s="112"/>
      <c r="BK238" s="112"/>
      <c r="BL238" s="112"/>
      <c r="BM238" s="111"/>
      <c r="BN238" s="115"/>
      <c r="BO238" s="111"/>
      <c r="BP238" s="111"/>
      <c r="BQ238" s="111"/>
      <c r="BR238" s="111"/>
      <c r="BS238" s="112"/>
      <c r="BT238" s="116"/>
      <c r="BU238" s="112"/>
      <c r="BV238" s="116"/>
      <c r="BW238" s="116"/>
      <c r="BX238" s="116"/>
      <c r="BY238" s="116"/>
      <c r="BZ238" s="109"/>
    </row>
    <row r="239" spans="2:78" s="51" customFormat="1" x14ac:dyDescent="0.25">
      <c r="E239" s="111"/>
      <c r="F239" s="111"/>
      <c r="G239" s="112"/>
      <c r="H239" s="116"/>
      <c r="I239" s="116"/>
      <c r="J239" s="109"/>
      <c r="K239" s="111"/>
      <c r="L239" s="111"/>
      <c r="M239" s="111"/>
      <c r="N239" s="111"/>
      <c r="O239" s="111"/>
      <c r="P239" s="111"/>
      <c r="Q239" s="111"/>
      <c r="R239" s="111"/>
      <c r="S239" s="111"/>
      <c r="T239" s="111"/>
      <c r="U239" s="111"/>
      <c r="V239" s="111"/>
      <c r="W239" s="111"/>
      <c r="X239" s="111"/>
      <c r="Y239" s="111"/>
      <c r="Z239" s="111"/>
      <c r="AA239" s="111"/>
      <c r="AB239" s="109"/>
      <c r="AC239" s="111"/>
      <c r="AD239" s="114"/>
      <c r="AE239" s="112"/>
      <c r="AF239" s="115"/>
      <c r="AG239" s="112"/>
      <c r="AH239" s="112"/>
      <c r="AI239" s="115"/>
      <c r="AJ239" s="115"/>
      <c r="AK239" s="114"/>
      <c r="AL239" s="116"/>
      <c r="AM239" s="112"/>
      <c r="AN239" s="112"/>
      <c r="AO239" s="109"/>
      <c r="AP239" s="121"/>
      <c r="AQ239" s="121"/>
      <c r="AR239" s="121"/>
      <c r="AS239" s="121"/>
      <c r="AT239" s="121"/>
      <c r="AU239" s="121"/>
      <c r="AV239" s="121"/>
      <c r="AW239" s="116"/>
      <c r="AX239" s="116"/>
      <c r="AY239" s="116"/>
      <c r="AZ239" s="115"/>
      <c r="BA239" s="116"/>
      <c r="BB239" s="116"/>
      <c r="BC239" s="116"/>
      <c r="BD239" s="116"/>
      <c r="BE239" s="116"/>
      <c r="BF239" s="115"/>
      <c r="BG239" s="109"/>
      <c r="BH239" s="115"/>
      <c r="BI239" s="115"/>
      <c r="BJ239" s="112"/>
      <c r="BK239" s="112"/>
      <c r="BL239" s="112"/>
      <c r="BM239" s="111"/>
      <c r="BN239" s="115"/>
      <c r="BO239" s="111"/>
      <c r="BP239" s="111"/>
      <c r="BQ239" s="111"/>
      <c r="BR239" s="111"/>
      <c r="BS239" s="112"/>
      <c r="BT239" s="116"/>
      <c r="BU239" s="112"/>
      <c r="BV239" s="116"/>
      <c r="BW239" s="116"/>
      <c r="BX239" s="116"/>
      <c r="BY239" s="116"/>
      <c r="BZ239" s="109"/>
    </row>
    <row r="240" spans="2:78" s="51" customFormat="1" x14ac:dyDescent="0.25">
      <c r="E240" s="111"/>
      <c r="F240" s="111"/>
      <c r="G240" s="112"/>
      <c r="H240" s="116"/>
      <c r="I240" s="116"/>
      <c r="J240" s="109"/>
      <c r="K240" s="111"/>
      <c r="L240" s="111"/>
      <c r="M240" s="111"/>
      <c r="N240" s="111"/>
      <c r="O240" s="111"/>
      <c r="P240" s="111"/>
      <c r="Q240" s="111"/>
      <c r="R240" s="111"/>
      <c r="S240" s="111"/>
      <c r="T240" s="111"/>
      <c r="U240" s="111"/>
      <c r="V240" s="111"/>
      <c r="W240" s="111"/>
      <c r="X240" s="111"/>
      <c r="Y240" s="111"/>
      <c r="Z240" s="111"/>
      <c r="AA240" s="111"/>
      <c r="AB240" s="109"/>
      <c r="AC240" s="111"/>
      <c r="AD240" s="114"/>
      <c r="AE240" s="112"/>
      <c r="AF240" s="115"/>
      <c r="AG240" s="112"/>
      <c r="AH240" s="112"/>
      <c r="AI240" s="115"/>
      <c r="AJ240" s="115"/>
      <c r="AK240" s="114"/>
      <c r="AL240" s="116"/>
      <c r="AM240" s="112"/>
      <c r="AN240" s="112"/>
      <c r="AO240" s="109"/>
      <c r="AP240" s="121"/>
      <c r="AQ240" s="121"/>
      <c r="AR240" s="121"/>
      <c r="AS240" s="121"/>
      <c r="AT240" s="121"/>
      <c r="AU240" s="121"/>
      <c r="AV240" s="121"/>
      <c r="AW240" s="116"/>
      <c r="AX240" s="116"/>
      <c r="AY240" s="116"/>
      <c r="AZ240" s="115"/>
      <c r="BA240" s="116"/>
      <c r="BB240" s="116"/>
      <c r="BC240" s="116"/>
      <c r="BD240" s="116"/>
      <c r="BE240" s="116"/>
      <c r="BF240" s="115"/>
      <c r="BG240" s="109"/>
      <c r="BH240" s="115"/>
      <c r="BI240" s="115"/>
      <c r="BJ240" s="112"/>
      <c r="BK240" s="112"/>
      <c r="BL240" s="112"/>
      <c r="BM240" s="111"/>
      <c r="BN240" s="115"/>
      <c r="BO240" s="111"/>
      <c r="BP240" s="111"/>
      <c r="BQ240" s="111"/>
      <c r="BR240" s="111"/>
      <c r="BS240" s="112"/>
      <c r="BT240" s="116"/>
      <c r="BU240" s="112"/>
      <c r="BV240" s="116"/>
      <c r="BW240" s="116"/>
      <c r="BX240" s="116"/>
      <c r="BY240" s="116"/>
      <c r="BZ240" s="109"/>
    </row>
    <row r="241" spans="5:78" s="51" customFormat="1" x14ac:dyDescent="0.25">
      <c r="E241" s="111"/>
      <c r="F241" s="111"/>
      <c r="G241" s="112"/>
      <c r="H241" s="116"/>
      <c r="I241" s="116"/>
      <c r="J241" s="109"/>
      <c r="K241" s="111"/>
      <c r="L241" s="111"/>
      <c r="M241" s="111"/>
      <c r="N241" s="111"/>
      <c r="O241" s="111"/>
      <c r="P241" s="111"/>
      <c r="Q241" s="111"/>
      <c r="R241" s="111"/>
      <c r="S241" s="111"/>
      <c r="T241" s="111"/>
      <c r="U241" s="111"/>
      <c r="V241" s="111"/>
      <c r="W241" s="111"/>
      <c r="X241" s="111"/>
      <c r="Y241" s="111"/>
      <c r="Z241" s="111"/>
      <c r="AA241" s="111"/>
      <c r="AB241" s="109"/>
      <c r="AC241" s="111"/>
      <c r="AD241" s="114"/>
      <c r="AE241" s="112"/>
      <c r="AF241" s="115"/>
      <c r="AG241" s="112"/>
      <c r="AH241" s="112"/>
      <c r="AI241" s="115"/>
      <c r="AJ241" s="115"/>
      <c r="AK241" s="114"/>
      <c r="AL241" s="116"/>
      <c r="AM241" s="112"/>
      <c r="AN241" s="112"/>
      <c r="AO241" s="109"/>
      <c r="AP241" s="121"/>
      <c r="AQ241" s="121"/>
      <c r="AR241" s="121"/>
      <c r="AS241" s="121"/>
      <c r="AT241" s="121"/>
      <c r="AU241" s="121"/>
      <c r="AV241" s="121"/>
      <c r="AW241" s="116"/>
      <c r="AX241" s="116"/>
      <c r="AY241" s="116"/>
      <c r="AZ241" s="115"/>
      <c r="BA241" s="116"/>
      <c r="BB241" s="116"/>
      <c r="BC241" s="116"/>
      <c r="BD241" s="116"/>
      <c r="BE241" s="116"/>
      <c r="BF241" s="115"/>
      <c r="BG241" s="109"/>
      <c r="BH241" s="115"/>
      <c r="BI241" s="115"/>
      <c r="BJ241" s="112"/>
      <c r="BK241" s="112"/>
      <c r="BL241" s="112"/>
      <c r="BM241" s="111"/>
      <c r="BN241" s="115"/>
      <c r="BO241" s="111"/>
      <c r="BP241" s="111"/>
      <c r="BQ241" s="111"/>
      <c r="BR241" s="111"/>
      <c r="BS241" s="112"/>
      <c r="BT241" s="116"/>
      <c r="BU241" s="112"/>
      <c r="BV241" s="116"/>
      <c r="BW241" s="116"/>
      <c r="BX241" s="116"/>
      <c r="BY241" s="116"/>
      <c r="BZ241" s="109"/>
    </row>
    <row r="242" spans="5:78" s="51" customFormat="1" x14ac:dyDescent="0.25">
      <c r="E242" s="111"/>
      <c r="F242" s="111"/>
      <c r="G242" s="112"/>
      <c r="H242" s="116"/>
      <c r="I242" s="116"/>
      <c r="J242" s="109"/>
      <c r="K242" s="111"/>
      <c r="L242" s="111"/>
      <c r="M242" s="111"/>
      <c r="N242" s="111"/>
      <c r="O242" s="111"/>
      <c r="P242" s="111"/>
      <c r="Q242" s="111"/>
      <c r="R242" s="111"/>
      <c r="S242" s="111"/>
      <c r="T242" s="111"/>
      <c r="U242" s="111"/>
      <c r="V242" s="111"/>
      <c r="W242" s="111"/>
      <c r="X242" s="111"/>
      <c r="Y242" s="111"/>
      <c r="Z242" s="111"/>
      <c r="AA242" s="111"/>
      <c r="AB242" s="109"/>
      <c r="AC242" s="111"/>
      <c r="AD242" s="114"/>
      <c r="AE242" s="112"/>
      <c r="AF242" s="115"/>
      <c r="AG242" s="112"/>
      <c r="AH242" s="112"/>
      <c r="AI242" s="115"/>
      <c r="AJ242" s="115"/>
      <c r="AK242" s="114"/>
      <c r="AL242" s="116"/>
      <c r="AM242" s="112"/>
      <c r="AN242" s="112"/>
      <c r="AO242" s="109"/>
      <c r="AP242" s="121"/>
      <c r="AQ242" s="121"/>
      <c r="AR242" s="121"/>
      <c r="AS242" s="121"/>
      <c r="AT242" s="121"/>
      <c r="AU242" s="121"/>
      <c r="AV242" s="121"/>
      <c r="AW242" s="116"/>
      <c r="AX242" s="116"/>
      <c r="AY242" s="116"/>
      <c r="AZ242" s="115"/>
      <c r="BA242" s="116"/>
      <c r="BB242" s="116"/>
      <c r="BC242" s="116"/>
      <c r="BD242" s="116"/>
      <c r="BE242" s="116"/>
      <c r="BF242" s="115"/>
      <c r="BG242" s="109"/>
      <c r="BH242" s="115"/>
      <c r="BI242" s="115"/>
      <c r="BJ242" s="112"/>
      <c r="BK242" s="112"/>
      <c r="BL242" s="112"/>
      <c r="BM242" s="111"/>
      <c r="BN242" s="115"/>
      <c r="BO242" s="111"/>
      <c r="BP242" s="111"/>
      <c r="BQ242" s="111"/>
      <c r="BR242" s="111"/>
      <c r="BS242" s="112"/>
      <c r="BT242" s="116"/>
      <c r="BU242" s="112"/>
      <c r="BV242" s="116"/>
      <c r="BW242" s="116"/>
      <c r="BX242" s="116"/>
      <c r="BY242" s="116"/>
      <c r="BZ242" s="109"/>
    </row>
    <row r="243" spans="5:78" s="51" customFormat="1" x14ac:dyDescent="0.25">
      <c r="E243" s="111"/>
      <c r="F243" s="111"/>
      <c r="G243" s="112"/>
      <c r="H243" s="116"/>
      <c r="I243" s="116"/>
      <c r="J243" s="109"/>
      <c r="K243" s="111"/>
      <c r="L243" s="111"/>
      <c r="M243" s="111"/>
      <c r="N243" s="111"/>
      <c r="O243" s="111"/>
      <c r="P243" s="111"/>
      <c r="Q243" s="111"/>
      <c r="R243" s="111"/>
      <c r="S243" s="111"/>
      <c r="T243" s="111"/>
      <c r="U243" s="111"/>
      <c r="V243" s="111"/>
      <c r="W243" s="111"/>
      <c r="X243" s="111"/>
      <c r="Y243" s="111"/>
      <c r="Z243" s="111"/>
      <c r="AA243" s="111"/>
      <c r="AB243" s="109"/>
      <c r="AC243" s="111"/>
      <c r="AD243" s="114"/>
      <c r="AE243" s="112"/>
      <c r="AF243" s="115"/>
      <c r="AG243" s="112"/>
      <c r="AH243" s="112"/>
      <c r="AI243" s="115"/>
      <c r="AJ243" s="115"/>
      <c r="AK243" s="114"/>
      <c r="AL243" s="116"/>
      <c r="AM243" s="112"/>
      <c r="AN243" s="112"/>
      <c r="AO243" s="109"/>
      <c r="AP243" s="121"/>
      <c r="AQ243" s="121"/>
      <c r="AR243" s="121"/>
      <c r="AS243" s="121"/>
      <c r="AT243" s="121"/>
      <c r="AU243" s="121"/>
      <c r="AV243" s="121"/>
      <c r="AW243" s="116"/>
      <c r="AX243" s="116"/>
      <c r="AY243" s="116"/>
      <c r="AZ243" s="115"/>
      <c r="BA243" s="116"/>
      <c r="BB243" s="116"/>
      <c r="BC243" s="116"/>
      <c r="BD243" s="116"/>
      <c r="BE243" s="116"/>
      <c r="BF243" s="115"/>
      <c r="BG243" s="109"/>
      <c r="BH243" s="115"/>
      <c r="BI243" s="115"/>
      <c r="BJ243" s="112"/>
      <c r="BK243" s="112"/>
      <c r="BL243" s="112"/>
      <c r="BM243" s="111"/>
      <c r="BN243" s="115"/>
      <c r="BO243" s="111"/>
      <c r="BP243" s="111"/>
      <c r="BQ243" s="111"/>
      <c r="BR243" s="111"/>
      <c r="BS243" s="112"/>
      <c r="BT243" s="116"/>
      <c r="BU243" s="112"/>
      <c r="BV243" s="116"/>
      <c r="BW243" s="116"/>
      <c r="BX243" s="116"/>
      <c r="BY243" s="116"/>
      <c r="BZ243" s="109"/>
    </row>
    <row r="244" spans="5:78" s="51" customFormat="1" x14ac:dyDescent="0.25">
      <c r="E244" s="111"/>
      <c r="F244" s="111"/>
      <c r="G244" s="112"/>
      <c r="H244" s="116"/>
      <c r="I244" s="116"/>
      <c r="J244" s="109"/>
      <c r="K244" s="111"/>
      <c r="L244" s="111"/>
      <c r="M244" s="111"/>
      <c r="N244" s="111"/>
      <c r="O244" s="111"/>
      <c r="P244" s="111"/>
      <c r="Q244" s="111"/>
      <c r="R244" s="111"/>
      <c r="S244" s="111"/>
      <c r="T244" s="111"/>
      <c r="U244" s="111"/>
      <c r="V244" s="111"/>
      <c r="W244" s="111"/>
      <c r="X244" s="111"/>
      <c r="Y244" s="111"/>
      <c r="Z244" s="111"/>
      <c r="AA244" s="111"/>
      <c r="AB244" s="109"/>
      <c r="AC244" s="111"/>
      <c r="AD244" s="114"/>
      <c r="AE244" s="112"/>
      <c r="AF244" s="115"/>
      <c r="AG244" s="112"/>
      <c r="AH244" s="112"/>
      <c r="AI244" s="115"/>
      <c r="AJ244" s="115"/>
      <c r="AK244" s="114"/>
      <c r="AL244" s="116"/>
      <c r="AM244" s="112"/>
      <c r="AN244" s="112"/>
      <c r="AO244" s="109"/>
      <c r="AP244" s="121"/>
      <c r="AQ244" s="121"/>
      <c r="AR244" s="121"/>
      <c r="AS244" s="121"/>
      <c r="AT244" s="121"/>
      <c r="AU244" s="121"/>
      <c r="AV244" s="121"/>
      <c r="AW244" s="116"/>
      <c r="AX244" s="116"/>
      <c r="AY244" s="116"/>
      <c r="AZ244" s="115"/>
      <c r="BA244" s="116"/>
      <c r="BB244" s="116"/>
      <c r="BC244" s="116"/>
      <c r="BD244" s="116"/>
      <c r="BE244" s="116"/>
      <c r="BF244" s="115"/>
      <c r="BG244" s="109"/>
      <c r="BH244" s="115"/>
      <c r="BI244" s="115"/>
      <c r="BJ244" s="112"/>
      <c r="BK244" s="112"/>
      <c r="BL244" s="112"/>
      <c r="BM244" s="111"/>
      <c r="BN244" s="115"/>
      <c r="BO244" s="111"/>
      <c r="BP244" s="111"/>
      <c r="BQ244" s="111"/>
      <c r="BR244" s="111"/>
      <c r="BS244" s="112"/>
      <c r="BT244" s="116"/>
      <c r="BU244" s="112"/>
      <c r="BV244" s="116"/>
      <c r="BW244" s="116"/>
      <c r="BX244" s="116"/>
      <c r="BY244" s="116"/>
      <c r="BZ244" s="109"/>
    </row>
    <row r="245" spans="5:78" s="51" customFormat="1" x14ac:dyDescent="0.25">
      <c r="E245" s="111"/>
      <c r="F245" s="111"/>
      <c r="G245" s="112"/>
      <c r="H245" s="116"/>
      <c r="I245" s="116"/>
      <c r="J245" s="109"/>
      <c r="K245" s="111"/>
      <c r="L245" s="111"/>
      <c r="M245" s="111"/>
      <c r="N245" s="111"/>
      <c r="O245" s="111"/>
      <c r="P245" s="111"/>
      <c r="Q245" s="111"/>
      <c r="R245" s="111"/>
      <c r="S245" s="111"/>
      <c r="T245" s="111"/>
      <c r="U245" s="111"/>
      <c r="V245" s="111"/>
      <c r="W245" s="111"/>
      <c r="X245" s="111"/>
      <c r="Y245" s="111"/>
      <c r="Z245" s="111"/>
      <c r="AA245" s="111"/>
      <c r="AB245" s="109"/>
      <c r="AC245" s="111"/>
      <c r="AD245" s="114"/>
      <c r="AE245" s="112"/>
      <c r="AF245" s="115"/>
      <c r="AG245" s="112"/>
      <c r="AH245" s="112"/>
      <c r="AI245" s="115"/>
      <c r="AJ245" s="115"/>
      <c r="AK245" s="114"/>
      <c r="AL245" s="116"/>
      <c r="AM245" s="112"/>
      <c r="AN245" s="112"/>
      <c r="AO245" s="109"/>
      <c r="AP245" s="121"/>
      <c r="AQ245" s="121"/>
      <c r="AR245" s="121"/>
      <c r="AS245" s="121"/>
      <c r="AT245" s="121"/>
      <c r="AU245" s="121"/>
      <c r="AV245" s="121"/>
      <c r="AW245" s="116"/>
      <c r="AX245" s="116"/>
      <c r="AY245" s="116"/>
      <c r="AZ245" s="115"/>
      <c r="BA245" s="116"/>
      <c r="BB245" s="116"/>
      <c r="BC245" s="116"/>
      <c r="BD245" s="116"/>
      <c r="BE245" s="116"/>
      <c r="BF245" s="115"/>
      <c r="BG245" s="109"/>
      <c r="BH245" s="115"/>
      <c r="BI245" s="115"/>
      <c r="BJ245" s="112"/>
      <c r="BK245" s="112"/>
      <c r="BL245" s="112"/>
      <c r="BM245" s="111"/>
      <c r="BN245" s="115"/>
      <c r="BO245" s="111"/>
      <c r="BP245" s="111"/>
      <c r="BQ245" s="111"/>
      <c r="BR245" s="111"/>
      <c r="BS245" s="112"/>
      <c r="BT245" s="116"/>
      <c r="BU245" s="112"/>
      <c r="BV245" s="116"/>
      <c r="BW245" s="116"/>
      <c r="BX245" s="116"/>
      <c r="BY245" s="116"/>
      <c r="BZ245" s="109"/>
    </row>
    <row r="246" spans="5:78" s="51" customFormat="1" x14ac:dyDescent="0.25">
      <c r="E246" s="111"/>
      <c r="F246" s="111"/>
      <c r="G246" s="112"/>
      <c r="H246" s="116"/>
      <c r="I246" s="116"/>
      <c r="J246" s="109"/>
      <c r="K246" s="111"/>
      <c r="L246" s="111"/>
      <c r="M246" s="111"/>
      <c r="N246" s="111"/>
      <c r="O246" s="111"/>
      <c r="P246" s="111"/>
      <c r="Q246" s="111"/>
      <c r="R246" s="111"/>
      <c r="S246" s="111"/>
      <c r="T246" s="111"/>
      <c r="U246" s="111"/>
      <c r="V246" s="111"/>
      <c r="W246" s="111"/>
      <c r="X246" s="111"/>
      <c r="Y246" s="111"/>
      <c r="Z246" s="111"/>
      <c r="AA246" s="111"/>
      <c r="AB246" s="109"/>
      <c r="AC246" s="111"/>
      <c r="AD246" s="114"/>
      <c r="AE246" s="112"/>
      <c r="AF246" s="115"/>
      <c r="AG246" s="112"/>
      <c r="AH246" s="112"/>
      <c r="AI246" s="115"/>
      <c r="AJ246" s="115"/>
      <c r="AK246" s="114"/>
      <c r="AL246" s="116"/>
      <c r="AM246" s="112"/>
      <c r="AN246" s="112"/>
      <c r="AO246" s="109"/>
      <c r="AP246" s="121"/>
      <c r="AQ246" s="121"/>
      <c r="AR246" s="121"/>
      <c r="AS246" s="121"/>
      <c r="AT246" s="121"/>
      <c r="AU246" s="121"/>
      <c r="AV246" s="121"/>
      <c r="AW246" s="116"/>
      <c r="AX246" s="116"/>
      <c r="AY246" s="116"/>
      <c r="AZ246" s="115"/>
      <c r="BA246" s="116"/>
      <c r="BB246" s="116"/>
      <c r="BC246" s="116"/>
      <c r="BD246" s="116"/>
      <c r="BE246" s="116"/>
      <c r="BF246" s="115"/>
      <c r="BG246" s="109"/>
      <c r="BH246" s="115"/>
      <c r="BI246" s="115"/>
      <c r="BJ246" s="112"/>
      <c r="BK246" s="112"/>
      <c r="BL246" s="112"/>
      <c r="BM246" s="111"/>
      <c r="BN246" s="115"/>
      <c r="BO246" s="111"/>
      <c r="BP246" s="111"/>
      <c r="BQ246" s="111"/>
      <c r="BR246" s="111"/>
      <c r="BS246" s="112"/>
      <c r="BT246" s="116"/>
      <c r="BU246" s="112"/>
      <c r="BV246" s="116"/>
      <c r="BW246" s="116"/>
      <c r="BX246" s="116"/>
      <c r="BY246" s="116"/>
      <c r="BZ246" s="109"/>
    </row>
    <row r="247" spans="5:78" s="51" customFormat="1" x14ac:dyDescent="0.25">
      <c r="E247" s="111"/>
      <c r="F247" s="111"/>
      <c r="G247" s="112"/>
      <c r="H247" s="116"/>
      <c r="I247" s="116"/>
      <c r="J247" s="109"/>
      <c r="K247" s="111"/>
      <c r="L247" s="111"/>
      <c r="M247" s="111"/>
      <c r="N247" s="111"/>
      <c r="O247" s="111"/>
      <c r="P247" s="111"/>
      <c r="Q247" s="111"/>
      <c r="R247" s="111"/>
      <c r="S247" s="111"/>
      <c r="T247" s="111"/>
      <c r="U247" s="111"/>
      <c r="V247" s="111"/>
      <c r="W247" s="111"/>
      <c r="X247" s="111"/>
      <c r="Y247" s="111"/>
      <c r="Z247" s="111"/>
      <c r="AA247" s="111"/>
      <c r="AB247" s="109"/>
      <c r="AC247" s="111"/>
      <c r="AD247" s="114"/>
      <c r="AE247" s="112"/>
      <c r="AF247" s="115"/>
      <c r="AG247" s="112"/>
      <c r="AH247" s="112"/>
      <c r="AI247" s="115"/>
      <c r="AJ247" s="115"/>
      <c r="AK247" s="114"/>
      <c r="AL247" s="116"/>
      <c r="AM247" s="112"/>
      <c r="AN247" s="112"/>
      <c r="AO247" s="109"/>
      <c r="AP247" s="121"/>
      <c r="AQ247" s="121"/>
      <c r="AR247" s="121"/>
      <c r="AS247" s="121"/>
      <c r="AT247" s="121"/>
      <c r="AU247" s="121"/>
      <c r="AV247" s="121"/>
      <c r="AW247" s="116"/>
      <c r="AX247" s="116"/>
      <c r="AY247" s="116"/>
      <c r="AZ247" s="115"/>
      <c r="BA247" s="116"/>
      <c r="BB247" s="116"/>
      <c r="BC247" s="116"/>
      <c r="BD247" s="116"/>
      <c r="BE247" s="116"/>
      <c r="BF247" s="115"/>
      <c r="BG247" s="109"/>
      <c r="BH247" s="115"/>
      <c r="BI247" s="115"/>
      <c r="BJ247" s="112"/>
      <c r="BK247" s="112"/>
      <c r="BL247" s="112"/>
      <c r="BM247" s="111"/>
      <c r="BN247" s="115"/>
      <c r="BO247" s="111"/>
      <c r="BP247" s="111"/>
      <c r="BQ247" s="111"/>
      <c r="BR247" s="111"/>
      <c r="BS247" s="112"/>
      <c r="BT247" s="116"/>
      <c r="BU247" s="112"/>
      <c r="BV247" s="116"/>
      <c r="BW247" s="116"/>
      <c r="BX247" s="116"/>
      <c r="BY247" s="116"/>
      <c r="BZ247" s="109"/>
    </row>
    <row r="248" spans="5:78" s="51" customFormat="1" x14ac:dyDescent="0.25">
      <c r="E248" s="111"/>
      <c r="F248" s="111"/>
      <c r="G248" s="112"/>
      <c r="H248" s="116"/>
      <c r="I248" s="116"/>
      <c r="J248" s="109"/>
      <c r="K248" s="111"/>
      <c r="L248" s="111"/>
      <c r="M248" s="111"/>
      <c r="N248" s="111"/>
      <c r="O248" s="111"/>
      <c r="P248" s="111"/>
      <c r="Q248" s="111"/>
      <c r="R248" s="111"/>
      <c r="S248" s="111"/>
      <c r="T248" s="111"/>
      <c r="U248" s="111"/>
      <c r="V248" s="111"/>
      <c r="W248" s="111"/>
      <c r="X248" s="111"/>
      <c r="Y248" s="111"/>
      <c r="Z248" s="111"/>
      <c r="AA248" s="111"/>
      <c r="AB248" s="109"/>
      <c r="AC248" s="111"/>
      <c r="AD248" s="114"/>
      <c r="AE248" s="112"/>
      <c r="AF248" s="115"/>
      <c r="AG248" s="112"/>
      <c r="AH248" s="112"/>
      <c r="AI248" s="115"/>
      <c r="AJ248" s="115"/>
      <c r="AK248" s="114"/>
      <c r="AL248" s="116"/>
      <c r="AM248" s="112"/>
      <c r="AN248" s="112"/>
      <c r="AO248" s="109"/>
      <c r="AP248" s="121"/>
      <c r="AQ248" s="121"/>
      <c r="AR248" s="121"/>
      <c r="AS248" s="121"/>
      <c r="AT248" s="121"/>
      <c r="AU248" s="121"/>
      <c r="AV248" s="121"/>
      <c r="AW248" s="116"/>
      <c r="AX248" s="116"/>
      <c r="AY248" s="116"/>
      <c r="AZ248" s="115"/>
      <c r="BA248" s="116"/>
      <c r="BB248" s="116"/>
      <c r="BC248" s="116"/>
      <c r="BD248" s="116"/>
      <c r="BE248" s="116"/>
      <c r="BF248" s="115"/>
      <c r="BG248" s="109"/>
      <c r="BH248" s="115"/>
      <c r="BI248" s="115"/>
      <c r="BJ248" s="112"/>
      <c r="BK248" s="112"/>
      <c r="BL248" s="112"/>
      <c r="BM248" s="111"/>
      <c r="BN248" s="115"/>
      <c r="BO248" s="111"/>
      <c r="BP248" s="111"/>
      <c r="BQ248" s="111"/>
      <c r="BR248" s="111"/>
      <c r="BS248" s="112"/>
      <c r="BT248" s="116"/>
      <c r="BU248" s="112"/>
      <c r="BV248" s="116"/>
      <c r="BW248" s="116"/>
      <c r="BX248" s="116"/>
      <c r="BY248" s="116"/>
      <c r="BZ248" s="109"/>
    </row>
    <row r="249" spans="5:78" s="51" customFormat="1" x14ac:dyDescent="0.25">
      <c r="E249" s="111"/>
      <c r="F249" s="111"/>
      <c r="G249" s="112"/>
      <c r="H249" s="116"/>
      <c r="I249" s="116"/>
      <c r="J249" s="109"/>
      <c r="K249" s="111"/>
      <c r="L249" s="111"/>
      <c r="M249" s="111"/>
      <c r="N249" s="111"/>
      <c r="O249" s="111"/>
      <c r="P249" s="111"/>
      <c r="Q249" s="111"/>
      <c r="R249" s="111"/>
      <c r="S249" s="111"/>
      <c r="T249" s="111"/>
      <c r="U249" s="111"/>
      <c r="V249" s="111"/>
      <c r="W249" s="111"/>
      <c r="X249" s="111"/>
      <c r="Y249" s="111"/>
      <c r="Z249" s="111"/>
      <c r="AA249" s="111"/>
      <c r="AB249" s="109"/>
      <c r="AC249" s="111"/>
      <c r="AD249" s="114"/>
      <c r="AE249" s="112"/>
      <c r="AF249" s="115"/>
      <c r="AG249" s="112"/>
      <c r="AH249" s="112"/>
      <c r="AI249" s="115"/>
      <c r="AJ249" s="115"/>
      <c r="AK249" s="114"/>
      <c r="AL249" s="116"/>
      <c r="AM249" s="112"/>
      <c r="AN249" s="112"/>
      <c r="AO249" s="109"/>
      <c r="AP249" s="121"/>
      <c r="AQ249" s="121"/>
      <c r="AR249" s="121"/>
      <c r="AS249" s="121"/>
      <c r="AT249" s="121"/>
      <c r="AU249" s="121"/>
      <c r="AV249" s="121"/>
      <c r="AW249" s="116"/>
      <c r="AX249" s="116"/>
      <c r="AY249" s="116"/>
      <c r="AZ249" s="115"/>
      <c r="BA249" s="116"/>
      <c r="BB249" s="116"/>
      <c r="BC249" s="116"/>
      <c r="BD249" s="116"/>
      <c r="BE249" s="116"/>
      <c r="BF249" s="115"/>
      <c r="BG249" s="109"/>
      <c r="BH249" s="115"/>
      <c r="BI249" s="115"/>
      <c r="BJ249" s="112"/>
      <c r="BK249" s="112"/>
      <c r="BL249" s="112"/>
      <c r="BM249" s="111"/>
      <c r="BN249" s="115"/>
      <c r="BO249" s="111"/>
      <c r="BP249" s="111"/>
      <c r="BQ249" s="111"/>
      <c r="BR249" s="111"/>
      <c r="BS249" s="112"/>
      <c r="BT249" s="116"/>
      <c r="BU249" s="112"/>
      <c r="BV249" s="116"/>
      <c r="BW249" s="116"/>
      <c r="BX249" s="116"/>
      <c r="BY249" s="116"/>
      <c r="BZ249" s="109"/>
    </row>
    <row r="250" spans="5:78" s="51" customFormat="1" x14ac:dyDescent="0.25">
      <c r="E250" s="111"/>
      <c r="F250" s="111"/>
      <c r="G250" s="112"/>
      <c r="H250" s="116"/>
      <c r="I250" s="116"/>
      <c r="J250" s="109"/>
      <c r="K250" s="111"/>
      <c r="L250" s="111"/>
      <c r="M250" s="111"/>
      <c r="N250" s="111"/>
      <c r="O250" s="111"/>
      <c r="P250" s="111"/>
      <c r="Q250" s="111"/>
      <c r="R250" s="111"/>
      <c r="S250" s="111"/>
      <c r="T250" s="111"/>
      <c r="U250" s="111"/>
      <c r="V250" s="111"/>
      <c r="W250" s="111"/>
      <c r="X250" s="111"/>
      <c r="Y250" s="111"/>
      <c r="Z250" s="111"/>
      <c r="AA250" s="111"/>
      <c r="AB250" s="109"/>
      <c r="AC250" s="111"/>
      <c r="AD250" s="114"/>
      <c r="AE250" s="112"/>
      <c r="AF250" s="115"/>
      <c r="AG250" s="112"/>
      <c r="AH250" s="112"/>
      <c r="AI250" s="115"/>
      <c r="AJ250" s="115"/>
      <c r="AK250" s="114"/>
      <c r="AL250" s="116"/>
      <c r="AM250" s="112"/>
      <c r="AN250" s="112"/>
      <c r="AO250" s="109"/>
      <c r="AP250" s="121"/>
      <c r="AQ250" s="121"/>
      <c r="AR250" s="121"/>
      <c r="AS250" s="121"/>
      <c r="AT250" s="121"/>
      <c r="AU250" s="121"/>
      <c r="AV250" s="121"/>
      <c r="AW250" s="116"/>
      <c r="AX250" s="116"/>
      <c r="AY250" s="116"/>
      <c r="AZ250" s="115"/>
      <c r="BA250" s="116"/>
      <c r="BB250" s="116"/>
      <c r="BC250" s="116"/>
      <c r="BD250" s="116"/>
      <c r="BE250" s="116"/>
      <c r="BF250" s="115"/>
      <c r="BG250" s="109"/>
      <c r="BH250" s="115"/>
      <c r="BI250" s="115"/>
      <c r="BJ250" s="112"/>
      <c r="BK250" s="112"/>
      <c r="BL250" s="112"/>
      <c r="BM250" s="111"/>
      <c r="BN250" s="115"/>
      <c r="BO250" s="111"/>
      <c r="BP250" s="111"/>
      <c r="BQ250" s="111"/>
      <c r="BR250" s="111"/>
      <c r="BS250" s="112"/>
      <c r="BT250" s="116"/>
      <c r="BU250" s="112"/>
      <c r="BV250" s="116"/>
      <c r="BW250" s="116"/>
      <c r="BX250" s="116"/>
      <c r="BY250" s="116"/>
      <c r="BZ250" s="109"/>
    </row>
    <row r="251" spans="5:78" s="51" customFormat="1" x14ac:dyDescent="0.25">
      <c r="E251" s="111"/>
      <c r="F251" s="111"/>
      <c r="G251" s="112"/>
      <c r="H251" s="116"/>
      <c r="I251" s="116"/>
      <c r="J251" s="109"/>
      <c r="K251" s="111"/>
      <c r="L251" s="111"/>
      <c r="M251" s="111"/>
      <c r="N251" s="111"/>
      <c r="O251" s="111"/>
      <c r="P251" s="111"/>
      <c r="Q251" s="111"/>
      <c r="R251" s="111"/>
      <c r="S251" s="111"/>
      <c r="T251" s="111"/>
      <c r="U251" s="111"/>
      <c r="V251" s="111"/>
      <c r="W251" s="111"/>
      <c r="X251" s="111"/>
      <c r="Y251" s="111"/>
      <c r="Z251" s="111"/>
      <c r="AA251" s="111"/>
      <c r="AB251" s="109"/>
      <c r="AC251" s="111"/>
      <c r="AD251" s="114"/>
      <c r="AE251" s="112"/>
      <c r="AF251" s="115"/>
      <c r="AG251" s="112"/>
      <c r="AH251" s="112"/>
      <c r="AI251" s="115"/>
      <c r="AJ251" s="115"/>
      <c r="AK251" s="114"/>
      <c r="AL251" s="116"/>
      <c r="AM251" s="112"/>
      <c r="AN251" s="112"/>
      <c r="AO251" s="109"/>
      <c r="AP251" s="121"/>
      <c r="AQ251" s="121"/>
      <c r="AR251" s="121"/>
      <c r="AS251" s="121"/>
      <c r="AT251" s="121"/>
      <c r="AU251" s="121"/>
      <c r="AV251" s="121"/>
      <c r="AW251" s="116"/>
      <c r="AX251" s="116"/>
      <c r="AY251" s="116"/>
      <c r="AZ251" s="115"/>
      <c r="BA251" s="116"/>
      <c r="BB251" s="116"/>
      <c r="BC251" s="116"/>
      <c r="BD251" s="116"/>
      <c r="BE251" s="116"/>
      <c r="BF251" s="115"/>
      <c r="BG251" s="109"/>
      <c r="BH251" s="115"/>
      <c r="BI251" s="115"/>
      <c r="BJ251" s="112"/>
      <c r="BK251" s="112"/>
      <c r="BL251" s="112"/>
      <c r="BM251" s="111"/>
      <c r="BN251" s="115"/>
      <c r="BO251" s="111"/>
      <c r="BP251" s="111"/>
      <c r="BQ251" s="111"/>
      <c r="BR251" s="111"/>
      <c r="BS251" s="112"/>
      <c r="BT251" s="116"/>
      <c r="BU251" s="112"/>
      <c r="BV251" s="116"/>
      <c r="BW251" s="116"/>
      <c r="BX251" s="116"/>
      <c r="BY251" s="116"/>
      <c r="BZ251" s="109"/>
    </row>
    <row r="252" spans="5:78" s="51" customFormat="1" x14ac:dyDescent="0.25">
      <c r="E252" s="111"/>
      <c r="F252" s="111"/>
      <c r="G252" s="112"/>
      <c r="H252" s="116"/>
      <c r="I252" s="116"/>
      <c r="J252" s="109"/>
      <c r="K252" s="111"/>
      <c r="L252" s="111"/>
      <c r="M252" s="111"/>
      <c r="N252" s="111"/>
      <c r="O252" s="111"/>
      <c r="P252" s="111"/>
      <c r="Q252" s="111"/>
      <c r="R252" s="111"/>
      <c r="S252" s="111"/>
      <c r="T252" s="111"/>
      <c r="U252" s="111"/>
      <c r="V252" s="111"/>
      <c r="W252" s="111"/>
      <c r="X252" s="111"/>
      <c r="Y252" s="111"/>
      <c r="Z252" s="111"/>
      <c r="AA252" s="111"/>
      <c r="AB252" s="109"/>
      <c r="AC252" s="111"/>
      <c r="AD252" s="114"/>
      <c r="AE252" s="112"/>
      <c r="AF252" s="115"/>
      <c r="AG252" s="112"/>
      <c r="AH252" s="112"/>
      <c r="AI252" s="115"/>
      <c r="AJ252" s="115"/>
      <c r="AK252" s="114"/>
      <c r="AL252" s="116"/>
      <c r="AM252" s="112"/>
      <c r="AN252" s="112"/>
      <c r="AO252" s="109"/>
      <c r="AP252" s="121"/>
      <c r="AQ252" s="121"/>
      <c r="AR252" s="121"/>
      <c r="AS252" s="121"/>
      <c r="AT252" s="121"/>
      <c r="AU252" s="121"/>
      <c r="AV252" s="121"/>
      <c r="AW252" s="116"/>
      <c r="AX252" s="116"/>
      <c r="AY252" s="116"/>
      <c r="AZ252" s="115"/>
      <c r="BA252" s="116"/>
      <c r="BB252" s="116"/>
      <c r="BC252" s="116"/>
      <c r="BD252" s="116"/>
      <c r="BE252" s="116"/>
      <c r="BF252" s="115"/>
      <c r="BG252" s="109"/>
      <c r="BH252" s="115"/>
      <c r="BI252" s="115"/>
      <c r="BJ252" s="112"/>
      <c r="BK252" s="112"/>
      <c r="BL252" s="112"/>
      <c r="BM252" s="111"/>
      <c r="BN252" s="115"/>
      <c r="BO252" s="111"/>
      <c r="BP252" s="111"/>
      <c r="BQ252" s="111"/>
      <c r="BR252" s="111"/>
      <c r="BS252" s="112"/>
      <c r="BT252" s="116"/>
      <c r="BU252" s="112"/>
      <c r="BV252" s="116"/>
      <c r="BW252" s="116"/>
      <c r="BX252" s="116"/>
      <c r="BY252" s="116"/>
      <c r="BZ252" s="109"/>
    </row>
    <row r="253" spans="5:78" s="51" customFormat="1" x14ac:dyDescent="0.25">
      <c r="E253" s="111"/>
      <c r="F253" s="111"/>
      <c r="G253" s="112"/>
      <c r="H253" s="116"/>
      <c r="I253" s="116"/>
      <c r="J253" s="109"/>
      <c r="K253" s="111"/>
      <c r="L253" s="111"/>
      <c r="M253" s="111"/>
      <c r="N253" s="111"/>
      <c r="O253" s="111"/>
      <c r="P253" s="111"/>
      <c r="Q253" s="111"/>
      <c r="R253" s="111"/>
      <c r="S253" s="111"/>
      <c r="T253" s="111"/>
      <c r="U253" s="111"/>
      <c r="V253" s="111"/>
      <c r="W253" s="111"/>
      <c r="X253" s="111"/>
      <c r="Y253" s="111"/>
      <c r="Z253" s="111"/>
      <c r="AA253" s="111"/>
      <c r="AB253" s="109"/>
      <c r="AC253" s="111"/>
      <c r="AD253" s="114"/>
      <c r="AE253" s="112"/>
      <c r="AF253" s="115"/>
      <c r="AG253" s="112"/>
      <c r="AH253" s="112"/>
      <c r="AI253" s="115"/>
      <c r="AJ253" s="115"/>
      <c r="AK253" s="114"/>
      <c r="AL253" s="116"/>
      <c r="AM253" s="112"/>
      <c r="AN253" s="112"/>
      <c r="AO253" s="109"/>
      <c r="AP253" s="121"/>
      <c r="AQ253" s="121"/>
      <c r="AR253" s="121"/>
      <c r="AS253" s="121"/>
      <c r="AT253" s="121"/>
      <c r="AU253" s="121"/>
      <c r="AV253" s="121"/>
      <c r="AW253" s="116"/>
      <c r="AX253" s="116"/>
      <c r="AY253" s="116"/>
      <c r="AZ253" s="115"/>
      <c r="BA253" s="116"/>
      <c r="BB253" s="116"/>
      <c r="BC253" s="116"/>
      <c r="BD253" s="116"/>
      <c r="BE253" s="116"/>
      <c r="BF253" s="115"/>
      <c r="BG253" s="109"/>
      <c r="BH253" s="115"/>
      <c r="BI253" s="115"/>
      <c r="BJ253" s="112"/>
      <c r="BK253" s="112"/>
      <c r="BL253" s="112"/>
      <c r="BM253" s="111"/>
      <c r="BN253" s="115"/>
      <c r="BO253" s="111"/>
      <c r="BP253" s="111"/>
      <c r="BQ253" s="111"/>
      <c r="BR253" s="111"/>
      <c r="BS253" s="112"/>
      <c r="BT253" s="116"/>
      <c r="BU253" s="112"/>
      <c r="BV253" s="116"/>
      <c r="BW253" s="116"/>
      <c r="BX253" s="116"/>
      <c r="BY253" s="116"/>
      <c r="BZ253" s="109"/>
    </row>
    <row r="254" spans="5:78" s="51" customFormat="1" x14ac:dyDescent="0.25">
      <c r="E254" s="111"/>
      <c r="F254" s="111"/>
      <c r="G254" s="112"/>
      <c r="H254" s="116"/>
      <c r="I254" s="116"/>
      <c r="J254" s="109"/>
      <c r="K254" s="111"/>
      <c r="L254" s="111"/>
      <c r="M254" s="111"/>
      <c r="N254" s="111"/>
      <c r="O254" s="111"/>
      <c r="P254" s="111"/>
      <c r="Q254" s="111"/>
      <c r="R254" s="111"/>
      <c r="S254" s="111"/>
      <c r="T254" s="111"/>
      <c r="U254" s="111"/>
      <c r="V254" s="111"/>
      <c r="W254" s="111"/>
      <c r="X254" s="111"/>
      <c r="Y254" s="111"/>
      <c r="Z254" s="111"/>
      <c r="AA254" s="111"/>
      <c r="AB254" s="109"/>
      <c r="AC254" s="111"/>
      <c r="AD254" s="114"/>
      <c r="AE254" s="112"/>
      <c r="AF254" s="115"/>
      <c r="AG254" s="112"/>
      <c r="AH254" s="112"/>
      <c r="AI254" s="115"/>
      <c r="AJ254" s="115"/>
      <c r="AK254" s="114"/>
      <c r="AL254" s="116"/>
      <c r="AM254" s="112"/>
      <c r="AN254" s="112"/>
      <c r="AO254" s="109"/>
      <c r="AP254" s="121"/>
      <c r="AQ254" s="121"/>
      <c r="AR254" s="121"/>
      <c r="AS254" s="121"/>
      <c r="AT254" s="121"/>
      <c r="AU254" s="121"/>
      <c r="AV254" s="121"/>
      <c r="AW254" s="116"/>
      <c r="AX254" s="116"/>
      <c r="AY254" s="116"/>
      <c r="AZ254" s="115"/>
      <c r="BA254" s="116"/>
      <c r="BB254" s="116"/>
      <c r="BC254" s="116"/>
      <c r="BD254" s="116"/>
      <c r="BE254" s="116"/>
      <c r="BF254" s="115"/>
      <c r="BG254" s="109"/>
      <c r="BH254" s="115"/>
      <c r="BI254" s="115"/>
      <c r="BJ254" s="112"/>
      <c r="BK254" s="112"/>
      <c r="BL254" s="112"/>
      <c r="BM254" s="111"/>
      <c r="BN254" s="115"/>
      <c r="BO254" s="111"/>
      <c r="BP254" s="111"/>
      <c r="BQ254" s="111"/>
      <c r="BR254" s="111"/>
      <c r="BS254" s="112"/>
      <c r="BT254" s="116"/>
      <c r="BU254" s="112"/>
      <c r="BV254" s="116"/>
      <c r="BW254" s="116"/>
      <c r="BX254" s="116"/>
      <c r="BY254" s="116"/>
      <c r="BZ254" s="109"/>
    </row>
    <row r="255" spans="5:78" s="51" customFormat="1" x14ac:dyDescent="0.25">
      <c r="E255" s="111"/>
      <c r="F255" s="111"/>
      <c r="G255" s="112"/>
      <c r="H255" s="116"/>
      <c r="I255" s="116"/>
      <c r="J255" s="109"/>
      <c r="K255" s="111"/>
      <c r="L255" s="111"/>
      <c r="M255" s="111"/>
      <c r="N255" s="111"/>
      <c r="O255" s="111"/>
      <c r="P255" s="111"/>
      <c r="Q255" s="111"/>
      <c r="R255" s="111"/>
      <c r="S255" s="111"/>
      <c r="T255" s="111"/>
      <c r="U255" s="111"/>
      <c r="V255" s="111"/>
      <c r="W255" s="111"/>
      <c r="X255" s="111"/>
      <c r="Y255" s="111"/>
      <c r="Z255" s="111"/>
      <c r="AA255" s="111"/>
      <c r="AB255" s="109"/>
      <c r="AC255" s="111"/>
      <c r="AD255" s="114"/>
      <c r="AE255" s="112"/>
      <c r="AF255" s="115"/>
      <c r="AG255" s="112"/>
      <c r="AH255" s="112"/>
      <c r="AI255" s="115"/>
      <c r="AJ255" s="115"/>
      <c r="AK255" s="114"/>
      <c r="AL255" s="116"/>
      <c r="AM255" s="112"/>
      <c r="AN255" s="112"/>
      <c r="AO255" s="109"/>
      <c r="AP255" s="121"/>
      <c r="AQ255" s="121"/>
      <c r="AR255" s="121"/>
      <c r="AS255" s="121"/>
      <c r="AT255" s="121"/>
      <c r="AU255" s="121"/>
      <c r="AV255" s="121"/>
      <c r="AW255" s="116"/>
      <c r="AX255" s="116"/>
      <c r="AY255" s="116"/>
      <c r="AZ255" s="115"/>
      <c r="BA255" s="116"/>
      <c r="BB255" s="116"/>
      <c r="BC255" s="116"/>
      <c r="BD255" s="116"/>
      <c r="BE255" s="116"/>
      <c r="BF255" s="115"/>
      <c r="BG255" s="109"/>
      <c r="BH255" s="115"/>
      <c r="BI255" s="115"/>
      <c r="BJ255" s="112"/>
      <c r="BK255" s="112"/>
      <c r="BL255" s="112"/>
      <c r="BM255" s="111"/>
      <c r="BN255" s="115"/>
      <c r="BO255" s="111"/>
      <c r="BP255" s="111"/>
      <c r="BQ255" s="111"/>
      <c r="BR255" s="111"/>
      <c r="BS255" s="112"/>
      <c r="BT255" s="116"/>
      <c r="BU255" s="112"/>
      <c r="BV255" s="116"/>
      <c r="BW255" s="116"/>
      <c r="BX255" s="116"/>
      <c r="BY255" s="116"/>
      <c r="BZ255" s="109"/>
    </row>
    <row r="256" spans="5:78" s="51" customFormat="1" x14ac:dyDescent="0.25">
      <c r="E256" s="111"/>
      <c r="F256" s="111"/>
      <c r="G256" s="112"/>
      <c r="H256" s="116"/>
      <c r="I256" s="116"/>
      <c r="J256" s="109"/>
      <c r="K256" s="111"/>
      <c r="L256" s="111"/>
      <c r="M256" s="111"/>
      <c r="N256" s="111"/>
      <c r="O256" s="111"/>
      <c r="P256" s="111"/>
      <c r="Q256" s="111"/>
      <c r="R256" s="111"/>
      <c r="S256" s="111"/>
      <c r="T256" s="111"/>
      <c r="U256" s="111"/>
      <c r="V256" s="111"/>
      <c r="W256" s="111"/>
      <c r="X256" s="111"/>
      <c r="Y256" s="111"/>
      <c r="Z256" s="111"/>
      <c r="AA256" s="111"/>
      <c r="AB256" s="109"/>
      <c r="AC256" s="111"/>
      <c r="AD256" s="114"/>
      <c r="AE256" s="112"/>
      <c r="AF256" s="115"/>
      <c r="AG256" s="112"/>
      <c r="AH256" s="112"/>
      <c r="AI256" s="115"/>
      <c r="AJ256" s="115"/>
      <c r="AK256" s="114"/>
      <c r="AL256" s="116"/>
      <c r="AM256" s="112"/>
      <c r="AN256" s="112"/>
      <c r="AO256" s="109"/>
      <c r="AP256" s="121"/>
      <c r="AQ256" s="121"/>
      <c r="AR256" s="121"/>
      <c r="AS256" s="121"/>
      <c r="AT256" s="121"/>
      <c r="AU256" s="121"/>
      <c r="AV256" s="121"/>
      <c r="AW256" s="116"/>
      <c r="AX256" s="116"/>
      <c r="AY256" s="116"/>
      <c r="AZ256" s="115"/>
      <c r="BA256" s="116"/>
      <c r="BB256" s="116"/>
      <c r="BC256" s="116"/>
      <c r="BD256" s="116"/>
      <c r="BE256" s="116"/>
      <c r="BF256" s="115"/>
      <c r="BG256" s="109"/>
      <c r="BH256" s="115"/>
      <c r="BI256" s="115"/>
      <c r="BJ256" s="112"/>
      <c r="BK256" s="112"/>
      <c r="BL256" s="112"/>
      <c r="BM256" s="111"/>
      <c r="BN256" s="115"/>
      <c r="BO256" s="111"/>
      <c r="BP256" s="111"/>
      <c r="BQ256" s="111"/>
      <c r="BR256" s="111"/>
      <c r="BS256" s="112"/>
      <c r="BT256" s="116"/>
      <c r="BU256" s="112"/>
      <c r="BV256" s="116"/>
      <c r="BW256" s="116"/>
      <c r="BX256" s="116"/>
      <c r="BY256" s="116"/>
      <c r="BZ256" s="109"/>
    </row>
    <row r="257" spans="5:78" s="51" customFormat="1" x14ac:dyDescent="0.25">
      <c r="E257" s="111"/>
      <c r="F257" s="111"/>
      <c r="G257" s="112"/>
      <c r="H257" s="116"/>
      <c r="I257" s="116"/>
      <c r="J257" s="109"/>
      <c r="K257" s="111"/>
      <c r="L257" s="111"/>
      <c r="M257" s="111"/>
      <c r="N257" s="111"/>
      <c r="O257" s="111"/>
      <c r="P257" s="111"/>
      <c r="Q257" s="111"/>
      <c r="R257" s="111"/>
      <c r="S257" s="111"/>
      <c r="T257" s="111"/>
      <c r="U257" s="111"/>
      <c r="V257" s="111"/>
      <c r="W257" s="111"/>
      <c r="X257" s="111"/>
      <c r="Y257" s="111"/>
      <c r="Z257" s="111"/>
      <c r="AA257" s="111"/>
      <c r="AB257" s="109"/>
      <c r="AC257" s="111"/>
      <c r="AD257" s="114"/>
      <c r="AE257" s="112"/>
      <c r="AF257" s="115"/>
      <c r="AG257" s="112"/>
      <c r="AH257" s="112"/>
      <c r="AI257" s="115"/>
      <c r="AJ257" s="115"/>
      <c r="AK257" s="114"/>
      <c r="AL257" s="116"/>
      <c r="AM257" s="112"/>
      <c r="AN257" s="112"/>
      <c r="AO257" s="109"/>
      <c r="AP257" s="121"/>
      <c r="AQ257" s="121"/>
      <c r="AR257" s="121"/>
      <c r="AS257" s="121"/>
      <c r="AT257" s="121"/>
      <c r="AU257" s="121"/>
      <c r="AV257" s="121"/>
      <c r="AW257" s="116"/>
      <c r="AX257" s="116"/>
      <c r="AY257" s="116"/>
      <c r="AZ257" s="115"/>
      <c r="BA257" s="116"/>
      <c r="BB257" s="116"/>
      <c r="BC257" s="116"/>
      <c r="BD257" s="116"/>
      <c r="BE257" s="116"/>
      <c r="BF257" s="115"/>
      <c r="BG257" s="109"/>
      <c r="BH257" s="115"/>
      <c r="BI257" s="115"/>
      <c r="BJ257" s="112"/>
      <c r="BK257" s="112"/>
      <c r="BL257" s="112"/>
      <c r="BM257" s="111"/>
      <c r="BN257" s="115"/>
      <c r="BO257" s="111"/>
      <c r="BP257" s="111"/>
      <c r="BQ257" s="111"/>
      <c r="BR257" s="111"/>
      <c r="BS257" s="112"/>
      <c r="BT257" s="116"/>
      <c r="BU257" s="112"/>
      <c r="BV257" s="116"/>
      <c r="BW257" s="116"/>
      <c r="BX257" s="116"/>
      <c r="BY257" s="116"/>
      <c r="BZ257" s="109"/>
    </row>
    <row r="258" spans="5:78" s="51" customFormat="1" x14ac:dyDescent="0.25">
      <c r="E258" s="111"/>
      <c r="F258" s="111"/>
      <c r="G258" s="112"/>
      <c r="H258" s="116"/>
      <c r="I258" s="116"/>
      <c r="J258" s="109"/>
      <c r="K258" s="111"/>
      <c r="L258" s="111"/>
      <c r="M258" s="111"/>
      <c r="N258" s="111"/>
      <c r="O258" s="111"/>
      <c r="P258" s="111"/>
      <c r="Q258" s="111"/>
      <c r="R258" s="111"/>
      <c r="S258" s="111"/>
      <c r="T258" s="111"/>
      <c r="U258" s="111"/>
      <c r="V258" s="111"/>
      <c r="W258" s="111"/>
      <c r="X258" s="111"/>
      <c r="Y258" s="111"/>
      <c r="Z258" s="111"/>
      <c r="AA258" s="111"/>
      <c r="AB258" s="109"/>
      <c r="AC258" s="111"/>
      <c r="AD258" s="114"/>
      <c r="AE258" s="112"/>
      <c r="AF258" s="115"/>
      <c r="AG258" s="112"/>
      <c r="AH258" s="112"/>
      <c r="AI258" s="115"/>
      <c r="AJ258" s="115"/>
      <c r="AK258" s="114"/>
      <c r="AL258" s="116"/>
      <c r="AM258" s="112"/>
      <c r="AN258" s="112"/>
      <c r="AO258" s="109"/>
      <c r="AP258" s="121"/>
      <c r="AQ258" s="121"/>
      <c r="AR258" s="121"/>
      <c r="AS258" s="121"/>
      <c r="AT258" s="121"/>
      <c r="AU258" s="121"/>
      <c r="AV258" s="121"/>
      <c r="AW258" s="116"/>
      <c r="AX258" s="116"/>
      <c r="AY258" s="116"/>
      <c r="AZ258" s="115"/>
      <c r="BA258" s="116"/>
      <c r="BB258" s="116"/>
      <c r="BC258" s="116"/>
      <c r="BD258" s="116"/>
      <c r="BE258" s="116"/>
      <c r="BF258" s="115"/>
      <c r="BG258" s="109"/>
      <c r="BH258" s="115"/>
      <c r="BI258" s="115"/>
      <c r="BJ258" s="112"/>
      <c r="BK258" s="112"/>
      <c r="BL258" s="112"/>
      <c r="BM258" s="111"/>
      <c r="BN258" s="115"/>
      <c r="BO258" s="111"/>
      <c r="BP258" s="111"/>
      <c r="BQ258" s="111"/>
      <c r="BR258" s="111"/>
      <c r="BS258" s="112"/>
      <c r="BT258" s="116"/>
      <c r="BU258" s="112"/>
      <c r="BV258" s="116"/>
      <c r="BW258" s="116"/>
      <c r="BX258" s="116"/>
      <c r="BY258" s="116"/>
      <c r="BZ258" s="109"/>
    </row>
    <row r="259" spans="5:78" s="51" customFormat="1" x14ac:dyDescent="0.25">
      <c r="E259" s="111"/>
      <c r="F259" s="111"/>
      <c r="G259" s="112"/>
      <c r="H259" s="116"/>
      <c r="I259" s="116"/>
      <c r="J259" s="109"/>
      <c r="K259" s="111"/>
      <c r="L259" s="111"/>
      <c r="M259" s="111"/>
      <c r="N259" s="111"/>
      <c r="O259" s="111"/>
      <c r="P259" s="111"/>
      <c r="Q259" s="111"/>
      <c r="R259" s="111"/>
      <c r="S259" s="111"/>
      <c r="T259" s="111"/>
      <c r="U259" s="111"/>
      <c r="V259" s="111"/>
      <c r="W259" s="111"/>
      <c r="X259" s="111"/>
      <c r="Y259" s="111"/>
      <c r="Z259" s="111"/>
      <c r="AA259" s="111"/>
      <c r="AB259" s="109"/>
      <c r="AC259" s="111"/>
      <c r="AD259" s="114"/>
      <c r="AE259" s="112"/>
      <c r="AF259" s="115"/>
      <c r="AG259" s="112"/>
      <c r="AH259" s="112"/>
      <c r="AI259" s="115"/>
      <c r="AJ259" s="115"/>
      <c r="AK259" s="114"/>
      <c r="AL259" s="116"/>
      <c r="AM259" s="112"/>
      <c r="AN259" s="112"/>
      <c r="AO259" s="109"/>
      <c r="AP259" s="121"/>
      <c r="AQ259" s="121"/>
      <c r="AR259" s="121"/>
      <c r="AS259" s="121"/>
      <c r="AT259" s="121"/>
      <c r="AU259" s="121"/>
      <c r="AV259" s="121"/>
      <c r="AW259" s="116"/>
      <c r="AX259" s="116"/>
      <c r="AY259" s="116"/>
      <c r="AZ259" s="115"/>
      <c r="BA259" s="116"/>
      <c r="BB259" s="116"/>
      <c r="BC259" s="116"/>
      <c r="BD259" s="116"/>
      <c r="BE259" s="116"/>
      <c r="BF259" s="115"/>
      <c r="BG259" s="109"/>
      <c r="BH259" s="115"/>
      <c r="BI259" s="115"/>
      <c r="BJ259" s="112"/>
      <c r="BK259" s="112"/>
      <c r="BL259" s="112"/>
      <c r="BM259" s="111"/>
      <c r="BN259" s="115"/>
      <c r="BO259" s="111"/>
      <c r="BP259" s="111"/>
      <c r="BQ259" s="111"/>
      <c r="BR259" s="111"/>
      <c r="BS259" s="112"/>
      <c r="BT259" s="116"/>
      <c r="BU259" s="112"/>
      <c r="BV259" s="116"/>
      <c r="BW259" s="116"/>
      <c r="BX259" s="116"/>
      <c r="BY259" s="116"/>
      <c r="BZ259" s="109"/>
    </row>
    <row r="260" spans="5:78" s="51" customFormat="1" x14ac:dyDescent="0.25">
      <c r="E260" s="111"/>
      <c r="F260" s="111"/>
      <c r="G260" s="112"/>
      <c r="H260" s="116"/>
      <c r="I260" s="116"/>
      <c r="J260" s="109"/>
      <c r="K260" s="111"/>
      <c r="L260" s="111"/>
      <c r="M260" s="111"/>
      <c r="N260" s="111"/>
      <c r="O260" s="111"/>
      <c r="P260" s="111"/>
      <c r="Q260" s="111"/>
      <c r="R260" s="111"/>
      <c r="S260" s="111"/>
      <c r="T260" s="111"/>
      <c r="U260" s="111"/>
      <c r="V260" s="111"/>
      <c r="W260" s="111"/>
      <c r="X260" s="111"/>
      <c r="Y260" s="111"/>
      <c r="Z260" s="111"/>
      <c r="AA260" s="111"/>
      <c r="AB260" s="109"/>
      <c r="AC260" s="111"/>
      <c r="AD260" s="114"/>
      <c r="AE260" s="112"/>
      <c r="AF260" s="115"/>
      <c r="AG260" s="112"/>
      <c r="AH260" s="112"/>
      <c r="AI260" s="115"/>
      <c r="AJ260" s="115"/>
      <c r="AK260" s="114"/>
      <c r="AL260" s="116"/>
      <c r="AM260" s="112"/>
      <c r="AN260" s="112"/>
      <c r="AO260" s="109"/>
      <c r="AP260" s="121"/>
      <c r="AQ260" s="121"/>
      <c r="AR260" s="121"/>
      <c r="AS260" s="121"/>
      <c r="AT260" s="121"/>
      <c r="AU260" s="121"/>
      <c r="AV260" s="121"/>
      <c r="AW260" s="116"/>
      <c r="AX260" s="116"/>
      <c r="AY260" s="116"/>
      <c r="AZ260" s="115"/>
      <c r="BA260" s="116"/>
      <c r="BB260" s="116"/>
      <c r="BC260" s="116"/>
      <c r="BD260" s="116"/>
      <c r="BE260" s="116"/>
      <c r="BF260" s="115"/>
      <c r="BG260" s="109"/>
      <c r="BH260" s="115"/>
      <c r="BI260" s="115"/>
      <c r="BJ260" s="112"/>
      <c r="BK260" s="112"/>
      <c r="BL260" s="112"/>
      <c r="BM260" s="111"/>
      <c r="BN260" s="115"/>
      <c r="BO260" s="111"/>
      <c r="BP260" s="111"/>
      <c r="BQ260" s="111"/>
      <c r="BR260" s="111"/>
      <c r="BS260" s="112"/>
      <c r="BT260" s="116"/>
      <c r="BU260" s="112"/>
      <c r="BV260" s="116"/>
      <c r="BW260" s="116"/>
      <c r="BX260" s="116"/>
      <c r="BY260" s="116"/>
      <c r="BZ260" s="109"/>
    </row>
    <row r="261" spans="5:78" s="51" customFormat="1" x14ac:dyDescent="0.25">
      <c r="E261" s="111"/>
      <c r="F261" s="111"/>
      <c r="G261" s="112"/>
      <c r="H261" s="116"/>
      <c r="I261" s="116"/>
      <c r="J261" s="109"/>
      <c r="K261" s="111"/>
      <c r="L261" s="111"/>
      <c r="M261" s="111"/>
      <c r="N261" s="111"/>
      <c r="O261" s="111"/>
      <c r="P261" s="111"/>
      <c r="Q261" s="111"/>
      <c r="R261" s="111"/>
      <c r="S261" s="111"/>
      <c r="T261" s="111"/>
      <c r="U261" s="111"/>
      <c r="V261" s="111"/>
      <c r="W261" s="111"/>
      <c r="X261" s="111"/>
      <c r="Y261" s="111"/>
      <c r="Z261" s="111"/>
      <c r="AA261" s="111"/>
      <c r="AB261" s="109"/>
      <c r="AC261" s="111"/>
      <c r="AD261" s="114"/>
      <c r="AE261" s="112"/>
      <c r="AF261" s="115"/>
      <c r="AG261" s="112"/>
      <c r="AH261" s="112"/>
      <c r="AI261" s="115"/>
      <c r="AJ261" s="115"/>
      <c r="AK261" s="114"/>
      <c r="AL261" s="116"/>
      <c r="AM261" s="112"/>
      <c r="AN261" s="112"/>
      <c r="AO261" s="109"/>
      <c r="AP261" s="121"/>
      <c r="AQ261" s="121"/>
      <c r="AR261" s="121"/>
      <c r="AS261" s="121"/>
      <c r="AT261" s="121"/>
      <c r="AU261" s="121"/>
      <c r="AV261" s="121"/>
      <c r="AW261" s="116"/>
      <c r="AX261" s="116"/>
      <c r="AY261" s="116"/>
      <c r="AZ261" s="115"/>
      <c r="BA261" s="116"/>
      <c r="BB261" s="116"/>
      <c r="BC261" s="116"/>
      <c r="BD261" s="116"/>
      <c r="BE261" s="116"/>
      <c r="BF261" s="115"/>
      <c r="BG261" s="109"/>
      <c r="BH261" s="115"/>
      <c r="BI261" s="115"/>
      <c r="BJ261" s="112"/>
      <c r="BK261" s="112"/>
      <c r="BL261" s="112"/>
      <c r="BM261" s="111"/>
      <c r="BN261" s="115"/>
      <c r="BO261" s="111"/>
      <c r="BP261" s="111"/>
      <c r="BQ261" s="111"/>
      <c r="BR261" s="111"/>
      <c r="BS261" s="112"/>
      <c r="BT261" s="116"/>
      <c r="BU261" s="112"/>
      <c r="BV261" s="116"/>
      <c r="BW261" s="116"/>
      <c r="BX261" s="116"/>
      <c r="BY261" s="116"/>
      <c r="BZ261" s="109"/>
    </row>
    <row r="262" spans="5:78" s="51" customFormat="1" x14ac:dyDescent="0.25">
      <c r="E262" s="111"/>
      <c r="F262" s="111"/>
      <c r="G262" s="112"/>
      <c r="H262" s="116"/>
      <c r="I262" s="116"/>
      <c r="J262" s="109"/>
      <c r="K262" s="111"/>
      <c r="L262" s="111"/>
      <c r="M262" s="111"/>
      <c r="N262" s="111"/>
      <c r="O262" s="111"/>
      <c r="P262" s="111"/>
      <c r="Q262" s="111"/>
      <c r="R262" s="111"/>
      <c r="S262" s="111"/>
      <c r="T262" s="111"/>
      <c r="U262" s="111"/>
      <c r="V262" s="111"/>
      <c r="W262" s="111"/>
      <c r="X262" s="111"/>
      <c r="Y262" s="111"/>
      <c r="Z262" s="111"/>
      <c r="AA262" s="111"/>
      <c r="AB262" s="109"/>
      <c r="AC262" s="111"/>
      <c r="AD262" s="114"/>
      <c r="AE262" s="112"/>
      <c r="AF262" s="115"/>
      <c r="AG262" s="112"/>
      <c r="AH262" s="112"/>
      <c r="AI262" s="115"/>
      <c r="AJ262" s="115"/>
      <c r="AK262" s="114"/>
      <c r="AL262" s="116"/>
      <c r="AM262" s="112"/>
      <c r="AN262" s="112"/>
      <c r="AO262" s="109"/>
      <c r="AP262" s="121"/>
      <c r="AQ262" s="121"/>
      <c r="AR262" s="121"/>
      <c r="AS262" s="121"/>
      <c r="AT262" s="121"/>
      <c r="AU262" s="121"/>
      <c r="AV262" s="121"/>
      <c r="AW262" s="116"/>
      <c r="AX262" s="116"/>
      <c r="AY262" s="116"/>
      <c r="AZ262" s="115"/>
      <c r="BA262" s="116"/>
      <c r="BB262" s="116"/>
      <c r="BC262" s="116"/>
      <c r="BD262" s="116"/>
      <c r="BE262" s="116"/>
      <c r="BF262" s="115"/>
      <c r="BG262" s="109"/>
      <c r="BH262" s="115"/>
      <c r="BI262" s="115"/>
      <c r="BJ262" s="112"/>
      <c r="BK262" s="112"/>
      <c r="BL262" s="112"/>
      <c r="BM262" s="111"/>
      <c r="BN262" s="115"/>
      <c r="BO262" s="111"/>
      <c r="BP262" s="111"/>
      <c r="BQ262" s="111"/>
      <c r="BR262" s="111"/>
      <c r="BS262" s="112"/>
      <c r="BT262" s="116"/>
      <c r="BU262" s="112"/>
      <c r="BV262" s="116"/>
      <c r="BW262" s="116"/>
      <c r="BX262" s="116"/>
      <c r="BY262" s="116"/>
      <c r="BZ262" s="109"/>
    </row>
    <row r="263" spans="5:78" s="51" customFormat="1" x14ac:dyDescent="0.25">
      <c r="E263" s="111"/>
      <c r="F263" s="111"/>
      <c r="G263" s="112"/>
      <c r="H263" s="116"/>
      <c r="I263" s="116"/>
      <c r="J263" s="109"/>
      <c r="K263" s="111"/>
      <c r="L263" s="111"/>
      <c r="M263" s="111"/>
      <c r="N263" s="111"/>
      <c r="O263" s="111"/>
      <c r="P263" s="111"/>
      <c r="Q263" s="111"/>
      <c r="R263" s="111"/>
      <c r="S263" s="111"/>
      <c r="T263" s="111"/>
      <c r="U263" s="111"/>
      <c r="V263" s="111"/>
      <c r="W263" s="111"/>
      <c r="X263" s="111"/>
      <c r="Y263" s="111"/>
      <c r="Z263" s="111"/>
      <c r="AA263" s="111"/>
      <c r="AB263" s="109"/>
      <c r="AC263" s="111"/>
      <c r="AD263" s="114"/>
      <c r="AE263" s="112"/>
      <c r="AF263" s="115"/>
      <c r="AG263" s="112"/>
      <c r="AH263" s="112"/>
      <c r="AI263" s="115"/>
      <c r="AJ263" s="115"/>
      <c r="AK263" s="114"/>
      <c r="AL263" s="116"/>
      <c r="AM263" s="112"/>
      <c r="AN263" s="112"/>
      <c r="AO263" s="109"/>
      <c r="AP263" s="121"/>
      <c r="AQ263" s="121"/>
      <c r="AR263" s="121"/>
      <c r="AS263" s="121"/>
      <c r="AT263" s="121"/>
      <c r="AU263" s="121"/>
      <c r="AV263" s="121"/>
      <c r="AW263" s="116"/>
      <c r="AX263" s="116"/>
      <c r="AY263" s="116"/>
      <c r="AZ263" s="115"/>
      <c r="BA263" s="116"/>
      <c r="BB263" s="116"/>
      <c r="BC263" s="116"/>
      <c r="BD263" s="116"/>
      <c r="BE263" s="116"/>
      <c r="BF263" s="115"/>
      <c r="BG263" s="109"/>
      <c r="BH263" s="115"/>
      <c r="BI263" s="115"/>
      <c r="BJ263" s="112"/>
      <c r="BK263" s="112"/>
      <c r="BL263" s="112"/>
      <c r="BM263" s="111"/>
      <c r="BN263" s="115"/>
      <c r="BO263" s="111"/>
      <c r="BP263" s="111"/>
      <c r="BQ263" s="111"/>
      <c r="BR263" s="111"/>
      <c r="BS263" s="112"/>
      <c r="BT263" s="116"/>
      <c r="BU263" s="112"/>
      <c r="BV263" s="116"/>
      <c r="BW263" s="116"/>
      <c r="BX263" s="116"/>
      <c r="BY263" s="116"/>
      <c r="BZ263" s="109"/>
    </row>
    <row r="264" spans="5:78" s="51" customFormat="1" x14ac:dyDescent="0.25">
      <c r="E264" s="111"/>
      <c r="F264" s="111"/>
      <c r="G264" s="112"/>
      <c r="H264" s="116"/>
      <c r="I264" s="116"/>
      <c r="J264" s="109"/>
      <c r="K264" s="111"/>
      <c r="L264" s="111"/>
      <c r="M264" s="111"/>
      <c r="N264" s="111"/>
      <c r="O264" s="111"/>
      <c r="P264" s="111"/>
      <c r="Q264" s="111"/>
      <c r="R264" s="111"/>
      <c r="S264" s="111"/>
      <c r="T264" s="111"/>
      <c r="U264" s="111"/>
      <c r="V264" s="111"/>
      <c r="W264" s="111"/>
      <c r="X264" s="111"/>
      <c r="Y264" s="111"/>
      <c r="Z264" s="111"/>
      <c r="AA264" s="111"/>
      <c r="AB264" s="109"/>
      <c r="AC264" s="111"/>
      <c r="AD264" s="114"/>
      <c r="AE264" s="112"/>
      <c r="AF264" s="115"/>
      <c r="AG264" s="112"/>
      <c r="AH264" s="112"/>
      <c r="AI264" s="115"/>
      <c r="AJ264" s="115"/>
      <c r="AK264" s="114"/>
      <c r="AL264" s="116"/>
      <c r="AM264" s="112"/>
      <c r="AN264" s="112"/>
      <c r="AO264" s="109"/>
      <c r="AP264" s="121"/>
      <c r="AQ264" s="121"/>
      <c r="AR264" s="121"/>
      <c r="AS264" s="121"/>
      <c r="AT264" s="121"/>
      <c r="AU264" s="121"/>
      <c r="AV264" s="121"/>
      <c r="AW264" s="116"/>
      <c r="AX264" s="116"/>
      <c r="AY264" s="116"/>
      <c r="AZ264" s="115"/>
      <c r="BA264" s="116"/>
      <c r="BB264" s="116"/>
      <c r="BC264" s="116"/>
      <c r="BD264" s="116"/>
      <c r="BE264" s="116"/>
      <c r="BF264" s="115"/>
      <c r="BG264" s="109"/>
      <c r="BH264" s="115"/>
      <c r="BI264" s="115"/>
      <c r="BJ264" s="112"/>
      <c r="BK264" s="112"/>
      <c r="BL264" s="112"/>
      <c r="BM264" s="111"/>
      <c r="BN264" s="115"/>
      <c r="BO264" s="111"/>
      <c r="BP264" s="111"/>
      <c r="BQ264" s="111"/>
      <c r="BR264" s="111"/>
      <c r="BS264" s="112"/>
      <c r="BT264" s="116"/>
      <c r="BU264" s="112"/>
      <c r="BV264" s="116"/>
      <c r="BW264" s="116"/>
      <c r="BX264" s="116"/>
      <c r="BY264" s="116"/>
      <c r="BZ264" s="109"/>
    </row>
    <row r="265" spans="5:78" s="51" customFormat="1" x14ac:dyDescent="0.25">
      <c r="E265" s="111"/>
      <c r="F265" s="111"/>
      <c r="G265" s="112"/>
      <c r="H265" s="116"/>
      <c r="I265" s="116"/>
      <c r="J265" s="109"/>
      <c r="K265" s="111"/>
      <c r="L265" s="111"/>
      <c r="M265" s="111"/>
      <c r="N265" s="111"/>
      <c r="O265" s="111"/>
      <c r="P265" s="111"/>
      <c r="Q265" s="111"/>
      <c r="R265" s="111"/>
      <c r="S265" s="111"/>
      <c r="T265" s="111"/>
      <c r="U265" s="111"/>
      <c r="V265" s="111"/>
      <c r="W265" s="111"/>
      <c r="X265" s="111"/>
      <c r="Y265" s="111"/>
      <c r="Z265" s="111"/>
      <c r="AA265" s="111"/>
      <c r="AB265" s="109"/>
      <c r="AC265" s="111"/>
      <c r="AD265" s="114"/>
      <c r="AE265" s="112"/>
      <c r="AF265" s="115"/>
      <c r="AG265" s="112"/>
      <c r="AH265" s="112"/>
      <c r="AI265" s="115"/>
      <c r="AJ265" s="115"/>
      <c r="AK265" s="114"/>
      <c r="AL265" s="116"/>
      <c r="AM265" s="112"/>
      <c r="AN265" s="112"/>
      <c r="AO265" s="109"/>
      <c r="AP265" s="121"/>
      <c r="AQ265" s="121"/>
      <c r="AR265" s="121"/>
      <c r="AS265" s="121"/>
      <c r="AT265" s="121"/>
      <c r="AU265" s="121"/>
      <c r="AV265" s="121"/>
      <c r="AW265" s="116"/>
      <c r="AX265" s="116"/>
      <c r="AY265" s="116"/>
      <c r="AZ265" s="115"/>
      <c r="BA265" s="116"/>
      <c r="BB265" s="116"/>
      <c r="BC265" s="116"/>
      <c r="BD265" s="116"/>
      <c r="BE265" s="116"/>
      <c r="BF265" s="115"/>
      <c r="BG265" s="109"/>
      <c r="BH265" s="115"/>
      <c r="BI265" s="115"/>
      <c r="BJ265" s="112"/>
      <c r="BK265" s="112"/>
      <c r="BL265" s="112"/>
      <c r="BM265" s="111"/>
      <c r="BN265" s="115"/>
      <c r="BO265" s="111"/>
      <c r="BP265" s="111"/>
      <c r="BQ265" s="111"/>
      <c r="BR265" s="111"/>
      <c r="BS265" s="112"/>
      <c r="BT265" s="116"/>
      <c r="BU265" s="112"/>
      <c r="BV265" s="116"/>
      <c r="BW265" s="116"/>
      <c r="BX265" s="116"/>
      <c r="BY265" s="116"/>
      <c r="BZ265" s="109"/>
    </row>
    <row r="266" spans="5:78" s="51" customFormat="1" x14ac:dyDescent="0.25">
      <c r="E266" s="111"/>
      <c r="F266" s="111"/>
      <c r="G266" s="112"/>
      <c r="H266" s="116"/>
      <c r="I266" s="116"/>
      <c r="J266" s="109"/>
      <c r="K266" s="111"/>
      <c r="L266" s="111"/>
      <c r="M266" s="111"/>
      <c r="N266" s="111"/>
      <c r="O266" s="111"/>
      <c r="P266" s="111"/>
      <c r="Q266" s="111"/>
      <c r="R266" s="111"/>
      <c r="S266" s="111"/>
      <c r="T266" s="111"/>
      <c r="U266" s="111"/>
      <c r="V266" s="111"/>
      <c r="W266" s="111"/>
      <c r="X266" s="111"/>
      <c r="Y266" s="111"/>
      <c r="Z266" s="111"/>
      <c r="AA266" s="111"/>
      <c r="AB266" s="109"/>
      <c r="AC266" s="111"/>
      <c r="AD266" s="114"/>
      <c r="AE266" s="112"/>
      <c r="AF266" s="115"/>
      <c r="AG266" s="112"/>
      <c r="AH266" s="112"/>
      <c r="AI266" s="115"/>
      <c r="AJ266" s="115"/>
      <c r="AK266" s="114"/>
      <c r="AL266" s="116"/>
      <c r="AM266" s="112"/>
      <c r="AN266" s="112"/>
      <c r="AO266" s="109"/>
      <c r="AP266" s="121"/>
      <c r="AQ266" s="121"/>
      <c r="AR266" s="121"/>
      <c r="AS266" s="121"/>
      <c r="AT266" s="121"/>
      <c r="AU266" s="121"/>
      <c r="AV266" s="121"/>
      <c r="AW266" s="116"/>
      <c r="AX266" s="116"/>
      <c r="AY266" s="116"/>
      <c r="AZ266" s="115"/>
      <c r="BA266" s="116"/>
      <c r="BB266" s="116"/>
      <c r="BC266" s="116"/>
      <c r="BD266" s="116"/>
      <c r="BE266" s="116"/>
      <c r="BF266" s="115"/>
      <c r="BG266" s="109"/>
      <c r="BH266" s="115"/>
      <c r="BI266" s="115"/>
      <c r="BJ266" s="112"/>
      <c r="BK266" s="112"/>
      <c r="BL266" s="112"/>
      <c r="BM266" s="111"/>
      <c r="BN266" s="115"/>
      <c r="BO266" s="111"/>
      <c r="BP266" s="111"/>
      <c r="BQ266" s="111"/>
      <c r="BR266" s="111"/>
      <c r="BS266" s="112"/>
      <c r="BT266" s="116"/>
      <c r="BU266" s="112"/>
      <c r="BV266" s="116"/>
      <c r="BW266" s="116"/>
      <c r="BX266" s="116"/>
      <c r="BY266" s="116"/>
      <c r="BZ266" s="109"/>
    </row>
    <row r="267" spans="5:78" s="51" customFormat="1" x14ac:dyDescent="0.25">
      <c r="E267" s="111"/>
      <c r="F267" s="111"/>
      <c r="G267" s="112"/>
      <c r="H267" s="116"/>
      <c r="I267" s="116"/>
      <c r="J267" s="109"/>
      <c r="K267" s="111"/>
      <c r="L267" s="111"/>
      <c r="M267" s="111"/>
      <c r="N267" s="111"/>
      <c r="O267" s="111"/>
      <c r="P267" s="111"/>
      <c r="Q267" s="111"/>
      <c r="R267" s="111"/>
      <c r="S267" s="111"/>
      <c r="T267" s="111"/>
      <c r="U267" s="111"/>
      <c r="V267" s="111"/>
      <c r="W267" s="111"/>
      <c r="X267" s="111"/>
      <c r="Y267" s="111"/>
      <c r="Z267" s="111"/>
      <c r="AA267" s="111"/>
      <c r="AB267" s="109"/>
      <c r="AC267" s="111"/>
      <c r="AD267" s="114"/>
      <c r="AE267" s="112"/>
      <c r="AF267" s="115"/>
      <c r="AG267" s="112"/>
      <c r="AH267" s="112"/>
      <c r="AI267" s="115"/>
      <c r="AJ267" s="115"/>
      <c r="AK267" s="114"/>
      <c r="AL267" s="116"/>
      <c r="AM267" s="112"/>
      <c r="AN267" s="112"/>
      <c r="AO267" s="109"/>
      <c r="AP267" s="121"/>
      <c r="AQ267" s="121"/>
      <c r="AR267" s="121"/>
      <c r="AS267" s="121"/>
      <c r="AT267" s="121"/>
      <c r="AU267" s="121"/>
      <c r="AV267" s="121"/>
      <c r="AW267" s="116"/>
      <c r="AX267" s="116"/>
      <c r="AY267" s="116"/>
      <c r="AZ267" s="115"/>
      <c r="BA267" s="116"/>
      <c r="BB267" s="116"/>
      <c r="BC267" s="116"/>
      <c r="BD267" s="116"/>
      <c r="BE267" s="116"/>
      <c r="BF267" s="115"/>
      <c r="BG267" s="109"/>
      <c r="BH267" s="115"/>
      <c r="BI267" s="115"/>
      <c r="BJ267" s="112"/>
      <c r="BK267" s="112"/>
      <c r="BL267" s="112"/>
      <c r="BM267" s="111"/>
      <c r="BN267" s="115"/>
      <c r="BO267" s="111"/>
      <c r="BP267" s="111"/>
      <c r="BQ267" s="111"/>
      <c r="BR267" s="111"/>
      <c r="BS267" s="112"/>
      <c r="BT267" s="116"/>
      <c r="BU267" s="112"/>
      <c r="BV267" s="116"/>
      <c r="BW267" s="116"/>
      <c r="BX267" s="116"/>
      <c r="BY267" s="116"/>
      <c r="BZ267" s="109"/>
    </row>
    <row r="268" spans="5:78" s="51" customFormat="1" x14ac:dyDescent="0.25">
      <c r="E268" s="111"/>
      <c r="F268" s="111"/>
      <c r="G268" s="112"/>
      <c r="H268" s="116"/>
      <c r="I268" s="116"/>
      <c r="J268" s="109"/>
      <c r="K268" s="111"/>
      <c r="L268" s="111"/>
      <c r="M268" s="111"/>
      <c r="N268" s="111"/>
      <c r="O268" s="111"/>
      <c r="P268" s="111"/>
      <c r="Q268" s="111"/>
      <c r="R268" s="111"/>
      <c r="S268" s="111"/>
      <c r="T268" s="111"/>
      <c r="U268" s="111"/>
      <c r="V268" s="111"/>
      <c r="W268" s="111"/>
      <c r="X268" s="111"/>
      <c r="Y268" s="111"/>
      <c r="Z268" s="111"/>
      <c r="AA268" s="111"/>
      <c r="AB268" s="109"/>
      <c r="AC268" s="111"/>
      <c r="AD268" s="114"/>
      <c r="AE268" s="112"/>
      <c r="AF268" s="115"/>
      <c r="AG268" s="112"/>
      <c r="AH268" s="112"/>
      <c r="AI268" s="115"/>
      <c r="AJ268" s="115"/>
      <c r="AK268" s="114"/>
      <c r="AL268" s="116"/>
      <c r="AM268" s="112"/>
      <c r="AN268" s="112"/>
      <c r="AO268" s="109"/>
      <c r="AP268" s="121"/>
      <c r="AQ268" s="121"/>
      <c r="AR268" s="121"/>
      <c r="AS268" s="121"/>
      <c r="AT268" s="121"/>
      <c r="AU268" s="121"/>
      <c r="AV268" s="121"/>
      <c r="AW268" s="116"/>
      <c r="AX268" s="116"/>
      <c r="AY268" s="116"/>
      <c r="AZ268" s="115"/>
      <c r="BA268" s="116"/>
      <c r="BB268" s="116"/>
      <c r="BC268" s="116"/>
      <c r="BD268" s="116"/>
      <c r="BE268" s="116"/>
      <c r="BF268" s="115"/>
      <c r="BG268" s="109"/>
      <c r="BH268" s="115"/>
      <c r="BI268" s="115"/>
      <c r="BJ268" s="112"/>
      <c r="BK268" s="112"/>
      <c r="BL268" s="112"/>
      <c r="BM268" s="111"/>
      <c r="BN268" s="115"/>
      <c r="BO268" s="111"/>
      <c r="BP268" s="111"/>
      <c r="BQ268" s="111"/>
      <c r="BR268" s="111"/>
      <c r="BS268" s="112"/>
      <c r="BT268" s="116"/>
      <c r="BU268" s="112"/>
      <c r="BV268" s="116"/>
      <c r="BW268" s="116"/>
      <c r="BX268" s="116"/>
      <c r="BY268" s="116"/>
      <c r="BZ268" s="109"/>
    </row>
    <row r="269" spans="5:78" s="51" customFormat="1" x14ac:dyDescent="0.25">
      <c r="E269" s="111"/>
      <c r="F269" s="111"/>
      <c r="G269" s="112"/>
      <c r="H269" s="116"/>
      <c r="I269" s="116"/>
      <c r="J269" s="109"/>
      <c r="K269" s="111"/>
      <c r="L269" s="111"/>
      <c r="M269" s="111"/>
      <c r="N269" s="111"/>
      <c r="O269" s="111"/>
      <c r="P269" s="111"/>
      <c r="Q269" s="111"/>
      <c r="R269" s="111"/>
      <c r="S269" s="111"/>
      <c r="T269" s="111"/>
      <c r="U269" s="111"/>
      <c r="V269" s="111"/>
      <c r="W269" s="111"/>
      <c r="X269" s="111"/>
      <c r="Y269" s="111"/>
      <c r="Z269" s="111"/>
      <c r="AA269" s="111"/>
      <c r="AB269" s="109"/>
      <c r="AC269" s="111"/>
      <c r="AD269" s="114"/>
      <c r="AE269" s="112"/>
      <c r="AF269" s="115"/>
      <c r="AG269" s="112"/>
      <c r="AH269" s="112"/>
      <c r="AI269" s="115"/>
      <c r="AJ269" s="115"/>
      <c r="AK269" s="114"/>
      <c r="AL269" s="116"/>
      <c r="AM269" s="112"/>
      <c r="AN269" s="112"/>
      <c r="AO269" s="109"/>
      <c r="AP269" s="121"/>
      <c r="AQ269" s="121"/>
      <c r="AR269" s="121"/>
      <c r="AS269" s="121"/>
      <c r="AT269" s="121"/>
      <c r="AU269" s="121"/>
      <c r="AV269" s="121"/>
      <c r="AW269" s="116"/>
      <c r="AX269" s="116"/>
      <c r="AY269" s="116"/>
      <c r="AZ269" s="115"/>
      <c r="BA269" s="116"/>
      <c r="BB269" s="116"/>
      <c r="BC269" s="116"/>
      <c r="BD269" s="116"/>
      <c r="BE269" s="116"/>
      <c r="BF269" s="115"/>
      <c r="BG269" s="109"/>
      <c r="BH269" s="115"/>
      <c r="BI269" s="115"/>
      <c r="BJ269" s="112"/>
      <c r="BK269" s="112"/>
      <c r="BL269" s="112"/>
      <c r="BM269" s="111"/>
      <c r="BN269" s="115"/>
      <c r="BO269" s="111"/>
      <c r="BP269" s="111"/>
      <c r="BQ269" s="111"/>
      <c r="BR269" s="111"/>
      <c r="BS269" s="112"/>
      <c r="BT269" s="116"/>
      <c r="BU269" s="112"/>
      <c r="BV269" s="116"/>
      <c r="BW269" s="116"/>
      <c r="BX269" s="116"/>
      <c r="BY269" s="116"/>
      <c r="BZ269" s="109"/>
    </row>
    <row r="270" spans="5:78" s="51" customFormat="1" x14ac:dyDescent="0.25">
      <c r="E270" s="111"/>
      <c r="F270" s="111"/>
      <c r="G270" s="112"/>
      <c r="H270" s="116"/>
      <c r="I270" s="116"/>
      <c r="J270" s="109"/>
      <c r="K270" s="111"/>
      <c r="L270" s="111"/>
      <c r="M270" s="111"/>
      <c r="N270" s="111"/>
      <c r="O270" s="111"/>
      <c r="P270" s="111"/>
      <c r="Q270" s="111"/>
      <c r="R270" s="111"/>
      <c r="S270" s="111"/>
      <c r="T270" s="111"/>
      <c r="U270" s="111"/>
      <c r="V270" s="111"/>
      <c r="W270" s="111"/>
      <c r="X270" s="111"/>
      <c r="Y270" s="111"/>
      <c r="Z270" s="111"/>
      <c r="AA270" s="111"/>
      <c r="AB270" s="109"/>
      <c r="AC270" s="111"/>
      <c r="AD270" s="114"/>
      <c r="AE270" s="112"/>
      <c r="AF270" s="115"/>
      <c r="AG270" s="112"/>
      <c r="AH270" s="112"/>
      <c r="AI270" s="115"/>
      <c r="AJ270" s="115"/>
      <c r="AK270" s="114"/>
      <c r="AL270" s="116"/>
      <c r="AM270" s="112"/>
      <c r="AN270" s="112"/>
      <c r="AO270" s="109"/>
      <c r="AP270" s="121"/>
      <c r="AQ270" s="121"/>
      <c r="AR270" s="121"/>
      <c r="AS270" s="121"/>
      <c r="AT270" s="121"/>
      <c r="AU270" s="121"/>
      <c r="AV270" s="121"/>
      <c r="AW270" s="116"/>
      <c r="AX270" s="116"/>
      <c r="AY270" s="116"/>
      <c r="AZ270" s="115"/>
      <c r="BA270" s="116"/>
      <c r="BB270" s="116"/>
      <c r="BC270" s="116"/>
      <c r="BD270" s="116"/>
      <c r="BE270" s="116"/>
      <c r="BF270" s="115"/>
      <c r="BG270" s="109"/>
      <c r="BH270" s="115"/>
      <c r="BI270" s="115"/>
      <c r="BJ270" s="112"/>
      <c r="BK270" s="112"/>
      <c r="BL270" s="112"/>
      <c r="BM270" s="111"/>
      <c r="BN270" s="115"/>
      <c r="BO270" s="111"/>
      <c r="BP270" s="111"/>
      <c r="BQ270" s="111"/>
      <c r="BR270" s="111"/>
      <c r="BS270" s="112"/>
      <c r="BT270" s="116"/>
      <c r="BU270" s="112"/>
      <c r="BV270" s="116"/>
      <c r="BW270" s="116"/>
      <c r="BX270" s="116"/>
      <c r="BY270" s="116"/>
      <c r="BZ270" s="109"/>
    </row>
    <row r="271" spans="5:78" s="51" customFormat="1" x14ac:dyDescent="0.25">
      <c r="E271" s="111"/>
      <c r="F271" s="111"/>
      <c r="G271" s="112"/>
      <c r="H271" s="116"/>
      <c r="I271" s="116"/>
      <c r="J271" s="109"/>
      <c r="K271" s="111"/>
      <c r="L271" s="111"/>
      <c r="M271" s="111"/>
      <c r="N271" s="111"/>
      <c r="O271" s="111"/>
      <c r="P271" s="111"/>
      <c r="Q271" s="111"/>
      <c r="R271" s="111"/>
      <c r="S271" s="111"/>
      <c r="T271" s="111"/>
      <c r="U271" s="111"/>
      <c r="V271" s="111"/>
      <c r="W271" s="111"/>
      <c r="X271" s="111"/>
      <c r="Y271" s="111"/>
      <c r="Z271" s="111"/>
      <c r="AA271" s="111"/>
      <c r="AB271" s="109"/>
      <c r="AC271" s="111"/>
      <c r="AD271" s="114"/>
      <c r="AE271" s="112"/>
      <c r="AF271" s="115"/>
      <c r="AG271" s="112"/>
      <c r="AH271" s="112"/>
      <c r="AI271" s="115"/>
      <c r="AJ271" s="115"/>
      <c r="AK271" s="114"/>
      <c r="AL271" s="116"/>
      <c r="AM271" s="112"/>
      <c r="AN271" s="112"/>
      <c r="AO271" s="109"/>
      <c r="AP271" s="121"/>
      <c r="AQ271" s="121"/>
      <c r="AR271" s="121"/>
      <c r="AS271" s="121"/>
      <c r="AT271" s="121"/>
      <c r="AU271" s="121"/>
      <c r="AV271" s="121"/>
      <c r="AW271" s="116"/>
      <c r="AX271" s="116"/>
      <c r="AY271" s="116"/>
      <c r="AZ271" s="115"/>
      <c r="BA271" s="116"/>
      <c r="BB271" s="116"/>
      <c r="BC271" s="116"/>
      <c r="BD271" s="116"/>
      <c r="BE271" s="116"/>
      <c r="BF271" s="115"/>
      <c r="BG271" s="109"/>
      <c r="BH271" s="115"/>
      <c r="BI271" s="115"/>
      <c r="BJ271" s="112"/>
      <c r="BK271" s="112"/>
      <c r="BL271" s="112"/>
      <c r="BM271" s="111"/>
      <c r="BN271" s="115"/>
      <c r="BO271" s="111"/>
      <c r="BP271" s="111"/>
      <c r="BQ271" s="111"/>
      <c r="BR271" s="111"/>
      <c r="BS271" s="112"/>
      <c r="BT271" s="116"/>
      <c r="BU271" s="112"/>
      <c r="BV271" s="116"/>
      <c r="BW271" s="116"/>
      <c r="BX271" s="116"/>
      <c r="BY271" s="116"/>
      <c r="BZ271" s="109"/>
    </row>
    <row r="272" spans="5:78" s="51" customFormat="1" x14ac:dyDescent="0.25">
      <c r="E272" s="111"/>
      <c r="F272" s="111"/>
      <c r="G272" s="112"/>
      <c r="H272" s="116"/>
      <c r="I272" s="116"/>
      <c r="J272" s="109"/>
      <c r="K272" s="111"/>
      <c r="L272" s="111"/>
      <c r="M272" s="111"/>
      <c r="N272" s="111"/>
      <c r="O272" s="111"/>
      <c r="P272" s="111"/>
      <c r="Q272" s="111"/>
      <c r="R272" s="111"/>
      <c r="S272" s="111"/>
      <c r="T272" s="111"/>
      <c r="U272" s="111"/>
      <c r="V272" s="111"/>
      <c r="W272" s="111"/>
      <c r="X272" s="111"/>
      <c r="Y272" s="111"/>
      <c r="Z272" s="111"/>
      <c r="AA272" s="111"/>
      <c r="AB272" s="109"/>
      <c r="AC272" s="111"/>
      <c r="AD272" s="114"/>
      <c r="AE272" s="112"/>
      <c r="AF272" s="115"/>
      <c r="AG272" s="112"/>
      <c r="AH272" s="112"/>
      <c r="AI272" s="115"/>
      <c r="AJ272" s="115"/>
      <c r="AK272" s="114"/>
      <c r="AL272" s="116"/>
      <c r="AM272" s="112"/>
      <c r="AN272" s="112"/>
      <c r="AO272" s="109"/>
      <c r="AP272" s="121"/>
      <c r="AQ272" s="121"/>
      <c r="AR272" s="121"/>
      <c r="AS272" s="121"/>
      <c r="AT272" s="121"/>
      <c r="AU272" s="121"/>
      <c r="AV272" s="121"/>
      <c r="AW272" s="116"/>
      <c r="AX272" s="116"/>
      <c r="AY272" s="116"/>
      <c r="AZ272" s="115"/>
      <c r="BA272" s="116"/>
      <c r="BB272" s="116"/>
      <c r="BC272" s="116"/>
      <c r="BD272" s="116"/>
      <c r="BE272" s="116"/>
      <c r="BF272" s="115"/>
      <c r="BG272" s="109"/>
      <c r="BH272" s="115"/>
      <c r="BI272" s="115"/>
      <c r="BJ272" s="112"/>
      <c r="BK272" s="112"/>
      <c r="BL272" s="112"/>
      <c r="BM272" s="111"/>
      <c r="BN272" s="115"/>
      <c r="BO272" s="111"/>
      <c r="BP272" s="111"/>
      <c r="BQ272" s="111"/>
      <c r="BR272" s="111"/>
      <c r="BS272" s="112"/>
      <c r="BT272" s="116"/>
      <c r="BU272" s="112"/>
      <c r="BV272" s="116"/>
      <c r="BW272" s="116"/>
      <c r="BX272" s="116"/>
      <c r="BY272" s="116"/>
      <c r="BZ272" s="109"/>
    </row>
    <row r="273" spans="5:78" s="51" customFormat="1" x14ac:dyDescent="0.25">
      <c r="E273" s="111"/>
      <c r="F273" s="111"/>
      <c r="G273" s="112"/>
      <c r="H273" s="116"/>
      <c r="I273" s="116"/>
      <c r="J273" s="109"/>
      <c r="K273" s="111"/>
      <c r="L273" s="111"/>
      <c r="M273" s="111"/>
      <c r="N273" s="111"/>
      <c r="O273" s="111"/>
      <c r="P273" s="111"/>
      <c r="Q273" s="111"/>
      <c r="R273" s="111"/>
      <c r="S273" s="111"/>
      <c r="T273" s="111"/>
      <c r="U273" s="111"/>
      <c r="V273" s="111"/>
      <c r="W273" s="111"/>
      <c r="X273" s="111"/>
      <c r="Y273" s="111"/>
      <c r="Z273" s="111"/>
      <c r="AA273" s="111"/>
      <c r="AB273" s="109"/>
      <c r="AC273" s="111"/>
      <c r="AD273" s="114"/>
      <c r="AE273" s="112"/>
      <c r="AF273" s="115"/>
      <c r="AG273" s="112"/>
      <c r="AH273" s="112"/>
      <c r="AI273" s="115"/>
      <c r="AJ273" s="115"/>
      <c r="AK273" s="114"/>
      <c r="AL273" s="116"/>
      <c r="AM273" s="112"/>
      <c r="AN273" s="112"/>
      <c r="AO273" s="109"/>
      <c r="AP273" s="121"/>
      <c r="AQ273" s="121"/>
      <c r="AR273" s="121"/>
      <c r="AS273" s="121"/>
      <c r="AT273" s="121"/>
      <c r="AU273" s="121"/>
      <c r="AV273" s="121"/>
      <c r="AW273" s="116"/>
      <c r="AX273" s="116"/>
      <c r="AY273" s="116"/>
      <c r="AZ273" s="115"/>
      <c r="BA273" s="116"/>
      <c r="BB273" s="116"/>
      <c r="BC273" s="116"/>
      <c r="BD273" s="116"/>
      <c r="BE273" s="116"/>
      <c r="BF273" s="115"/>
      <c r="BG273" s="109"/>
      <c r="BH273" s="115"/>
      <c r="BI273" s="115"/>
      <c r="BJ273" s="112"/>
      <c r="BK273" s="112"/>
      <c r="BL273" s="112"/>
      <c r="BM273" s="111"/>
      <c r="BN273" s="115"/>
      <c r="BO273" s="111"/>
      <c r="BP273" s="111"/>
      <c r="BQ273" s="111"/>
      <c r="BR273" s="111"/>
      <c r="BS273" s="112"/>
      <c r="BT273" s="116"/>
      <c r="BU273" s="112"/>
      <c r="BV273" s="116"/>
      <c r="BW273" s="116"/>
      <c r="BX273" s="116"/>
      <c r="BY273" s="116"/>
      <c r="BZ273" s="109"/>
    </row>
    <row r="274" spans="5:78" s="51" customFormat="1" x14ac:dyDescent="0.25">
      <c r="E274" s="111"/>
      <c r="F274" s="111"/>
      <c r="G274" s="112"/>
      <c r="H274" s="116"/>
      <c r="I274" s="116"/>
      <c r="J274" s="109"/>
      <c r="K274" s="111"/>
      <c r="L274" s="111"/>
      <c r="M274" s="111"/>
      <c r="N274" s="111"/>
      <c r="O274" s="111"/>
      <c r="P274" s="111"/>
      <c r="Q274" s="111"/>
      <c r="R274" s="111"/>
      <c r="S274" s="111"/>
      <c r="T274" s="111"/>
      <c r="U274" s="111"/>
      <c r="V274" s="111"/>
      <c r="W274" s="111"/>
      <c r="X274" s="111"/>
      <c r="Y274" s="111"/>
      <c r="Z274" s="111"/>
      <c r="AA274" s="111"/>
      <c r="AB274" s="109"/>
      <c r="AC274" s="111"/>
      <c r="AD274" s="114"/>
      <c r="AE274" s="112"/>
      <c r="AF274" s="115"/>
      <c r="AG274" s="112"/>
      <c r="AH274" s="112"/>
      <c r="AI274" s="115"/>
      <c r="AJ274" s="115"/>
      <c r="AK274" s="114"/>
      <c r="AL274" s="116"/>
      <c r="AM274" s="112"/>
      <c r="AN274" s="112"/>
      <c r="AO274" s="109"/>
      <c r="AP274" s="121"/>
      <c r="AQ274" s="121"/>
      <c r="AR274" s="121"/>
      <c r="AS274" s="121"/>
      <c r="AT274" s="121"/>
      <c r="AU274" s="121"/>
      <c r="AV274" s="121"/>
      <c r="AW274" s="116"/>
      <c r="AX274" s="116"/>
      <c r="AY274" s="116"/>
      <c r="AZ274" s="115"/>
      <c r="BA274" s="116"/>
      <c r="BB274" s="116"/>
      <c r="BC274" s="116"/>
      <c r="BD274" s="116"/>
      <c r="BE274" s="116"/>
      <c r="BF274" s="115"/>
      <c r="BG274" s="109"/>
      <c r="BH274" s="115"/>
      <c r="BI274" s="115"/>
      <c r="BJ274" s="112"/>
      <c r="BK274" s="112"/>
      <c r="BL274" s="112"/>
      <c r="BM274" s="111"/>
      <c r="BN274" s="115"/>
      <c r="BO274" s="111"/>
      <c r="BP274" s="111"/>
      <c r="BQ274" s="111"/>
      <c r="BR274" s="111"/>
      <c r="BS274" s="112"/>
      <c r="BT274" s="116"/>
      <c r="BU274" s="112"/>
      <c r="BV274" s="116"/>
      <c r="BW274" s="116"/>
      <c r="BX274" s="116"/>
      <c r="BY274" s="116"/>
      <c r="BZ274" s="109"/>
    </row>
    <row r="275" spans="5:78" s="51" customFormat="1" x14ac:dyDescent="0.25">
      <c r="E275" s="111"/>
      <c r="F275" s="111"/>
      <c r="G275" s="112"/>
      <c r="H275" s="116"/>
      <c r="I275" s="116"/>
      <c r="J275" s="109"/>
      <c r="K275" s="111"/>
      <c r="L275" s="111"/>
      <c r="M275" s="111"/>
      <c r="N275" s="111"/>
      <c r="O275" s="111"/>
      <c r="P275" s="111"/>
      <c r="Q275" s="111"/>
      <c r="R275" s="111"/>
      <c r="S275" s="111"/>
      <c r="T275" s="111"/>
      <c r="U275" s="111"/>
      <c r="V275" s="111"/>
      <c r="W275" s="111"/>
      <c r="X275" s="111"/>
      <c r="Y275" s="111"/>
      <c r="Z275" s="111"/>
      <c r="AA275" s="111"/>
      <c r="AB275" s="109"/>
      <c r="AC275" s="111"/>
      <c r="AD275" s="114"/>
      <c r="AE275" s="112"/>
      <c r="AF275" s="115"/>
      <c r="AG275" s="112"/>
      <c r="AH275" s="112"/>
      <c r="AI275" s="115"/>
      <c r="AJ275" s="115"/>
      <c r="AK275" s="114"/>
      <c r="AL275" s="116"/>
      <c r="AM275" s="112"/>
      <c r="AN275" s="112"/>
      <c r="AO275" s="109"/>
      <c r="AP275" s="121"/>
      <c r="AQ275" s="121"/>
      <c r="AR275" s="121"/>
      <c r="AS275" s="121"/>
      <c r="AT275" s="121"/>
      <c r="AU275" s="121"/>
      <c r="AV275" s="121"/>
      <c r="AW275" s="116"/>
      <c r="AX275" s="116"/>
      <c r="AY275" s="116"/>
      <c r="AZ275" s="115"/>
      <c r="BA275" s="116"/>
      <c r="BB275" s="116"/>
      <c r="BC275" s="116"/>
      <c r="BD275" s="116"/>
      <c r="BE275" s="116"/>
      <c r="BF275" s="115"/>
      <c r="BG275" s="109"/>
      <c r="BH275" s="115"/>
      <c r="BI275" s="115"/>
      <c r="BJ275" s="112"/>
      <c r="BK275" s="112"/>
      <c r="BL275" s="112"/>
      <c r="BM275" s="111"/>
      <c r="BN275" s="115"/>
      <c r="BO275" s="111"/>
      <c r="BP275" s="111"/>
      <c r="BQ275" s="111"/>
      <c r="BR275" s="111"/>
      <c r="BS275" s="112"/>
      <c r="BT275" s="116"/>
      <c r="BU275" s="112"/>
      <c r="BV275" s="116"/>
      <c r="BW275" s="116"/>
      <c r="BX275" s="116"/>
      <c r="BY275" s="116"/>
      <c r="BZ275" s="109"/>
    </row>
    <row r="276" spans="5:78" s="51" customFormat="1" x14ac:dyDescent="0.25">
      <c r="E276" s="111"/>
      <c r="F276" s="111"/>
      <c r="G276" s="112"/>
      <c r="H276" s="116"/>
      <c r="I276" s="116"/>
      <c r="J276" s="109"/>
      <c r="K276" s="111"/>
      <c r="L276" s="111"/>
      <c r="M276" s="111"/>
      <c r="N276" s="111"/>
      <c r="O276" s="111"/>
      <c r="P276" s="111"/>
      <c r="Q276" s="111"/>
      <c r="R276" s="111"/>
      <c r="S276" s="111"/>
      <c r="T276" s="111"/>
      <c r="U276" s="111"/>
      <c r="V276" s="111"/>
      <c r="W276" s="111"/>
      <c r="X276" s="111"/>
      <c r="Y276" s="111"/>
      <c r="Z276" s="111"/>
      <c r="AA276" s="111"/>
      <c r="AB276" s="109"/>
      <c r="AC276" s="111"/>
      <c r="AD276" s="114"/>
      <c r="AE276" s="112"/>
      <c r="AF276" s="115"/>
      <c r="AG276" s="112"/>
      <c r="AH276" s="112"/>
      <c r="AI276" s="115"/>
      <c r="AJ276" s="115"/>
      <c r="AK276" s="114"/>
      <c r="AL276" s="116"/>
      <c r="AM276" s="112"/>
      <c r="AN276" s="112"/>
      <c r="AO276" s="109"/>
      <c r="AP276" s="121"/>
      <c r="AQ276" s="121"/>
      <c r="AR276" s="121"/>
      <c r="AS276" s="121"/>
      <c r="AT276" s="121"/>
      <c r="AU276" s="121"/>
      <c r="AV276" s="121"/>
      <c r="AW276" s="116"/>
      <c r="AX276" s="116"/>
      <c r="AY276" s="116"/>
      <c r="AZ276" s="115"/>
      <c r="BA276" s="116"/>
      <c r="BB276" s="116"/>
      <c r="BC276" s="116"/>
      <c r="BD276" s="116"/>
      <c r="BE276" s="116"/>
      <c r="BF276" s="115"/>
      <c r="BG276" s="109"/>
      <c r="BH276" s="115"/>
      <c r="BI276" s="115"/>
      <c r="BJ276" s="112"/>
      <c r="BK276" s="112"/>
      <c r="BL276" s="112"/>
      <c r="BM276" s="111"/>
      <c r="BN276" s="115"/>
      <c r="BO276" s="111"/>
      <c r="BP276" s="111"/>
      <c r="BQ276" s="111"/>
      <c r="BR276" s="111"/>
      <c r="BS276" s="112"/>
      <c r="BT276" s="116"/>
      <c r="BU276" s="112"/>
      <c r="BV276" s="116"/>
      <c r="BW276" s="116"/>
      <c r="BX276" s="116"/>
      <c r="BY276" s="116"/>
      <c r="BZ276" s="109"/>
    </row>
    <row r="277" spans="5:78" s="51" customFormat="1" x14ac:dyDescent="0.25">
      <c r="E277" s="111"/>
      <c r="F277" s="111"/>
      <c r="G277" s="112"/>
      <c r="H277" s="116"/>
      <c r="I277" s="116"/>
      <c r="J277" s="109"/>
      <c r="K277" s="111"/>
      <c r="L277" s="111"/>
      <c r="M277" s="111"/>
      <c r="N277" s="111"/>
      <c r="O277" s="111"/>
      <c r="P277" s="111"/>
      <c r="Q277" s="111"/>
      <c r="R277" s="111"/>
      <c r="S277" s="111"/>
      <c r="T277" s="111"/>
      <c r="U277" s="111"/>
      <c r="V277" s="111"/>
      <c r="W277" s="111"/>
      <c r="X277" s="111"/>
      <c r="Y277" s="111"/>
      <c r="Z277" s="111"/>
      <c r="AA277" s="111"/>
      <c r="AB277" s="109"/>
      <c r="AC277" s="111"/>
      <c r="AD277" s="114"/>
      <c r="AE277" s="112"/>
      <c r="AF277" s="115"/>
      <c r="AG277" s="112"/>
      <c r="AH277" s="112"/>
      <c r="AI277" s="115"/>
      <c r="AJ277" s="115"/>
      <c r="AK277" s="114"/>
      <c r="AL277" s="116"/>
      <c r="AM277" s="112"/>
      <c r="AN277" s="112"/>
      <c r="AO277" s="109"/>
      <c r="AP277" s="121"/>
      <c r="AQ277" s="121"/>
      <c r="AR277" s="121"/>
      <c r="AS277" s="121"/>
      <c r="AT277" s="121"/>
      <c r="AU277" s="121"/>
      <c r="AV277" s="121"/>
      <c r="AW277" s="116"/>
      <c r="AX277" s="116"/>
      <c r="AY277" s="116"/>
      <c r="AZ277" s="115"/>
      <c r="BA277" s="116"/>
      <c r="BB277" s="116"/>
      <c r="BC277" s="116"/>
      <c r="BD277" s="116"/>
      <c r="BE277" s="116"/>
      <c r="BF277" s="115"/>
      <c r="BG277" s="109"/>
      <c r="BH277" s="115"/>
      <c r="BI277" s="115"/>
      <c r="BJ277" s="112"/>
      <c r="BK277" s="112"/>
      <c r="BL277" s="112"/>
      <c r="BM277" s="111"/>
      <c r="BN277" s="115"/>
      <c r="BO277" s="111"/>
      <c r="BP277" s="111"/>
      <c r="BQ277" s="111"/>
      <c r="BR277" s="111"/>
      <c r="BS277" s="112"/>
      <c r="BT277" s="116"/>
      <c r="BU277" s="112"/>
      <c r="BV277" s="116"/>
      <c r="BW277" s="116"/>
      <c r="BX277" s="116"/>
      <c r="BY277" s="116"/>
      <c r="BZ277" s="109"/>
    </row>
    <row r="278" spans="5:78" s="51" customFormat="1" x14ac:dyDescent="0.25">
      <c r="E278" s="111"/>
      <c r="F278" s="111"/>
      <c r="G278" s="112"/>
      <c r="H278" s="116"/>
      <c r="I278" s="116"/>
      <c r="J278" s="109"/>
      <c r="K278" s="111"/>
      <c r="L278" s="111"/>
      <c r="M278" s="111"/>
      <c r="N278" s="111"/>
      <c r="O278" s="111"/>
      <c r="P278" s="111"/>
      <c r="Q278" s="111"/>
      <c r="R278" s="111"/>
      <c r="S278" s="111"/>
      <c r="T278" s="111"/>
      <c r="U278" s="111"/>
      <c r="V278" s="111"/>
      <c r="W278" s="111"/>
      <c r="X278" s="111"/>
      <c r="Y278" s="111"/>
      <c r="Z278" s="111"/>
      <c r="AA278" s="111"/>
      <c r="AB278" s="109"/>
      <c r="AC278" s="111"/>
      <c r="AD278" s="114"/>
      <c r="AE278" s="112"/>
      <c r="AF278" s="115"/>
      <c r="AG278" s="112"/>
      <c r="AH278" s="112"/>
      <c r="AI278" s="115"/>
      <c r="AJ278" s="115"/>
      <c r="AK278" s="114"/>
      <c r="AL278" s="116"/>
      <c r="AM278" s="112"/>
      <c r="AN278" s="112"/>
      <c r="AO278" s="109"/>
      <c r="AP278" s="121"/>
      <c r="AQ278" s="121"/>
      <c r="AR278" s="121"/>
      <c r="AS278" s="121"/>
      <c r="AT278" s="121"/>
      <c r="AU278" s="121"/>
      <c r="AV278" s="121"/>
      <c r="AW278" s="116"/>
      <c r="AX278" s="116"/>
      <c r="AY278" s="116"/>
      <c r="AZ278" s="115"/>
      <c r="BA278" s="116"/>
      <c r="BB278" s="116"/>
      <c r="BC278" s="116"/>
      <c r="BD278" s="116"/>
      <c r="BE278" s="116"/>
      <c r="BF278" s="115"/>
      <c r="BG278" s="109"/>
      <c r="BH278" s="115"/>
      <c r="BI278" s="115"/>
      <c r="BJ278" s="112"/>
      <c r="BK278" s="112"/>
      <c r="BL278" s="112"/>
      <c r="BM278" s="111"/>
      <c r="BN278" s="115"/>
      <c r="BO278" s="111"/>
      <c r="BP278" s="111"/>
      <c r="BQ278" s="111"/>
      <c r="BR278" s="111"/>
      <c r="BS278" s="112"/>
      <c r="BT278" s="116"/>
      <c r="BU278" s="112"/>
      <c r="BV278" s="116"/>
      <c r="BW278" s="116"/>
      <c r="BX278" s="116"/>
      <c r="BY278" s="116"/>
      <c r="BZ278" s="109"/>
    </row>
    <row r="279" spans="5:78" s="51" customFormat="1" x14ac:dyDescent="0.25">
      <c r="E279" s="111"/>
      <c r="F279" s="111"/>
      <c r="G279" s="112"/>
      <c r="H279" s="116"/>
      <c r="I279" s="116"/>
      <c r="J279" s="109"/>
      <c r="K279" s="111"/>
      <c r="L279" s="111"/>
      <c r="M279" s="111"/>
      <c r="N279" s="111"/>
      <c r="O279" s="111"/>
      <c r="P279" s="111"/>
      <c r="Q279" s="111"/>
      <c r="R279" s="111"/>
      <c r="S279" s="111"/>
      <c r="T279" s="111"/>
      <c r="U279" s="111"/>
      <c r="V279" s="111"/>
      <c r="W279" s="111"/>
      <c r="X279" s="111"/>
      <c r="Y279" s="111"/>
      <c r="Z279" s="111"/>
      <c r="AA279" s="111"/>
      <c r="AB279" s="109"/>
      <c r="AC279" s="111"/>
      <c r="AD279" s="114"/>
      <c r="AE279" s="112"/>
      <c r="AF279" s="115"/>
      <c r="AG279" s="112"/>
      <c r="AH279" s="112"/>
      <c r="AI279" s="115"/>
      <c r="AJ279" s="115"/>
      <c r="AK279" s="114"/>
      <c r="AL279" s="116"/>
      <c r="AM279" s="112"/>
      <c r="AN279" s="112"/>
      <c r="AO279" s="109"/>
      <c r="AP279" s="121"/>
      <c r="AQ279" s="121"/>
      <c r="AR279" s="121"/>
      <c r="AS279" s="121"/>
      <c r="AT279" s="121"/>
      <c r="AU279" s="121"/>
      <c r="AV279" s="121"/>
      <c r="AW279" s="116"/>
      <c r="AX279" s="116"/>
      <c r="AY279" s="116"/>
      <c r="AZ279" s="115"/>
      <c r="BA279" s="116"/>
      <c r="BB279" s="116"/>
      <c r="BC279" s="116"/>
      <c r="BD279" s="116"/>
      <c r="BE279" s="116"/>
      <c r="BF279" s="115"/>
      <c r="BG279" s="109"/>
      <c r="BH279" s="115"/>
      <c r="BI279" s="115"/>
      <c r="BJ279" s="112"/>
      <c r="BK279" s="112"/>
      <c r="BL279" s="112"/>
      <c r="BM279" s="111"/>
      <c r="BN279" s="115"/>
      <c r="BO279" s="111"/>
      <c r="BP279" s="111"/>
      <c r="BQ279" s="111"/>
      <c r="BR279" s="111"/>
      <c r="BS279" s="112"/>
      <c r="BT279" s="116"/>
      <c r="BU279" s="112"/>
      <c r="BV279" s="116"/>
      <c r="BW279" s="116"/>
      <c r="BX279" s="116"/>
      <c r="BY279" s="116"/>
      <c r="BZ279" s="109"/>
    </row>
    <row r="280" spans="5:78" s="51" customFormat="1" x14ac:dyDescent="0.25">
      <c r="E280" s="111"/>
      <c r="F280" s="111"/>
      <c r="G280" s="112"/>
      <c r="H280" s="116"/>
      <c r="I280" s="116"/>
      <c r="J280" s="109"/>
      <c r="K280" s="111"/>
      <c r="L280" s="111"/>
      <c r="M280" s="111"/>
      <c r="N280" s="111"/>
      <c r="O280" s="111"/>
      <c r="P280" s="111"/>
      <c r="Q280" s="111"/>
      <c r="R280" s="111"/>
      <c r="S280" s="111"/>
      <c r="T280" s="111"/>
      <c r="U280" s="111"/>
      <c r="V280" s="111"/>
      <c r="W280" s="111"/>
      <c r="X280" s="111"/>
      <c r="Y280" s="111"/>
      <c r="Z280" s="111"/>
      <c r="AA280" s="111"/>
      <c r="AB280" s="109"/>
      <c r="AC280" s="111"/>
      <c r="AD280" s="114"/>
      <c r="AE280" s="112"/>
      <c r="AF280" s="115"/>
      <c r="AG280" s="112"/>
      <c r="AH280" s="112"/>
      <c r="AI280" s="115"/>
      <c r="AJ280" s="115"/>
      <c r="AK280" s="114"/>
      <c r="AL280" s="116"/>
      <c r="AM280" s="112"/>
      <c r="AN280" s="112"/>
      <c r="AO280" s="109"/>
      <c r="AP280" s="121"/>
      <c r="AQ280" s="121"/>
      <c r="AR280" s="121"/>
      <c r="AS280" s="121"/>
      <c r="AT280" s="121"/>
      <c r="AU280" s="121"/>
      <c r="AV280" s="121"/>
      <c r="AW280" s="116"/>
      <c r="AX280" s="116"/>
      <c r="AY280" s="116"/>
      <c r="AZ280" s="115"/>
      <c r="BA280" s="116"/>
      <c r="BB280" s="116"/>
      <c r="BC280" s="116"/>
      <c r="BD280" s="116"/>
      <c r="BE280" s="116"/>
      <c r="BF280" s="115"/>
      <c r="BG280" s="109"/>
      <c r="BH280" s="115"/>
      <c r="BI280" s="115"/>
      <c r="BJ280" s="112"/>
      <c r="BK280" s="112"/>
      <c r="BL280" s="112"/>
      <c r="BM280" s="111"/>
      <c r="BN280" s="115"/>
      <c r="BO280" s="111"/>
      <c r="BP280" s="111"/>
      <c r="BQ280" s="111"/>
      <c r="BR280" s="111"/>
      <c r="BS280" s="112"/>
      <c r="BT280" s="116"/>
      <c r="BU280" s="112"/>
      <c r="BV280" s="116"/>
      <c r="BW280" s="116"/>
      <c r="BX280" s="116"/>
      <c r="BY280" s="116"/>
      <c r="BZ280" s="109"/>
    </row>
    <row r="281" spans="5:78" s="51" customFormat="1" x14ac:dyDescent="0.25">
      <c r="E281" s="111"/>
      <c r="F281" s="111"/>
      <c r="G281" s="112"/>
      <c r="H281" s="116"/>
      <c r="I281" s="116"/>
      <c r="J281" s="109"/>
      <c r="K281" s="111"/>
      <c r="L281" s="111"/>
      <c r="M281" s="111"/>
      <c r="N281" s="111"/>
      <c r="O281" s="111"/>
      <c r="P281" s="111"/>
      <c r="Q281" s="111"/>
      <c r="R281" s="111"/>
      <c r="S281" s="111"/>
      <c r="T281" s="111"/>
      <c r="U281" s="111"/>
      <c r="V281" s="111"/>
      <c r="W281" s="111"/>
      <c r="X281" s="111"/>
      <c r="Y281" s="111"/>
      <c r="Z281" s="111"/>
      <c r="AA281" s="111"/>
      <c r="AB281" s="109"/>
      <c r="AC281" s="111"/>
      <c r="AD281" s="114"/>
      <c r="AE281" s="112"/>
      <c r="AF281" s="115"/>
      <c r="AG281" s="112"/>
      <c r="AH281" s="112"/>
      <c r="AI281" s="115"/>
      <c r="AJ281" s="115"/>
      <c r="AK281" s="114"/>
      <c r="AL281" s="116"/>
      <c r="AM281" s="112"/>
      <c r="AN281" s="112"/>
      <c r="AO281" s="109"/>
      <c r="AP281" s="121"/>
      <c r="AQ281" s="121"/>
      <c r="AR281" s="121"/>
      <c r="AS281" s="121"/>
      <c r="AT281" s="121"/>
      <c r="AU281" s="121"/>
      <c r="AV281" s="121"/>
      <c r="AW281" s="116"/>
      <c r="AX281" s="116"/>
      <c r="AY281" s="116"/>
      <c r="AZ281" s="115"/>
      <c r="BA281" s="116"/>
      <c r="BB281" s="116"/>
      <c r="BC281" s="116"/>
      <c r="BD281" s="116"/>
      <c r="BE281" s="116"/>
      <c r="BF281" s="115"/>
      <c r="BG281" s="109"/>
      <c r="BH281" s="115"/>
      <c r="BI281" s="115"/>
      <c r="BJ281" s="112"/>
      <c r="BK281" s="112"/>
      <c r="BL281" s="112"/>
      <c r="BM281" s="111"/>
      <c r="BN281" s="115"/>
      <c r="BO281" s="111"/>
      <c r="BP281" s="111"/>
      <c r="BQ281" s="111"/>
      <c r="BR281" s="111"/>
      <c r="BS281" s="112"/>
      <c r="BT281" s="116"/>
      <c r="BU281" s="112"/>
      <c r="BV281" s="116"/>
      <c r="BW281" s="116"/>
      <c r="BX281" s="116"/>
      <c r="BY281" s="116"/>
      <c r="BZ281" s="109"/>
    </row>
    <row r="282" spans="5:78" s="51" customFormat="1" x14ac:dyDescent="0.25">
      <c r="E282" s="111"/>
      <c r="F282" s="111"/>
      <c r="G282" s="112"/>
      <c r="H282" s="116"/>
      <c r="I282" s="116"/>
      <c r="J282" s="109"/>
      <c r="K282" s="111"/>
      <c r="L282" s="111"/>
      <c r="M282" s="111"/>
      <c r="N282" s="111"/>
      <c r="O282" s="111"/>
      <c r="P282" s="111"/>
      <c r="Q282" s="111"/>
      <c r="R282" s="111"/>
      <c r="S282" s="111"/>
      <c r="T282" s="111"/>
      <c r="U282" s="111"/>
      <c r="V282" s="111"/>
      <c r="W282" s="111"/>
      <c r="X282" s="111"/>
      <c r="Y282" s="111"/>
      <c r="Z282" s="111"/>
      <c r="AA282" s="111"/>
      <c r="AB282" s="109"/>
      <c r="AC282" s="111"/>
      <c r="AD282" s="114"/>
      <c r="AE282" s="112"/>
      <c r="AF282" s="115"/>
      <c r="AG282" s="112"/>
      <c r="AH282" s="112"/>
      <c r="AI282" s="115"/>
      <c r="AJ282" s="115"/>
      <c r="AK282" s="114"/>
      <c r="AL282" s="116"/>
      <c r="AM282" s="112"/>
      <c r="AN282" s="112"/>
      <c r="AO282" s="109"/>
      <c r="AP282" s="121"/>
      <c r="AQ282" s="121"/>
      <c r="AR282" s="121"/>
      <c r="AS282" s="121"/>
      <c r="AT282" s="121"/>
      <c r="AU282" s="121"/>
      <c r="AV282" s="121"/>
      <c r="AW282" s="116"/>
      <c r="AX282" s="116"/>
      <c r="AY282" s="116"/>
      <c r="AZ282" s="115"/>
      <c r="BA282" s="116"/>
      <c r="BB282" s="116"/>
      <c r="BC282" s="116"/>
      <c r="BD282" s="116"/>
      <c r="BE282" s="116"/>
      <c r="BF282" s="115"/>
      <c r="BG282" s="109"/>
      <c r="BH282" s="115"/>
      <c r="BI282" s="115"/>
      <c r="BJ282" s="112"/>
      <c r="BK282" s="112"/>
      <c r="BL282" s="112"/>
      <c r="BM282" s="111"/>
      <c r="BN282" s="115"/>
      <c r="BO282" s="111"/>
      <c r="BP282" s="111"/>
      <c r="BQ282" s="111"/>
      <c r="BR282" s="111"/>
      <c r="BS282" s="112"/>
      <c r="BT282" s="116"/>
      <c r="BU282" s="112"/>
      <c r="BV282" s="116"/>
      <c r="BW282" s="116"/>
      <c r="BX282" s="116"/>
      <c r="BY282" s="116"/>
      <c r="BZ282" s="109"/>
    </row>
    <row r="283" spans="5:78" s="51" customFormat="1" x14ac:dyDescent="0.25">
      <c r="E283" s="111"/>
      <c r="F283" s="111"/>
      <c r="G283" s="112"/>
      <c r="H283" s="116"/>
      <c r="I283" s="116"/>
      <c r="J283" s="109"/>
      <c r="K283" s="111"/>
      <c r="L283" s="111"/>
      <c r="M283" s="111"/>
      <c r="N283" s="111"/>
      <c r="O283" s="111"/>
      <c r="P283" s="111"/>
      <c r="Q283" s="111"/>
      <c r="R283" s="111"/>
      <c r="S283" s="111"/>
      <c r="T283" s="111"/>
      <c r="U283" s="111"/>
      <c r="V283" s="111"/>
      <c r="W283" s="111"/>
      <c r="X283" s="111"/>
      <c r="Y283" s="111"/>
      <c r="Z283" s="111"/>
      <c r="AA283" s="111"/>
      <c r="AB283" s="109"/>
      <c r="AC283" s="111"/>
      <c r="AD283" s="114"/>
      <c r="AE283" s="112"/>
      <c r="AF283" s="115"/>
      <c r="AG283" s="112"/>
      <c r="AH283" s="112"/>
      <c r="AI283" s="115"/>
      <c r="AJ283" s="115"/>
      <c r="AK283" s="114"/>
      <c r="AL283" s="116"/>
      <c r="AM283" s="112"/>
      <c r="AN283" s="112"/>
      <c r="AO283" s="109"/>
      <c r="AP283" s="121"/>
      <c r="AQ283" s="121"/>
      <c r="AR283" s="121"/>
      <c r="AS283" s="121"/>
      <c r="AT283" s="121"/>
      <c r="AU283" s="121"/>
      <c r="AV283" s="121"/>
      <c r="AW283" s="116"/>
      <c r="AX283" s="116"/>
      <c r="AY283" s="116"/>
      <c r="AZ283" s="115"/>
      <c r="BA283" s="116"/>
      <c r="BB283" s="116"/>
      <c r="BC283" s="116"/>
      <c r="BD283" s="116"/>
      <c r="BE283" s="116"/>
      <c r="BF283" s="115"/>
      <c r="BG283" s="109"/>
      <c r="BH283" s="115"/>
      <c r="BI283" s="115"/>
      <c r="BJ283" s="112"/>
      <c r="BK283" s="112"/>
      <c r="BL283" s="112"/>
      <c r="BM283" s="111"/>
      <c r="BN283" s="115"/>
      <c r="BO283" s="111"/>
      <c r="BP283" s="111"/>
      <c r="BQ283" s="111"/>
      <c r="BR283" s="111"/>
      <c r="BS283" s="112"/>
      <c r="BT283" s="116"/>
      <c r="BU283" s="112"/>
      <c r="BV283" s="116"/>
      <c r="BW283" s="116"/>
      <c r="BX283" s="116"/>
      <c r="BY283" s="116"/>
      <c r="BZ283" s="109"/>
    </row>
    <row r="284" spans="5:78" s="51" customFormat="1" x14ac:dyDescent="0.25">
      <c r="E284" s="111"/>
      <c r="F284" s="111"/>
      <c r="G284" s="112"/>
      <c r="H284" s="116"/>
      <c r="I284" s="116"/>
      <c r="J284" s="109"/>
      <c r="K284" s="111"/>
      <c r="L284" s="111"/>
      <c r="M284" s="111"/>
      <c r="N284" s="111"/>
      <c r="O284" s="111"/>
      <c r="P284" s="111"/>
      <c r="Q284" s="111"/>
      <c r="R284" s="111"/>
      <c r="S284" s="111"/>
      <c r="T284" s="111"/>
      <c r="U284" s="111"/>
      <c r="V284" s="111"/>
      <c r="W284" s="111"/>
      <c r="X284" s="111"/>
      <c r="Y284" s="111"/>
      <c r="Z284" s="111"/>
      <c r="AA284" s="111"/>
      <c r="AB284" s="109"/>
      <c r="AC284" s="111"/>
      <c r="AD284" s="114"/>
      <c r="AE284" s="112"/>
      <c r="AF284" s="115"/>
      <c r="AG284" s="112"/>
      <c r="AH284" s="112"/>
      <c r="AI284" s="115"/>
      <c r="AJ284" s="115"/>
      <c r="AK284" s="114"/>
      <c r="AL284" s="116"/>
      <c r="AM284" s="112"/>
      <c r="AN284" s="112"/>
      <c r="AO284" s="109"/>
      <c r="AP284" s="121"/>
      <c r="AQ284" s="121"/>
      <c r="AR284" s="121"/>
      <c r="AS284" s="121"/>
      <c r="AT284" s="121"/>
      <c r="AU284" s="121"/>
      <c r="AV284" s="121"/>
      <c r="AW284" s="116"/>
      <c r="AX284" s="116"/>
      <c r="AY284" s="116"/>
      <c r="AZ284" s="115"/>
      <c r="BA284" s="116"/>
      <c r="BB284" s="116"/>
      <c r="BC284" s="116"/>
      <c r="BD284" s="116"/>
      <c r="BE284" s="116"/>
      <c r="BF284" s="115"/>
      <c r="BG284" s="109"/>
      <c r="BH284" s="115"/>
      <c r="BI284" s="115"/>
      <c r="BJ284" s="112"/>
      <c r="BK284" s="112"/>
      <c r="BL284" s="112"/>
      <c r="BM284" s="111"/>
      <c r="BN284" s="115"/>
      <c r="BO284" s="111"/>
      <c r="BP284" s="111"/>
      <c r="BQ284" s="111"/>
      <c r="BR284" s="111"/>
      <c r="BS284" s="112"/>
      <c r="BT284" s="116"/>
      <c r="BU284" s="112"/>
      <c r="BV284" s="116"/>
      <c r="BW284" s="116"/>
      <c r="BX284" s="116"/>
      <c r="BY284" s="116"/>
      <c r="BZ284" s="109"/>
    </row>
    <row r="285" spans="5:78" s="51" customFormat="1" x14ac:dyDescent="0.25">
      <c r="E285" s="111"/>
      <c r="F285" s="111"/>
      <c r="G285" s="112"/>
      <c r="H285" s="116"/>
      <c r="I285" s="116"/>
      <c r="J285" s="109"/>
      <c r="K285" s="111"/>
      <c r="L285" s="111"/>
      <c r="M285" s="111"/>
      <c r="N285" s="111"/>
      <c r="O285" s="111"/>
      <c r="P285" s="111"/>
      <c r="Q285" s="111"/>
      <c r="R285" s="111"/>
      <c r="S285" s="111"/>
      <c r="T285" s="111"/>
      <c r="U285" s="111"/>
      <c r="V285" s="111"/>
      <c r="W285" s="111"/>
      <c r="X285" s="111"/>
      <c r="Y285" s="111"/>
      <c r="Z285" s="111"/>
      <c r="AA285" s="111"/>
      <c r="AB285" s="109"/>
      <c r="AC285" s="111"/>
      <c r="AD285" s="114"/>
      <c r="AE285" s="112"/>
      <c r="AF285" s="115"/>
      <c r="AG285" s="112"/>
      <c r="AH285" s="112"/>
      <c r="AI285" s="115"/>
      <c r="AJ285" s="115"/>
      <c r="AK285" s="114"/>
      <c r="AL285" s="116"/>
      <c r="AM285" s="112"/>
      <c r="AN285" s="112"/>
      <c r="AO285" s="109"/>
      <c r="AP285" s="121"/>
      <c r="AQ285" s="121"/>
      <c r="AR285" s="121"/>
      <c r="AS285" s="121"/>
      <c r="AT285" s="121"/>
      <c r="AU285" s="121"/>
      <c r="AV285" s="121"/>
      <c r="AW285" s="116"/>
      <c r="AX285" s="116"/>
      <c r="AY285" s="116"/>
      <c r="AZ285" s="115"/>
      <c r="BA285" s="116"/>
      <c r="BB285" s="116"/>
      <c r="BC285" s="116"/>
      <c r="BD285" s="116"/>
      <c r="BE285" s="116"/>
      <c r="BF285" s="115"/>
      <c r="BG285" s="109"/>
      <c r="BH285" s="115"/>
      <c r="BI285" s="115"/>
      <c r="BJ285" s="112"/>
      <c r="BK285" s="112"/>
      <c r="BL285" s="112"/>
      <c r="BM285" s="111"/>
      <c r="BN285" s="115"/>
      <c r="BO285" s="111"/>
      <c r="BP285" s="111"/>
      <c r="BQ285" s="111"/>
      <c r="BR285" s="111"/>
      <c r="BS285" s="112"/>
      <c r="BT285" s="116"/>
      <c r="BU285" s="112"/>
      <c r="BV285" s="116"/>
      <c r="BW285" s="116"/>
      <c r="BX285" s="116"/>
      <c r="BY285" s="116"/>
      <c r="BZ285" s="109"/>
    </row>
    <row r="286" spans="5:78" s="51" customFormat="1" x14ac:dyDescent="0.25">
      <c r="E286" s="111"/>
      <c r="F286" s="111"/>
      <c r="G286" s="112"/>
      <c r="H286" s="116"/>
      <c r="I286" s="116"/>
      <c r="J286" s="109"/>
      <c r="K286" s="111"/>
      <c r="L286" s="111"/>
      <c r="M286" s="111"/>
      <c r="N286" s="111"/>
      <c r="O286" s="111"/>
      <c r="P286" s="111"/>
      <c r="Q286" s="111"/>
      <c r="R286" s="111"/>
      <c r="S286" s="111"/>
      <c r="T286" s="111"/>
      <c r="U286" s="111"/>
      <c r="V286" s="111"/>
      <c r="W286" s="111"/>
      <c r="X286" s="111"/>
      <c r="Y286" s="111"/>
      <c r="Z286" s="111"/>
      <c r="AA286" s="111"/>
      <c r="AB286" s="109"/>
      <c r="AC286" s="111"/>
      <c r="AD286" s="114"/>
      <c r="AE286" s="112"/>
      <c r="AF286" s="115"/>
      <c r="AG286" s="112"/>
      <c r="AH286" s="112"/>
      <c r="AI286" s="115"/>
      <c r="AJ286" s="115"/>
      <c r="AK286" s="114"/>
      <c r="AL286" s="116"/>
      <c r="AM286" s="112"/>
      <c r="AN286" s="112"/>
      <c r="AO286" s="109"/>
      <c r="AP286" s="121"/>
      <c r="AQ286" s="121"/>
      <c r="AR286" s="121"/>
      <c r="AS286" s="121"/>
      <c r="AT286" s="121"/>
      <c r="AU286" s="121"/>
      <c r="AV286" s="121"/>
      <c r="AW286" s="116"/>
      <c r="AX286" s="116"/>
      <c r="AY286" s="116"/>
      <c r="AZ286" s="115"/>
      <c r="BA286" s="116"/>
      <c r="BB286" s="116"/>
      <c r="BC286" s="116"/>
      <c r="BD286" s="116"/>
      <c r="BE286" s="116"/>
      <c r="BF286" s="115"/>
      <c r="BG286" s="109"/>
      <c r="BH286" s="115"/>
      <c r="BI286" s="115"/>
      <c r="BJ286" s="112"/>
      <c r="BK286" s="112"/>
      <c r="BL286" s="112"/>
      <c r="BM286" s="111"/>
      <c r="BN286" s="115"/>
      <c r="BO286" s="111"/>
      <c r="BP286" s="111"/>
      <c r="BQ286" s="111"/>
      <c r="BR286" s="111"/>
      <c r="BS286" s="112"/>
      <c r="BT286" s="116"/>
      <c r="BU286" s="112"/>
      <c r="BV286" s="116"/>
      <c r="BW286" s="116"/>
      <c r="BX286" s="116"/>
      <c r="BY286" s="116"/>
      <c r="BZ286" s="109"/>
    </row>
    <row r="287" spans="5:78" s="51" customFormat="1" x14ac:dyDescent="0.25">
      <c r="E287" s="111"/>
      <c r="F287" s="111"/>
      <c r="G287" s="112"/>
      <c r="H287" s="116"/>
      <c r="I287" s="116"/>
      <c r="J287" s="109"/>
      <c r="K287" s="111"/>
      <c r="L287" s="111"/>
      <c r="M287" s="111"/>
      <c r="N287" s="111"/>
      <c r="O287" s="111"/>
      <c r="P287" s="111"/>
      <c r="Q287" s="111"/>
      <c r="R287" s="111"/>
      <c r="S287" s="111"/>
      <c r="T287" s="111"/>
      <c r="U287" s="111"/>
      <c r="V287" s="111"/>
      <c r="W287" s="111"/>
      <c r="X287" s="111"/>
      <c r="Y287" s="111"/>
      <c r="Z287" s="111"/>
      <c r="AA287" s="111"/>
      <c r="AB287" s="109"/>
      <c r="AC287" s="111"/>
      <c r="AD287" s="114"/>
      <c r="AE287" s="112"/>
      <c r="AF287" s="115"/>
      <c r="AG287" s="112"/>
      <c r="AH287" s="112"/>
      <c r="AI287" s="115"/>
      <c r="AJ287" s="115"/>
      <c r="AK287" s="114"/>
      <c r="AL287" s="116"/>
      <c r="AM287" s="112"/>
      <c r="AN287" s="112"/>
      <c r="AO287" s="109"/>
      <c r="AP287" s="121"/>
      <c r="AQ287" s="121"/>
      <c r="AR287" s="121"/>
      <c r="AS287" s="121"/>
      <c r="AT287" s="121"/>
      <c r="AU287" s="121"/>
      <c r="AV287" s="121"/>
      <c r="AW287" s="116"/>
      <c r="AX287" s="116"/>
      <c r="AY287" s="116"/>
      <c r="AZ287" s="115"/>
      <c r="BA287" s="116"/>
      <c r="BB287" s="116"/>
      <c r="BC287" s="116"/>
      <c r="BD287" s="116"/>
      <c r="BE287" s="116"/>
      <c r="BF287" s="115"/>
      <c r="BG287" s="109"/>
      <c r="BH287" s="115"/>
      <c r="BI287" s="115"/>
      <c r="BJ287" s="112"/>
      <c r="BK287" s="112"/>
      <c r="BL287" s="112"/>
      <c r="BM287" s="111"/>
      <c r="BN287" s="115"/>
      <c r="BO287" s="111"/>
      <c r="BP287" s="111"/>
      <c r="BQ287" s="111"/>
      <c r="BR287" s="111"/>
      <c r="BS287" s="112"/>
      <c r="BT287" s="116"/>
      <c r="BU287" s="112"/>
      <c r="BV287" s="116"/>
      <c r="BW287" s="116"/>
      <c r="BX287" s="116"/>
      <c r="BY287" s="116"/>
      <c r="BZ287" s="109"/>
    </row>
    <row r="288" spans="5:78" s="51" customFormat="1" x14ac:dyDescent="0.25">
      <c r="E288" s="111"/>
      <c r="F288" s="111"/>
      <c r="G288" s="112"/>
      <c r="H288" s="116"/>
      <c r="I288" s="116"/>
      <c r="J288" s="109"/>
      <c r="K288" s="111"/>
      <c r="L288" s="111"/>
      <c r="M288" s="111"/>
      <c r="N288" s="111"/>
      <c r="O288" s="111"/>
      <c r="P288" s="111"/>
      <c r="Q288" s="111"/>
      <c r="R288" s="111"/>
      <c r="S288" s="111"/>
      <c r="T288" s="111"/>
      <c r="U288" s="111"/>
      <c r="V288" s="111"/>
      <c r="W288" s="111"/>
      <c r="X288" s="111"/>
      <c r="Y288" s="111"/>
      <c r="Z288" s="111"/>
      <c r="AA288" s="111"/>
      <c r="AB288" s="109"/>
      <c r="AC288" s="111"/>
      <c r="AD288" s="114"/>
      <c r="AE288" s="112"/>
      <c r="AF288" s="115"/>
      <c r="AG288" s="112"/>
      <c r="AH288" s="112"/>
      <c r="AI288" s="115"/>
      <c r="AJ288" s="115"/>
      <c r="AK288" s="114"/>
      <c r="AL288" s="116"/>
      <c r="AM288" s="112"/>
      <c r="AN288" s="112"/>
      <c r="AO288" s="109"/>
      <c r="AP288" s="121"/>
      <c r="AQ288" s="121"/>
      <c r="AR288" s="121"/>
      <c r="AS288" s="121"/>
      <c r="AT288" s="121"/>
      <c r="AU288" s="121"/>
      <c r="AV288" s="121"/>
      <c r="AW288" s="116"/>
      <c r="AX288" s="116"/>
      <c r="AY288" s="116"/>
      <c r="AZ288" s="115"/>
      <c r="BA288" s="116"/>
      <c r="BB288" s="116"/>
      <c r="BC288" s="116"/>
      <c r="BD288" s="116"/>
      <c r="BE288" s="116"/>
      <c r="BF288" s="115"/>
      <c r="BG288" s="109"/>
      <c r="BH288" s="115"/>
      <c r="BI288" s="115"/>
      <c r="BJ288" s="112"/>
      <c r="BK288" s="112"/>
      <c r="BL288" s="112"/>
      <c r="BM288" s="111"/>
      <c r="BN288" s="115"/>
      <c r="BO288" s="111"/>
      <c r="BP288" s="111"/>
      <c r="BQ288" s="111"/>
      <c r="BR288" s="111"/>
      <c r="BS288" s="112"/>
      <c r="BT288" s="116"/>
      <c r="BU288" s="112"/>
      <c r="BV288" s="116"/>
      <c r="BW288" s="116"/>
      <c r="BX288" s="116"/>
      <c r="BY288" s="116"/>
      <c r="BZ288" s="109"/>
    </row>
    <row r="289" spans="5:78" s="51" customFormat="1" x14ac:dyDescent="0.25">
      <c r="E289" s="111"/>
      <c r="F289" s="111"/>
      <c r="G289" s="112"/>
      <c r="H289" s="116"/>
      <c r="I289" s="116"/>
      <c r="J289" s="109"/>
      <c r="K289" s="111"/>
      <c r="L289" s="111"/>
      <c r="M289" s="111"/>
      <c r="N289" s="111"/>
      <c r="O289" s="111"/>
      <c r="P289" s="111"/>
      <c r="Q289" s="111"/>
      <c r="R289" s="111"/>
      <c r="S289" s="111"/>
      <c r="T289" s="111"/>
      <c r="U289" s="111"/>
      <c r="V289" s="111"/>
      <c r="W289" s="111"/>
      <c r="X289" s="111"/>
      <c r="Y289" s="111"/>
      <c r="Z289" s="111"/>
      <c r="AA289" s="111"/>
      <c r="AB289" s="109"/>
      <c r="AC289" s="111"/>
      <c r="AD289" s="114"/>
      <c r="AE289" s="112"/>
      <c r="AF289" s="115"/>
      <c r="AG289" s="112"/>
      <c r="AH289" s="112"/>
      <c r="AI289" s="115"/>
      <c r="AJ289" s="115"/>
      <c r="AK289" s="114"/>
      <c r="AL289" s="116"/>
      <c r="AM289" s="112"/>
      <c r="AN289" s="112"/>
      <c r="AO289" s="109"/>
      <c r="AP289" s="121"/>
      <c r="AQ289" s="121"/>
      <c r="AR289" s="121"/>
      <c r="AS289" s="121"/>
      <c r="AT289" s="121"/>
      <c r="AU289" s="121"/>
      <c r="AV289" s="121"/>
      <c r="AW289" s="116"/>
      <c r="AX289" s="116"/>
      <c r="AY289" s="116"/>
      <c r="AZ289" s="115"/>
      <c r="BA289" s="116"/>
      <c r="BB289" s="116"/>
      <c r="BC289" s="116"/>
      <c r="BD289" s="116"/>
      <c r="BE289" s="116"/>
      <c r="BF289" s="115"/>
      <c r="BG289" s="109"/>
      <c r="BH289" s="115"/>
      <c r="BI289" s="115"/>
      <c r="BJ289" s="112"/>
      <c r="BK289" s="112"/>
      <c r="BL289" s="112"/>
      <c r="BM289" s="111"/>
      <c r="BN289" s="115"/>
      <c r="BO289" s="111"/>
      <c r="BP289" s="111"/>
      <c r="BQ289" s="111"/>
      <c r="BR289" s="111"/>
      <c r="BS289" s="112"/>
      <c r="BT289" s="116"/>
      <c r="BU289" s="112"/>
      <c r="BV289" s="116"/>
      <c r="BW289" s="116"/>
      <c r="BX289" s="116"/>
      <c r="BY289" s="116"/>
      <c r="BZ289" s="109"/>
    </row>
    <row r="290" spans="5:78" s="51" customFormat="1" x14ac:dyDescent="0.25">
      <c r="E290" s="111"/>
      <c r="F290" s="111"/>
      <c r="G290" s="112"/>
      <c r="H290" s="116"/>
      <c r="I290" s="116"/>
      <c r="J290" s="109"/>
      <c r="K290" s="111"/>
      <c r="L290" s="111"/>
      <c r="M290" s="111"/>
      <c r="N290" s="111"/>
      <c r="O290" s="111"/>
      <c r="P290" s="111"/>
      <c r="Q290" s="111"/>
      <c r="R290" s="111"/>
      <c r="S290" s="111"/>
      <c r="T290" s="111"/>
      <c r="U290" s="111"/>
      <c r="V290" s="111"/>
      <c r="W290" s="111"/>
      <c r="X290" s="111"/>
      <c r="Y290" s="111"/>
      <c r="Z290" s="111"/>
      <c r="AA290" s="111"/>
      <c r="AB290" s="109"/>
      <c r="AC290" s="111"/>
      <c r="AD290" s="114"/>
      <c r="AE290" s="112"/>
      <c r="AF290" s="115"/>
      <c r="AG290" s="112"/>
      <c r="AH290" s="112"/>
      <c r="AI290" s="115"/>
      <c r="AJ290" s="115"/>
      <c r="AK290" s="114"/>
      <c r="AL290" s="116"/>
      <c r="AM290" s="112"/>
      <c r="AN290" s="112"/>
      <c r="AO290" s="109"/>
      <c r="AP290" s="121"/>
      <c r="AQ290" s="121"/>
      <c r="AR290" s="121"/>
      <c r="AS290" s="121"/>
      <c r="AT290" s="121"/>
      <c r="AU290" s="121"/>
      <c r="AV290" s="121"/>
      <c r="AW290" s="116"/>
      <c r="AX290" s="116"/>
      <c r="AY290" s="116"/>
      <c r="AZ290" s="115"/>
      <c r="BA290" s="116"/>
      <c r="BB290" s="116"/>
      <c r="BC290" s="116"/>
      <c r="BD290" s="116"/>
      <c r="BE290" s="116"/>
      <c r="BF290" s="115"/>
      <c r="BG290" s="109"/>
      <c r="BH290" s="115"/>
      <c r="BI290" s="115"/>
      <c r="BJ290" s="112"/>
      <c r="BK290" s="112"/>
      <c r="BL290" s="112"/>
      <c r="BM290" s="111"/>
      <c r="BN290" s="115"/>
      <c r="BO290" s="111"/>
      <c r="BP290" s="111"/>
      <c r="BQ290" s="111"/>
      <c r="BR290" s="111"/>
      <c r="BS290" s="112"/>
      <c r="BT290" s="116"/>
      <c r="BU290" s="112"/>
      <c r="BV290" s="116"/>
      <c r="BW290" s="116"/>
      <c r="BX290" s="116"/>
      <c r="BY290" s="116"/>
      <c r="BZ290" s="109"/>
    </row>
    <row r="291" spans="5:78" s="51" customFormat="1" x14ac:dyDescent="0.25">
      <c r="E291" s="111"/>
      <c r="F291" s="111"/>
      <c r="G291" s="112"/>
      <c r="H291" s="116"/>
      <c r="I291" s="116"/>
      <c r="J291" s="109"/>
      <c r="K291" s="111"/>
      <c r="L291" s="111"/>
      <c r="M291" s="111"/>
      <c r="N291" s="111"/>
      <c r="O291" s="111"/>
      <c r="P291" s="111"/>
      <c r="Q291" s="111"/>
      <c r="R291" s="111"/>
      <c r="S291" s="111"/>
      <c r="T291" s="111"/>
      <c r="U291" s="111"/>
      <c r="V291" s="111"/>
      <c r="W291" s="111"/>
      <c r="X291" s="111"/>
      <c r="Y291" s="111"/>
      <c r="Z291" s="111"/>
      <c r="AA291" s="111"/>
      <c r="AB291" s="109"/>
      <c r="AC291" s="111"/>
      <c r="AD291" s="114"/>
      <c r="AE291" s="112"/>
      <c r="AF291" s="115"/>
      <c r="AG291" s="112"/>
      <c r="AH291" s="112"/>
      <c r="AI291" s="115"/>
      <c r="AJ291" s="115"/>
      <c r="AK291" s="114"/>
      <c r="AL291" s="116"/>
      <c r="AM291" s="112"/>
      <c r="AN291" s="112"/>
      <c r="AO291" s="109"/>
      <c r="AP291" s="121"/>
      <c r="AQ291" s="121"/>
      <c r="AR291" s="121"/>
      <c r="AS291" s="121"/>
      <c r="AT291" s="121"/>
      <c r="AU291" s="121"/>
      <c r="AV291" s="121"/>
      <c r="AW291" s="116"/>
      <c r="AX291" s="116"/>
      <c r="AY291" s="116"/>
      <c r="AZ291" s="115"/>
      <c r="BA291" s="116"/>
      <c r="BB291" s="116"/>
      <c r="BC291" s="116"/>
      <c r="BD291" s="116"/>
      <c r="BE291" s="116"/>
      <c r="BF291" s="115"/>
      <c r="BG291" s="109"/>
      <c r="BH291" s="115"/>
      <c r="BI291" s="115"/>
      <c r="BJ291" s="112"/>
      <c r="BK291" s="112"/>
      <c r="BL291" s="112"/>
      <c r="BM291" s="111"/>
      <c r="BN291" s="115"/>
      <c r="BO291" s="111"/>
      <c r="BP291" s="111"/>
      <c r="BQ291" s="111"/>
      <c r="BR291" s="111"/>
      <c r="BS291" s="112"/>
      <c r="BT291" s="116"/>
      <c r="BU291" s="112"/>
      <c r="BV291" s="116"/>
      <c r="BW291" s="116"/>
      <c r="BX291" s="116"/>
      <c r="BY291" s="116"/>
      <c r="BZ291" s="109"/>
    </row>
    <row r="292" spans="5:78" s="51" customFormat="1" x14ac:dyDescent="0.25">
      <c r="E292" s="111"/>
      <c r="F292" s="111"/>
      <c r="G292" s="112"/>
      <c r="H292" s="116"/>
      <c r="I292" s="116"/>
      <c r="J292" s="109"/>
      <c r="K292" s="111"/>
      <c r="L292" s="111"/>
      <c r="M292" s="111"/>
      <c r="N292" s="111"/>
      <c r="O292" s="111"/>
      <c r="P292" s="111"/>
      <c r="Q292" s="111"/>
      <c r="R292" s="111"/>
      <c r="S292" s="111"/>
      <c r="T292" s="111"/>
      <c r="U292" s="111"/>
      <c r="V292" s="111"/>
      <c r="W292" s="111"/>
      <c r="X292" s="111"/>
      <c r="Y292" s="111"/>
      <c r="Z292" s="111"/>
      <c r="AA292" s="111"/>
      <c r="AB292" s="109"/>
      <c r="AC292" s="111"/>
      <c r="AD292" s="114"/>
      <c r="AE292" s="112"/>
      <c r="AF292" s="115"/>
      <c r="AG292" s="112"/>
      <c r="AH292" s="112"/>
      <c r="AI292" s="115"/>
      <c r="AJ292" s="115"/>
      <c r="AK292" s="114"/>
      <c r="AL292" s="116"/>
      <c r="AM292" s="112"/>
      <c r="AN292" s="112"/>
      <c r="AO292" s="109"/>
      <c r="AP292" s="121"/>
      <c r="AQ292" s="121"/>
      <c r="AR292" s="121"/>
      <c r="AS292" s="121"/>
      <c r="AT292" s="121"/>
      <c r="AU292" s="121"/>
      <c r="AV292" s="121"/>
      <c r="AW292" s="116"/>
      <c r="AX292" s="116"/>
      <c r="AY292" s="116"/>
      <c r="AZ292" s="115"/>
      <c r="BA292" s="116"/>
      <c r="BB292" s="116"/>
      <c r="BC292" s="116"/>
      <c r="BD292" s="116"/>
      <c r="BE292" s="116"/>
      <c r="BF292" s="115"/>
      <c r="BG292" s="109"/>
      <c r="BH292" s="115"/>
      <c r="BI292" s="115"/>
      <c r="BJ292" s="112"/>
      <c r="BK292" s="112"/>
      <c r="BL292" s="112"/>
      <c r="BM292" s="111"/>
      <c r="BN292" s="115"/>
      <c r="BO292" s="111"/>
      <c r="BP292" s="111"/>
      <c r="BQ292" s="111"/>
      <c r="BR292" s="111"/>
      <c r="BS292" s="112"/>
      <c r="BT292" s="116"/>
      <c r="BU292" s="112"/>
      <c r="BV292" s="116"/>
      <c r="BW292" s="116"/>
      <c r="BX292" s="116"/>
      <c r="BY292" s="116"/>
      <c r="BZ292" s="109"/>
    </row>
    <row r="293" spans="5:78" s="51" customFormat="1" x14ac:dyDescent="0.25">
      <c r="E293" s="111"/>
      <c r="F293" s="111"/>
      <c r="G293" s="112"/>
      <c r="H293" s="116"/>
      <c r="I293" s="116"/>
      <c r="J293" s="109"/>
      <c r="K293" s="111"/>
      <c r="L293" s="111"/>
      <c r="M293" s="111"/>
      <c r="N293" s="111"/>
      <c r="O293" s="111"/>
      <c r="P293" s="111"/>
      <c r="Q293" s="111"/>
      <c r="R293" s="111"/>
      <c r="S293" s="111"/>
      <c r="T293" s="111"/>
      <c r="U293" s="111"/>
      <c r="V293" s="111"/>
      <c r="W293" s="111"/>
      <c r="X293" s="111"/>
      <c r="Y293" s="111"/>
      <c r="Z293" s="111"/>
      <c r="AA293" s="111"/>
      <c r="AB293" s="109"/>
      <c r="AC293" s="111"/>
      <c r="AD293" s="114"/>
      <c r="AE293" s="112"/>
      <c r="AF293" s="115"/>
      <c r="AG293" s="112"/>
      <c r="AH293" s="112"/>
      <c r="AI293" s="115"/>
      <c r="AJ293" s="115"/>
      <c r="AK293" s="114"/>
      <c r="AL293" s="116"/>
      <c r="AM293" s="112"/>
      <c r="AN293" s="112"/>
      <c r="AO293" s="109"/>
      <c r="AP293" s="121"/>
      <c r="AQ293" s="121"/>
      <c r="AR293" s="121"/>
      <c r="AS293" s="121"/>
      <c r="AT293" s="121"/>
      <c r="AU293" s="121"/>
      <c r="AV293" s="121"/>
      <c r="AW293" s="116"/>
      <c r="AX293" s="116"/>
      <c r="AY293" s="116"/>
      <c r="AZ293" s="115"/>
      <c r="BA293" s="116"/>
      <c r="BB293" s="116"/>
      <c r="BC293" s="116"/>
      <c r="BD293" s="116"/>
      <c r="BE293" s="116"/>
      <c r="BF293" s="115"/>
      <c r="BG293" s="109"/>
      <c r="BH293" s="115"/>
      <c r="BI293" s="115"/>
      <c r="BJ293" s="112"/>
      <c r="BK293" s="112"/>
      <c r="BL293" s="112"/>
      <c r="BM293" s="111"/>
      <c r="BN293" s="115"/>
      <c r="BO293" s="111"/>
      <c r="BP293" s="111"/>
      <c r="BQ293" s="111"/>
      <c r="BR293" s="111"/>
      <c r="BS293" s="112"/>
      <c r="BT293" s="116"/>
      <c r="BU293" s="112"/>
      <c r="BV293" s="116"/>
      <c r="BW293" s="116"/>
      <c r="BX293" s="116"/>
      <c r="BY293" s="116"/>
      <c r="BZ293" s="109"/>
    </row>
    <row r="294" spans="5:78" s="51" customFormat="1" x14ac:dyDescent="0.25">
      <c r="E294" s="111"/>
      <c r="F294" s="111"/>
      <c r="G294" s="112"/>
      <c r="H294" s="116"/>
      <c r="I294" s="116"/>
      <c r="J294" s="109"/>
      <c r="K294" s="111"/>
      <c r="L294" s="111"/>
      <c r="M294" s="111"/>
      <c r="N294" s="111"/>
      <c r="O294" s="111"/>
      <c r="P294" s="111"/>
      <c r="Q294" s="111"/>
      <c r="R294" s="111"/>
      <c r="S294" s="111"/>
      <c r="T294" s="111"/>
      <c r="U294" s="111"/>
      <c r="V294" s="111"/>
      <c r="W294" s="111"/>
      <c r="X294" s="111"/>
      <c r="Y294" s="111"/>
      <c r="Z294" s="111"/>
      <c r="AA294" s="111"/>
      <c r="AB294" s="109"/>
      <c r="AC294" s="111"/>
      <c r="AD294" s="114"/>
      <c r="AE294" s="112"/>
      <c r="AF294" s="115"/>
      <c r="AG294" s="112"/>
      <c r="AH294" s="112"/>
      <c r="AI294" s="115"/>
      <c r="AJ294" s="115"/>
      <c r="AK294" s="114"/>
      <c r="AL294" s="116"/>
      <c r="AM294" s="112"/>
      <c r="AN294" s="112"/>
      <c r="AO294" s="109"/>
      <c r="AP294" s="121"/>
      <c r="AQ294" s="121"/>
      <c r="AR294" s="121"/>
      <c r="AS294" s="121"/>
      <c r="AT294" s="121"/>
      <c r="AU294" s="121"/>
      <c r="AV294" s="121"/>
      <c r="AW294" s="116"/>
      <c r="AX294" s="116"/>
      <c r="AY294" s="116"/>
      <c r="AZ294" s="115"/>
      <c r="BA294" s="116"/>
      <c r="BB294" s="116"/>
      <c r="BC294" s="116"/>
      <c r="BD294" s="116"/>
      <c r="BE294" s="116"/>
      <c r="BF294" s="115"/>
      <c r="BG294" s="109"/>
      <c r="BH294" s="115"/>
      <c r="BI294" s="115"/>
      <c r="BJ294" s="112"/>
      <c r="BK294" s="112"/>
      <c r="BL294" s="112"/>
      <c r="BM294" s="111"/>
      <c r="BN294" s="115"/>
      <c r="BO294" s="111"/>
      <c r="BP294" s="111"/>
      <c r="BQ294" s="111"/>
      <c r="BR294" s="111"/>
      <c r="BS294" s="112"/>
      <c r="BT294" s="116"/>
      <c r="BU294" s="112"/>
      <c r="BV294" s="116"/>
      <c r="BW294" s="116"/>
      <c r="BX294" s="116"/>
      <c r="BY294" s="116"/>
      <c r="BZ294" s="109"/>
    </row>
    <row r="295" spans="5:78" s="51" customFormat="1" x14ac:dyDescent="0.25">
      <c r="E295" s="111"/>
      <c r="F295" s="111"/>
      <c r="G295" s="112"/>
      <c r="H295" s="116"/>
      <c r="I295" s="116"/>
      <c r="J295" s="109"/>
      <c r="K295" s="111"/>
      <c r="L295" s="111"/>
      <c r="M295" s="111"/>
      <c r="N295" s="111"/>
      <c r="O295" s="111"/>
      <c r="P295" s="111"/>
      <c r="Q295" s="111"/>
      <c r="R295" s="111"/>
      <c r="S295" s="111"/>
      <c r="T295" s="111"/>
      <c r="U295" s="111"/>
      <c r="V295" s="111"/>
      <c r="W295" s="111"/>
      <c r="X295" s="111"/>
      <c r="Y295" s="111"/>
      <c r="Z295" s="111"/>
      <c r="AA295" s="111"/>
      <c r="AB295" s="109"/>
      <c r="AC295" s="111"/>
      <c r="AD295" s="114"/>
      <c r="AE295" s="112"/>
      <c r="AF295" s="115"/>
      <c r="AG295" s="112"/>
      <c r="AH295" s="112"/>
      <c r="AI295" s="115"/>
      <c r="AJ295" s="115"/>
      <c r="AK295" s="114"/>
      <c r="AL295" s="116"/>
      <c r="AM295" s="112"/>
      <c r="AN295" s="112"/>
      <c r="AO295" s="109"/>
      <c r="AP295" s="121"/>
      <c r="AQ295" s="121"/>
      <c r="AR295" s="121"/>
      <c r="AS295" s="121"/>
      <c r="AT295" s="121"/>
      <c r="AU295" s="121"/>
      <c r="AV295" s="121"/>
      <c r="AW295" s="116"/>
      <c r="AX295" s="116"/>
      <c r="AY295" s="116"/>
      <c r="AZ295" s="115"/>
      <c r="BA295" s="116"/>
      <c r="BB295" s="116"/>
      <c r="BC295" s="116"/>
      <c r="BD295" s="116"/>
      <c r="BE295" s="116"/>
      <c r="BF295" s="115"/>
      <c r="BG295" s="109"/>
      <c r="BH295" s="115"/>
      <c r="BI295" s="115"/>
      <c r="BJ295" s="112"/>
      <c r="BK295" s="112"/>
      <c r="BL295" s="112"/>
      <c r="BM295" s="111"/>
      <c r="BN295" s="115"/>
      <c r="BO295" s="111"/>
      <c r="BP295" s="111"/>
      <c r="BQ295" s="111"/>
      <c r="BR295" s="111"/>
      <c r="BS295" s="112"/>
      <c r="BT295" s="116"/>
      <c r="BU295" s="112"/>
      <c r="BV295" s="116"/>
      <c r="BW295" s="116"/>
      <c r="BX295" s="116"/>
      <c r="BY295" s="116"/>
      <c r="BZ295" s="109"/>
    </row>
    <row r="296" spans="5:78" s="51" customFormat="1" x14ac:dyDescent="0.25">
      <c r="E296" s="111"/>
      <c r="F296" s="111"/>
      <c r="G296" s="112"/>
      <c r="H296" s="116"/>
      <c r="I296" s="116"/>
      <c r="J296" s="109"/>
      <c r="K296" s="111"/>
      <c r="L296" s="111"/>
      <c r="M296" s="111"/>
      <c r="N296" s="111"/>
      <c r="O296" s="111"/>
      <c r="P296" s="111"/>
      <c r="Q296" s="111"/>
      <c r="R296" s="111"/>
      <c r="S296" s="111"/>
      <c r="T296" s="111"/>
      <c r="U296" s="111"/>
      <c r="V296" s="111"/>
      <c r="W296" s="111"/>
      <c r="X296" s="111"/>
      <c r="Y296" s="111"/>
      <c r="Z296" s="111"/>
      <c r="AA296" s="111"/>
      <c r="AB296" s="109"/>
      <c r="AC296" s="111"/>
      <c r="AD296" s="114"/>
      <c r="AE296" s="112"/>
      <c r="AF296" s="115"/>
      <c r="AG296" s="112"/>
      <c r="AH296" s="112"/>
      <c r="AI296" s="115"/>
      <c r="AJ296" s="115"/>
      <c r="AK296" s="114"/>
      <c r="AL296" s="116"/>
      <c r="AM296" s="112"/>
      <c r="AN296" s="112"/>
      <c r="AO296" s="109"/>
      <c r="AP296" s="121"/>
      <c r="AQ296" s="121"/>
      <c r="AR296" s="121"/>
      <c r="AS296" s="121"/>
      <c r="AT296" s="121"/>
      <c r="AU296" s="121"/>
      <c r="AV296" s="121"/>
      <c r="AW296" s="116"/>
      <c r="AX296" s="116"/>
      <c r="AY296" s="116"/>
      <c r="AZ296" s="115"/>
      <c r="BA296" s="116"/>
      <c r="BB296" s="116"/>
      <c r="BC296" s="116"/>
      <c r="BD296" s="116"/>
      <c r="BE296" s="116"/>
      <c r="BF296" s="115"/>
      <c r="BG296" s="109"/>
      <c r="BH296" s="115"/>
      <c r="BI296" s="115"/>
      <c r="BJ296" s="112"/>
      <c r="BK296" s="112"/>
      <c r="BL296" s="112"/>
      <c r="BM296" s="111"/>
      <c r="BN296" s="115"/>
      <c r="BO296" s="111"/>
      <c r="BP296" s="111"/>
      <c r="BQ296" s="111"/>
      <c r="BR296" s="111"/>
      <c r="BS296" s="112"/>
      <c r="BT296" s="116"/>
      <c r="BU296" s="112"/>
      <c r="BV296" s="116"/>
      <c r="BW296" s="116"/>
      <c r="BX296" s="116"/>
      <c r="BY296" s="116"/>
      <c r="BZ296" s="109"/>
    </row>
    <row r="297" spans="5:78" s="51" customFormat="1" x14ac:dyDescent="0.25">
      <c r="E297" s="111"/>
      <c r="F297" s="111"/>
      <c r="G297" s="112"/>
      <c r="H297" s="116"/>
      <c r="I297" s="116"/>
      <c r="J297" s="109"/>
      <c r="K297" s="111"/>
      <c r="L297" s="111"/>
      <c r="M297" s="111"/>
      <c r="N297" s="111"/>
      <c r="O297" s="111"/>
      <c r="P297" s="111"/>
      <c r="Q297" s="111"/>
      <c r="R297" s="111"/>
      <c r="S297" s="111"/>
      <c r="T297" s="111"/>
      <c r="U297" s="111"/>
      <c r="V297" s="111"/>
      <c r="W297" s="111"/>
      <c r="X297" s="111"/>
      <c r="Y297" s="111"/>
      <c r="Z297" s="111"/>
      <c r="AA297" s="111"/>
      <c r="AB297" s="109"/>
      <c r="AC297" s="111"/>
      <c r="AD297" s="114"/>
      <c r="AE297" s="112"/>
      <c r="AF297" s="115"/>
      <c r="AG297" s="112"/>
      <c r="AH297" s="112"/>
      <c r="AI297" s="115"/>
      <c r="AJ297" s="115"/>
      <c r="AK297" s="114"/>
      <c r="AL297" s="116"/>
      <c r="AM297" s="112"/>
      <c r="AN297" s="112"/>
      <c r="AO297" s="109"/>
      <c r="AP297" s="121"/>
      <c r="AQ297" s="121"/>
      <c r="AR297" s="121"/>
      <c r="AS297" s="121"/>
      <c r="AT297" s="121"/>
      <c r="AU297" s="121"/>
      <c r="AV297" s="121"/>
      <c r="AW297" s="116"/>
      <c r="AX297" s="116"/>
      <c r="AY297" s="116"/>
      <c r="AZ297" s="115"/>
      <c r="BA297" s="116"/>
      <c r="BB297" s="116"/>
      <c r="BC297" s="116"/>
      <c r="BD297" s="116"/>
      <c r="BE297" s="116"/>
      <c r="BF297" s="115"/>
      <c r="BG297" s="109"/>
      <c r="BH297" s="115"/>
      <c r="BI297" s="115"/>
      <c r="BJ297" s="112"/>
      <c r="BK297" s="112"/>
      <c r="BL297" s="112"/>
      <c r="BM297" s="111"/>
      <c r="BN297" s="115"/>
      <c r="BO297" s="111"/>
      <c r="BP297" s="111"/>
      <c r="BQ297" s="111"/>
      <c r="BR297" s="111"/>
      <c r="BS297" s="112"/>
      <c r="BT297" s="116"/>
      <c r="BU297" s="112"/>
      <c r="BV297" s="116"/>
      <c r="BW297" s="116"/>
      <c r="BX297" s="116"/>
      <c r="BY297" s="116"/>
      <c r="BZ297" s="109"/>
    </row>
    <row r="298" spans="5:78" s="51" customFormat="1" x14ac:dyDescent="0.25">
      <c r="E298" s="111"/>
      <c r="F298" s="111"/>
      <c r="G298" s="112"/>
      <c r="H298" s="116"/>
      <c r="I298" s="116"/>
      <c r="J298" s="109"/>
      <c r="K298" s="111"/>
      <c r="L298" s="111"/>
      <c r="M298" s="111"/>
      <c r="N298" s="111"/>
      <c r="O298" s="111"/>
      <c r="P298" s="111"/>
      <c r="Q298" s="111"/>
      <c r="R298" s="111"/>
      <c r="S298" s="111"/>
      <c r="T298" s="111"/>
      <c r="U298" s="111"/>
      <c r="V298" s="111"/>
      <c r="W298" s="111"/>
      <c r="X298" s="111"/>
      <c r="Y298" s="111"/>
      <c r="Z298" s="111"/>
      <c r="AA298" s="111"/>
      <c r="AB298" s="109"/>
      <c r="AC298" s="111"/>
      <c r="AD298" s="114"/>
      <c r="AE298" s="112"/>
      <c r="AF298" s="115"/>
      <c r="AG298" s="112"/>
      <c r="AH298" s="112"/>
      <c r="AI298" s="115"/>
      <c r="AJ298" s="115"/>
      <c r="AK298" s="114"/>
      <c r="AL298" s="116"/>
      <c r="AM298" s="112"/>
      <c r="AN298" s="112"/>
      <c r="AO298" s="109"/>
      <c r="AP298" s="121"/>
      <c r="AQ298" s="121"/>
      <c r="AR298" s="121"/>
      <c r="AS298" s="121"/>
      <c r="AT298" s="121"/>
      <c r="AU298" s="121"/>
      <c r="AV298" s="121"/>
      <c r="AW298" s="116"/>
      <c r="AX298" s="116"/>
      <c r="AY298" s="116"/>
      <c r="AZ298" s="115"/>
      <c r="BA298" s="116"/>
      <c r="BB298" s="116"/>
      <c r="BC298" s="116"/>
      <c r="BD298" s="116"/>
      <c r="BE298" s="116"/>
      <c r="BF298" s="115"/>
      <c r="BG298" s="109"/>
      <c r="BH298" s="115"/>
      <c r="BI298" s="115"/>
      <c r="BJ298" s="112"/>
      <c r="BK298" s="112"/>
      <c r="BL298" s="112"/>
      <c r="BM298" s="111"/>
      <c r="BN298" s="115"/>
      <c r="BO298" s="111"/>
      <c r="BP298" s="111"/>
      <c r="BQ298" s="111"/>
      <c r="BR298" s="111"/>
      <c r="BS298" s="112"/>
      <c r="BT298" s="116"/>
      <c r="BU298" s="112"/>
      <c r="BV298" s="116"/>
      <c r="BW298" s="116"/>
      <c r="BX298" s="116"/>
      <c r="BY298" s="116"/>
      <c r="BZ298" s="109"/>
    </row>
    <row r="299" spans="5:78" s="51" customFormat="1" x14ac:dyDescent="0.25">
      <c r="E299" s="111"/>
      <c r="F299" s="111"/>
      <c r="G299" s="112"/>
      <c r="H299" s="116"/>
      <c r="I299" s="116"/>
      <c r="J299" s="109"/>
      <c r="K299" s="111"/>
      <c r="L299" s="111"/>
      <c r="M299" s="111"/>
      <c r="N299" s="111"/>
      <c r="O299" s="111"/>
      <c r="P299" s="111"/>
      <c r="Q299" s="111"/>
      <c r="R299" s="111"/>
      <c r="S299" s="111"/>
      <c r="T299" s="111"/>
      <c r="U299" s="111"/>
      <c r="V299" s="111"/>
      <c r="W299" s="111"/>
      <c r="X299" s="111"/>
      <c r="Y299" s="111"/>
      <c r="Z299" s="111"/>
      <c r="AA299" s="111"/>
      <c r="AB299" s="109"/>
      <c r="AC299" s="111"/>
      <c r="AD299" s="114"/>
      <c r="AE299" s="112"/>
      <c r="AF299" s="115"/>
      <c r="AG299" s="112"/>
      <c r="AH299" s="112"/>
      <c r="AI299" s="115"/>
      <c r="AJ299" s="115"/>
      <c r="AK299" s="114"/>
      <c r="AL299" s="116"/>
      <c r="AM299" s="112"/>
      <c r="AN299" s="112"/>
      <c r="AO299" s="109"/>
      <c r="AP299" s="121"/>
      <c r="AQ299" s="121"/>
      <c r="AR299" s="121"/>
      <c r="AS299" s="121"/>
      <c r="AT299" s="121"/>
      <c r="AU299" s="121"/>
      <c r="AV299" s="121"/>
      <c r="AW299" s="116"/>
      <c r="AX299" s="116"/>
      <c r="AY299" s="116"/>
      <c r="AZ299" s="115"/>
      <c r="BA299" s="116"/>
      <c r="BB299" s="116"/>
      <c r="BC299" s="116"/>
      <c r="BD299" s="116"/>
      <c r="BE299" s="116"/>
      <c r="BF299" s="115"/>
      <c r="BG299" s="109"/>
      <c r="BH299" s="115"/>
      <c r="BI299" s="115"/>
      <c r="BJ299" s="112"/>
      <c r="BK299" s="112"/>
      <c r="BL299" s="112"/>
      <c r="BM299" s="111"/>
      <c r="BN299" s="115"/>
      <c r="BO299" s="111"/>
      <c r="BP299" s="111"/>
      <c r="BQ299" s="111"/>
      <c r="BR299" s="111"/>
      <c r="BS299" s="112"/>
      <c r="BT299" s="116"/>
      <c r="BU299" s="112"/>
      <c r="BV299" s="116"/>
      <c r="BW299" s="116"/>
      <c r="BX299" s="116"/>
      <c r="BY299" s="116"/>
      <c r="BZ299" s="109"/>
    </row>
    <row r="300" spans="5:78" s="51" customFormat="1" x14ac:dyDescent="0.25">
      <c r="E300" s="111"/>
      <c r="F300" s="111"/>
      <c r="G300" s="112"/>
      <c r="H300" s="116"/>
      <c r="I300" s="116"/>
      <c r="J300" s="109"/>
      <c r="K300" s="111"/>
      <c r="L300" s="111"/>
      <c r="M300" s="111"/>
      <c r="N300" s="111"/>
      <c r="O300" s="111"/>
      <c r="P300" s="111"/>
      <c r="Q300" s="111"/>
      <c r="R300" s="111"/>
      <c r="S300" s="111"/>
      <c r="T300" s="111"/>
      <c r="U300" s="111"/>
      <c r="V300" s="111"/>
      <c r="W300" s="111"/>
      <c r="X300" s="111"/>
      <c r="Y300" s="111"/>
      <c r="Z300" s="111"/>
      <c r="AA300" s="111"/>
      <c r="AB300" s="109"/>
      <c r="AC300" s="111"/>
      <c r="AD300" s="114"/>
      <c r="AE300" s="112"/>
      <c r="AF300" s="115"/>
      <c r="AG300" s="112"/>
      <c r="AH300" s="112"/>
      <c r="AI300" s="115"/>
      <c r="AJ300" s="115"/>
      <c r="AK300" s="114"/>
      <c r="AL300" s="116"/>
      <c r="AM300" s="112"/>
      <c r="AN300" s="112"/>
      <c r="AO300" s="109"/>
      <c r="AP300" s="121"/>
      <c r="AQ300" s="121"/>
      <c r="AR300" s="121"/>
      <c r="AS300" s="121"/>
      <c r="AT300" s="121"/>
      <c r="AU300" s="121"/>
      <c r="AV300" s="121"/>
      <c r="AW300" s="116"/>
      <c r="AX300" s="116"/>
      <c r="AY300" s="116"/>
      <c r="AZ300" s="115"/>
      <c r="BA300" s="116"/>
      <c r="BB300" s="116"/>
      <c r="BC300" s="116"/>
      <c r="BD300" s="116"/>
      <c r="BE300" s="116"/>
      <c r="BF300" s="115"/>
      <c r="BG300" s="109"/>
      <c r="BH300" s="115"/>
      <c r="BI300" s="115"/>
      <c r="BJ300" s="112"/>
      <c r="BK300" s="112"/>
      <c r="BL300" s="112"/>
      <c r="BM300" s="111"/>
      <c r="BN300" s="115"/>
      <c r="BO300" s="111"/>
      <c r="BP300" s="111"/>
      <c r="BQ300" s="111"/>
      <c r="BR300" s="111"/>
      <c r="BS300" s="112"/>
      <c r="BT300" s="116"/>
      <c r="BU300" s="112"/>
      <c r="BV300" s="116"/>
      <c r="BW300" s="116"/>
      <c r="BX300" s="116"/>
      <c r="BY300" s="116"/>
      <c r="BZ300" s="109"/>
    </row>
    <row r="301" spans="5:78" s="51" customFormat="1" x14ac:dyDescent="0.25">
      <c r="E301" s="111"/>
      <c r="F301" s="111"/>
      <c r="G301" s="112"/>
      <c r="H301" s="116"/>
      <c r="I301" s="116"/>
      <c r="J301" s="109"/>
      <c r="K301" s="111"/>
      <c r="L301" s="111"/>
      <c r="M301" s="111"/>
      <c r="N301" s="111"/>
      <c r="O301" s="111"/>
      <c r="P301" s="111"/>
      <c r="Q301" s="111"/>
      <c r="R301" s="111"/>
      <c r="S301" s="111"/>
      <c r="T301" s="111"/>
      <c r="U301" s="111"/>
      <c r="V301" s="111"/>
      <c r="W301" s="111"/>
      <c r="X301" s="111"/>
      <c r="Y301" s="111"/>
      <c r="Z301" s="111"/>
      <c r="AA301" s="111"/>
      <c r="AB301" s="109"/>
      <c r="AC301" s="111"/>
      <c r="AD301" s="114"/>
      <c r="AE301" s="112"/>
      <c r="AF301" s="115"/>
      <c r="AG301" s="112"/>
      <c r="AH301" s="112"/>
      <c r="AI301" s="115"/>
      <c r="AJ301" s="115"/>
      <c r="AK301" s="114"/>
      <c r="AL301" s="116"/>
      <c r="AM301" s="112"/>
      <c r="AN301" s="112"/>
      <c r="AO301" s="109"/>
      <c r="AP301" s="121"/>
      <c r="AQ301" s="121"/>
      <c r="AR301" s="121"/>
      <c r="AS301" s="121"/>
      <c r="AT301" s="121"/>
      <c r="AU301" s="121"/>
      <c r="AV301" s="121"/>
      <c r="AW301" s="116"/>
      <c r="AX301" s="116"/>
      <c r="AY301" s="116"/>
      <c r="AZ301" s="115"/>
      <c r="BA301" s="116"/>
      <c r="BB301" s="116"/>
      <c r="BC301" s="116"/>
      <c r="BD301" s="116"/>
      <c r="BE301" s="116"/>
      <c r="BF301" s="115"/>
      <c r="BG301" s="109"/>
      <c r="BH301" s="115"/>
      <c r="BI301" s="115"/>
      <c r="BJ301" s="112"/>
      <c r="BK301" s="112"/>
      <c r="BL301" s="112"/>
      <c r="BM301" s="111"/>
      <c r="BN301" s="115"/>
      <c r="BO301" s="111"/>
      <c r="BP301" s="111"/>
      <c r="BQ301" s="111"/>
      <c r="BR301" s="111"/>
      <c r="BS301" s="112"/>
      <c r="BT301" s="116"/>
      <c r="BU301" s="112"/>
      <c r="BV301" s="116"/>
      <c r="BW301" s="116"/>
      <c r="BX301" s="116"/>
      <c r="BY301" s="116"/>
      <c r="BZ301" s="109"/>
    </row>
    <row r="302" spans="5:78" s="51" customFormat="1" x14ac:dyDescent="0.25">
      <c r="E302" s="111"/>
      <c r="F302" s="111"/>
      <c r="G302" s="112"/>
      <c r="H302" s="116"/>
      <c r="I302" s="116"/>
      <c r="J302" s="109"/>
      <c r="K302" s="111"/>
      <c r="L302" s="111"/>
      <c r="M302" s="111"/>
      <c r="N302" s="111"/>
      <c r="O302" s="111"/>
      <c r="P302" s="111"/>
      <c r="Q302" s="111"/>
      <c r="R302" s="111"/>
      <c r="S302" s="111"/>
      <c r="T302" s="111"/>
      <c r="U302" s="111"/>
      <c r="V302" s="111"/>
      <c r="W302" s="111"/>
      <c r="X302" s="111"/>
      <c r="Y302" s="111"/>
      <c r="Z302" s="111"/>
      <c r="AA302" s="111"/>
      <c r="AB302" s="109"/>
      <c r="AC302" s="111"/>
      <c r="AD302" s="114"/>
      <c r="AE302" s="112"/>
      <c r="AF302" s="115"/>
      <c r="AG302" s="112"/>
      <c r="AH302" s="112"/>
      <c r="AI302" s="115"/>
      <c r="AJ302" s="115"/>
      <c r="AK302" s="114"/>
      <c r="AL302" s="116"/>
      <c r="AM302" s="112"/>
      <c r="AN302" s="112"/>
      <c r="AO302" s="109"/>
      <c r="AP302" s="121"/>
      <c r="AQ302" s="121"/>
      <c r="AR302" s="121"/>
      <c r="AS302" s="121"/>
      <c r="AT302" s="121"/>
      <c r="AU302" s="121"/>
      <c r="AV302" s="121"/>
      <c r="AW302" s="116"/>
      <c r="AX302" s="116"/>
      <c r="AY302" s="116"/>
      <c r="AZ302" s="115"/>
      <c r="BA302" s="116"/>
      <c r="BB302" s="116"/>
      <c r="BC302" s="116"/>
      <c r="BD302" s="116"/>
      <c r="BE302" s="116"/>
      <c r="BF302" s="115"/>
      <c r="BG302" s="109"/>
      <c r="BH302" s="115"/>
      <c r="BI302" s="115"/>
      <c r="BJ302" s="112"/>
      <c r="BK302" s="112"/>
      <c r="BL302" s="112"/>
      <c r="BM302" s="111"/>
      <c r="BN302" s="115"/>
      <c r="BO302" s="111"/>
      <c r="BP302" s="111"/>
      <c r="BQ302" s="111"/>
      <c r="BR302" s="111"/>
      <c r="BS302" s="112"/>
      <c r="BT302" s="116"/>
      <c r="BU302" s="112"/>
      <c r="BV302" s="116"/>
      <c r="BW302" s="116"/>
      <c r="BX302" s="116"/>
      <c r="BY302" s="116"/>
      <c r="BZ302" s="109"/>
    </row>
    <row r="303" spans="5:78" s="51" customFormat="1" x14ac:dyDescent="0.25">
      <c r="E303" s="111"/>
      <c r="F303" s="111"/>
      <c r="G303" s="112"/>
      <c r="H303" s="116"/>
      <c r="I303" s="116"/>
      <c r="J303" s="109"/>
      <c r="K303" s="111"/>
      <c r="L303" s="111"/>
      <c r="M303" s="111"/>
      <c r="N303" s="111"/>
      <c r="O303" s="111"/>
      <c r="P303" s="111"/>
      <c r="Q303" s="111"/>
      <c r="R303" s="111"/>
      <c r="S303" s="111"/>
      <c r="T303" s="111"/>
      <c r="U303" s="111"/>
      <c r="V303" s="111"/>
      <c r="W303" s="111"/>
      <c r="X303" s="111"/>
      <c r="Y303" s="111"/>
      <c r="Z303" s="111"/>
      <c r="AA303" s="111"/>
      <c r="AB303" s="109"/>
      <c r="AC303" s="111"/>
      <c r="AD303" s="114"/>
      <c r="AE303" s="112"/>
      <c r="AF303" s="115"/>
      <c r="AG303" s="112"/>
      <c r="AH303" s="112"/>
      <c r="AI303" s="115"/>
      <c r="AJ303" s="115"/>
      <c r="AK303" s="114"/>
      <c r="AL303" s="116"/>
      <c r="AM303" s="112"/>
      <c r="AN303" s="112"/>
      <c r="AO303" s="109"/>
      <c r="AP303" s="121"/>
      <c r="AQ303" s="121"/>
      <c r="AR303" s="121"/>
      <c r="AS303" s="121"/>
      <c r="AT303" s="121"/>
      <c r="AU303" s="121"/>
      <c r="AV303" s="121"/>
      <c r="AW303" s="116"/>
      <c r="AX303" s="116"/>
      <c r="AY303" s="116"/>
      <c r="AZ303" s="115"/>
      <c r="BA303" s="116"/>
      <c r="BB303" s="116"/>
      <c r="BC303" s="116"/>
      <c r="BD303" s="116"/>
      <c r="BE303" s="116"/>
      <c r="BF303" s="115"/>
      <c r="BG303" s="109"/>
      <c r="BH303" s="115"/>
      <c r="BI303" s="115"/>
      <c r="BJ303" s="112"/>
      <c r="BK303" s="112"/>
      <c r="BL303" s="112"/>
      <c r="BM303" s="111"/>
      <c r="BN303" s="115"/>
      <c r="BO303" s="111"/>
      <c r="BP303" s="111"/>
      <c r="BQ303" s="111"/>
      <c r="BR303" s="111"/>
      <c r="BS303" s="112"/>
      <c r="BT303" s="116"/>
      <c r="BU303" s="112"/>
      <c r="BV303" s="116"/>
      <c r="BW303" s="116"/>
      <c r="BX303" s="116"/>
      <c r="BY303" s="116"/>
      <c r="BZ303" s="109"/>
    </row>
    <row r="304" spans="5:78" s="108" customFormat="1" x14ac:dyDescent="0.25">
      <c r="E304" s="46"/>
      <c r="F304" s="46"/>
      <c r="G304" s="48"/>
      <c r="H304" s="20"/>
      <c r="I304" s="20"/>
      <c r="J304" s="110"/>
      <c r="K304" s="46"/>
      <c r="L304" s="46"/>
      <c r="M304" s="46"/>
      <c r="N304" s="46"/>
      <c r="O304" s="46"/>
      <c r="P304" s="46"/>
      <c r="Q304" s="46"/>
      <c r="R304" s="46"/>
      <c r="S304" s="46"/>
      <c r="T304" s="46"/>
      <c r="U304" s="46"/>
      <c r="V304" s="46"/>
      <c r="W304" s="46"/>
      <c r="X304" s="46"/>
      <c r="Y304" s="46"/>
      <c r="Z304" s="217"/>
      <c r="AA304" s="46"/>
      <c r="AB304" s="110"/>
      <c r="AC304" s="46"/>
      <c r="AD304" s="47"/>
      <c r="AE304" s="48"/>
      <c r="AF304" s="49"/>
      <c r="AG304" s="48"/>
      <c r="AH304" s="48"/>
      <c r="AI304" s="49"/>
      <c r="AJ304" s="49"/>
      <c r="AK304" s="47"/>
      <c r="AL304" s="20"/>
      <c r="AM304" s="48"/>
      <c r="AN304" s="48"/>
      <c r="AO304" s="110"/>
      <c r="AP304" s="5"/>
      <c r="AQ304" s="5"/>
      <c r="AR304" s="5"/>
      <c r="AS304" s="5"/>
      <c r="AT304" s="5"/>
      <c r="AU304" s="5"/>
      <c r="AV304" s="5"/>
      <c r="AW304" s="20"/>
      <c r="AX304" s="20"/>
      <c r="AY304" s="20"/>
      <c r="AZ304" s="49"/>
      <c r="BA304" s="20"/>
      <c r="BB304" s="20"/>
      <c r="BC304" s="20"/>
      <c r="BD304" s="20"/>
      <c r="BE304" s="20"/>
      <c r="BF304" s="49"/>
      <c r="BG304" s="110"/>
      <c r="BH304" s="49"/>
      <c r="BI304" s="49"/>
      <c r="BJ304" s="48"/>
      <c r="BK304" s="48"/>
      <c r="BL304" s="48"/>
      <c r="BM304" s="46"/>
      <c r="BN304" s="49"/>
      <c r="BO304" s="46"/>
      <c r="BP304" s="46"/>
      <c r="BQ304" s="46"/>
      <c r="BR304" s="46"/>
      <c r="BS304" s="48"/>
      <c r="BT304" s="20"/>
      <c r="BU304" s="48"/>
      <c r="BV304" s="20"/>
      <c r="BW304" s="20"/>
      <c r="BX304" s="20"/>
      <c r="BY304" s="20"/>
      <c r="BZ304" s="110"/>
    </row>
    <row r="305" spans="1:78" s="108" customFormat="1" x14ac:dyDescent="0.25">
      <c r="E305" s="46"/>
      <c r="F305" s="46"/>
      <c r="G305" s="48"/>
      <c r="H305" s="20"/>
      <c r="I305" s="20"/>
      <c r="J305" s="110"/>
      <c r="K305" s="46"/>
      <c r="L305" s="46"/>
      <c r="M305" s="46"/>
      <c r="N305" s="46"/>
      <c r="O305" s="46"/>
      <c r="P305" s="46"/>
      <c r="Q305" s="46"/>
      <c r="R305" s="46"/>
      <c r="S305" s="46"/>
      <c r="T305" s="46"/>
      <c r="U305" s="46"/>
      <c r="V305" s="46"/>
      <c r="W305" s="46"/>
      <c r="X305" s="46"/>
      <c r="Y305" s="46"/>
      <c r="Z305" s="217"/>
      <c r="AA305" s="46"/>
      <c r="AB305" s="110"/>
      <c r="AC305" s="46"/>
      <c r="AD305" s="47"/>
      <c r="AE305" s="48"/>
      <c r="AF305" s="49"/>
      <c r="AG305" s="48"/>
      <c r="AH305" s="48"/>
      <c r="AI305" s="49"/>
      <c r="AJ305" s="49"/>
      <c r="AK305" s="47"/>
      <c r="AL305" s="20"/>
      <c r="AM305" s="48"/>
      <c r="AN305" s="48"/>
      <c r="AO305" s="110"/>
      <c r="AP305" s="5"/>
      <c r="AQ305" s="5"/>
      <c r="AR305" s="5"/>
      <c r="AS305" s="5"/>
      <c r="AT305" s="5"/>
      <c r="AU305" s="5"/>
      <c r="AV305" s="5"/>
      <c r="AW305" s="20"/>
      <c r="AX305" s="20"/>
      <c r="AY305" s="20"/>
      <c r="AZ305" s="49"/>
      <c r="BA305" s="20"/>
      <c r="BB305" s="20"/>
      <c r="BC305" s="20"/>
      <c r="BD305" s="20"/>
      <c r="BE305" s="20"/>
      <c r="BF305" s="49"/>
      <c r="BG305" s="110"/>
      <c r="BH305" s="49"/>
      <c r="BI305" s="49"/>
      <c r="BJ305" s="48"/>
      <c r="BK305" s="48"/>
      <c r="BL305" s="48"/>
      <c r="BM305" s="46"/>
      <c r="BN305" s="49"/>
      <c r="BO305" s="46"/>
      <c r="BP305" s="46"/>
      <c r="BQ305" s="46"/>
      <c r="BR305" s="46"/>
      <c r="BS305" s="48"/>
      <c r="BT305" s="20"/>
      <c r="BU305" s="48"/>
      <c r="BV305" s="20"/>
      <c r="BW305" s="20"/>
      <c r="BX305" s="20"/>
      <c r="BY305" s="20"/>
      <c r="BZ305" s="110"/>
    </row>
    <row r="306" spans="1:78" x14ac:dyDescent="0.25">
      <c r="A306"/>
      <c r="B306"/>
      <c r="C306"/>
      <c r="D306"/>
      <c r="J306" s="50"/>
      <c r="AB306" s="50"/>
      <c r="AO306" s="50"/>
      <c r="BG306" s="50"/>
      <c r="BZ306" s="50"/>
    </row>
    <row r="307" spans="1:78" x14ac:dyDescent="0.25">
      <c r="A307"/>
      <c r="B307"/>
      <c r="C307"/>
      <c r="D307"/>
      <c r="J307" s="50"/>
      <c r="AB307" s="50"/>
      <c r="AO307" s="50"/>
      <c r="BG307" s="50"/>
      <c r="BZ307" s="50"/>
    </row>
    <row r="308" spans="1:78" x14ac:dyDescent="0.25">
      <c r="A308"/>
      <c r="B308"/>
      <c r="C308"/>
      <c r="D308"/>
      <c r="J308" s="50"/>
      <c r="AB308" s="50"/>
      <c r="AO308" s="50"/>
      <c r="BG308" s="50"/>
      <c r="BZ308" s="50"/>
    </row>
    <row r="309" spans="1:78" x14ac:dyDescent="0.25">
      <c r="A309"/>
      <c r="B309"/>
      <c r="C309"/>
      <c r="D309"/>
      <c r="J309" s="50"/>
      <c r="AB309" s="50"/>
      <c r="AO309" s="50"/>
      <c r="BG309" s="50"/>
      <c r="BZ309" s="50"/>
    </row>
    <row r="310" spans="1:78" x14ac:dyDescent="0.25">
      <c r="A310"/>
      <c r="B310"/>
      <c r="C310"/>
      <c r="D310"/>
      <c r="J310" s="50"/>
      <c r="AB310" s="50"/>
      <c r="AO310" s="50"/>
      <c r="BG310" s="50"/>
      <c r="BZ310" s="50"/>
    </row>
    <row r="311" spans="1:78" x14ac:dyDescent="0.25">
      <c r="A311"/>
      <c r="B311"/>
      <c r="C311"/>
      <c r="D311"/>
      <c r="J311" s="50"/>
      <c r="AB311" s="50"/>
      <c r="AO311" s="50"/>
      <c r="BG311" s="50"/>
      <c r="BZ311" s="50"/>
    </row>
  </sheetData>
  <autoFilter ref="B6:BY204" xr:uid="{E18816CD-F14F-4757-8BEF-B2C4F6333888}">
    <sortState ref="B12:BY204">
      <sortCondition descending="1" ref="E6:E204"/>
    </sortState>
  </autoFilter>
  <mergeCells count="66">
    <mergeCell ref="K218:L218"/>
    <mergeCell ref="N206:V215"/>
    <mergeCell ref="AC206:BY215"/>
    <mergeCell ref="B1:B6"/>
    <mergeCell ref="C1:C6"/>
    <mergeCell ref="D1:D6"/>
    <mergeCell ref="AC1:AN1"/>
    <mergeCell ref="F1:I1"/>
    <mergeCell ref="E1:E6"/>
    <mergeCell ref="K2:N2"/>
    <mergeCell ref="O2:Q2"/>
    <mergeCell ref="R2:V2"/>
    <mergeCell ref="N4:N6"/>
    <mergeCell ref="Q4:Q6"/>
    <mergeCell ref="V4:V6"/>
    <mergeCell ref="G3:G6"/>
    <mergeCell ref="H3:H6"/>
    <mergeCell ref="I3:I6"/>
    <mergeCell ref="L4:M4"/>
    <mergeCell ref="A1:A6"/>
    <mergeCell ref="AC3:AH3"/>
    <mergeCell ref="K3:N3"/>
    <mergeCell ref="O3:Q3"/>
    <mergeCell ref="AC2:AH2"/>
    <mergeCell ref="W3:AA3"/>
    <mergeCell ref="K1:AA1"/>
    <mergeCell ref="W2:AA2"/>
    <mergeCell ref="AA4:AA6"/>
    <mergeCell ref="AH4:AH6"/>
    <mergeCell ref="AP1:BF1"/>
    <mergeCell ref="BA3:BB3"/>
    <mergeCell ref="AI2:AN2"/>
    <mergeCell ref="AY3:AZ3"/>
    <mergeCell ref="BC3:BF3"/>
    <mergeCell ref="BC2:BF2"/>
    <mergeCell ref="BA2:BB2"/>
    <mergeCell ref="AY2:AZ2"/>
    <mergeCell ref="BH1:BY1"/>
    <mergeCell ref="BH2:BL2"/>
    <mergeCell ref="BM2:BP2"/>
    <mergeCell ref="BQ2:BW2"/>
    <mergeCell ref="BX2:BY2"/>
    <mergeCell ref="AN4:AN6"/>
    <mergeCell ref="AS4:AS6"/>
    <mergeCell ref="AX4:AX6"/>
    <mergeCell ref="AP2:AS2"/>
    <mergeCell ref="AT2:AX2"/>
    <mergeCell ref="AI3:AN3"/>
    <mergeCell ref="AP3:AS3"/>
    <mergeCell ref="AT3:AX3"/>
    <mergeCell ref="B206:I215"/>
    <mergeCell ref="W206:AA209"/>
    <mergeCell ref="W210:AA215"/>
    <mergeCell ref="BW4:BW6"/>
    <mergeCell ref="BY4:BY6"/>
    <mergeCell ref="AZ4:AZ6"/>
    <mergeCell ref="BB4:BB6"/>
    <mergeCell ref="BF4:BF6"/>
    <mergeCell ref="BL4:BL6"/>
    <mergeCell ref="BP4:BP6"/>
    <mergeCell ref="F3:F6"/>
    <mergeCell ref="R3:V3"/>
    <mergeCell ref="BQ3:BW3"/>
    <mergeCell ref="BX3:BY3"/>
    <mergeCell ref="BH3:BL3"/>
    <mergeCell ref="BM3:BP3"/>
  </mergeCells>
  <conditionalFormatting sqref="AV7:AV204">
    <cfRule type="colorScale" priority="194">
      <colorScale>
        <cfvo type="min"/>
        <cfvo type="percentile" val="50"/>
        <cfvo type="max"/>
        <color rgb="FFF8696B"/>
        <color rgb="FFFFEB84"/>
        <color rgb="FF63BE7B"/>
      </colorScale>
    </cfRule>
  </conditionalFormatting>
  <conditionalFormatting sqref="AU7:AU204">
    <cfRule type="colorScale" priority="193">
      <colorScale>
        <cfvo type="min"/>
        <cfvo type="percentile" val="50"/>
        <cfvo type="max"/>
        <color rgb="FFF8696B"/>
        <color rgb="FFFFEB84"/>
        <color rgb="FF63BE7B"/>
      </colorScale>
    </cfRule>
  </conditionalFormatting>
  <conditionalFormatting sqref="AQ7:AQ204">
    <cfRule type="colorScale" priority="192">
      <colorScale>
        <cfvo type="min"/>
        <cfvo type="percentile" val="50"/>
        <cfvo type="max"/>
        <color rgb="FFF8696B"/>
        <color rgb="FFFFEB84"/>
        <color rgb="FF63BE7B"/>
      </colorScale>
    </cfRule>
  </conditionalFormatting>
  <conditionalFormatting sqref="AP7:AP204">
    <cfRule type="colorScale" priority="191">
      <colorScale>
        <cfvo type="min"/>
        <cfvo type="percentile" val="50"/>
        <cfvo type="max"/>
        <color rgb="FFF8696B"/>
        <color rgb="FFFFEB84"/>
        <color rgb="FF63BE7B"/>
      </colorScale>
    </cfRule>
  </conditionalFormatting>
  <conditionalFormatting sqref="BC216:BC1048576 BC205">
    <cfRule type="colorScale" priority="189">
      <colorScale>
        <cfvo type="min"/>
        <cfvo type="percentile" val="50"/>
        <cfvo type="max"/>
        <color rgb="FFF8696B"/>
        <color rgb="FFFFEB84"/>
        <color rgb="FF63BE7B"/>
      </colorScale>
    </cfRule>
  </conditionalFormatting>
  <conditionalFormatting sqref="BD7:BD205 BD216:BD1048576">
    <cfRule type="colorScale" priority="188">
      <colorScale>
        <cfvo type="min"/>
        <cfvo type="percentile" val="50"/>
        <cfvo type="max"/>
        <color rgb="FFF8696B"/>
        <color rgb="FFFFEB84"/>
        <color rgb="FF63BE7B"/>
      </colorScale>
    </cfRule>
  </conditionalFormatting>
  <conditionalFormatting sqref="BM7:BM204 BM217:BM1048576">
    <cfRule type="colorScale" priority="185">
      <colorScale>
        <cfvo type="min"/>
        <cfvo type="percentile" val="50"/>
        <cfvo type="max"/>
        <color rgb="FFF8696B"/>
        <color rgb="FFFFEB84"/>
        <color rgb="FF63BE7B"/>
      </colorScale>
    </cfRule>
  </conditionalFormatting>
  <conditionalFormatting sqref="BO217:BP1048576 BO7:BO204">
    <cfRule type="colorScale" priority="184">
      <colorScale>
        <cfvo type="min"/>
        <cfvo type="percentile" val="50"/>
        <cfvo type="max"/>
        <color rgb="FFF8696B"/>
        <color rgb="FFFFEB84"/>
        <color rgb="FF63BE7B"/>
      </colorScale>
    </cfRule>
  </conditionalFormatting>
  <conditionalFormatting sqref="BR7:BR204 BR217:BR1048576">
    <cfRule type="colorScale" priority="183">
      <colorScale>
        <cfvo type="min"/>
        <cfvo type="percentile" val="50"/>
        <cfvo type="max"/>
        <color rgb="FFF8696B"/>
        <color rgb="FFFFEB84"/>
        <color rgb="FF63BE7B"/>
      </colorScale>
    </cfRule>
  </conditionalFormatting>
  <conditionalFormatting sqref="BQ7:BQ204 BQ217:BQ1048576">
    <cfRule type="colorScale" priority="182">
      <colorScale>
        <cfvo type="min"/>
        <cfvo type="percentile" val="50"/>
        <cfvo type="max"/>
        <color rgb="FFF8696B"/>
        <color rgb="FFFFEB84"/>
        <color rgb="FF63BE7B"/>
      </colorScale>
    </cfRule>
  </conditionalFormatting>
  <conditionalFormatting sqref="BN7:BN204">
    <cfRule type="colorScale" priority="181">
      <colorScale>
        <cfvo type="min"/>
        <cfvo type="percentile" val="50"/>
        <cfvo type="max"/>
        <color rgb="FFF8696B"/>
        <color rgb="FFFFEB84"/>
        <color rgb="FF63BE7B"/>
      </colorScale>
    </cfRule>
  </conditionalFormatting>
  <conditionalFormatting sqref="BS7:BS204">
    <cfRule type="colorScale" priority="180">
      <colorScale>
        <cfvo type="min"/>
        <cfvo type="percentile" val="50"/>
        <cfvo type="max"/>
        <color rgb="FFF8696B"/>
        <color rgb="FFFFEB84"/>
        <color rgb="FF63BE7B"/>
      </colorScale>
    </cfRule>
  </conditionalFormatting>
  <conditionalFormatting sqref="BI7:BI204 BI217:BI1048576">
    <cfRule type="colorScale" priority="179">
      <colorScale>
        <cfvo type="min"/>
        <cfvo type="percentile" val="50"/>
        <cfvo type="max"/>
        <color rgb="FF63BE7B"/>
        <color rgb="FFFFEB84"/>
        <color rgb="FFF8696B"/>
      </colorScale>
    </cfRule>
  </conditionalFormatting>
  <conditionalFormatting sqref="BU7:BU204">
    <cfRule type="colorScale" priority="177">
      <colorScale>
        <cfvo type="min"/>
        <cfvo type="percentile" val="50"/>
        <cfvo type="max"/>
        <color rgb="FFF8696B"/>
        <color rgb="FFFFEB84"/>
        <color rgb="FF63BE7B"/>
      </colorScale>
    </cfRule>
  </conditionalFormatting>
  <conditionalFormatting sqref="BT7:BT204 BT217:BT1048576">
    <cfRule type="colorScale" priority="176">
      <colorScale>
        <cfvo type="min"/>
        <cfvo type="percentile" val="50"/>
        <cfvo type="max"/>
        <color rgb="FFF8696B"/>
        <color rgb="FFFFEB84"/>
        <color rgb="FF63BE7B"/>
      </colorScale>
    </cfRule>
  </conditionalFormatting>
  <conditionalFormatting sqref="BV217:BW1048576 BV7:BV204">
    <cfRule type="colorScale" priority="175">
      <colorScale>
        <cfvo type="min"/>
        <cfvo type="percentile" val="50"/>
        <cfvo type="max"/>
        <color rgb="FFF8696B"/>
        <color rgb="FFFFEB84"/>
        <color rgb="FF63BE7B"/>
      </colorScale>
    </cfRule>
  </conditionalFormatting>
  <conditionalFormatting sqref="AJ7:AJ205">
    <cfRule type="colorScale" priority="172">
      <colorScale>
        <cfvo type="min"/>
        <cfvo type="percentile" val="50"/>
        <cfvo type="max"/>
        <color rgb="FFF8696B"/>
        <color rgb="FFFFEB84"/>
        <color rgb="FF63BE7B"/>
      </colorScale>
    </cfRule>
  </conditionalFormatting>
  <conditionalFormatting sqref="AJ216:AJ1048576">
    <cfRule type="colorScale" priority="171">
      <colorScale>
        <cfvo type="min"/>
        <cfvo type="percentile" val="50"/>
        <cfvo type="max"/>
        <color rgb="FFF8696B"/>
        <color rgb="FFFFEB84"/>
        <color rgb="FF63BE7B"/>
      </colorScale>
    </cfRule>
  </conditionalFormatting>
  <conditionalFormatting sqref="AI216:AI1048576 AI7:AI205">
    <cfRule type="colorScale" priority="170">
      <colorScale>
        <cfvo type="min"/>
        <cfvo type="percentile" val="50"/>
        <cfvo type="max"/>
        <color rgb="FFF8696B"/>
        <color rgb="FFFFEB84"/>
        <color rgb="FF63BE7B"/>
      </colorScale>
    </cfRule>
  </conditionalFormatting>
  <conditionalFormatting sqref="AK7:AK204">
    <cfRule type="colorScale" priority="169">
      <colorScale>
        <cfvo type="min"/>
        <cfvo type="percentile" val="50"/>
        <cfvo type="max"/>
        <color rgb="FFF8696B"/>
        <color rgb="FFFFEB84"/>
        <color rgb="FF63BE7B"/>
      </colorScale>
    </cfRule>
  </conditionalFormatting>
  <conditionalFormatting sqref="AC216:AC1048576 AC205 K205:AA205 K219:W219 Y219:AA219 K216:AA217 K220:AA220 K225:AA1048576 K221:N221 P221:AA221 K222:O224 Q222:AA224 K218 M218:AA218">
    <cfRule type="colorScale" priority="168">
      <colorScale>
        <cfvo type="num" val="-10"/>
        <cfvo type="num" val="0"/>
        <cfvo type="num" val="35"/>
        <color rgb="FFF8696B"/>
        <color rgb="FFFFEB84"/>
        <color rgb="FF63BE7B"/>
      </colorScale>
    </cfRule>
  </conditionalFormatting>
  <conditionalFormatting sqref="AD216:AD1048576 AD205">
    <cfRule type="colorScale" priority="167">
      <colorScale>
        <cfvo type="min"/>
        <cfvo type="percentile" val="50"/>
        <cfvo type="max"/>
        <color rgb="FF63BE7B"/>
        <color rgb="FFFFEB84"/>
        <color rgb="FFF8696B"/>
      </colorScale>
    </cfRule>
  </conditionalFormatting>
  <conditionalFormatting sqref="AL216:AL1048576 AL7:AL205">
    <cfRule type="colorScale" priority="165">
      <colorScale>
        <cfvo type="min"/>
        <cfvo type="percentile" val="50"/>
        <cfvo type="max"/>
        <color rgb="FFF8696B"/>
        <color rgb="FFFFEB84"/>
        <color rgb="FF63BE7B"/>
      </colorScale>
    </cfRule>
  </conditionalFormatting>
  <conditionalFormatting sqref="AD7:AD204">
    <cfRule type="colorScale" priority="159">
      <colorScale>
        <cfvo type="min"/>
        <cfvo type="percentile" val="50"/>
        <cfvo type="max"/>
        <color rgb="FFF8696B"/>
        <color rgb="FFFFEB84"/>
        <color rgb="FF63BE7B"/>
      </colorScale>
    </cfRule>
  </conditionalFormatting>
  <conditionalFormatting sqref="AC206">
    <cfRule type="colorScale" priority="147">
      <colorScale>
        <cfvo type="min"/>
        <cfvo type="percentile" val="50"/>
        <cfvo type="max"/>
        <color rgb="FF63BE7B"/>
        <color rgb="FFFFEB84"/>
        <color rgb="FFF8696B"/>
      </colorScale>
    </cfRule>
  </conditionalFormatting>
  <conditionalFormatting sqref="AC206">
    <cfRule type="colorScale" priority="146">
      <colorScale>
        <cfvo type="min"/>
        <cfvo type="percentile" val="50"/>
        <cfvo type="max"/>
        <color rgb="FFF8696B"/>
        <color rgb="FFFFEB84"/>
        <color rgb="FF63BE7B"/>
      </colorScale>
    </cfRule>
  </conditionalFormatting>
  <conditionalFormatting sqref="AG216:AH1048576 AG205:AH205 AG7:AG204">
    <cfRule type="colorScale" priority="144">
      <colorScale>
        <cfvo type="min"/>
        <cfvo type="percentile" val="50"/>
        <cfvo type="max"/>
        <color rgb="FFF8696B"/>
        <color rgb="FFFFEB84"/>
        <color rgb="FF63BE7B"/>
      </colorScale>
    </cfRule>
  </conditionalFormatting>
  <conditionalFormatting sqref="AF216:AF1048576 AF205">
    <cfRule type="colorScale" priority="143">
      <colorScale>
        <cfvo type="min"/>
        <cfvo type="percentile" val="50"/>
        <cfvo type="max"/>
        <color rgb="FFF8696B"/>
        <color rgb="FFFFEB84"/>
        <color rgb="FF63BE7B"/>
      </colorScale>
    </cfRule>
  </conditionalFormatting>
  <conditionalFormatting sqref="AF7:AF204">
    <cfRule type="colorScale" priority="140">
      <colorScale>
        <cfvo type="min"/>
        <cfvo type="percentile" val="50"/>
        <cfvo type="max"/>
        <color rgb="FF63BE7B"/>
        <color rgb="FFFFEB84"/>
        <color rgb="FFF8696B"/>
      </colorScale>
    </cfRule>
  </conditionalFormatting>
  <conditionalFormatting sqref="AT7:AT204">
    <cfRule type="colorScale" priority="136">
      <colorScale>
        <cfvo type="min"/>
        <cfvo type="percentile" val="50"/>
        <cfvo type="max"/>
        <color rgb="FFF8696B"/>
        <color rgb="FFFFEB84"/>
        <color rgb="FF63BE7B"/>
      </colorScale>
    </cfRule>
  </conditionalFormatting>
  <conditionalFormatting sqref="BH217:BH1048576">
    <cfRule type="colorScale" priority="130">
      <colorScale>
        <cfvo type="min"/>
        <cfvo type="percentile" val="50"/>
        <cfvo type="max"/>
        <color rgb="FF63BE7B"/>
        <color rgb="FFFFEB84"/>
        <color rgb="FFF8696B"/>
      </colorScale>
    </cfRule>
  </conditionalFormatting>
  <conditionalFormatting sqref="BH205 BH216">
    <cfRule type="colorScale" priority="129">
      <colorScale>
        <cfvo type="min"/>
        <cfvo type="percentile" val="50"/>
        <cfvo type="max"/>
        <color rgb="FFF8696B"/>
        <color rgb="FFFFEB84"/>
        <color rgb="FF63BE7B"/>
      </colorScale>
    </cfRule>
  </conditionalFormatting>
  <conditionalFormatting sqref="E216:E1048576 E205">
    <cfRule type="colorScale" priority="116">
      <colorScale>
        <cfvo type="num" val="-10"/>
        <cfvo type="num" val="0"/>
        <cfvo type="num" val="35"/>
        <color rgb="FFF8696B"/>
        <color rgb="FFFFEB84"/>
        <color rgb="FF63BE7B"/>
      </colorScale>
    </cfRule>
  </conditionalFormatting>
  <conditionalFormatting sqref="AM7:AM204">
    <cfRule type="colorScale" priority="265">
      <colorScale>
        <cfvo type="min"/>
        <cfvo type="percentile" val="50"/>
        <cfvo type="max"/>
        <color rgb="FFF8696B"/>
        <color rgb="FFFFEB84"/>
        <color rgb="FF63BE7B"/>
      </colorScale>
    </cfRule>
  </conditionalFormatting>
  <conditionalFormatting sqref="AE216:AE1048576 AE7:AE205">
    <cfRule type="colorScale" priority="267">
      <colorScale>
        <cfvo type="min"/>
        <cfvo type="percentile" val="50"/>
        <cfvo type="max"/>
        <color rgb="FFF8696B"/>
        <color rgb="FFFFEB84"/>
        <color rgb="FF63BE7B"/>
      </colorScale>
    </cfRule>
  </conditionalFormatting>
  <conditionalFormatting sqref="H205:I205 H216:I1048576">
    <cfRule type="colorScale" priority="111">
      <colorScale>
        <cfvo type="min"/>
        <cfvo type="percentile" val="50"/>
        <cfvo type="max"/>
        <color rgb="FFF8696B"/>
        <color rgb="FFFFEB84"/>
        <color rgb="FF63BE7B"/>
      </colorScale>
    </cfRule>
  </conditionalFormatting>
  <conditionalFormatting sqref="BE205:BF205 BF7:BF204 BE216:BF1048576">
    <cfRule type="colorScale" priority="272">
      <colorScale>
        <cfvo type="min"/>
        <cfvo type="percentile" val="50"/>
        <cfvo type="max"/>
        <color rgb="FFF8696B"/>
        <color rgb="FFFFEB84"/>
        <color rgb="FF63BE7B"/>
      </colorScale>
    </cfRule>
  </conditionalFormatting>
  <conditionalFormatting sqref="BX205:BY205 BX7:BX204 BX216:BY1048576">
    <cfRule type="colorScale" priority="273">
      <colorScale>
        <cfvo type="min"/>
        <cfvo type="percentile" val="50"/>
        <cfvo type="max"/>
        <color rgb="FFF8696B"/>
        <color rgb="FFFFEB84"/>
        <color rgb="FF63BE7B"/>
      </colorScale>
    </cfRule>
  </conditionalFormatting>
  <conditionalFormatting sqref="F216:F1048576 F205">
    <cfRule type="colorScale" priority="105">
      <colorScale>
        <cfvo type="num" val="-10"/>
        <cfvo type="num" val="0"/>
        <cfvo type="num" val="35"/>
        <color rgb="FFF8696B"/>
        <color rgb="FFFFEB84"/>
        <color rgb="FF63BE7B"/>
      </colorScale>
    </cfRule>
  </conditionalFormatting>
  <conditionalFormatting sqref="AN7:AN204">
    <cfRule type="colorScale" priority="104">
      <colorScale>
        <cfvo type="min"/>
        <cfvo type="percentile" val="50"/>
        <cfvo type="max"/>
        <color rgb="FFF8696B"/>
        <color rgb="FFFFEB84"/>
        <color rgb="FF63BE7B"/>
      </colorScale>
    </cfRule>
  </conditionalFormatting>
  <conditionalFormatting sqref="AW6">
    <cfRule type="colorScale" priority="72">
      <colorScale>
        <cfvo type="num" val="0"/>
        <cfvo type="num" val="20"/>
        <cfvo type="num" val="150"/>
        <color rgb="FF63BE7B"/>
        <color rgb="FFFFEB84"/>
        <color rgb="FFF8696B"/>
      </colorScale>
    </cfRule>
  </conditionalFormatting>
  <conditionalFormatting sqref="BC6">
    <cfRule type="colorScale" priority="71">
      <colorScale>
        <cfvo type="min"/>
        <cfvo type="percentile" val="50"/>
        <cfvo type="max"/>
        <color rgb="FFF8696B"/>
        <color rgb="FFFFEB84"/>
        <color rgb="FF63BE7B"/>
      </colorScale>
    </cfRule>
  </conditionalFormatting>
  <conditionalFormatting sqref="BD6">
    <cfRule type="colorScale" priority="70">
      <colorScale>
        <cfvo type="min"/>
        <cfvo type="percentile" val="50"/>
        <cfvo type="max"/>
        <color rgb="FFF8696B"/>
        <color rgb="FFFFEB84"/>
        <color rgb="FF63BE7B"/>
      </colorScale>
    </cfRule>
  </conditionalFormatting>
  <conditionalFormatting sqref="BM6">
    <cfRule type="colorScale" priority="69">
      <colorScale>
        <cfvo type="min"/>
        <cfvo type="percentile" val="50"/>
        <cfvo type="max"/>
        <color rgb="FFF8696B"/>
        <color rgb="FFFFEB84"/>
        <color rgb="FF63BE7B"/>
      </colorScale>
    </cfRule>
  </conditionalFormatting>
  <conditionalFormatting sqref="BP4:BP5 BO6">
    <cfRule type="colorScale" priority="68">
      <colorScale>
        <cfvo type="min"/>
        <cfvo type="percentile" val="50"/>
        <cfvo type="max"/>
        <color rgb="FFF8696B"/>
        <color rgb="FFFFEB84"/>
        <color rgb="FF63BE7B"/>
      </colorScale>
    </cfRule>
  </conditionalFormatting>
  <conditionalFormatting sqref="BR6">
    <cfRule type="colorScale" priority="67">
      <colorScale>
        <cfvo type="min"/>
        <cfvo type="percentile" val="50"/>
        <cfvo type="max"/>
        <color rgb="FFF8696B"/>
        <color rgb="FFFFEB84"/>
        <color rgb="FF63BE7B"/>
      </colorScale>
    </cfRule>
  </conditionalFormatting>
  <conditionalFormatting sqref="BQ6">
    <cfRule type="colorScale" priority="66">
      <colorScale>
        <cfvo type="min"/>
        <cfvo type="percentile" val="50"/>
        <cfvo type="max"/>
        <color rgb="FFF8696B"/>
        <color rgb="FFFFEB84"/>
        <color rgb="FF63BE7B"/>
      </colorScale>
    </cfRule>
  </conditionalFormatting>
  <conditionalFormatting sqref="BI6">
    <cfRule type="colorScale" priority="65">
      <colorScale>
        <cfvo type="min"/>
        <cfvo type="percentile" val="50"/>
        <cfvo type="max"/>
        <color rgb="FF63BE7B"/>
        <color rgb="FFFFEB84"/>
        <color rgb="FFF8696B"/>
      </colorScale>
    </cfRule>
  </conditionalFormatting>
  <conditionalFormatting sqref="BL4:BL5 BJ6:BK6">
    <cfRule type="colorScale" priority="64">
      <colorScale>
        <cfvo type="min"/>
        <cfvo type="percentile" val="50"/>
        <cfvo type="max"/>
        <color rgb="FFF8696B"/>
        <color rgb="FFFFEB84"/>
        <color rgb="FF63BE7B"/>
      </colorScale>
    </cfRule>
  </conditionalFormatting>
  <conditionalFormatting sqref="BT6">
    <cfRule type="colorScale" priority="63">
      <colorScale>
        <cfvo type="min"/>
        <cfvo type="percentile" val="50"/>
        <cfvo type="max"/>
        <color rgb="FFF8696B"/>
        <color rgb="FFFFEB84"/>
        <color rgb="FF63BE7B"/>
      </colorScale>
    </cfRule>
  </conditionalFormatting>
  <conditionalFormatting sqref="BW4:BW5 BV6">
    <cfRule type="colorScale" priority="62">
      <colorScale>
        <cfvo type="min"/>
        <cfvo type="percentile" val="50"/>
        <cfvo type="max"/>
        <color rgb="FFF8696B"/>
        <color rgb="FFFFEB84"/>
        <color rgb="FF63BE7B"/>
      </colorScale>
    </cfRule>
  </conditionalFormatting>
  <conditionalFormatting sqref="AD6">
    <cfRule type="colorScale" priority="61">
      <colorScale>
        <cfvo type="min"/>
        <cfvo type="percentile" val="50"/>
        <cfvo type="max"/>
        <color rgb="FF63BE7B"/>
        <color rgb="FFFFEB84"/>
        <color rgb="FFF8696B"/>
      </colorScale>
    </cfRule>
  </conditionalFormatting>
  <conditionalFormatting sqref="AI6">
    <cfRule type="colorScale" priority="60">
      <colorScale>
        <cfvo type="min"/>
        <cfvo type="percentile" val="50"/>
        <cfvo type="max"/>
        <color rgb="FFF8696B"/>
        <color rgb="FFFFEB84"/>
        <color rgb="FF63BE7B"/>
      </colorScale>
    </cfRule>
  </conditionalFormatting>
  <conditionalFormatting sqref="AJ6">
    <cfRule type="colorScale" priority="59">
      <colorScale>
        <cfvo type="min"/>
        <cfvo type="percentile" val="50"/>
        <cfvo type="max"/>
        <color rgb="FFF8696B"/>
        <color rgb="FFFFEB84"/>
        <color rgb="FF63BE7B"/>
      </colorScale>
    </cfRule>
  </conditionalFormatting>
  <conditionalFormatting sqref="AK6">
    <cfRule type="colorScale" priority="58">
      <colorScale>
        <cfvo type="min"/>
        <cfvo type="percentile" val="50"/>
        <cfvo type="max"/>
        <color rgb="FFF8696B"/>
        <color rgb="FFFFEB84"/>
        <color rgb="FF63BE7B"/>
      </colorScale>
    </cfRule>
  </conditionalFormatting>
  <conditionalFormatting sqref="AL6">
    <cfRule type="colorScale" priority="57">
      <colorScale>
        <cfvo type="min"/>
        <cfvo type="percentile" val="50"/>
        <cfvo type="max"/>
        <color rgb="FFF8696B"/>
        <color rgb="FFFFEB84"/>
        <color rgb="FF63BE7B"/>
      </colorScale>
    </cfRule>
  </conditionalFormatting>
  <conditionalFormatting sqref="AM6">
    <cfRule type="colorScale" priority="56">
      <colorScale>
        <cfvo type="min"/>
        <cfvo type="percentile" val="50"/>
        <cfvo type="max"/>
        <color rgb="FFF8696B"/>
        <color rgb="FFFFEB84"/>
        <color rgb="FF63BE7B"/>
      </colorScale>
    </cfRule>
  </conditionalFormatting>
  <conditionalFormatting sqref="AC6">
    <cfRule type="colorScale" priority="55">
      <colorScale>
        <cfvo type="min"/>
        <cfvo type="percentile" val="50"/>
        <cfvo type="max"/>
        <color rgb="FF63BE7B"/>
        <color rgb="FFFFEB84"/>
        <color rgb="FFF8696B"/>
      </colorScale>
    </cfRule>
  </conditionalFormatting>
  <conditionalFormatting sqref="AG6">
    <cfRule type="colorScale" priority="54">
      <colorScale>
        <cfvo type="min"/>
        <cfvo type="percentile" val="50"/>
        <cfvo type="max"/>
        <color rgb="FFF8696B"/>
        <color rgb="FFFFEB84"/>
        <color rgb="FF63BE7B"/>
      </colorScale>
    </cfRule>
  </conditionalFormatting>
  <conditionalFormatting sqref="AF6">
    <cfRule type="colorScale" priority="53">
      <colorScale>
        <cfvo type="min"/>
        <cfvo type="percentile" val="50"/>
        <cfvo type="max"/>
        <color rgb="FFF8696B"/>
        <color rgb="FFFFEB84"/>
        <color rgb="FF63BE7B"/>
      </colorScale>
    </cfRule>
  </conditionalFormatting>
  <conditionalFormatting sqref="BH6">
    <cfRule type="colorScale" priority="50">
      <colorScale>
        <cfvo type="min"/>
        <cfvo type="percentile" val="50"/>
        <cfvo type="max"/>
        <color rgb="FF63BE7B"/>
        <color rgb="FFFFEB84"/>
        <color rgb="FFF8696B"/>
      </colorScale>
    </cfRule>
  </conditionalFormatting>
  <conditionalFormatting sqref="W6:Z6 K6:M6 O6:P6 AA4:AA5 V4:V5 Q4:Q5 N4:N5 R6:U6">
    <cfRule type="colorScale" priority="73">
      <colorScale>
        <cfvo type="min"/>
        <cfvo type="percentile" val="50"/>
        <cfvo type="max"/>
        <color rgb="FF63BE7B"/>
        <color rgb="FFFFEB84"/>
        <color rgb="FFF8696B"/>
      </colorScale>
    </cfRule>
  </conditionalFormatting>
  <conditionalFormatting sqref="AE6">
    <cfRule type="colorScale" priority="74">
      <colorScale>
        <cfvo type="min"/>
        <cfvo type="percentile" val="50"/>
        <cfvo type="max"/>
        <color rgb="FFF8696B"/>
        <color rgb="FFFFEB84"/>
        <color rgb="FF63BE7B"/>
      </colorScale>
    </cfRule>
  </conditionalFormatting>
  <conditionalFormatting sqref="BE6">
    <cfRule type="colorScale" priority="75">
      <colorScale>
        <cfvo type="min"/>
        <cfvo type="percentile" val="50"/>
        <cfvo type="max"/>
        <color rgb="FFF8696B"/>
        <color rgb="FFFFEB84"/>
        <color rgb="FF63BE7B"/>
      </colorScale>
    </cfRule>
  </conditionalFormatting>
  <conditionalFormatting sqref="BY4:BY5 BX6">
    <cfRule type="colorScale" priority="76">
      <colorScale>
        <cfvo type="min"/>
        <cfvo type="percentile" val="50"/>
        <cfvo type="max"/>
        <color rgb="FFF8696B"/>
        <color rgb="FFFFEB84"/>
        <color rgb="FF63BE7B"/>
      </colorScale>
    </cfRule>
  </conditionalFormatting>
  <conditionalFormatting sqref="AY7:AY205 AZ205 AY216:AZ1048576">
    <cfRule type="colorScale" priority="282">
      <colorScale>
        <cfvo type="min"/>
        <cfvo type="percentile" val="50"/>
        <cfvo type="max"/>
        <color rgb="FFF8696B"/>
        <color rgb="FFFFEB84"/>
        <color rgb="FF63BE7B"/>
      </colorScale>
    </cfRule>
  </conditionalFormatting>
  <conditionalFormatting sqref="AY6">
    <cfRule type="colorScale" priority="290">
      <colorScale>
        <cfvo type="min"/>
        <cfvo type="percentile" val="50"/>
        <cfvo type="max"/>
        <color rgb="FFF8696B"/>
        <color rgb="FFFFEB84"/>
        <color rgb="FF63BE7B"/>
      </colorScale>
    </cfRule>
  </conditionalFormatting>
  <conditionalFormatting sqref="AZ7:AZ204">
    <cfRule type="colorScale" priority="49">
      <colorScale>
        <cfvo type="min"/>
        <cfvo type="percentile" val="50"/>
        <cfvo type="max"/>
        <color rgb="FFF8696B"/>
        <color rgb="FFFFEB84"/>
        <color rgb="FF63BE7B"/>
      </colorScale>
    </cfRule>
  </conditionalFormatting>
  <conditionalFormatting sqref="AX7:AX204">
    <cfRule type="colorScale" priority="48">
      <colorScale>
        <cfvo type="min"/>
        <cfvo type="percentile" val="50"/>
        <cfvo type="max"/>
        <color rgb="FFF8696B"/>
        <color rgb="FFFFEB84"/>
        <color rgb="FF63BE7B"/>
      </colorScale>
    </cfRule>
  </conditionalFormatting>
  <conditionalFormatting sqref="AW7:AW204">
    <cfRule type="colorScale" priority="47">
      <colorScale>
        <cfvo type="min"/>
        <cfvo type="percentile" val="50"/>
        <cfvo type="max"/>
        <color rgb="FF63BE7B"/>
        <color rgb="FFFFEB84"/>
        <color rgb="FFF8696B"/>
      </colorScale>
    </cfRule>
  </conditionalFormatting>
  <conditionalFormatting sqref="AS7:AS204">
    <cfRule type="colorScale" priority="45">
      <colorScale>
        <cfvo type="min"/>
        <cfvo type="percentile" val="50"/>
        <cfvo type="max"/>
        <color rgb="FFF8696B"/>
        <color rgb="FFFFEB84"/>
        <color rgb="FF63BE7B"/>
      </colorScale>
    </cfRule>
  </conditionalFormatting>
  <conditionalFormatting sqref="AR7:AR204">
    <cfRule type="colorScale" priority="44">
      <colorScale>
        <cfvo type="min"/>
        <cfvo type="percentile" val="50"/>
        <cfvo type="max"/>
        <color rgb="FF63BE7B"/>
        <color rgb="FFFFEB84"/>
        <color rgb="FFF8696B"/>
      </colorScale>
    </cfRule>
  </conditionalFormatting>
  <conditionalFormatting sqref="BW7:BW204">
    <cfRule type="colorScale" priority="43">
      <colorScale>
        <cfvo type="min"/>
        <cfvo type="percentile" val="50"/>
        <cfvo type="max"/>
        <color rgb="FFF8696B"/>
        <color rgb="FFFFEB84"/>
        <color rgb="FF63BE7B"/>
      </colorScale>
    </cfRule>
  </conditionalFormatting>
  <conditionalFormatting sqref="BP7:BP204">
    <cfRule type="colorScale" priority="42">
      <colorScale>
        <cfvo type="min"/>
        <cfvo type="percentile" val="50"/>
        <cfvo type="max"/>
        <color rgb="FFF8696B"/>
        <color rgb="FFFFEB84"/>
        <color rgb="FF63BE7B"/>
      </colorScale>
    </cfRule>
  </conditionalFormatting>
  <conditionalFormatting sqref="BY7:BY204">
    <cfRule type="colorScale" priority="41">
      <colorScale>
        <cfvo type="min"/>
        <cfvo type="percentile" val="50"/>
        <cfvo type="max"/>
        <color rgb="FFF8696B"/>
        <color rgb="FFFFEB84"/>
        <color rgb="FF63BE7B"/>
      </colorScale>
    </cfRule>
  </conditionalFormatting>
  <conditionalFormatting sqref="BL7:BL204">
    <cfRule type="colorScale" priority="40">
      <colorScale>
        <cfvo type="min"/>
        <cfvo type="percentile" val="50"/>
        <cfvo type="max"/>
        <color rgb="FFF8696B"/>
        <color rgb="FFFFEB84"/>
        <color rgb="FF63BE7B"/>
      </colorScale>
    </cfRule>
  </conditionalFormatting>
  <conditionalFormatting sqref="BH7:BH204">
    <cfRule type="colorScale" priority="39">
      <colorScale>
        <cfvo type="min"/>
        <cfvo type="percentile" val="50"/>
        <cfvo type="max"/>
        <color rgb="FF63BE7B"/>
        <color rgb="FFFFEB84"/>
        <color rgb="FFF8696B"/>
      </colorScale>
    </cfRule>
  </conditionalFormatting>
  <conditionalFormatting sqref="I7:I204">
    <cfRule type="colorScale" priority="38">
      <colorScale>
        <cfvo type="min"/>
        <cfvo type="percentile" val="50"/>
        <cfvo type="max"/>
        <color rgb="FFF8696B"/>
        <color rgb="FFFFEB84"/>
        <color rgb="FF63BE7B"/>
      </colorScale>
    </cfRule>
  </conditionalFormatting>
  <conditionalFormatting sqref="BA7:BA204">
    <cfRule type="colorScale" priority="36">
      <colorScale>
        <cfvo type="min"/>
        <cfvo type="percentile" val="50"/>
        <cfvo type="max"/>
        <color rgb="FF63BE7B"/>
        <color rgb="FFFFEB84"/>
        <color rgb="FFF8696B"/>
      </colorScale>
    </cfRule>
  </conditionalFormatting>
  <conditionalFormatting sqref="BB7:BB204">
    <cfRule type="colorScale" priority="35">
      <colorScale>
        <cfvo type="min"/>
        <cfvo type="percentile" val="50"/>
        <cfvo type="max"/>
        <color rgb="FFF8696B"/>
        <color rgb="FFFFEB84"/>
        <color rgb="FF63BE7B"/>
      </colorScale>
    </cfRule>
  </conditionalFormatting>
  <conditionalFormatting sqref="H7:H204">
    <cfRule type="colorScale" priority="34">
      <colorScale>
        <cfvo type="min"/>
        <cfvo type="percentile" val="50"/>
        <cfvo type="max"/>
        <color rgb="FFF8696B"/>
        <color rgb="FFFFEB84"/>
        <color rgb="FF63BE7B"/>
      </colorScale>
    </cfRule>
  </conditionalFormatting>
  <conditionalFormatting sqref="BE7:BE204">
    <cfRule type="colorScale" priority="33">
      <colorScale>
        <cfvo type="min"/>
        <cfvo type="percentile" val="50"/>
        <cfvo type="max"/>
        <color rgb="FFF8696B"/>
        <color rgb="FFFFEB84"/>
        <color rgb="FF63BE7B"/>
      </colorScale>
    </cfRule>
  </conditionalFormatting>
  <conditionalFormatting sqref="BC7:BC204">
    <cfRule type="colorScale" priority="32">
      <colorScale>
        <cfvo type="min"/>
        <cfvo type="percentile" val="50"/>
        <cfvo type="max"/>
        <color rgb="FFF8696B"/>
        <color rgb="FFFFEB84"/>
        <color rgb="FF63BE7B"/>
      </colorScale>
    </cfRule>
  </conditionalFormatting>
  <conditionalFormatting sqref="AC7:AC204">
    <cfRule type="colorScale" priority="31">
      <colorScale>
        <cfvo type="min"/>
        <cfvo type="percentile" val="50"/>
        <cfvo type="max"/>
        <color rgb="FFF8696B"/>
        <color rgb="FFFFEB84"/>
        <color rgb="FF63BE7B"/>
      </colorScale>
    </cfRule>
  </conditionalFormatting>
  <conditionalFormatting sqref="AH7:AH204">
    <cfRule type="colorScale" priority="30">
      <colorScale>
        <cfvo type="min"/>
        <cfvo type="percentile" val="50"/>
        <cfvo type="max"/>
        <color rgb="FFF8696B"/>
        <color rgb="FFFFEB84"/>
        <color rgb="FF63BE7B"/>
      </colorScale>
    </cfRule>
  </conditionalFormatting>
  <conditionalFormatting sqref="G7:G204">
    <cfRule type="colorScale" priority="29">
      <colorScale>
        <cfvo type="min"/>
        <cfvo type="percentile" val="50"/>
        <cfvo type="max"/>
        <color rgb="FFF8696B"/>
        <color rgb="FFFFEB84"/>
        <color rgb="FF63BE7B"/>
      </colorScale>
    </cfRule>
  </conditionalFormatting>
  <conditionalFormatting sqref="R7:R204">
    <cfRule type="colorScale" priority="28">
      <colorScale>
        <cfvo type="min"/>
        <cfvo type="percentile" val="50"/>
        <cfvo type="max"/>
        <color rgb="FFF8696B"/>
        <color rgb="FFFFEB84"/>
        <color rgb="FF63BE7B"/>
      </colorScale>
    </cfRule>
  </conditionalFormatting>
  <conditionalFormatting sqref="T7:T204">
    <cfRule type="colorScale" priority="27">
      <colorScale>
        <cfvo type="min"/>
        <cfvo type="percentile" val="50"/>
        <cfvo type="max"/>
        <color rgb="FFF8696B"/>
        <color rgb="FFFFEB84"/>
        <color rgb="FF63BE7B"/>
      </colorScale>
    </cfRule>
  </conditionalFormatting>
  <conditionalFormatting sqref="U7:U204">
    <cfRule type="colorScale" priority="26">
      <colorScale>
        <cfvo type="min"/>
        <cfvo type="percentile" val="50"/>
        <cfvo type="max"/>
        <color rgb="FF63BE7B"/>
        <color rgb="FFFFEB84"/>
        <color rgb="FFF8696B"/>
      </colorScale>
    </cfRule>
  </conditionalFormatting>
  <conditionalFormatting sqref="K207:M207">
    <cfRule type="colorScale" priority="313">
      <colorScale>
        <cfvo type="min"/>
        <cfvo type="percentile" val="50"/>
        <cfvo type="max"/>
        <color rgb="FF63BE7B"/>
        <color rgb="FFFFEB84"/>
        <color rgb="FFF8696B"/>
      </colorScale>
    </cfRule>
  </conditionalFormatting>
  <conditionalFormatting sqref="K209:M209">
    <cfRule type="colorScale" priority="315">
      <colorScale>
        <cfvo type="min"/>
        <cfvo type="percentile" val="50"/>
        <cfvo type="max"/>
        <color rgb="FF63BE7B"/>
        <color rgb="FFFFEB84"/>
        <color rgb="FFF8696B"/>
      </colorScale>
    </cfRule>
  </conditionalFormatting>
  <conditionalFormatting sqref="K206:N206 W206">
    <cfRule type="colorScale" priority="317">
      <colorScale>
        <cfvo type="min"/>
        <cfvo type="percentile" val="50"/>
        <cfvo type="max"/>
        <color rgb="FF63BE7B"/>
        <color rgb="FFFFEB84"/>
        <color rgb="FFF8696B"/>
      </colorScale>
    </cfRule>
  </conditionalFormatting>
  <conditionalFormatting sqref="K206:N206 W206">
    <cfRule type="colorScale" priority="319">
      <colorScale>
        <cfvo type="min"/>
        <cfvo type="percentile" val="50"/>
        <cfvo type="max"/>
        <color rgb="FFF8696B"/>
        <color rgb="FFFFEB84"/>
        <color rgb="FF63BE7B"/>
      </colorScale>
    </cfRule>
  </conditionalFormatting>
  <conditionalFormatting sqref="K208:M208">
    <cfRule type="colorScale" priority="321">
      <colorScale>
        <cfvo type="min"/>
        <cfvo type="percentile" val="50"/>
        <cfvo type="max"/>
        <color rgb="FF63BE7B"/>
        <color rgb="FFFFEB84"/>
        <color rgb="FFF8696B"/>
      </colorScale>
    </cfRule>
  </conditionalFormatting>
  <conditionalFormatting sqref="S7:S204">
    <cfRule type="colorScale" priority="25">
      <colorScale>
        <cfvo type="min"/>
        <cfvo type="percentile" val="50"/>
        <cfvo type="max"/>
        <color rgb="FFF8696B"/>
        <color rgb="FFFFEB84"/>
        <color rgb="FF63BE7B"/>
      </colorScale>
    </cfRule>
  </conditionalFormatting>
  <conditionalFormatting sqref="V7:V204">
    <cfRule type="colorScale" priority="24">
      <colorScale>
        <cfvo type="min"/>
        <cfvo type="percentile" val="50"/>
        <cfvo type="max"/>
        <color rgb="FFF8696B"/>
        <color rgb="FFFFEB84"/>
        <color rgb="FF63BE7B"/>
      </colorScale>
    </cfRule>
  </conditionalFormatting>
  <conditionalFormatting sqref="Y7:Y204">
    <cfRule type="colorScale" priority="23">
      <colorScale>
        <cfvo type="min"/>
        <cfvo type="percentile" val="50"/>
        <cfvo type="max"/>
        <color rgb="FFF8696B"/>
        <color rgb="FFFFEB84"/>
        <color rgb="FF63BE7B"/>
      </colorScale>
    </cfRule>
  </conditionalFormatting>
  <conditionalFormatting sqref="X219">
    <cfRule type="colorScale" priority="22">
      <colorScale>
        <cfvo type="min"/>
        <cfvo type="percentile" val="50"/>
        <cfvo type="max"/>
        <color rgb="FF63BE7B"/>
        <color rgb="FFFFEB84"/>
        <color rgb="FFF8696B"/>
      </colorScale>
    </cfRule>
  </conditionalFormatting>
  <conditionalFormatting sqref="X7:X204">
    <cfRule type="colorScale" priority="21">
      <colorScale>
        <cfvo type="min"/>
        <cfvo type="percentile" val="50"/>
        <cfvo type="max"/>
        <color rgb="FF63BE7B"/>
        <color rgb="FFFFEB84"/>
        <color rgb="FFF8696B"/>
      </colorScale>
    </cfRule>
  </conditionalFormatting>
  <conditionalFormatting sqref="W7:W204">
    <cfRule type="colorScale" priority="20">
      <colorScale>
        <cfvo type="min"/>
        <cfvo type="percentile" val="50"/>
        <cfvo type="max"/>
        <color rgb="FF63BE7B"/>
        <color rgb="FFFFEB84"/>
        <color rgb="FFF8696B"/>
      </colorScale>
    </cfRule>
  </conditionalFormatting>
  <conditionalFormatting sqref="AA7:AA204">
    <cfRule type="colorScale" priority="19">
      <colorScale>
        <cfvo type="min"/>
        <cfvo type="percentile" val="50"/>
        <cfvo type="max"/>
        <color rgb="FFF8696B"/>
        <color rgb="FFFFEB84"/>
        <color rgb="FF63BE7B"/>
      </colorScale>
    </cfRule>
  </conditionalFormatting>
  <conditionalFormatting sqref="P7:P204">
    <cfRule type="colorScale" priority="18">
      <colorScale>
        <cfvo type="min"/>
        <cfvo type="percentile" val="50"/>
        <cfvo type="max"/>
        <color rgb="FF63BE7B"/>
        <color rgb="FFFFEB84"/>
        <color rgb="FFF8696B"/>
      </colorScale>
    </cfRule>
  </conditionalFormatting>
  <conditionalFormatting sqref="P222:P224">
    <cfRule type="colorScale" priority="17">
      <colorScale>
        <cfvo type="num" val="-10"/>
        <cfvo type="num" val="0"/>
        <cfvo type="num" val="35"/>
        <color rgb="FFF8696B"/>
        <color rgb="FFFFEB84"/>
        <color rgb="FF63BE7B"/>
      </colorScale>
    </cfRule>
  </conditionalFormatting>
  <conditionalFormatting sqref="O7:O204">
    <cfRule type="colorScale" priority="16">
      <colorScale>
        <cfvo type="min"/>
        <cfvo type="percentile" val="50"/>
        <cfvo type="max"/>
        <color rgb="FFF8696B"/>
        <color rgb="FFFFEB84"/>
        <color rgb="FF63BE7B"/>
      </colorScale>
    </cfRule>
  </conditionalFormatting>
  <conditionalFormatting sqref="Q7:Q204">
    <cfRule type="colorScale" priority="15">
      <colorScale>
        <cfvo type="min"/>
        <cfvo type="percentile" val="50"/>
        <cfvo type="max"/>
        <color rgb="FFF8696B"/>
        <color rgb="FFFFEB84"/>
        <color rgb="FF63BE7B"/>
      </colorScale>
    </cfRule>
  </conditionalFormatting>
  <conditionalFormatting sqref="K7:K204">
    <cfRule type="colorScale" priority="14">
      <colorScale>
        <cfvo type="num" val="-10"/>
        <cfvo type="percentile" val="50"/>
        <cfvo type="num" val="10"/>
        <color rgb="FFF8696B"/>
        <color rgb="FFFFEB84"/>
        <color rgb="FF63BE7B"/>
      </colorScale>
    </cfRule>
  </conditionalFormatting>
  <conditionalFormatting sqref="M7:M204">
    <cfRule type="colorScale" priority="9">
      <colorScale>
        <cfvo type="min"/>
        <cfvo type="percentile" val="50"/>
        <cfvo type="max"/>
        <color rgb="FFF8696B"/>
        <color rgb="FFFFEB84"/>
        <color rgb="FF63BE7B"/>
      </colorScale>
    </cfRule>
  </conditionalFormatting>
  <conditionalFormatting sqref="N7:N204">
    <cfRule type="colorScale" priority="8">
      <colorScale>
        <cfvo type="min"/>
        <cfvo type="percentile" val="50"/>
        <cfvo type="max"/>
        <color rgb="FFF8696B"/>
        <color rgb="FFFFEB84"/>
        <color rgb="FF63BE7B"/>
      </colorScale>
    </cfRule>
  </conditionalFormatting>
  <conditionalFormatting sqref="F7:F204">
    <cfRule type="colorScale" priority="7">
      <colorScale>
        <cfvo type="min"/>
        <cfvo type="percentile" val="50"/>
        <cfvo type="max"/>
        <color rgb="FFF8696B"/>
        <color rgb="FFFFEB84"/>
        <color rgb="FF63BE7B"/>
      </colorScale>
    </cfRule>
  </conditionalFormatting>
  <conditionalFormatting sqref="E7:E204">
    <cfRule type="colorScale" priority="6">
      <colorScale>
        <cfvo type="min"/>
        <cfvo type="percentile" val="50"/>
        <cfvo type="max"/>
        <color rgb="FFF8696B"/>
        <color rgb="FFFFEB84"/>
        <color rgb="FF63BE7B"/>
      </colorScale>
    </cfRule>
  </conditionalFormatting>
  <conditionalFormatting sqref="BJ217:BL1048576 BJ7:BJ204">
    <cfRule type="colorScale" priority="479">
      <colorScale>
        <cfvo type="min"/>
        <cfvo type="percentile" val="50"/>
        <cfvo type="max"/>
        <color rgb="FFF8696B"/>
        <color rgb="FFFFEB84"/>
        <color rgb="FF63BE7B"/>
      </colorScale>
    </cfRule>
  </conditionalFormatting>
  <conditionalFormatting sqref="BI205:BW205 BI216:BW216">
    <cfRule type="colorScale" priority="484">
      <colorScale>
        <cfvo type="min"/>
        <cfvo type="percentile" val="50"/>
        <cfvo type="max"/>
        <color rgb="FFF8696B"/>
        <color rgb="FFFFEB84"/>
        <color rgb="FF63BE7B"/>
      </colorScale>
    </cfRule>
  </conditionalFormatting>
  <conditionalFormatting sqref="BK7:BK204">
    <cfRule type="colorScale" priority="2">
      <colorScale>
        <cfvo type="min"/>
        <cfvo type="percentile" val="50"/>
        <cfvo type="max"/>
        <color rgb="FFF8696B"/>
        <color rgb="FFFFEB84"/>
        <color rgb="FF63BE7B"/>
      </colorScale>
    </cfRule>
  </conditionalFormatting>
  <conditionalFormatting sqref="Z7:Z204">
    <cfRule type="colorScale" priority="1">
      <colorScale>
        <cfvo type="min"/>
        <cfvo type="percentile" val="50"/>
        <cfvo type="num" val="20"/>
        <color rgb="FF63BE7B"/>
        <color rgb="FFFFEB84"/>
        <color rgb="FFF8696B"/>
      </colorScale>
    </cfRule>
  </conditionalFormatting>
  <hyperlinks>
    <hyperlink ref="AW219" r:id="rId1" xr:uid="{A1DD5F81-D033-4481-A1CC-E973F9CF80C8}"/>
    <hyperlink ref="V221" r:id="rId2" display="https://tradingeconomics.com/liechtenstein/unemployment-rate" xr:uid="{0F099D81-9199-492B-8C21-52F2C243E197}"/>
    <hyperlink ref="V222" r:id="rId3" display="https://www.globaldata.com/data-insights/macroeconomic/the-unemployment-rate-of-monaco-220186/" xr:uid="{2EA414C2-1A4D-4013-B0EF-E50D0C3DC8F1}"/>
    <hyperlink ref="V223" r:id="rId4" display="https://www.alto.ad/business/2026/06/andorra-inactivity-rate-rises-to-16-7-as-employm" xr:uid="{C73A88C2-92A8-4154-8771-2B9DE0F9407D}"/>
    <hyperlink ref="V224" r:id="rId5" display="https://www.dom767.com/dompedia/labour-market-in-dominica/" xr:uid="{7A3005F3-4DEE-475A-AA2B-DC61BE536362}"/>
    <hyperlink ref="V225" r:id="rId6" display="https://stats.gov.fm/topics/economic-statistics/labor-market-and-participation/" xr:uid="{4DF7017E-3826-4424-A66E-BEE424F31378}"/>
    <hyperlink ref="V226" r:id="rId7" display="https://stats.gov.nr/statistics/economic-statistics/" xr:uid="{C69A0367-DAF9-4836-A9FF-F4A0E69366EC}"/>
    <hyperlink ref="V227" r:id="rId8" display="https://www.globaldata.com/data-insights/macroeconomic/the-unemployment-rate-of-saint-kitts-and-nevis-220065/" xr:uid="{2B458037-AFFA-4EF3-A022-6F2A11BD0CC0}"/>
    <hyperlink ref="P222" r:id="rId9" xr:uid="{EB31E651-95F2-464D-A4F2-693944B667F9}"/>
    <hyperlink ref="P224" r:id="rId10" xr:uid="{41F4B47D-C389-4BA4-A7C2-C5E35C2D6FD5}"/>
    <hyperlink ref="P226" r:id="rId11" xr:uid="{7AF42EB6-79B4-4417-9A16-E666FF20BF65}"/>
    <hyperlink ref="P228" r:id="rId12" xr:uid="{CF822CFA-A91D-4D2E-9A48-C6397E15CA70}"/>
    <hyperlink ref="P230" r:id="rId13" xr:uid="{F65EC3A4-09D0-4BEB-9E2A-2677AC925549}"/>
    <hyperlink ref="P232" r:id="rId14" xr:uid="{39AEA471-95A3-4ADE-8BFC-AC93FDD45589}"/>
    <hyperlink ref="K222" r:id="rId15" xr:uid="{E118479B-0E18-492B-8612-B192671363B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44830-5C40-4746-A534-42B8C66B775B}">
  <dimension ref="A1:AV239"/>
  <sheetViews>
    <sheetView workbookViewId="0"/>
  </sheetViews>
  <sheetFormatPr baseColWidth="10" defaultRowHeight="15" x14ac:dyDescent="0.25"/>
  <cols>
    <col min="1" max="1" width="34.140625" customWidth="1"/>
    <col min="2" max="42" width="1" customWidth="1"/>
    <col min="43" max="247" width="9.140625" customWidth="1"/>
    <col min="248" max="248" width="94.28515625" customWidth="1"/>
    <col min="249" max="249" width="9.28515625" customWidth="1"/>
    <col min="250" max="503" width="9.140625" customWidth="1"/>
    <col min="504" max="504" width="94.28515625" customWidth="1"/>
    <col min="505" max="505" width="9.28515625" customWidth="1"/>
    <col min="506" max="759" width="9.140625" customWidth="1"/>
    <col min="760" max="760" width="94.28515625" customWidth="1"/>
    <col min="761" max="761" width="9.28515625" customWidth="1"/>
    <col min="762" max="1015" width="9.140625" customWidth="1"/>
    <col min="1016" max="1016" width="94.28515625" customWidth="1"/>
    <col min="1017" max="1017" width="9.28515625" customWidth="1"/>
    <col min="1018" max="1271" width="9.140625" customWidth="1"/>
    <col min="1272" max="1272" width="94.28515625" customWidth="1"/>
    <col min="1273" max="1273" width="9.28515625" customWidth="1"/>
    <col min="1274" max="1527" width="9.140625" customWidth="1"/>
    <col min="1528" max="1528" width="94.28515625" customWidth="1"/>
    <col min="1529" max="1529" width="9.28515625" customWidth="1"/>
    <col min="1530" max="1783" width="9.140625" customWidth="1"/>
    <col min="1784" max="1784" width="94.28515625" customWidth="1"/>
    <col min="1785" max="1785" width="9.28515625" customWidth="1"/>
    <col min="1786" max="2039" width="9.140625" customWidth="1"/>
    <col min="2040" max="2040" width="94.28515625" customWidth="1"/>
    <col min="2041" max="2041" width="9.28515625" customWidth="1"/>
    <col min="2042" max="2295" width="9.140625" customWidth="1"/>
    <col min="2296" max="2296" width="94.28515625" customWidth="1"/>
    <col min="2297" max="2297" width="9.28515625" customWidth="1"/>
    <col min="2298" max="2551" width="9.140625" customWidth="1"/>
    <col min="2552" max="2552" width="94.28515625" customWidth="1"/>
    <col min="2553" max="2553" width="9.28515625" customWidth="1"/>
    <col min="2554" max="2807" width="9.140625" customWidth="1"/>
    <col min="2808" max="2808" width="94.28515625" customWidth="1"/>
    <col min="2809" max="2809" width="9.28515625" customWidth="1"/>
    <col min="2810" max="3063" width="9.140625" customWidth="1"/>
    <col min="3064" max="3064" width="94.28515625" customWidth="1"/>
    <col min="3065" max="3065" width="9.28515625" customWidth="1"/>
    <col min="3066" max="3319" width="9.140625" customWidth="1"/>
    <col min="3320" max="3320" width="94.28515625" customWidth="1"/>
    <col min="3321" max="3321" width="9.28515625" customWidth="1"/>
    <col min="3322" max="3575" width="9.140625" customWidth="1"/>
    <col min="3576" max="3576" width="94.28515625" customWidth="1"/>
    <col min="3577" max="3577" width="9.28515625" customWidth="1"/>
    <col min="3578" max="3831" width="9.140625" customWidth="1"/>
    <col min="3832" max="3832" width="94.28515625" customWidth="1"/>
    <col min="3833" max="3833" width="9.28515625" customWidth="1"/>
    <col min="3834" max="4087" width="9.140625" customWidth="1"/>
    <col min="4088" max="4088" width="94.28515625" customWidth="1"/>
    <col min="4089" max="4089" width="9.28515625" customWidth="1"/>
    <col min="4090" max="4343" width="9.140625" customWidth="1"/>
    <col min="4344" max="4344" width="94.28515625" customWidth="1"/>
    <col min="4345" max="4345" width="9.28515625" customWidth="1"/>
    <col min="4346" max="4599" width="9.140625" customWidth="1"/>
    <col min="4600" max="4600" width="94.28515625" customWidth="1"/>
    <col min="4601" max="4601" width="9.28515625" customWidth="1"/>
    <col min="4602" max="4855" width="9.140625" customWidth="1"/>
    <col min="4856" max="4856" width="94.28515625" customWidth="1"/>
    <col min="4857" max="4857" width="9.28515625" customWidth="1"/>
    <col min="4858" max="5111" width="9.140625" customWidth="1"/>
    <col min="5112" max="5112" width="94.28515625" customWidth="1"/>
    <col min="5113" max="5113" width="9.28515625" customWidth="1"/>
    <col min="5114" max="5367" width="9.140625" customWidth="1"/>
    <col min="5368" max="5368" width="94.28515625" customWidth="1"/>
    <col min="5369" max="5369" width="9.28515625" customWidth="1"/>
    <col min="5370" max="5623" width="9.140625" customWidth="1"/>
    <col min="5624" max="5624" width="94.28515625" customWidth="1"/>
    <col min="5625" max="5625" width="9.28515625" customWidth="1"/>
    <col min="5626" max="5879" width="9.140625" customWidth="1"/>
    <col min="5880" max="5880" width="94.28515625" customWidth="1"/>
    <col min="5881" max="5881" width="9.28515625" customWidth="1"/>
    <col min="5882" max="6135" width="9.140625" customWidth="1"/>
    <col min="6136" max="6136" width="94.28515625" customWidth="1"/>
    <col min="6137" max="6137" width="9.28515625" customWidth="1"/>
    <col min="6138" max="6391" width="9.140625" customWidth="1"/>
    <col min="6392" max="6392" width="94.28515625" customWidth="1"/>
    <col min="6393" max="6393" width="9.28515625" customWidth="1"/>
    <col min="6394" max="6647" width="9.140625" customWidth="1"/>
    <col min="6648" max="6648" width="94.28515625" customWidth="1"/>
    <col min="6649" max="6649" width="9.28515625" customWidth="1"/>
    <col min="6650" max="6903" width="9.140625" customWidth="1"/>
    <col min="6904" max="6904" width="94.28515625" customWidth="1"/>
    <col min="6905" max="6905" width="9.28515625" customWidth="1"/>
    <col min="6906" max="7159" width="9.140625" customWidth="1"/>
    <col min="7160" max="7160" width="94.28515625" customWidth="1"/>
    <col min="7161" max="7161" width="9.28515625" customWidth="1"/>
    <col min="7162" max="7415" width="9.140625" customWidth="1"/>
    <col min="7416" max="7416" width="94.28515625" customWidth="1"/>
    <col min="7417" max="7417" width="9.28515625" customWidth="1"/>
    <col min="7418" max="7671" width="9.140625" customWidth="1"/>
    <col min="7672" max="7672" width="94.28515625" customWidth="1"/>
    <col min="7673" max="7673" width="9.28515625" customWidth="1"/>
    <col min="7674" max="7927" width="9.140625" customWidth="1"/>
    <col min="7928" max="7928" width="94.28515625" customWidth="1"/>
    <col min="7929" max="7929" width="9.28515625" customWidth="1"/>
    <col min="7930" max="8183" width="9.140625" customWidth="1"/>
    <col min="8184" max="8184" width="94.28515625" customWidth="1"/>
    <col min="8185" max="8185" width="9.28515625" customWidth="1"/>
    <col min="8186" max="8439" width="9.140625" customWidth="1"/>
    <col min="8440" max="8440" width="94.28515625" customWidth="1"/>
    <col min="8441" max="8441" width="9.28515625" customWidth="1"/>
    <col min="8442" max="8695" width="9.140625" customWidth="1"/>
    <col min="8696" max="8696" width="94.28515625" customWidth="1"/>
    <col min="8697" max="8697" width="9.28515625" customWidth="1"/>
    <col min="8698" max="8951" width="9.140625" customWidth="1"/>
    <col min="8952" max="8952" width="94.28515625" customWidth="1"/>
    <col min="8953" max="8953" width="9.28515625" customWidth="1"/>
    <col min="8954" max="9207" width="9.140625" customWidth="1"/>
    <col min="9208" max="9208" width="94.28515625" customWidth="1"/>
    <col min="9209" max="9209" width="9.28515625" customWidth="1"/>
    <col min="9210" max="9463" width="9.140625" customWidth="1"/>
    <col min="9464" max="9464" width="94.28515625" customWidth="1"/>
    <col min="9465" max="9465" width="9.28515625" customWidth="1"/>
    <col min="9466" max="9719" width="9.140625" customWidth="1"/>
    <col min="9720" max="9720" width="94.28515625" customWidth="1"/>
    <col min="9721" max="9721" width="9.28515625" customWidth="1"/>
    <col min="9722" max="9975" width="9.140625" customWidth="1"/>
    <col min="9976" max="9976" width="94.28515625" customWidth="1"/>
    <col min="9977" max="9977" width="9.28515625" customWidth="1"/>
    <col min="9978" max="10231" width="9.140625" customWidth="1"/>
    <col min="10232" max="10232" width="94.28515625" customWidth="1"/>
    <col min="10233" max="10233" width="9.28515625" customWidth="1"/>
    <col min="10234" max="10487" width="9.140625" customWidth="1"/>
    <col min="10488" max="10488" width="94.28515625" customWidth="1"/>
    <col min="10489" max="10489" width="9.28515625" customWidth="1"/>
    <col min="10490" max="10743" width="9.140625" customWidth="1"/>
    <col min="10744" max="10744" width="94.28515625" customWidth="1"/>
    <col min="10745" max="10745" width="9.28515625" customWidth="1"/>
    <col min="10746" max="10999" width="9.140625" customWidth="1"/>
    <col min="11000" max="11000" width="94.28515625" customWidth="1"/>
    <col min="11001" max="11001" width="9.28515625" customWidth="1"/>
    <col min="11002" max="11255" width="9.140625" customWidth="1"/>
    <col min="11256" max="11256" width="94.28515625" customWidth="1"/>
    <col min="11257" max="11257" width="9.28515625" customWidth="1"/>
    <col min="11258" max="11511" width="9.140625" customWidth="1"/>
    <col min="11512" max="11512" width="94.28515625" customWidth="1"/>
    <col min="11513" max="11513" width="9.28515625" customWidth="1"/>
    <col min="11514" max="11767" width="9.140625" customWidth="1"/>
    <col min="11768" max="11768" width="94.28515625" customWidth="1"/>
    <col min="11769" max="11769" width="9.28515625" customWidth="1"/>
    <col min="11770" max="12023" width="9.140625" customWidth="1"/>
    <col min="12024" max="12024" width="94.28515625" customWidth="1"/>
    <col min="12025" max="12025" width="9.28515625" customWidth="1"/>
    <col min="12026" max="12279" width="9.140625" customWidth="1"/>
    <col min="12280" max="12280" width="94.28515625" customWidth="1"/>
    <col min="12281" max="12281" width="9.28515625" customWidth="1"/>
    <col min="12282" max="12535" width="9.140625" customWidth="1"/>
    <col min="12536" max="12536" width="94.28515625" customWidth="1"/>
    <col min="12537" max="12537" width="9.28515625" customWidth="1"/>
    <col min="12538" max="12791" width="9.140625" customWidth="1"/>
    <col min="12792" max="12792" width="94.28515625" customWidth="1"/>
    <col min="12793" max="12793" width="9.28515625" customWidth="1"/>
    <col min="12794" max="13047" width="9.140625" customWidth="1"/>
    <col min="13048" max="13048" width="94.28515625" customWidth="1"/>
    <col min="13049" max="13049" width="9.28515625" customWidth="1"/>
    <col min="13050" max="13303" width="9.140625" customWidth="1"/>
    <col min="13304" max="13304" width="94.28515625" customWidth="1"/>
    <col min="13305" max="13305" width="9.28515625" customWidth="1"/>
    <col min="13306" max="13559" width="9.140625" customWidth="1"/>
    <col min="13560" max="13560" width="94.28515625" customWidth="1"/>
    <col min="13561" max="13561" width="9.28515625" customWidth="1"/>
    <col min="13562" max="13815" width="9.140625" customWidth="1"/>
    <col min="13816" max="13816" width="94.28515625" customWidth="1"/>
    <col min="13817" max="13817" width="9.28515625" customWidth="1"/>
    <col min="13818" max="14071" width="9.140625" customWidth="1"/>
    <col min="14072" max="14072" width="94.28515625" customWidth="1"/>
    <col min="14073" max="14073" width="9.28515625" customWidth="1"/>
    <col min="14074" max="14327" width="9.140625" customWidth="1"/>
    <col min="14328" max="14328" width="94.28515625" customWidth="1"/>
    <col min="14329" max="14329" width="9.28515625" customWidth="1"/>
    <col min="14330" max="14583" width="9.140625" customWidth="1"/>
    <col min="14584" max="14584" width="94.28515625" customWidth="1"/>
    <col min="14585" max="14585" width="9.28515625" customWidth="1"/>
    <col min="14586" max="14839" width="9.140625" customWidth="1"/>
    <col min="14840" max="14840" width="94.28515625" customWidth="1"/>
    <col min="14841" max="14841" width="9.28515625" customWidth="1"/>
    <col min="14842" max="15095" width="9.140625" customWidth="1"/>
    <col min="15096" max="15096" width="94.28515625" customWidth="1"/>
    <col min="15097" max="15097" width="9.28515625" customWidth="1"/>
    <col min="15098" max="15351" width="9.140625" customWidth="1"/>
    <col min="15352" max="15352" width="94.28515625" customWidth="1"/>
    <col min="15353" max="15353" width="9.28515625" customWidth="1"/>
    <col min="15354" max="15607" width="9.140625" customWidth="1"/>
    <col min="15608" max="15608" width="94.28515625" customWidth="1"/>
    <col min="15609" max="15609" width="9.28515625" customWidth="1"/>
    <col min="15610" max="15863" width="9.140625" customWidth="1"/>
    <col min="15864" max="15864" width="94.28515625" customWidth="1"/>
    <col min="15865" max="15865" width="9.28515625" customWidth="1"/>
    <col min="15866" max="16119" width="9.140625" customWidth="1"/>
    <col min="16120" max="16120" width="94.28515625" customWidth="1"/>
    <col min="16121" max="16121" width="9.28515625" customWidth="1"/>
    <col min="16122" max="16384" width="9.140625" customWidth="1"/>
  </cols>
  <sheetData>
    <row r="1" spans="1:48" s="175" customFormat="1" ht="25.5" customHeight="1" x14ac:dyDescent="0.25">
      <c r="A1" s="175" t="s">
        <v>745</v>
      </c>
      <c r="B1" s="175">
        <v>1980</v>
      </c>
      <c r="C1" s="175">
        <v>1981</v>
      </c>
      <c r="D1" s="175">
        <v>1982</v>
      </c>
      <c r="E1" s="175">
        <v>1983</v>
      </c>
      <c r="F1" s="175">
        <v>1984</v>
      </c>
      <c r="G1" s="175">
        <v>1985</v>
      </c>
      <c r="H1" s="175">
        <v>1986</v>
      </c>
      <c r="I1" s="175">
        <v>1987</v>
      </c>
      <c r="J1" s="175">
        <v>1988</v>
      </c>
      <c r="K1" s="175">
        <v>1989</v>
      </c>
      <c r="L1" s="175">
        <v>1990</v>
      </c>
      <c r="M1" s="175">
        <v>1991</v>
      </c>
      <c r="N1" s="175">
        <v>1992</v>
      </c>
      <c r="O1" s="175">
        <v>1993</v>
      </c>
      <c r="P1" s="175">
        <v>1994</v>
      </c>
      <c r="Q1" s="175">
        <v>1995</v>
      </c>
      <c r="R1" s="175">
        <v>1996</v>
      </c>
      <c r="S1" s="175">
        <v>1997</v>
      </c>
      <c r="T1" s="175">
        <v>1998</v>
      </c>
      <c r="U1" s="175">
        <v>1999</v>
      </c>
      <c r="V1" s="175">
        <v>2000</v>
      </c>
      <c r="W1" s="175">
        <v>2001</v>
      </c>
      <c r="X1" s="175">
        <v>2002</v>
      </c>
      <c r="Y1" s="175">
        <v>2003</v>
      </c>
      <c r="Z1" s="175">
        <v>2004</v>
      </c>
      <c r="AA1" s="175">
        <v>2005</v>
      </c>
      <c r="AB1" s="175">
        <v>2006</v>
      </c>
      <c r="AC1" s="175">
        <v>2007</v>
      </c>
      <c r="AD1" s="175">
        <v>2008</v>
      </c>
      <c r="AE1" s="175">
        <v>2009</v>
      </c>
      <c r="AF1" s="175">
        <v>2010</v>
      </c>
      <c r="AG1" s="175">
        <v>2011</v>
      </c>
      <c r="AH1" s="175">
        <v>2012</v>
      </c>
      <c r="AI1" s="175">
        <v>2013</v>
      </c>
      <c r="AJ1" s="175">
        <v>2014</v>
      </c>
      <c r="AK1" s="175">
        <v>2015</v>
      </c>
      <c r="AL1" s="175">
        <v>2016</v>
      </c>
      <c r="AM1" s="175">
        <v>2017</v>
      </c>
      <c r="AN1" s="175">
        <v>2018</v>
      </c>
      <c r="AO1" s="175">
        <v>2019</v>
      </c>
      <c r="AP1" s="175">
        <v>2020</v>
      </c>
      <c r="AQ1" s="175">
        <v>2021</v>
      </c>
      <c r="AR1" s="175">
        <v>2022</v>
      </c>
      <c r="AS1" s="175">
        <v>2023</v>
      </c>
      <c r="AT1" s="175">
        <v>2024</v>
      </c>
      <c r="AU1" s="175">
        <v>2025</v>
      </c>
      <c r="AV1" s="201" t="s">
        <v>810</v>
      </c>
    </row>
    <row r="2" spans="1:48" x14ac:dyDescent="0.25">
      <c r="A2" t="s">
        <v>12</v>
      </c>
      <c r="B2" t="s">
        <v>746</v>
      </c>
      <c r="C2" t="s">
        <v>746</v>
      </c>
      <c r="D2" t="s">
        <v>746</v>
      </c>
      <c r="E2" t="s">
        <v>746</v>
      </c>
      <c r="F2" t="s">
        <v>746</v>
      </c>
      <c r="G2" t="s">
        <v>746</v>
      </c>
      <c r="H2" t="s">
        <v>746</v>
      </c>
      <c r="I2" t="s">
        <v>746</v>
      </c>
      <c r="J2" t="s">
        <v>746</v>
      </c>
      <c r="K2" t="s">
        <v>746</v>
      </c>
      <c r="L2" t="s">
        <v>746</v>
      </c>
      <c r="M2" t="s">
        <v>746</v>
      </c>
      <c r="N2" t="s">
        <v>746</v>
      </c>
      <c r="O2" t="s">
        <v>746</v>
      </c>
      <c r="P2" t="s">
        <v>746</v>
      </c>
      <c r="Q2" t="s">
        <v>746</v>
      </c>
      <c r="R2" t="s">
        <v>746</v>
      </c>
      <c r="S2" t="s">
        <v>746</v>
      </c>
      <c r="T2" t="s">
        <v>746</v>
      </c>
      <c r="U2" t="s">
        <v>746</v>
      </c>
      <c r="V2" t="s">
        <v>746</v>
      </c>
      <c r="W2" t="s">
        <v>746</v>
      </c>
      <c r="X2" t="s">
        <v>746</v>
      </c>
      <c r="Y2">
        <v>35.700000000000003</v>
      </c>
      <c r="Z2">
        <v>16.399999999999999</v>
      </c>
      <c r="AA2">
        <v>10.6</v>
      </c>
      <c r="AB2">
        <v>6.8</v>
      </c>
      <c r="AC2">
        <v>8.6999999999999993</v>
      </c>
      <c r="AD2">
        <v>26.4</v>
      </c>
      <c r="AE2">
        <v>-6.8</v>
      </c>
      <c r="AF2">
        <v>2.2000000000000002</v>
      </c>
      <c r="AG2">
        <v>11.8</v>
      </c>
      <c r="AH2">
        <v>6.4</v>
      </c>
      <c r="AI2">
        <v>7.4</v>
      </c>
      <c r="AJ2">
        <v>4.7</v>
      </c>
      <c r="AK2">
        <v>-0.7</v>
      </c>
      <c r="AL2">
        <v>4.4000000000000004</v>
      </c>
      <c r="AM2">
        <v>5</v>
      </c>
      <c r="AN2">
        <v>0.6</v>
      </c>
      <c r="AO2">
        <v>2.2999999999999998</v>
      </c>
      <c r="AP2">
        <v>5.6</v>
      </c>
      <c r="AQ2">
        <v>7.8</v>
      </c>
      <c r="AR2">
        <v>10.6</v>
      </c>
      <c r="AS2">
        <v>-7.7</v>
      </c>
      <c r="AT2">
        <v>-4.3</v>
      </c>
      <c r="AU2">
        <v>2.9</v>
      </c>
      <c r="AV2" s="205">
        <f t="shared" ref="AV2:AV65" si="0">AVERAGE(AQ2:AU2)</f>
        <v>1.8599999999999999</v>
      </c>
    </row>
    <row r="3" spans="1:48" x14ac:dyDescent="0.25">
      <c r="A3" t="s">
        <v>15</v>
      </c>
      <c r="B3" t="s">
        <v>746</v>
      </c>
      <c r="C3" t="s">
        <v>746</v>
      </c>
      <c r="D3" t="s">
        <v>746</v>
      </c>
      <c r="E3" t="s">
        <v>746</v>
      </c>
      <c r="F3" t="s">
        <v>746</v>
      </c>
      <c r="G3" t="s">
        <v>746</v>
      </c>
      <c r="H3" t="s">
        <v>746</v>
      </c>
      <c r="I3" t="s">
        <v>746</v>
      </c>
      <c r="J3" t="s">
        <v>746</v>
      </c>
      <c r="K3" t="s">
        <v>746</v>
      </c>
      <c r="L3">
        <v>-0.2</v>
      </c>
      <c r="M3">
        <v>35.700000000000003</v>
      </c>
      <c r="N3">
        <v>226</v>
      </c>
      <c r="O3">
        <v>85</v>
      </c>
      <c r="P3">
        <v>22.6</v>
      </c>
      <c r="Q3">
        <v>7.8</v>
      </c>
      <c r="R3">
        <v>12.7</v>
      </c>
      <c r="S3">
        <v>33.200000000000003</v>
      </c>
      <c r="T3">
        <v>20.6</v>
      </c>
      <c r="U3">
        <v>0.4</v>
      </c>
      <c r="V3">
        <v>0</v>
      </c>
      <c r="W3">
        <v>3.1</v>
      </c>
      <c r="X3">
        <v>5.2</v>
      </c>
      <c r="Y3">
        <v>2.4</v>
      </c>
      <c r="Z3">
        <v>2.9</v>
      </c>
      <c r="AA3">
        <v>2.4</v>
      </c>
      <c r="AB3">
        <v>2.4</v>
      </c>
      <c r="AC3">
        <v>3</v>
      </c>
      <c r="AD3">
        <v>3.3</v>
      </c>
      <c r="AE3">
        <v>2.2000000000000002</v>
      </c>
      <c r="AF3">
        <v>3.6</v>
      </c>
      <c r="AG3">
        <v>3.4</v>
      </c>
      <c r="AH3">
        <v>2</v>
      </c>
      <c r="AI3">
        <v>1.9</v>
      </c>
      <c r="AJ3">
        <v>1.6</v>
      </c>
      <c r="AK3">
        <v>1.9</v>
      </c>
      <c r="AL3">
        <v>1.3</v>
      </c>
      <c r="AM3">
        <v>2</v>
      </c>
      <c r="AN3">
        <v>2</v>
      </c>
      <c r="AO3">
        <v>1.4</v>
      </c>
      <c r="AP3">
        <v>1.6</v>
      </c>
      <c r="AQ3">
        <v>2</v>
      </c>
      <c r="AR3">
        <v>6.7</v>
      </c>
      <c r="AS3">
        <v>4.8</v>
      </c>
      <c r="AT3">
        <v>2.2000000000000002</v>
      </c>
      <c r="AU3">
        <v>2.2000000000000002</v>
      </c>
      <c r="AV3" s="205">
        <f t="shared" si="0"/>
        <v>3.5799999999999996</v>
      </c>
    </row>
    <row r="4" spans="1:48" x14ac:dyDescent="0.25">
      <c r="A4" t="s">
        <v>18</v>
      </c>
      <c r="B4">
        <v>9.6999999999999993</v>
      </c>
      <c r="C4">
        <v>14.6</v>
      </c>
      <c r="D4">
        <v>6.6</v>
      </c>
      <c r="E4">
        <v>7.8</v>
      </c>
      <c r="F4">
        <v>6.3</v>
      </c>
      <c r="G4">
        <v>10.4</v>
      </c>
      <c r="H4">
        <v>14</v>
      </c>
      <c r="I4">
        <v>5.9</v>
      </c>
      <c r="J4">
        <v>5.9</v>
      </c>
      <c r="K4">
        <v>9.1999999999999993</v>
      </c>
      <c r="L4">
        <v>9.3000000000000007</v>
      </c>
      <c r="M4">
        <v>25.9</v>
      </c>
      <c r="N4">
        <v>31.7</v>
      </c>
      <c r="O4">
        <v>20.5</v>
      </c>
      <c r="P4">
        <v>29</v>
      </c>
      <c r="Q4">
        <v>29.8</v>
      </c>
      <c r="R4">
        <v>18.7</v>
      </c>
      <c r="S4">
        <v>5.7</v>
      </c>
      <c r="T4">
        <v>5</v>
      </c>
      <c r="U4">
        <v>2.6</v>
      </c>
      <c r="V4">
        <v>0.3</v>
      </c>
      <c r="W4">
        <v>4.2</v>
      </c>
      <c r="X4">
        <v>1.4</v>
      </c>
      <c r="Y4">
        <v>4.3</v>
      </c>
      <c r="Z4">
        <v>4</v>
      </c>
      <c r="AA4">
        <v>1.4</v>
      </c>
      <c r="AB4">
        <v>2.2999999999999998</v>
      </c>
      <c r="AC4">
        <v>3.7</v>
      </c>
      <c r="AD4">
        <v>4.9000000000000004</v>
      </c>
      <c r="AE4">
        <v>5.7</v>
      </c>
      <c r="AF4">
        <v>3.9</v>
      </c>
      <c r="AG4">
        <v>4.5</v>
      </c>
      <c r="AH4">
        <v>8.9</v>
      </c>
      <c r="AI4">
        <v>3.3</v>
      </c>
      <c r="AJ4">
        <v>2.9</v>
      </c>
      <c r="AK4">
        <v>4.8</v>
      </c>
      <c r="AL4">
        <v>6.4</v>
      </c>
      <c r="AM4">
        <v>5.6</v>
      </c>
      <c r="AN4">
        <v>4.3</v>
      </c>
      <c r="AO4">
        <v>2</v>
      </c>
      <c r="AP4">
        <v>2.4</v>
      </c>
      <c r="AQ4">
        <v>7.2</v>
      </c>
      <c r="AR4">
        <v>9.3000000000000007</v>
      </c>
      <c r="AS4">
        <v>9.3000000000000007</v>
      </c>
      <c r="AT4">
        <v>4</v>
      </c>
      <c r="AU4">
        <v>1.4</v>
      </c>
      <c r="AV4" s="205">
        <f t="shared" si="0"/>
        <v>6.24</v>
      </c>
    </row>
    <row r="5" spans="1:48" x14ac:dyDescent="0.25">
      <c r="A5" t="s">
        <v>747</v>
      </c>
      <c r="B5" t="s">
        <v>746</v>
      </c>
      <c r="C5" t="s">
        <v>746</v>
      </c>
      <c r="D5" t="s">
        <v>746</v>
      </c>
      <c r="E5" t="s">
        <v>746</v>
      </c>
      <c r="F5" t="s">
        <v>746</v>
      </c>
      <c r="G5" t="s">
        <v>746</v>
      </c>
      <c r="H5" t="s">
        <v>746</v>
      </c>
      <c r="I5" t="s">
        <v>746</v>
      </c>
      <c r="J5" t="s">
        <v>746</v>
      </c>
      <c r="K5" t="s">
        <v>746</v>
      </c>
      <c r="L5" t="s">
        <v>746</v>
      </c>
      <c r="M5" t="s">
        <v>746</v>
      </c>
      <c r="N5" t="s">
        <v>746</v>
      </c>
      <c r="O5" t="s">
        <v>746</v>
      </c>
      <c r="P5" t="s">
        <v>746</v>
      </c>
      <c r="Q5" t="s">
        <v>746</v>
      </c>
      <c r="R5" t="s">
        <v>746</v>
      </c>
      <c r="S5" t="s">
        <v>746</v>
      </c>
      <c r="T5" t="s">
        <v>746</v>
      </c>
      <c r="U5" t="s">
        <v>746</v>
      </c>
      <c r="V5" t="s">
        <v>746</v>
      </c>
      <c r="W5" t="s">
        <v>746</v>
      </c>
      <c r="X5" t="s">
        <v>746</v>
      </c>
      <c r="Y5" t="s">
        <v>746</v>
      </c>
      <c r="Z5" t="s">
        <v>746</v>
      </c>
      <c r="AA5" t="s">
        <v>746</v>
      </c>
      <c r="AB5" t="s">
        <v>746</v>
      </c>
      <c r="AC5" t="s">
        <v>746</v>
      </c>
      <c r="AD5" t="s">
        <v>746</v>
      </c>
      <c r="AE5" t="s">
        <v>746</v>
      </c>
      <c r="AF5" t="s">
        <v>746</v>
      </c>
      <c r="AG5" t="s">
        <v>746</v>
      </c>
      <c r="AH5" t="s">
        <v>746</v>
      </c>
      <c r="AI5" t="s">
        <v>746</v>
      </c>
      <c r="AJ5" t="s">
        <v>746</v>
      </c>
      <c r="AK5" t="s">
        <v>746</v>
      </c>
      <c r="AL5" t="s">
        <v>746</v>
      </c>
      <c r="AM5" t="s">
        <v>746</v>
      </c>
      <c r="AN5" t="s">
        <v>746</v>
      </c>
      <c r="AO5" t="s">
        <v>746</v>
      </c>
      <c r="AP5" t="s">
        <v>746</v>
      </c>
      <c r="AQ5" t="s">
        <v>746</v>
      </c>
      <c r="AR5" t="s">
        <v>746</v>
      </c>
      <c r="AS5" t="s">
        <v>746</v>
      </c>
      <c r="AT5" t="s">
        <v>746</v>
      </c>
      <c r="AU5" t="s">
        <v>746</v>
      </c>
      <c r="AV5" s="205" t="e">
        <f t="shared" si="0"/>
        <v>#DIV/0!</v>
      </c>
    </row>
    <row r="6" spans="1:48" x14ac:dyDescent="0.25">
      <c r="A6" t="s">
        <v>20</v>
      </c>
      <c r="B6" t="s">
        <v>746</v>
      </c>
      <c r="C6" t="s">
        <v>746</v>
      </c>
      <c r="D6" t="s">
        <v>746</v>
      </c>
      <c r="E6" t="s">
        <v>746</v>
      </c>
      <c r="F6" t="s">
        <v>746</v>
      </c>
      <c r="G6" t="s">
        <v>746</v>
      </c>
      <c r="H6" t="s">
        <v>746</v>
      </c>
      <c r="I6" t="s">
        <v>746</v>
      </c>
      <c r="J6" t="s">
        <v>746</v>
      </c>
      <c r="K6" t="s">
        <v>746</v>
      </c>
      <c r="L6" t="s">
        <v>746</v>
      </c>
      <c r="M6" t="s">
        <v>746</v>
      </c>
      <c r="N6" t="s">
        <v>746</v>
      </c>
      <c r="O6" t="s">
        <v>746</v>
      </c>
      <c r="P6" t="s">
        <v>746</v>
      </c>
      <c r="Q6" t="s">
        <v>746</v>
      </c>
      <c r="R6" t="s">
        <v>746</v>
      </c>
      <c r="S6" t="s">
        <v>746</v>
      </c>
      <c r="T6" t="s">
        <v>746</v>
      </c>
      <c r="U6" t="s">
        <v>746</v>
      </c>
      <c r="V6" t="s">
        <v>746</v>
      </c>
      <c r="W6" t="s">
        <v>746</v>
      </c>
      <c r="X6">
        <v>3.1</v>
      </c>
      <c r="Y6">
        <v>3.1</v>
      </c>
      <c r="Z6">
        <v>2.9</v>
      </c>
      <c r="AA6">
        <v>3.5</v>
      </c>
      <c r="AB6">
        <v>3.7</v>
      </c>
      <c r="AC6">
        <v>2.7</v>
      </c>
      <c r="AD6">
        <v>4.3</v>
      </c>
      <c r="AE6">
        <v>-1.2</v>
      </c>
      <c r="AF6">
        <v>1.7</v>
      </c>
      <c r="AG6">
        <v>2.6</v>
      </c>
      <c r="AH6">
        <v>1.5</v>
      </c>
      <c r="AI6">
        <v>0.5</v>
      </c>
      <c r="AJ6">
        <v>-0.1</v>
      </c>
      <c r="AK6">
        <v>-1.1000000000000001</v>
      </c>
      <c r="AL6">
        <v>-0.4</v>
      </c>
      <c r="AM6">
        <v>2.6</v>
      </c>
      <c r="AN6">
        <v>1</v>
      </c>
      <c r="AO6">
        <v>0.5</v>
      </c>
      <c r="AP6">
        <v>0.1</v>
      </c>
      <c r="AQ6">
        <v>1.7</v>
      </c>
      <c r="AR6">
        <v>6.2</v>
      </c>
      <c r="AS6">
        <v>5.6</v>
      </c>
      <c r="AT6">
        <v>3.1</v>
      </c>
      <c r="AU6">
        <v>2.4</v>
      </c>
      <c r="AV6" s="205">
        <f t="shared" si="0"/>
        <v>3.8</v>
      </c>
    </row>
    <row r="7" spans="1:48" x14ac:dyDescent="0.25">
      <c r="A7" t="s">
        <v>22</v>
      </c>
      <c r="B7">
        <v>46.7</v>
      </c>
      <c r="C7">
        <v>1.4</v>
      </c>
      <c r="D7">
        <v>1.8</v>
      </c>
      <c r="E7">
        <v>1.8</v>
      </c>
      <c r="F7">
        <v>1.8</v>
      </c>
      <c r="G7">
        <v>1.8</v>
      </c>
      <c r="H7">
        <v>1.8</v>
      </c>
      <c r="I7">
        <v>1.8</v>
      </c>
      <c r="J7">
        <v>1.8</v>
      </c>
      <c r="K7">
        <v>1.8</v>
      </c>
      <c r="L7">
        <v>1.8</v>
      </c>
      <c r="M7">
        <v>85.3</v>
      </c>
      <c r="N7">
        <v>299.10000000000002</v>
      </c>
      <c r="O7">
        <v>1379.5</v>
      </c>
      <c r="P7">
        <v>949.8</v>
      </c>
      <c r="Q7">
        <v>2672.2</v>
      </c>
      <c r="R7">
        <v>4146</v>
      </c>
      <c r="S7">
        <v>221.5</v>
      </c>
      <c r="T7">
        <v>107.4</v>
      </c>
      <c r="U7">
        <v>248.2</v>
      </c>
      <c r="V7">
        <v>325</v>
      </c>
      <c r="W7">
        <v>152.6</v>
      </c>
      <c r="X7">
        <v>108.9</v>
      </c>
      <c r="Y7">
        <v>98.2</v>
      </c>
      <c r="Z7">
        <v>43.5</v>
      </c>
      <c r="AA7">
        <v>23</v>
      </c>
      <c r="AB7">
        <v>13.3</v>
      </c>
      <c r="AC7">
        <v>12.2</v>
      </c>
      <c r="AD7">
        <v>12.5</v>
      </c>
      <c r="AE7">
        <v>13.7</v>
      </c>
      <c r="AF7">
        <v>14.5</v>
      </c>
      <c r="AG7">
        <v>13.5</v>
      </c>
      <c r="AH7">
        <v>10.3</v>
      </c>
      <c r="AI7">
        <v>8.8000000000000007</v>
      </c>
      <c r="AJ7">
        <v>7.3</v>
      </c>
      <c r="AK7">
        <v>9.1999999999999993</v>
      </c>
      <c r="AL7">
        <v>30.7</v>
      </c>
      <c r="AM7">
        <v>29.8</v>
      </c>
      <c r="AN7">
        <v>19.600000000000001</v>
      </c>
      <c r="AO7">
        <v>17.100000000000001</v>
      </c>
      <c r="AP7">
        <v>22.3</v>
      </c>
      <c r="AQ7">
        <v>25.8</v>
      </c>
      <c r="AR7">
        <v>21.4</v>
      </c>
      <c r="AS7">
        <v>13.6</v>
      </c>
      <c r="AT7">
        <v>28.2</v>
      </c>
      <c r="AU7">
        <v>20.2</v>
      </c>
      <c r="AV7" s="205">
        <f t="shared" si="0"/>
        <v>21.84</v>
      </c>
    </row>
    <row r="8" spans="1:48" x14ac:dyDescent="0.25">
      <c r="A8" t="s">
        <v>748</v>
      </c>
      <c r="B8" t="s">
        <v>746</v>
      </c>
      <c r="C8" t="s">
        <v>746</v>
      </c>
      <c r="D8" t="s">
        <v>746</v>
      </c>
      <c r="E8" t="s">
        <v>746</v>
      </c>
      <c r="F8" t="s">
        <v>746</v>
      </c>
      <c r="G8" t="s">
        <v>746</v>
      </c>
      <c r="H8" t="s">
        <v>746</v>
      </c>
      <c r="I8" t="s">
        <v>746</v>
      </c>
      <c r="J8" t="s">
        <v>746</v>
      </c>
      <c r="K8" t="s">
        <v>746</v>
      </c>
      <c r="L8" t="s">
        <v>746</v>
      </c>
      <c r="M8" t="s">
        <v>746</v>
      </c>
      <c r="N8" t="s">
        <v>746</v>
      </c>
      <c r="O8" t="s">
        <v>746</v>
      </c>
      <c r="P8" t="s">
        <v>746</v>
      </c>
      <c r="Q8" t="s">
        <v>746</v>
      </c>
      <c r="R8" t="s">
        <v>746</v>
      </c>
      <c r="S8" t="s">
        <v>746</v>
      </c>
      <c r="T8" t="s">
        <v>746</v>
      </c>
      <c r="U8" t="s">
        <v>746</v>
      </c>
      <c r="V8" t="s">
        <v>746</v>
      </c>
      <c r="W8" t="s">
        <v>746</v>
      </c>
      <c r="X8" t="s">
        <v>746</v>
      </c>
      <c r="Y8" t="s">
        <v>746</v>
      </c>
      <c r="Z8" t="s">
        <v>746</v>
      </c>
      <c r="AA8" t="s">
        <v>746</v>
      </c>
      <c r="AB8" t="s">
        <v>746</v>
      </c>
      <c r="AC8" t="s">
        <v>746</v>
      </c>
      <c r="AD8" t="s">
        <v>746</v>
      </c>
      <c r="AE8" t="s">
        <v>746</v>
      </c>
      <c r="AF8" t="s">
        <v>746</v>
      </c>
      <c r="AG8" t="s">
        <v>746</v>
      </c>
      <c r="AH8" t="s">
        <v>746</v>
      </c>
      <c r="AI8" t="s">
        <v>746</v>
      </c>
      <c r="AJ8" t="s">
        <v>746</v>
      </c>
      <c r="AK8" t="s">
        <v>746</v>
      </c>
      <c r="AL8" t="s">
        <v>746</v>
      </c>
      <c r="AM8" t="s">
        <v>746</v>
      </c>
      <c r="AN8" t="s">
        <v>746</v>
      </c>
      <c r="AO8" t="s">
        <v>746</v>
      </c>
      <c r="AP8" t="s">
        <v>746</v>
      </c>
      <c r="AQ8" t="s">
        <v>746</v>
      </c>
      <c r="AR8" t="s">
        <v>746</v>
      </c>
      <c r="AS8" t="s">
        <v>746</v>
      </c>
      <c r="AT8" t="s">
        <v>746</v>
      </c>
      <c r="AU8" t="s">
        <v>746</v>
      </c>
      <c r="AV8" s="205" t="e">
        <f t="shared" si="0"/>
        <v>#DIV/0!</v>
      </c>
    </row>
    <row r="9" spans="1:48" x14ac:dyDescent="0.25">
      <c r="A9" t="s">
        <v>25</v>
      </c>
      <c r="B9">
        <v>19</v>
      </c>
      <c r="C9">
        <v>11.5</v>
      </c>
      <c r="D9">
        <v>4.2</v>
      </c>
      <c r="E9">
        <v>2.2999999999999998</v>
      </c>
      <c r="F9">
        <v>3.8</v>
      </c>
      <c r="G9">
        <v>1</v>
      </c>
      <c r="H9">
        <v>0.5</v>
      </c>
      <c r="I9">
        <v>3.6</v>
      </c>
      <c r="J9">
        <v>6.8</v>
      </c>
      <c r="K9">
        <v>4.4000000000000004</v>
      </c>
      <c r="L9">
        <v>6.6</v>
      </c>
      <c r="M9">
        <v>4.5</v>
      </c>
      <c r="N9">
        <v>3</v>
      </c>
      <c r="O9">
        <v>3.1</v>
      </c>
      <c r="P9">
        <v>6.5</v>
      </c>
      <c r="Q9">
        <v>2.7</v>
      </c>
      <c r="R9">
        <v>3</v>
      </c>
      <c r="S9">
        <v>0.4</v>
      </c>
      <c r="T9">
        <v>3.3</v>
      </c>
      <c r="U9">
        <v>1.1000000000000001</v>
      </c>
      <c r="V9">
        <v>-0.2</v>
      </c>
      <c r="W9">
        <v>1.9</v>
      </c>
      <c r="X9">
        <v>2.4</v>
      </c>
      <c r="Y9">
        <v>2</v>
      </c>
      <c r="Z9">
        <v>2</v>
      </c>
      <c r="AA9">
        <v>2.1</v>
      </c>
      <c r="AB9">
        <v>1.8</v>
      </c>
      <c r="AC9">
        <v>1.4</v>
      </c>
      <c r="AD9">
        <v>5.3</v>
      </c>
      <c r="AE9">
        <v>-0.6</v>
      </c>
      <c r="AF9">
        <v>3.4</v>
      </c>
      <c r="AG9">
        <v>3.5</v>
      </c>
      <c r="AH9">
        <v>3.4</v>
      </c>
      <c r="AI9">
        <v>1.1000000000000001</v>
      </c>
      <c r="AJ9">
        <v>1.1000000000000001</v>
      </c>
      <c r="AK9">
        <v>1</v>
      </c>
      <c r="AL9">
        <v>-0.5</v>
      </c>
      <c r="AM9">
        <v>2.4</v>
      </c>
      <c r="AN9">
        <v>1.2</v>
      </c>
      <c r="AO9">
        <v>1.4</v>
      </c>
      <c r="AP9">
        <v>1.1000000000000001</v>
      </c>
      <c r="AQ9">
        <v>1.6</v>
      </c>
      <c r="AR9">
        <v>7.5</v>
      </c>
      <c r="AS9">
        <v>5.0999999999999996</v>
      </c>
      <c r="AT9">
        <v>6.2</v>
      </c>
      <c r="AU9">
        <v>1.4</v>
      </c>
      <c r="AV9" s="205">
        <f t="shared" si="0"/>
        <v>4.3599999999999994</v>
      </c>
    </row>
    <row r="10" spans="1:48" x14ac:dyDescent="0.25">
      <c r="A10" t="s">
        <v>27</v>
      </c>
      <c r="B10" t="s">
        <v>746</v>
      </c>
      <c r="C10" t="s">
        <v>746</v>
      </c>
      <c r="D10" t="s">
        <v>746</v>
      </c>
      <c r="E10" t="s">
        <v>746</v>
      </c>
      <c r="F10" t="s">
        <v>746</v>
      </c>
      <c r="G10" t="s">
        <v>746</v>
      </c>
      <c r="H10" t="s">
        <v>746</v>
      </c>
      <c r="I10" t="s">
        <v>746</v>
      </c>
      <c r="J10" t="s">
        <v>746</v>
      </c>
      <c r="K10" t="s">
        <v>746</v>
      </c>
      <c r="L10" t="s">
        <v>746</v>
      </c>
      <c r="M10" t="s">
        <v>746</v>
      </c>
      <c r="N10" t="s">
        <v>746</v>
      </c>
      <c r="O10" t="s">
        <v>746</v>
      </c>
      <c r="P10" t="s">
        <v>746</v>
      </c>
      <c r="Q10" t="s">
        <v>746</v>
      </c>
      <c r="R10" t="s">
        <v>746</v>
      </c>
      <c r="S10" t="s">
        <v>746</v>
      </c>
      <c r="T10">
        <v>0.9</v>
      </c>
      <c r="U10">
        <v>-1.2</v>
      </c>
      <c r="V10">
        <v>-0.9</v>
      </c>
      <c r="W10">
        <v>-1.1000000000000001</v>
      </c>
      <c r="X10">
        <v>25.9</v>
      </c>
      <c r="Y10">
        <v>13.4</v>
      </c>
      <c r="Z10">
        <v>4.4000000000000004</v>
      </c>
      <c r="AA10">
        <v>9.6</v>
      </c>
      <c r="AB10">
        <v>10.9</v>
      </c>
      <c r="AC10">
        <v>8.8000000000000007</v>
      </c>
      <c r="AD10">
        <v>8.6</v>
      </c>
      <c r="AE10">
        <v>6.3</v>
      </c>
      <c r="AF10">
        <v>10.5</v>
      </c>
      <c r="AG10">
        <v>9.8000000000000007</v>
      </c>
      <c r="AH10">
        <v>10</v>
      </c>
      <c r="AI10">
        <v>10.6</v>
      </c>
      <c r="AJ10" t="s">
        <v>746</v>
      </c>
      <c r="AK10" t="s">
        <v>746</v>
      </c>
      <c r="AL10" t="s">
        <v>746</v>
      </c>
      <c r="AM10">
        <v>25.7</v>
      </c>
      <c r="AN10">
        <v>34.299999999999997</v>
      </c>
      <c r="AO10">
        <v>53.5</v>
      </c>
      <c r="AP10">
        <v>42</v>
      </c>
      <c r="AQ10">
        <v>48.4</v>
      </c>
      <c r="AR10">
        <v>72.400000000000006</v>
      </c>
      <c r="AS10">
        <v>133.5</v>
      </c>
      <c r="AT10">
        <v>219.9</v>
      </c>
      <c r="AU10">
        <v>41.9</v>
      </c>
      <c r="AV10" s="205">
        <f t="shared" si="0"/>
        <v>103.22</v>
      </c>
    </row>
    <row r="11" spans="1:48" x14ac:dyDescent="0.25">
      <c r="A11" t="s">
        <v>28</v>
      </c>
      <c r="B11" t="s">
        <v>746</v>
      </c>
      <c r="C11" t="s">
        <v>746</v>
      </c>
      <c r="D11" t="s">
        <v>746</v>
      </c>
      <c r="E11" t="s">
        <v>746</v>
      </c>
      <c r="F11" t="s">
        <v>746</v>
      </c>
      <c r="G11" t="s">
        <v>746</v>
      </c>
      <c r="H11" t="s">
        <v>746</v>
      </c>
      <c r="I11" t="s">
        <v>746</v>
      </c>
      <c r="J11" t="s">
        <v>746</v>
      </c>
      <c r="K11" t="s">
        <v>746</v>
      </c>
      <c r="L11" t="s">
        <v>746</v>
      </c>
      <c r="M11" t="s">
        <v>746</v>
      </c>
      <c r="N11" t="s">
        <v>746</v>
      </c>
      <c r="O11">
        <v>3731.8</v>
      </c>
      <c r="P11">
        <v>5273.4</v>
      </c>
      <c r="Q11">
        <v>176.7</v>
      </c>
      <c r="R11">
        <v>18.7</v>
      </c>
      <c r="S11">
        <v>14</v>
      </c>
      <c r="T11">
        <v>8.6999999999999993</v>
      </c>
      <c r="U11">
        <v>0.7</v>
      </c>
      <c r="V11">
        <v>-0.8</v>
      </c>
      <c r="W11">
        <v>3.2</v>
      </c>
      <c r="X11">
        <v>1</v>
      </c>
      <c r="Y11">
        <v>4.7</v>
      </c>
      <c r="Z11">
        <v>6.9</v>
      </c>
      <c r="AA11">
        <v>0.6</v>
      </c>
      <c r="AB11">
        <v>2.9</v>
      </c>
      <c r="AC11">
        <v>4.4000000000000004</v>
      </c>
      <c r="AD11">
        <v>9.1</v>
      </c>
      <c r="AE11">
        <v>3.5</v>
      </c>
      <c r="AF11">
        <v>8.1999999999999993</v>
      </c>
      <c r="AG11">
        <v>7.5</v>
      </c>
      <c r="AH11">
        <v>2.5</v>
      </c>
      <c r="AI11">
        <v>5.7</v>
      </c>
      <c r="AJ11">
        <v>3</v>
      </c>
      <c r="AK11">
        <v>3.7</v>
      </c>
      <c r="AL11">
        <v>-1.4</v>
      </c>
      <c r="AM11">
        <v>1</v>
      </c>
      <c r="AN11">
        <v>2.5</v>
      </c>
      <c r="AO11">
        <v>1.4</v>
      </c>
      <c r="AP11">
        <v>1.2</v>
      </c>
      <c r="AQ11">
        <v>7.2</v>
      </c>
      <c r="AR11">
        <v>8.6</v>
      </c>
      <c r="AS11">
        <v>2</v>
      </c>
      <c r="AT11">
        <v>0.3</v>
      </c>
      <c r="AU11">
        <v>3.3</v>
      </c>
      <c r="AV11" s="205">
        <f t="shared" si="0"/>
        <v>4.28</v>
      </c>
    </row>
    <row r="12" spans="1:48" x14ac:dyDescent="0.25">
      <c r="A12" t="s">
        <v>749</v>
      </c>
      <c r="B12" t="s">
        <v>746</v>
      </c>
      <c r="C12" t="s">
        <v>746</v>
      </c>
      <c r="D12" t="s">
        <v>746</v>
      </c>
      <c r="E12" t="s">
        <v>746</v>
      </c>
      <c r="F12" t="s">
        <v>746</v>
      </c>
      <c r="G12" t="s">
        <v>746</v>
      </c>
      <c r="H12" t="s">
        <v>746</v>
      </c>
      <c r="I12">
        <v>3.6</v>
      </c>
      <c r="J12">
        <v>3.1</v>
      </c>
      <c r="K12">
        <v>4</v>
      </c>
      <c r="L12">
        <v>5.8</v>
      </c>
      <c r="M12">
        <v>5.6</v>
      </c>
      <c r="N12">
        <v>3.9</v>
      </c>
      <c r="O12">
        <v>5.2</v>
      </c>
      <c r="P12">
        <v>6.3</v>
      </c>
      <c r="Q12">
        <v>3.4</v>
      </c>
      <c r="R12">
        <v>3.2</v>
      </c>
      <c r="S12">
        <v>3</v>
      </c>
      <c r="T12">
        <v>1.9</v>
      </c>
      <c r="U12">
        <v>2.2999999999999998</v>
      </c>
      <c r="V12">
        <v>4.0999999999999996</v>
      </c>
      <c r="W12">
        <v>2.9</v>
      </c>
      <c r="X12">
        <v>3.3</v>
      </c>
      <c r="Y12">
        <v>3.7</v>
      </c>
      <c r="Z12">
        <v>2.5</v>
      </c>
      <c r="AA12">
        <v>3.4</v>
      </c>
      <c r="AB12">
        <v>3.6</v>
      </c>
      <c r="AC12">
        <v>5.4</v>
      </c>
      <c r="AD12">
        <v>9</v>
      </c>
      <c r="AE12">
        <v>-2.1</v>
      </c>
      <c r="AF12">
        <v>2.1</v>
      </c>
      <c r="AG12">
        <v>4.4000000000000004</v>
      </c>
      <c r="AH12">
        <v>0.6</v>
      </c>
      <c r="AI12">
        <v>-2.4</v>
      </c>
      <c r="AJ12">
        <v>0.4</v>
      </c>
      <c r="AK12">
        <v>0.5</v>
      </c>
      <c r="AL12">
        <v>-0.9</v>
      </c>
      <c r="AM12">
        <v>-1</v>
      </c>
      <c r="AN12">
        <v>3.6</v>
      </c>
      <c r="AO12">
        <v>3.9</v>
      </c>
      <c r="AP12">
        <v>-1.3</v>
      </c>
      <c r="AQ12">
        <v>0.7</v>
      </c>
      <c r="AR12">
        <v>5.5</v>
      </c>
      <c r="AS12">
        <v>3.4</v>
      </c>
      <c r="AT12">
        <v>1.7</v>
      </c>
      <c r="AU12">
        <v>0.1</v>
      </c>
      <c r="AV12" s="205">
        <f t="shared" si="0"/>
        <v>2.2799999999999998</v>
      </c>
    </row>
    <row r="13" spans="1:48" x14ac:dyDescent="0.25">
      <c r="A13" t="s">
        <v>31</v>
      </c>
      <c r="B13">
        <v>10.1</v>
      </c>
      <c r="C13">
        <v>9.5</v>
      </c>
      <c r="D13">
        <v>11.4</v>
      </c>
      <c r="E13">
        <v>10</v>
      </c>
      <c r="F13">
        <v>4</v>
      </c>
      <c r="G13">
        <v>6.7</v>
      </c>
      <c r="H13">
        <v>9.1</v>
      </c>
      <c r="I13">
        <v>8.5</v>
      </c>
      <c r="J13">
        <v>7.3</v>
      </c>
      <c r="K13">
        <v>7.6</v>
      </c>
      <c r="L13">
        <v>7.2</v>
      </c>
      <c r="M13">
        <v>3.3</v>
      </c>
      <c r="N13">
        <v>1</v>
      </c>
      <c r="O13">
        <v>1.8</v>
      </c>
      <c r="P13">
        <v>1.9</v>
      </c>
      <c r="Q13">
        <v>4.5999999999999996</v>
      </c>
      <c r="R13">
        <v>2.7</v>
      </c>
      <c r="S13">
        <v>0.2</v>
      </c>
      <c r="T13">
        <v>0.9</v>
      </c>
      <c r="U13">
        <v>1.4</v>
      </c>
      <c r="V13">
        <v>4.5</v>
      </c>
      <c r="W13">
        <v>4.4000000000000004</v>
      </c>
      <c r="X13">
        <v>3</v>
      </c>
      <c r="Y13">
        <v>2.7</v>
      </c>
      <c r="Z13">
        <v>2.2999999999999998</v>
      </c>
      <c r="AA13">
        <v>2.7</v>
      </c>
      <c r="AB13">
        <v>3.6</v>
      </c>
      <c r="AC13">
        <v>2.4</v>
      </c>
      <c r="AD13">
        <v>4.3</v>
      </c>
      <c r="AE13">
        <v>1.8</v>
      </c>
      <c r="AF13">
        <v>2.9</v>
      </c>
      <c r="AG13">
        <v>3.4</v>
      </c>
      <c r="AH13">
        <v>1.7</v>
      </c>
      <c r="AI13">
        <v>2.5</v>
      </c>
      <c r="AJ13">
        <v>2.5</v>
      </c>
      <c r="AK13">
        <v>1.5</v>
      </c>
      <c r="AL13">
        <v>1.3</v>
      </c>
      <c r="AM13">
        <v>2</v>
      </c>
      <c r="AN13">
        <v>1.9</v>
      </c>
      <c r="AO13">
        <v>1.6</v>
      </c>
      <c r="AP13">
        <v>0.9</v>
      </c>
      <c r="AQ13">
        <v>2.8</v>
      </c>
      <c r="AR13">
        <v>6.6</v>
      </c>
      <c r="AS13">
        <v>5.6</v>
      </c>
      <c r="AT13">
        <v>3.2</v>
      </c>
      <c r="AU13">
        <v>2.9</v>
      </c>
      <c r="AV13" s="205">
        <f t="shared" si="0"/>
        <v>4.22</v>
      </c>
    </row>
    <row r="14" spans="1:48" x14ac:dyDescent="0.25">
      <c r="A14" t="s">
        <v>32</v>
      </c>
      <c r="B14">
        <v>6.3</v>
      </c>
      <c r="C14">
        <v>6.8</v>
      </c>
      <c r="D14">
        <v>5.4</v>
      </c>
      <c r="E14">
        <v>3.3</v>
      </c>
      <c r="F14">
        <v>5.7</v>
      </c>
      <c r="G14">
        <v>3.2</v>
      </c>
      <c r="H14">
        <v>1.7</v>
      </c>
      <c r="I14">
        <v>1.4</v>
      </c>
      <c r="J14">
        <v>1.9</v>
      </c>
      <c r="K14">
        <v>2.2000000000000002</v>
      </c>
      <c r="L14">
        <v>2.9</v>
      </c>
      <c r="M14">
        <v>3.1</v>
      </c>
      <c r="N14">
        <v>3.4</v>
      </c>
      <c r="O14">
        <v>3.2</v>
      </c>
      <c r="P14">
        <v>2.7</v>
      </c>
      <c r="Q14">
        <v>1.6</v>
      </c>
      <c r="R14">
        <v>1.7</v>
      </c>
      <c r="S14">
        <v>1.2</v>
      </c>
      <c r="T14">
        <v>0.8</v>
      </c>
      <c r="U14">
        <v>0.5</v>
      </c>
      <c r="V14">
        <v>2</v>
      </c>
      <c r="W14">
        <v>2.2999999999999998</v>
      </c>
      <c r="X14">
        <v>1.7</v>
      </c>
      <c r="Y14">
        <v>1.3</v>
      </c>
      <c r="Z14">
        <v>2</v>
      </c>
      <c r="AA14">
        <v>2.1</v>
      </c>
      <c r="AB14">
        <v>1.7</v>
      </c>
      <c r="AC14">
        <v>2.2000000000000002</v>
      </c>
      <c r="AD14">
        <v>3.2</v>
      </c>
      <c r="AE14">
        <v>0.4</v>
      </c>
      <c r="AF14">
        <v>1.7</v>
      </c>
      <c r="AG14">
        <v>3.5</v>
      </c>
      <c r="AH14">
        <v>2.6</v>
      </c>
      <c r="AI14">
        <v>2.1</v>
      </c>
      <c r="AJ14">
        <v>1.5</v>
      </c>
      <c r="AK14">
        <v>0.8</v>
      </c>
      <c r="AL14">
        <v>1</v>
      </c>
      <c r="AM14">
        <v>2.2000000000000002</v>
      </c>
      <c r="AN14">
        <v>2.1</v>
      </c>
      <c r="AO14">
        <v>1.5</v>
      </c>
      <c r="AP14">
        <v>1.4</v>
      </c>
      <c r="AQ14">
        <v>2.8</v>
      </c>
      <c r="AR14">
        <v>8.6</v>
      </c>
      <c r="AS14">
        <v>7.7</v>
      </c>
      <c r="AT14">
        <v>2.9</v>
      </c>
      <c r="AU14">
        <v>3.6</v>
      </c>
      <c r="AV14" s="205">
        <f t="shared" si="0"/>
        <v>5.1199999999999992</v>
      </c>
    </row>
    <row r="15" spans="1:48" x14ac:dyDescent="0.25">
      <c r="A15" t="s">
        <v>33</v>
      </c>
      <c r="B15" t="s">
        <v>746</v>
      </c>
      <c r="C15" t="s">
        <v>746</v>
      </c>
      <c r="D15" t="s">
        <v>746</v>
      </c>
      <c r="E15" t="s">
        <v>746</v>
      </c>
      <c r="F15" t="s">
        <v>746</v>
      </c>
      <c r="G15" t="s">
        <v>746</v>
      </c>
      <c r="H15" t="s">
        <v>746</v>
      </c>
      <c r="I15" t="s">
        <v>746</v>
      </c>
      <c r="J15" t="s">
        <v>746</v>
      </c>
      <c r="K15" t="s">
        <v>746</v>
      </c>
      <c r="L15" t="s">
        <v>746</v>
      </c>
      <c r="M15" t="s">
        <v>746</v>
      </c>
      <c r="N15" t="s">
        <v>746</v>
      </c>
      <c r="O15">
        <v>1129.7</v>
      </c>
      <c r="P15">
        <v>1664</v>
      </c>
      <c r="Q15">
        <v>411.8</v>
      </c>
      <c r="R15">
        <v>19.8</v>
      </c>
      <c r="S15">
        <v>3.7</v>
      </c>
      <c r="T15">
        <v>-0.8</v>
      </c>
      <c r="U15">
        <v>-8.5</v>
      </c>
      <c r="V15">
        <v>1.8</v>
      </c>
      <c r="W15">
        <v>1.8</v>
      </c>
      <c r="X15">
        <v>2.7</v>
      </c>
      <c r="Y15">
        <v>2.1</v>
      </c>
      <c r="Z15">
        <v>6.7</v>
      </c>
      <c r="AA15">
        <v>9.6</v>
      </c>
      <c r="AB15">
        <v>8.3000000000000007</v>
      </c>
      <c r="AC15">
        <v>16.7</v>
      </c>
      <c r="AD15">
        <v>20.8</v>
      </c>
      <c r="AE15">
        <v>1.5</v>
      </c>
      <c r="AF15">
        <v>5.7</v>
      </c>
      <c r="AG15">
        <v>7.9</v>
      </c>
      <c r="AH15">
        <v>1.1000000000000001</v>
      </c>
      <c r="AI15">
        <v>2.4</v>
      </c>
      <c r="AJ15">
        <v>1.4</v>
      </c>
      <c r="AK15">
        <v>4</v>
      </c>
      <c r="AL15">
        <v>12.4</v>
      </c>
      <c r="AM15">
        <v>12.9</v>
      </c>
      <c r="AN15">
        <v>2.2999999999999998</v>
      </c>
      <c r="AO15">
        <v>2.6</v>
      </c>
      <c r="AP15">
        <v>2.8</v>
      </c>
      <c r="AQ15">
        <v>6.7</v>
      </c>
      <c r="AR15">
        <v>13.9</v>
      </c>
      <c r="AS15">
        <v>8.8000000000000007</v>
      </c>
      <c r="AT15">
        <v>2.2000000000000002</v>
      </c>
      <c r="AU15">
        <v>5.6</v>
      </c>
      <c r="AV15" s="205">
        <f t="shared" si="0"/>
        <v>7.44</v>
      </c>
    </row>
    <row r="16" spans="1:48" x14ac:dyDescent="0.25">
      <c r="A16" t="s">
        <v>34</v>
      </c>
      <c r="B16">
        <v>12.2</v>
      </c>
      <c r="C16">
        <v>11</v>
      </c>
      <c r="D16">
        <v>6.1</v>
      </c>
      <c r="E16">
        <v>4</v>
      </c>
      <c r="F16">
        <v>4</v>
      </c>
      <c r="G16">
        <v>4.5999999999999996</v>
      </c>
      <c r="H16">
        <v>5.4</v>
      </c>
      <c r="I16">
        <v>6</v>
      </c>
      <c r="J16">
        <v>4.0999999999999996</v>
      </c>
      <c r="K16">
        <v>5.4</v>
      </c>
      <c r="L16">
        <v>4.5999999999999996</v>
      </c>
      <c r="M16">
        <v>7.3</v>
      </c>
      <c r="N16">
        <v>5.6</v>
      </c>
      <c r="O16">
        <v>2.7</v>
      </c>
      <c r="P16">
        <v>1.4</v>
      </c>
      <c r="Q16">
        <v>2</v>
      </c>
      <c r="R16">
        <v>1.3</v>
      </c>
      <c r="S16">
        <v>0.6</v>
      </c>
      <c r="T16">
        <v>1.2</v>
      </c>
      <c r="U16">
        <v>1.1000000000000001</v>
      </c>
      <c r="V16">
        <v>1.7</v>
      </c>
      <c r="W16">
        <v>2.4</v>
      </c>
      <c r="X16">
        <v>1.5</v>
      </c>
      <c r="Y16">
        <v>3.7</v>
      </c>
      <c r="Z16">
        <v>1.2</v>
      </c>
      <c r="AA16">
        <v>1.8</v>
      </c>
      <c r="AB16">
        <v>2</v>
      </c>
      <c r="AC16">
        <v>2.4</v>
      </c>
      <c r="AD16">
        <v>4.4000000000000004</v>
      </c>
      <c r="AE16">
        <v>1.7</v>
      </c>
      <c r="AF16">
        <v>1.6</v>
      </c>
      <c r="AG16">
        <v>3.1</v>
      </c>
      <c r="AH16">
        <v>1.9</v>
      </c>
      <c r="AI16">
        <v>0.4</v>
      </c>
      <c r="AJ16">
        <v>1.2</v>
      </c>
      <c r="AK16">
        <v>1.9</v>
      </c>
      <c r="AL16">
        <v>-0.3</v>
      </c>
      <c r="AM16">
        <v>1.5</v>
      </c>
      <c r="AN16">
        <v>2.2999999999999998</v>
      </c>
      <c r="AO16">
        <v>2.5</v>
      </c>
      <c r="AP16">
        <v>0</v>
      </c>
      <c r="AQ16">
        <v>2.9</v>
      </c>
      <c r="AR16">
        <v>5.6</v>
      </c>
      <c r="AS16">
        <v>3.1</v>
      </c>
      <c r="AT16">
        <v>0.4</v>
      </c>
      <c r="AU16">
        <v>0.6</v>
      </c>
      <c r="AV16" s="205">
        <f t="shared" si="0"/>
        <v>2.52</v>
      </c>
    </row>
    <row r="17" spans="1:48" x14ac:dyDescent="0.25">
      <c r="A17" t="s">
        <v>36</v>
      </c>
      <c r="B17">
        <v>3.8</v>
      </c>
      <c r="C17">
        <v>11.4</v>
      </c>
      <c r="D17">
        <v>8.6999999999999993</v>
      </c>
      <c r="E17">
        <v>3.2</v>
      </c>
      <c r="F17">
        <v>0</v>
      </c>
      <c r="G17">
        <v>-2.4</v>
      </c>
      <c r="H17">
        <v>-2.5</v>
      </c>
      <c r="I17">
        <v>-1.7</v>
      </c>
      <c r="J17">
        <v>0.2</v>
      </c>
      <c r="K17">
        <v>1.2</v>
      </c>
      <c r="L17">
        <v>1.3</v>
      </c>
      <c r="M17">
        <v>0.9</v>
      </c>
      <c r="N17">
        <v>-0.3</v>
      </c>
      <c r="O17">
        <v>2.6</v>
      </c>
      <c r="P17">
        <v>4</v>
      </c>
      <c r="Q17">
        <v>3.1</v>
      </c>
      <c r="R17">
        <v>-0.2</v>
      </c>
      <c r="S17">
        <v>4.5999999999999996</v>
      </c>
      <c r="T17">
        <v>-0.4</v>
      </c>
      <c r="U17">
        <v>-1.3</v>
      </c>
      <c r="V17">
        <v>-0.7</v>
      </c>
      <c r="W17">
        <v>-1.2</v>
      </c>
      <c r="X17">
        <v>-0.5</v>
      </c>
      <c r="Y17">
        <v>1.7</v>
      </c>
      <c r="Z17">
        <v>2.2000000000000002</v>
      </c>
      <c r="AA17">
        <v>2.6</v>
      </c>
      <c r="AB17">
        <v>2</v>
      </c>
      <c r="AC17">
        <v>3.3</v>
      </c>
      <c r="AD17">
        <v>3.5</v>
      </c>
      <c r="AE17">
        <v>2.8</v>
      </c>
      <c r="AF17">
        <v>2</v>
      </c>
      <c r="AG17">
        <v>-0.3</v>
      </c>
      <c r="AH17">
        <v>2.8</v>
      </c>
      <c r="AI17">
        <v>3.3</v>
      </c>
      <c r="AJ17">
        <v>2.6</v>
      </c>
      <c r="AK17">
        <v>1.8</v>
      </c>
      <c r="AL17">
        <v>2.8</v>
      </c>
      <c r="AM17">
        <v>1.4</v>
      </c>
      <c r="AN17">
        <v>2.1</v>
      </c>
      <c r="AO17">
        <v>1</v>
      </c>
      <c r="AP17">
        <v>-2.2999999999999998</v>
      </c>
      <c r="AQ17">
        <v>-0.6</v>
      </c>
      <c r="AR17">
        <v>3.6</v>
      </c>
      <c r="AS17">
        <v>0.1</v>
      </c>
      <c r="AT17">
        <v>0.9</v>
      </c>
      <c r="AU17">
        <v>-0.1</v>
      </c>
      <c r="AV17" s="205">
        <f t="shared" si="0"/>
        <v>0.78</v>
      </c>
    </row>
    <row r="18" spans="1:48" x14ac:dyDescent="0.25">
      <c r="A18" t="s">
        <v>37</v>
      </c>
      <c r="B18">
        <v>7.7</v>
      </c>
      <c r="C18">
        <v>14.9</v>
      </c>
      <c r="D18">
        <v>13.7</v>
      </c>
      <c r="E18">
        <v>11.1</v>
      </c>
      <c r="F18">
        <v>10</v>
      </c>
      <c r="G18">
        <v>10.4</v>
      </c>
      <c r="H18">
        <v>10.3</v>
      </c>
      <c r="I18">
        <v>10.5</v>
      </c>
      <c r="J18">
        <v>10.199999999999999</v>
      </c>
      <c r="K18">
        <v>9.1999999999999993</v>
      </c>
      <c r="L18">
        <v>9.6999999999999993</v>
      </c>
      <c r="M18">
        <v>9.3000000000000007</v>
      </c>
      <c r="N18">
        <v>5.9</v>
      </c>
      <c r="O18">
        <v>3.3</v>
      </c>
      <c r="P18">
        <v>4.5999999999999996</v>
      </c>
      <c r="Q18">
        <v>8.9</v>
      </c>
      <c r="R18">
        <v>6.8</v>
      </c>
      <c r="S18">
        <v>2.7</v>
      </c>
      <c r="T18">
        <v>6.7</v>
      </c>
      <c r="U18">
        <v>8.9</v>
      </c>
      <c r="V18">
        <v>3.6</v>
      </c>
      <c r="W18">
        <v>1.8</v>
      </c>
      <c r="X18">
        <v>2.4</v>
      </c>
      <c r="Y18">
        <v>3.9</v>
      </c>
      <c r="Z18">
        <v>8.1</v>
      </c>
      <c r="AA18">
        <v>6.5</v>
      </c>
      <c r="AB18">
        <v>7.2</v>
      </c>
      <c r="AC18">
        <v>7.2</v>
      </c>
      <c r="AD18">
        <v>9.9</v>
      </c>
      <c r="AE18">
        <v>6.7</v>
      </c>
      <c r="AF18">
        <v>7.3</v>
      </c>
      <c r="AG18">
        <v>8.8000000000000007</v>
      </c>
      <c r="AH18">
        <v>8.9</v>
      </c>
      <c r="AI18">
        <v>6.8</v>
      </c>
      <c r="AJ18">
        <v>7.3</v>
      </c>
      <c r="AK18">
        <v>6.4</v>
      </c>
      <c r="AL18">
        <v>5.9</v>
      </c>
      <c r="AM18">
        <v>5.4</v>
      </c>
      <c r="AN18">
        <v>5.8</v>
      </c>
      <c r="AO18">
        <v>5.5</v>
      </c>
      <c r="AP18">
        <v>5.6</v>
      </c>
      <c r="AQ18">
        <v>5.6</v>
      </c>
      <c r="AR18">
        <v>6.1</v>
      </c>
      <c r="AS18">
        <v>9</v>
      </c>
      <c r="AT18">
        <v>9.6999999999999993</v>
      </c>
      <c r="AU18">
        <v>10</v>
      </c>
      <c r="AV18" s="205">
        <f t="shared" si="0"/>
        <v>8.08</v>
      </c>
    </row>
    <row r="19" spans="1:48" x14ac:dyDescent="0.25">
      <c r="A19" t="s">
        <v>38</v>
      </c>
      <c r="B19">
        <v>18.5</v>
      </c>
      <c r="C19">
        <v>14.6</v>
      </c>
      <c r="D19">
        <v>10.3</v>
      </c>
      <c r="E19">
        <v>5.3</v>
      </c>
      <c r="F19">
        <v>4.5999999999999996</v>
      </c>
      <c r="G19">
        <v>4.9000000000000004</v>
      </c>
      <c r="H19">
        <v>0.2</v>
      </c>
      <c r="I19">
        <v>3.6</v>
      </c>
      <c r="J19">
        <v>4.7</v>
      </c>
      <c r="K19">
        <v>6.3</v>
      </c>
      <c r="L19">
        <v>3</v>
      </c>
      <c r="M19">
        <v>6.3</v>
      </c>
      <c r="N19">
        <v>6</v>
      </c>
      <c r="O19">
        <v>1.2</v>
      </c>
      <c r="P19">
        <v>0.7</v>
      </c>
      <c r="Q19">
        <v>2.8</v>
      </c>
      <c r="R19">
        <v>2.4</v>
      </c>
      <c r="S19">
        <v>7.7</v>
      </c>
      <c r="T19">
        <v>-1.3</v>
      </c>
      <c r="U19">
        <v>1.6</v>
      </c>
      <c r="V19">
        <v>2.4</v>
      </c>
      <c r="W19">
        <v>2.6</v>
      </c>
      <c r="X19">
        <v>0.2</v>
      </c>
      <c r="Y19">
        <v>1.6</v>
      </c>
      <c r="Z19">
        <v>1.4</v>
      </c>
      <c r="AA19">
        <v>6.1</v>
      </c>
      <c r="AB19">
        <v>7.3</v>
      </c>
      <c r="AC19">
        <v>4</v>
      </c>
      <c r="AD19">
        <v>8.1</v>
      </c>
      <c r="AE19">
        <v>3.6</v>
      </c>
      <c r="AF19">
        <v>5.8</v>
      </c>
      <c r="AG19">
        <v>9.4</v>
      </c>
      <c r="AH19">
        <v>4.5</v>
      </c>
      <c r="AI19">
        <v>1.8</v>
      </c>
      <c r="AJ19">
        <v>1.8</v>
      </c>
      <c r="AK19">
        <v>-1.1000000000000001</v>
      </c>
      <c r="AL19">
        <v>1.3</v>
      </c>
      <c r="AM19">
        <v>4.7</v>
      </c>
      <c r="AN19">
        <v>3.1</v>
      </c>
      <c r="AO19">
        <v>1.7</v>
      </c>
      <c r="AP19">
        <v>0.6</v>
      </c>
      <c r="AQ19">
        <v>1.5</v>
      </c>
      <c r="AR19">
        <v>4.4000000000000004</v>
      </c>
      <c r="AS19">
        <v>3.2</v>
      </c>
      <c r="AT19">
        <v>1.5</v>
      </c>
      <c r="AU19">
        <v>0.8</v>
      </c>
      <c r="AV19" s="205">
        <f t="shared" si="0"/>
        <v>2.2800000000000002</v>
      </c>
    </row>
    <row r="20" spans="1:48" x14ac:dyDescent="0.25">
      <c r="A20" t="s">
        <v>39</v>
      </c>
      <c r="B20" t="s">
        <v>746</v>
      </c>
      <c r="C20" t="s">
        <v>746</v>
      </c>
      <c r="D20" t="s">
        <v>746</v>
      </c>
      <c r="E20" t="s">
        <v>746</v>
      </c>
      <c r="F20" t="s">
        <v>746</v>
      </c>
      <c r="G20" t="s">
        <v>746</v>
      </c>
      <c r="H20" t="s">
        <v>746</v>
      </c>
      <c r="I20" t="s">
        <v>746</v>
      </c>
      <c r="J20" t="s">
        <v>746</v>
      </c>
      <c r="K20" t="s">
        <v>746</v>
      </c>
      <c r="L20" t="s">
        <v>746</v>
      </c>
      <c r="M20">
        <v>83.5</v>
      </c>
      <c r="N20">
        <v>970.3</v>
      </c>
      <c r="O20">
        <v>1190.3</v>
      </c>
      <c r="P20">
        <v>2220.9</v>
      </c>
      <c r="Q20">
        <v>709.3</v>
      </c>
      <c r="R20">
        <v>52.7</v>
      </c>
      <c r="S20">
        <v>63.8</v>
      </c>
      <c r="T20">
        <v>73</v>
      </c>
      <c r="U20">
        <v>293.7</v>
      </c>
      <c r="V20">
        <v>168.6</v>
      </c>
      <c r="W20">
        <v>61.1</v>
      </c>
      <c r="X20">
        <v>42.6</v>
      </c>
      <c r="Y20">
        <v>28.4</v>
      </c>
      <c r="Z20">
        <v>18.100000000000001</v>
      </c>
      <c r="AA20">
        <v>10.3</v>
      </c>
      <c r="AB20">
        <v>7</v>
      </c>
      <c r="AC20">
        <v>8.4</v>
      </c>
      <c r="AD20">
        <v>14.8</v>
      </c>
      <c r="AE20">
        <v>13</v>
      </c>
      <c r="AF20">
        <v>7.7</v>
      </c>
      <c r="AG20">
        <v>53.2</v>
      </c>
      <c r="AH20">
        <v>59.2</v>
      </c>
      <c r="AI20">
        <v>18.3</v>
      </c>
      <c r="AJ20">
        <v>18.100000000000001</v>
      </c>
      <c r="AK20">
        <v>13.5</v>
      </c>
      <c r="AL20">
        <v>11.8</v>
      </c>
      <c r="AM20">
        <v>6</v>
      </c>
      <c r="AN20">
        <v>4.9000000000000004</v>
      </c>
      <c r="AO20">
        <v>5.6</v>
      </c>
      <c r="AP20">
        <v>5.5</v>
      </c>
      <c r="AQ20">
        <v>9.5</v>
      </c>
      <c r="AR20">
        <v>15.2</v>
      </c>
      <c r="AS20">
        <v>5</v>
      </c>
      <c r="AT20">
        <v>5.7</v>
      </c>
      <c r="AU20">
        <v>6.6</v>
      </c>
      <c r="AV20" s="205">
        <f t="shared" si="0"/>
        <v>8.4</v>
      </c>
    </row>
    <row r="21" spans="1:48" x14ac:dyDescent="0.25">
      <c r="A21" t="s">
        <v>40</v>
      </c>
      <c r="B21">
        <v>6.7</v>
      </c>
      <c r="C21">
        <v>7.6</v>
      </c>
      <c r="D21">
        <v>8.6999999999999993</v>
      </c>
      <c r="E21">
        <v>7.7</v>
      </c>
      <c r="F21">
        <v>6.3</v>
      </c>
      <c r="G21">
        <v>4.9000000000000004</v>
      </c>
      <c r="H21">
        <v>1.3</v>
      </c>
      <c r="I21">
        <v>1.6</v>
      </c>
      <c r="J21">
        <v>1.2</v>
      </c>
      <c r="K21">
        <v>3.1</v>
      </c>
      <c r="L21">
        <v>3.5</v>
      </c>
      <c r="M21">
        <v>3.2</v>
      </c>
      <c r="N21">
        <v>2.2999999999999998</v>
      </c>
      <c r="O21">
        <v>2.5</v>
      </c>
      <c r="P21">
        <v>2.4</v>
      </c>
      <c r="Q21">
        <v>1.3</v>
      </c>
      <c r="R21">
        <v>1.8</v>
      </c>
      <c r="S21">
        <v>1.5</v>
      </c>
      <c r="T21">
        <v>0.9</v>
      </c>
      <c r="U21">
        <v>1.1000000000000001</v>
      </c>
      <c r="V21">
        <v>2.7</v>
      </c>
      <c r="W21">
        <v>2.4</v>
      </c>
      <c r="X21">
        <v>1.5</v>
      </c>
      <c r="Y21">
        <v>1.5</v>
      </c>
      <c r="Z21">
        <v>1.9</v>
      </c>
      <c r="AA21">
        <v>2.5</v>
      </c>
      <c r="AB21">
        <v>2.2999999999999998</v>
      </c>
      <c r="AC21">
        <v>1.8</v>
      </c>
      <c r="AD21">
        <v>4.5</v>
      </c>
      <c r="AE21">
        <v>0</v>
      </c>
      <c r="AF21">
        <v>2.2999999999999998</v>
      </c>
      <c r="AG21">
        <v>3.4</v>
      </c>
      <c r="AH21">
        <v>2.6</v>
      </c>
      <c r="AI21">
        <v>1.2</v>
      </c>
      <c r="AJ21">
        <v>0.5</v>
      </c>
      <c r="AK21">
        <v>0.6</v>
      </c>
      <c r="AL21">
        <v>1.8</v>
      </c>
      <c r="AM21">
        <v>2.2000000000000002</v>
      </c>
      <c r="AN21">
        <v>2.2999999999999998</v>
      </c>
      <c r="AO21">
        <v>1.2</v>
      </c>
      <c r="AP21">
        <v>0.4</v>
      </c>
      <c r="AQ21">
        <v>3.2</v>
      </c>
      <c r="AR21">
        <v>10.3</v>
      </c>
      <c r="AS21">
        <v>2.2999999999999998</v>
      </c>
      <c r="AT21">
        <v>4.3</v>
      </c>
      <c r="AU21">
        <v>3</v>
      </c>
      <c r="AV21" s="205">
        <f t="shared" si="0"/>
        <v>4.62</v>
      </c>
    </row>
    <row r="22" spans="1:48" x14ac:dyDescent="0.25">
      <c r="A22" t="s">
        <v>41</v>
      </c>
      <c r="B22">
        <v>7.1</v>
      </c>
      <c r="C22">
        <v>11.2</v>
      </c>
      <c r="D22">
        <v>6.8</v>
      </c>
      <c r="E22">
        <v>5</v>
      </c>
      <c r="F22">
        <v>3.4</v>
      </c>
      <c r="G22">
        <v>4.2</v>
      </c>
      <c r="H22">
        <v>0.8</v>
      </c>
      <c r="I22">
        <v>2</v>
      </c>
      <c r="J22">
        <v>5.3</v>
      </c>
      <c r="K22">
        <v>0</v>
      </c>
      <c r="L22">
        <v>2</v>
      </c>
      <c r="M22">
        <v>2.2999999999999998</v>
      </c>
      <c r="N22">
        <v>2.4</v>
      </c>
      <c r="O22">
        <v>1.5</v>
      </c>
      <c r="P22">
        <v>2.6</v>
      </c>
      <c r="Q22">
        <v>2.9</v>
      </c>
      <c r="R22">
        <v>6.4</v>
      </c>
      <c r="S22">
        <v>1</v>
      </c>
      <c r="T22">
        <v>-0.8</v>
      </c>
      <c r="U22">
        <v>-1.2</v>
      </c>
      <c r="V22">
        <v>0.6</v>
      </c>
      <c r="W22">
        <v>1.1000000000000001</v>
      </c>
      <c r="X22">
        <v>2.2000000000000002</v>
      </c>
      <c r="Y22">
        <v>2.6</v>
      </c>
      <c r="Z22">
        <v>3.1</v>
      </c>
      <c r="AA22">
        <v>3.7</v>
      </c>
      <c r="AB22">
        <v>4.2</v>
      </c>
      <c r="AC22">
        <v>2.2999999999999998</v>
      </c>
      <c r="AD22">
        <v>6.4</v>
      </c>
      <c r="AE22">
        <v>-1.1000000000000001</v>
      </c>
      <c r="AF22">
        <v>0.9</v>
      </c>
      <c r="AG22">
        <v>1.7</v>
      </c>
      <c r="AH22">
        <v>1.2</v>
      </c>
      <c r="AI22">
        <v>0.5</v>
      </c>
      <c r="AJ22">
        <v>1.2</v>
      </c>
      <c r="AK22">
        <v>-0.9</v>
      </c>
      <c r="AL22">
        <v>0.7</v>
      </c>
      <c r="AM22">
        <v>1.1000000000000001</v>
      </c>
      <c r="AN22">
        <v>0.3</v>
      </c>
      <c r="AO22">
        <v>0.2</v>
      </c>
      <c r="AP22">
        <v>0.1</v>
      </c>
      <c r="AQ22">
        <v>3.2</v>
      </c>
      <c r="AR22">
        <v>6.3</v>
      </c>
      <c r="AS22">
        <v>4.4000000000000004</v>
      </c>
      <c r="AT22">
        <v>3.3</v>
      </c>
      <c r="AU22">
        <v>1.1000000000000001</v>
      </c>
      <c r="AV22" s="205">
        <f t="shared" si="0"/>
        <v>3.66</v>
      </c>
    </row>
    <row r="23" spans="1:48" x14ac:dyDescent="0.25">
      <c r="A23" t="s">
        <v>43</v>
      </c>
      <c r="B23">
        <v>9.6</v>
      </c>
      <c r="C23">
        <v>0.8</v>
      </c>
      <c r="D23">
        <v>4.0999999999999996</v>
      </c>
      <c r="E23">
        <v>-6.1</v>
      </c>
      <c r="F23">
        <v>10.3</v>
      </c>
      <c r="G23">
        <v>1.2</v>
      </c>
      <c r="H23">
        <v>0.4</v>
      </c>
      <c r="I23">
        <v>-1.3</v>
      </c>
      <c r="J23">
        <v>3.4</v>
      </c>
      <c r="K23">
        <v>-0.2</v>
      </c>
      <c r="L23">
        <v>1.1000000000000001</v>
      </c>
      <c r="M23">
        <v>2.1</v>
      </c>
      <c r="N23">
        <v>5.9</v>
      </c>
      <c r="O23">
        <v>0.4</v>
      </c>
      <c r="P23">
        <v>38.5</v>
      </c>
      <c r="Q23">
        <v>14.5</v>
      </c>
      <c r="R23">
        <v>4.9000000000000004</v>
      </c>
      <c r="S23">
        <v>3.8</v>
      </c>
      <c r="T23">
        <v>5.8</v>
      </c>
      <c r="U23">
        <v>0.3</v>
      </c>
      <c r="V23">
        <v>4.2</v>
      </c>
      <c r="W23">
        <v>4</v>
      </c>
      <c r="X23">
        <v>2.4</v>
      </c>
      <c r="Y23">
        <v>1.5</v>
      </c>
      <c r="Z23">
        <v>0.9</v>
      </c>
      <c r="AA23">
        <v>5.4</v>
      </c>
      <c r="AB23">
        <v>3.8</v>
      </c>
      <c r="AC23">
        <v>1.3</v>
      </c>
      <c r="AD23">
        <v>7.4</v>
      </c>
      <c r="AE23">
        <v>0.9</v>
      </c>
      <c r="AF23">
        <v>2.1</v>
      </c>
      <c r="AG23">
        <v>2.7</v>
      </c>
      <c r="AH23">
        <v>6.7</v>
      </c>
      <c r="AI23">
        <v>0.4</v>
      </c>
      <c r="AJ23">
        <v>-0.6</v>
      </c>
      <c r="AK23">
        <v>0.2</v>
      </c>
      <c r="AL23">
        <v>-0.8</v>
      </c>
      <c r="AM23">
        <v>1.8</v>
      </c>
      <c r="AN23">
        <v>0.8</v>
      </c>
      <c r="AO23">
        <v>-0.9</v>
      </c>
      <c r="AP23">
        <v>3</v>
      </c>
      <c r="AQ23">
        <v>1.7</v>
      </c>
      <c r="AR23">
        <v>1.4</v>
      </c>
      <c r="AS23">
        <v>2.7</v>
      </c>
      <c r="AT23">
        <v>1.2</v>
      </c>
      <c r="AU23">
        <v>1.1000000000000001</v>
      </c>
      <c r="AV23" s="205">
        <f t="shared" si="0"/>
        <v>1.6199999999999999</v>
      </c>
    </row>
    <row r="24" spans="1:48" x14ac:dyDescent="0.25">
      <c r="A24" t="s">
        <v>750</v>
      </c>
      <c r="B24" t="s">
        <v>746</v>
      </c>
      <c r="C24" t="s">
        <v>746</v>
      </c>
      <c r="D24" t="s">
        <v>746</v>
      </c>
      <c r="E24" t="s">
        <v>746</v>
      </c>
      <c r="F24" t="s">
        <v>746</v>
      </c>
      <c r="G24" t="s">
        <v>746</v>
      </c>
      <c r="H24" t="s">
        <v>746</v>
      </c>
      <c r="I24" t="s">
        <v>746</v>
      </c>
      <c r="J24" t="s">
        <v>746</v>
      </c>
      <c r="K24" t="s">
        <v>746</v>
      </c>
      <c r="L24" t="s">
        <v>746</v>
      </c>
      <c r="M24" t="s">
        <v>746</v>
      </c>
      <c r="N24" t="s">
        <v>746</v>
      </c>
      <c r="O24" t="s">
        <v>746</v>
      </c>
      <c r="P24" t="s">
        <v>746</v>
      </c>
      <c r="Q24" t="s">
        <v>746</v>
      </c>
      <c r="R24" t="s">
        <v>746</v>
      </c>
      <c r="S24" t="s">
        <v>746</v>
      </c>
      <c r="T24" t="s">
        <v>746</v>
      </c>
      <c r="U24" t="s">
        <v>746</v>
      </c>
      <c r="V24" t="s">
        <v>746</v>
      </c>
      <c r="W24" t="s">
        <v>746</v>
      </c>
      <c r="X24" t="s">
        <v>746</v>
      </c>
      <c r="Y24" t="s">
        <v>746</v>
      </c>
      <c r="Z24" t="s">
        <v>746</v>
      </c>
      <c r="AA24" t="s">
        <v>746</v>
      </c>
      <c r="AB24" t="s">
        <v>746</v>
      </c>
      <c r="AC24" t="s">
        <v>746</v>
      </c>
      <c r="AD24" t="s">
        <v>746</v>
      </c>
      <c r="AE24" t="s">
        <v>746</v>
      </c>
      <c r="AF24" t="s">
        <v>746</v>
      </c>
      <c r="AG24" t="s">
        <v>746</v>
      </c>
      <c r="AH24" t="s">
        <v>746</v>
      </c>
      <c r="AI24" t="s">
        <v>746</v>
      </c>
      <c r="AJ24" t="s">
        <v>746</v>
      </c>
      <c r="AK24" t="s">
        <v>746</v>
      </c>
      <c r="AL24" t="s">
        <v>746</v>
      </c>
      <c r="AM24" t="s">
        <v>746</v>
      </c>
      <c r="AN24" t="s">
        <v>746</v>
      </c>
      <c r="AO24" t="s">
        <v>746</v>
      </c>
      <c r="AP24" t="s">
        <v>746</v>
      </c>
      <c r="AQ24" t="s">
        <v>746</v>
      </c>
      <c r="AR24" t="s">
        <v>746</v>
      </c>
      <c r="AS24" t="s">
        <v>746</v>
      </c>
      <c r="AT24" t="s">
        <v>746</v>
      </c>
      <c r="AU24" t="s">
        <v>746</v>
      </c>
      <c r="AV24" s="205" t="e">
        <f t="shared" si="0"/>
        <v>#DIV/0!</v>
      </c>
    </row>
    <row r="25" spans="1:48" x14ac:dyDescent="0.25">
      <c r="A25" t="s">
        <v>44</v>
      </c>
      <c r="B25">
        <v>12.5</v>
      </c>
      <c r="C25">
        <v>5</v>
      </c>
      <c r="D25">
        <v>9.9</v>
      </c>
      <c r="E25">
        <v>12.1</v>
      </c>
      <c r="F25">
        <v>13</v>
      </c>
      <c r="G25">
        <v>8</v>
      </c>
      <c r="H25">
        <v>5.2</v>
      </c>
      <c r="I25">
        <v>7</v>
      </c>
      <c r="J25">
        <v>8.1999999999999993</v>
      </c>
      <c r="K25">
        <v>8.9</v>
      </c>
      <c r="L25">
        <v>9.4</v>
      </c>
      <c r="M25">
        <v>10.3</v>
      </c>
      <c r="N25">
        <v>8.1</v>
      </c>
      <c r="O25">
        <v>9.6</v>
      </c>
      <c r="P25">
        <v>9.5</v>
      </c>
      <c r="Q25">
        <v>7.1</v>
      </c>
      <c r="R25">
        <v>8.8000000000000007</v>
      </c>
      <c r="S25">
        <v>8.6</v>
      </c>
      <c r="T25">
        <v>7.6</v>
      </c>
      <c r="U25">
        <v>9.1</v>
      </c>
      <c r="V25">
        <v>7.2</v>
      </c>
      <c r="W25">
        <v>3.7</v>
      </c>
      <c r="X25">
        <v>2.9</v>
      </c>
      <c r="Y25">
        <v>2.5</v>
      </c>
      <c r="Z25">
        <v>3.3</v>
      </c>
      <c r="AA25">
        <v>4.8</v>
      </c>
      <c r="AB25">
        <v>4.9000000000000004</v>
      </c>
      <c r="AC25">
        <v>5.2</v>
      </c>
      <c r="AD25">
        <v>6.3</v>
      </c>
      <c r="AE25">
        <v>7.1</v>
      </c>
      <c r="AF25">
        <v>4.8</v>
      </c>
      <c r="AG25">
        <v>8.6</v>
      </c>
      <c r="AH25">
        <v>10.1</v>
      </c>
      <c r="AI25">
        <v>8.1</v>
      </c>
      <c r="AJ25">
        <v>9.6</v>
      </c>
      <c r="AK25">
        <v>6.7</v>
      </c>
      <c r="AL25">
        <v>3.3</v>
      </c>
      <c r="AM25">
        <v>4.3</v>
      </c>
      <c r="AN25">
        <v>3.6</v>
      </c>
      <c r="AO25">
        <v>2.8</v>
      </c>
      <c r="AP25">
        <v>3</v>
      </c>
      <c r="AQ25">
        <v>8.1999999999999993</v>
      </c>
      <c r="AR25">
        <v>5.9</v>
      </c>
      <c r="AS25">
        <v>4.5</v>
      </c>
      <c r="AT25">
        <v>4.3</v>
      </c>
      <c r="AU25">
        <v>2.6</v>
      </c>
      <c r="AV25" s="205">
        <f t="shared" si="0"/>
        <v>5.1000000000000005</v>
      </c>
    </row>
    <row r="26" spans="1:48" x14ac:dyDescent="0.25">
      <c r="A26" t="s">
        <v>45</v>
      </c>
      <c r="B26">
        <v>47.1</v>
      </c>
      <c r="C26">
        <v>32.1</v>
      </c>
      <c r="D26">
        <v>123.6</v>
      </c>
      <c r="E26">
        <v>275.60000000000002</v>
      </c>
      <c r="F26">
        <v>1281.3</v>
      </c>
      <c r="G26">
        <v>11749.6</v>
      </c>
      <c r="H26">
        <v>273.3</v>
      </c>
      <c r="I26">
        <v>14.6</v>
      </c>
      <c r="J26">
        <v>16</v>
      </c>
      <c r="K26">
        <v>15.2</v>
      </c>
      <c r="L26">
        <v>17.100000000000001</v>
      </c>
      <c r="M26">
        <v>21.4</v>
      </c>
      <c r="N26">
        <v>13</v>
      </c>
      <c r="O26">
        <v>8.5</v>
      </c>
      <c r="P26">
        <v>7.9</v>
      </c>
      <c r="Q26">
        <v>10.199999999999999</v>
      </c>
      <c r="R26">
        <v>12.4</v>
      </c>
      <c r="S26">
        <v>4.7</v>
      </c>
      <c r="T26">
        <v>7.7</v>
      </c>
      <c r="U26">
        <v>2.2000000000000002</v>
      </c>
      <c r="V26">
        <v>4.5999999999999996</v>
      </c>
      <c r="W26">
        <v>1.6</v>
      </c>
      <c r="X26">
        <v>0.9</v>
      </c>
      <c r="Y26">
        <v>3.3</v>
      </c>
      <c r="Z26">
        <v>2.5</v>
      </c>
      <c r="AA26">
        <v>5.4</v>
      </c>
      <c r="AB26">
        <v>4.3</v>
      </c>
      <c r="AC26">
        <v>8.6999999999999993</v>
      </c>
      <c r="AD26">
        <v>14</v>
      </c>
      <c r="AE26">
        <v>3.3</v>
      </c>
      <c r="AF26">
        <v>2.5</v>
      </c>
      <c r="AG26">
        <v>9.9</v>
      </c>
      <c r="AH26">
        <v>4.5</v>
      </c>
      <c r="AI26">
        <v>5.7</v>
      </c>
      <c r="AJ26">
        <v>5.8</v>
      </c>
      <c r="AK26">
        <v>4.0999999999999996</v>
      </c>
      <c r="AL26">
        <v>3.6</v>
      </c>
      <c r="AM26">
        <v>2.8</v>
      </c>
      <c r="AN26">
        <v>2.2999999999999998</v>
      </c>
      <c r="AO26">
        <v>1.8</v>
      </c>
      <c r="AP26">
        <v>0.9</v>
      </c>
      <c r="AQ26">
        <v>0.7</v>
      </c>
      <c r="AR26">
        <v>1.7</v>
      </c>
      <c r="AS26">
        <v>2.6</v>
      </c>
      <c r="AT26">
        <v>5.0999999999999996</v>
      </c>
      <c r="AU26">
        <v>19.5</v>
      </c>
      <c r="AV26" s="205">
        <f t="shared" si="0"/>
        <v>5.92</v>
      </c>
    </row>
    <row r="27" spans="1:48" x14ac:dyDescent="0.25">
      <c r="A27" t="s">
        <v>751</v>
      </c>
      <c r="B27" t="s">
        <v>746</v>
      </c>
      <c r="C27" t="s">
        <v>746</v>
      </c>
      <c r="D27" t="s">
        <v>746</v>
      </c>
      <c r="E27" t="s">
        <v>746</v>
      </c>
      <c r="F27" t="s">
        <v>746</v>
      </c>
      <c r="G27" t="s">
        <v>746</v>
      </c>
      <c r="H27" t="s">
        <v>746</v>
      </c>
      <c r="I27" t="s">
        <v>746</v>
      </c>
      <c r="J27" t="s">
        <v>746</v>
      </c>
      <c r="K27" t="s">
        <v>746</v>
      </c>
      <c r="L27" t="s">
        <v>746</v>
      </c>
      <c r="M27" t="s">
        <v>746</v>
      </c>
      <c r="N27" t="s">
        <v>746</v>
      </c>
      <c r="O27" t="s">
        <v>746</v>
      </c>
      <c r="P27" t="s">
        <v>746</v>
      </c>
      <c r="Q27" t="s">
        <v>746</v>
      </c>
      <c r="R27" t="s">
        <v>746</v>
      </c>
      <c r="S27" t="s">
        <v>746</v>
      </c>
      <c r="T27" t="s">
        <v>746</v>
      </c>
      <c r="U27" t="s">
        <v>746</v>
      </c>
      <c r="V27" t="s">
        <v>746</v>
      </c>
      <c r="W27" t="s">
        <v>746</v>
      </c>
      <c r="X27" t="s">
        <v>746</v>
      </c>
      <c r="Y27" t="s">
        <v>746</v>
      </c>
      <c r="Z27" t="s">
        <v>746</v>
      </c>
      <c r="AA27" t="s">
        <v>746</v>
      </c>
      <c r="AB27" t="s">
        <v>746</v>
      </c>
      <c r="AC27" t="s">
        <v>746</v>
      </c>
      <c r="AD27" t="s">
        <v>746</v>
      </c>
      <c r="AE27" t="s">
        <v>746</v>
      </c>
      <c r="AF27" t="s">
        <v>746</v>
      </c>
      <c r="AG27" t="s">
        <v>746</v>
      </c>
      <c r="AH27" t="s">
        <v>746</v>
      </c>
      <c r="AI27" t="s">
        <v>746</v>
      </c>
      <c r="AJ27" t="s">
        <v>746</v>
      </c>
      <c r="AK27" t="s">
        <v>746</v>
      </c>
      <c r="AL27" t="s">
        <v>746</v>
      </c>
      <c r="AM27" t="s">
        <v>746</v>
      </c>
      <c r="AN27" t="s">
        <v>746</v>
      </c>
      <c r="AO27" t="s">
        <v>746</v>
      </c>
      <c r="AP27" t="s">
        <v>746</v>
      </c>
      <c r="AQ27" t="s">
        <v>746</v>
      </c>
      <c r="AR27" t="s">
        <v>746</v>
      </c>
      <c r="AS27" t="s">
        <v>746</v>
      </c>
      <c r="AT27" t="s">
        <v>746</v>
      </c>
      <c r="AU27" t="s">
        <v>746</v>
      </c>
      <c r="AV27" s="205" t="e">
        <f t="shared" si="0"/>
        <v>#DIV/0!</v>
      </c>
    </row>
    <row r="28" spans="1:48" x14ac:dyDescent="0.25">
      <c r="A28" t="s">
        <v>46</v>
      </c>
      <c r="B28" t="s">
        <v>746</v>
      </c>
      <c r="C28" t="s">
        <v>746</v>
      </c>
      <c r="D28" t="s">
        <v>746</v>
      </c>
      <c r="E28" t="s">
        <v>746</v>
      </c>
      <c r="F28" t="s">
        <v>746</v>
      </c>
      <c r="G28" t="s">
        <v>746</v>
      </c>
      <c r="H28" t="s">
        <v>746</v>
      </c>
      <c r="I28" t="s">
        <v>746</v>
      </c>
      <c r="J28" t="s">
        <v>746</v>
      </c>
      <c r="K28" t="s">
        <v>746</v>
      </c>
      <c r="L28" t="s">
        <v>746</v>
      </c>
      <c r="M28" t="s">
        <v>746</v>
      </c>
      <c r="N28" t="s">
        <v>746</v>
      </c>
      <c r="O28" t="s">
        <v>746</v>
      </c>
      <c r="P28" t="s">
        <v>746</v>
      </c>
      <c r="Q28">
        <v>12.9</v>
      </c>
      <c r="R28">
        <v>-11.7</v>
      </c>
      <c r="S28">
        <v>5.7</v>
      </c>
      <c r="T28">
        <v>-0.3</v>
      </c>
      <c r="U28">
        <v>2.8</v>
      </c>
      <c r="V28">
        <v>5</v>
      </c>
      <c r="W28">
        <v>3.2</v>
      </c>
      <c r="X28">
        <v>0.3</v>
      </c>
      <c r="Y28">
        <v>0.5</v>
      </c>
      <c r="Z28">
        <v>0.3</v>
      </c>
      <c r="AA28">
        <v>3.6</v>
      </c>
      <c r="AB28">
        <v>6.1</v>
      </c>
      <c r="AC28">
        <v>1.5</v>
      </c>
      <c r="AD28">
        <v>7.4</v>
      </c>
      <c r="AE28">
        <v>-0.4</v>
      </c>
      <c r="AF28">
        <v>2.1</v>
      </c>
      <c r="AG28">
        <v>4</v>
      </c>
      <c r="AH28">
        <v>2.1</v>
      </c>
      <c r="AI28">
        <v>-0.1</v>
      </c>
      <c r="AJ28">
        <v>-0.9</v>
      </c>
      <c r="AK28">
        <v>-1</v>
      </c>
      <c r="AL28">
        <v>-1.6</v>
      </c>
      <c r="AM28">
        <v>0.8</v>
      </c>
      <c r="AN28">
        <v>1.4</v>
      </c>
      <c r="AO28">
        <v>0.6</v>
      </c>
      <c r="AP28">
        <v>-1</v>
      </c>
      <c r="AQ28">
        <v>2</v>
      </c>
      <c r="AR28">
        <v>14</v>
      </c>
      <c r="AS28">
        <v>6.1</v>
      </c>
      <c r="AT28">
        <v>1.7</v>
      </c>
      <c r="AU28">
        <v>4</v>
      </c>
      <c r="AV28" s="205">
        <f t="shared" si="0"/>
        <v>5.5600000000000005</v>
      </c>
    </row>
    <row r="29" spans="1:48" x14ac:dyDescent="0.25">
      <c r="A29" t="s">
        <v>47</v>
      </c>
      <c r="B29">
        <v>12.1</v>
      </c>
      <c r="C29">
        <v>16.3</v>
      </c>
      <c r="D29">
        <v>11.2</v>
      </c>
      <c r="E29">
        <v>10.5</v>
      </c>
      <c r="F29">
        <v>8.6</v>
      </c>
      <c r="G29">
        <v>8.1</v>
      </c>
      <c r="H29">
        <v>10</v>
      </c>
      <c r="I29">
        <v>9.8000000000000007</v>
      </c>
      <c r="J29">
        <v>8.4</v>
      </c>
      <c r="K29">
        <v>11.6</v>
      </c>
      <c r="L29">
        <v>11.4</v>
      </c>
      <c r="M29">
        <v>12.6</v>
      </c>
      <c r="N29">
        <v>16.5</v>
      </c>
      <c r="O29">
        <v>14.4</v>
      </c>
      <c r="P29">
        <v>10.6</v>
      </c>
      <c r="Q29">
        <v>10.5</v>
      </c>
      <c r="R29">
        <v>10.1</v>
      </c>
      <c r="S29">
        <v>8.9</v>
      </c>
      <c r="T29">
        <v>6.5</v>
      </c>
      <c r="U29">
        <v>7.8</v>
      </c>
      <c r="V29">
        <v>8.5</v>
      </c>
      <c r="W29">
        <v>6.6</v>
      </c>
      <c r="X29">
        <v>8</v>
      </c>
      <c r="Y29">
        <v>9.1999999999999993</v>
      </c>
      <c r="Z29">
        <v>7</v>
      </c>
      <c r="AA29">
        <v>8.6</v>
      </c>
      <c r="AB29">
        <v>11.6</v>
      </c>
      <c r="AC29">
        <v>7.1</v>
      </c>
      <c r="AD29">
        <v>12.6</v>
      </c>
      <c r="AE29">
        <v>8.1</v>
      </c>
      <c r="AF29">
        <v>6.9</v>
      </c>
      <c r="AG29">
        <v>8.5</v>
      </c>
      <c r="AH29">
        <v>7.5</v>
      </c>
      <c r="AI29">
        <v>5.9</v>
      </c>
      <c r="AJ29">
        <v>4.4000000000000004</v>
      </c>
      <c r="AK29">
        <v>3.1</v>
      </c>
      <c r="AL29">
        <v>2.8</v>
      </c>
      <c r="AM29">
        <v>3.3</v>
      </c>
      <c r="AN29">
        <v>3.2</v>
      </c>
      <c r="AO29">
        <v>2.7</v>
      </c>
      <c r="AP29">
        <v>1.9</v>
      </c>
      <c r="AQ29">
        <v>6.7</v>
      </c>
      <c r="AR29">
        <v>12.2</v>
      </c>
      <c r="AS29">
        <v>5.0999999999999996</v>
      </c>
      <c r="AT29">
        <v>2.8</v>
      </c>
      <c r="AU29">
        <v>2.8</v>
      </c>
      <c r="AV29" s="205">
        <f t="shared" si="0"/>
        <v>5.92</v>
      </c>
    </row>
    <row r="30" spans="1:48" x14ac:dyDescent="0.25">
      <c r="A30" t="s">
        <v>48</v>
      </c>
      <c r="B30">
        <v>90.2</v>
      </c>
      <c r="C30">
        <v>101.7</v>
      </c>
      <c r="D30">
        <v>100.6</v>
      </c>
      <c r="E30">
        <v>135</v>
      </c>
      <c r="F30">
        <v>192.1</v>
      </c>
      <c r="G30">
        <v>226</v>
      </c>
      <c r="H30">
        <v>147.1</v>
      </c>
      <c r="I30">
        <v>228.3</v>
      </c>
      <c r="J30">
        <v>629.1</v>
      </c>
      <c r="K30">
        <v>1430.7</v>
      </c>
      <c r="L30">
        <v>2947.7</v>
      </c>
      <c r="M30">
        <v>432.8</v>
      </c>
      <c r="N30">
        <v>952</v>
      </c>
      <c r="O30">
        <v>1927.4</v>
      </c>
      <c r="P30">
        <v>2075.8000000000002</v>
      </c>
      <c r="Q30">
        <v>66</v>
      </c>
      <c r="R30">
        <v>15.8</v>
      </c>
      <c r="S30">
        <v>6.9</v>
      </c>
      <c r="T30">
        <v>3.2</v>
      </c>
      <c r="U30">
        <v>4.9000000000000004</v>
      </c>
      <c r="V30">
        <v>7</v>
      </c>
      <c r="W30">
        <v>6.8</v>
      </c>
      <c r="X30">
        <v>8.4</v>
      </c>
      <c r="Y30">
        <v>14.7</v>
      </c>
      <c r="Z30">
        <v>6.6</v>
      </c>
      <c r="AA30">
        <v>6.9</v>
      </c>
      <c r="AB30">
        <v>4.2</v>
      </c>
      <c r="AC30">
        <v>3.6</v>
      </c>
      <c r="AD30">
        <v>5.7</v>
      </c>
      <c r="AE30">
        <v>4.9000000000000004</v>
      </c>
      <c r="AF30">
        <v>5</v>
      </c>
      <c r="AG30">
        <v>6.6</v>
      </c>
      <c r="AH30">
        <v>5.4</v>
      </c>
      <c r="AI30">
        <v>6.2</v>
      </c>
      <c r="AJ30">
        <v>6.3</v>
      </c>
      <c r="AK30">
        <v>9</v>
      </c>
      <c r="AL30">
        <v>8.6999999999999993</v>
      </c>
      <c r="AM30">
        <v>3.4</v>
      </c>
      <c r="AN30">
        <v>3.7</v>
      </c>
      <c r="AO30">
        <v>3.7</v>
      </c>
      <c r="AP30">
        <v>3.2</v>
      </c>
      <c r="AQ30">
        <v>8.3000000000000007</v>
      </c>
      <c r="AR30">
        <v>9.3000000000000007</v>
      </c>
      <c r="AS30">
        <v>4.5999999999999996</v>
      </c>
      <c r="AT30">
        <v>4.4000000000000004</v>
      </c>
      <c r="AU30">
        <v>5</v>
      </c>
      <c r="AV30" s="205">
        <f t="shared" si="0"/>
        <v>6.32</v>
      </c>
    </row>
    <row r="31" spans="1:48" x14ac:dyDescent="0.25">
      <c r="A31" t="s">
        <v>752</v>
      </c>
      <c r="B31" t="s">
        <v>746</v>
      </c>
      <c r="C31" t="s">
        <v>746</v>
      </c>
      <c r="D31" t="s">
        <v>746</v>
      </c>
      <c r="E31" t="s">
        <v>746</v>
      </c>
      <c r="F31" t="s">
        <v>746</v>
      </c>
      <c r="G31" t="s">
        <v>746</v>
      </c>
      <c r="H31" t="s">
        <v>746</v>
      </c>
      <c r="I31" t="s">
        <v>746</v>
      </c>
      <c r="J31" t="s">
        <v>746</v>
      </c>
      <c r="K31" t="s">
        <v>746</v>
      </c>
      <c r="L31" t="s">
        <v>746</v>
      </c>
      <c r="M31" t="s">
        <v>746</v>
      </c>
      <c r="N31" t="s">
        <v>746</v>
      </c>
      <c r="O31" t="s">
        <v>746</v>
      </c>
      <c r="P31" t="s">
        <v>746</v>
      </c>
      <c r="Q31" t="s">
        <v>746</v>
      </c>
      <c r="R31" t="s">
        <v>746</v>
      </c>
      <c r="S31" t="s">
        <v>746</v>
      </c>
      <c r="T31" t="s">
        <v>746</v>
      </c>
      <c r="U31" t="s">
        <v>746</v>
      </c>
      <c r="V31" t="s">
        <v>746</v>
      </c>
      <c r="W31" t="s">
        <v>746</v>
      </c>
      <c r="X31" t="s">
        <v>746</v>
      </c>
      <c r="Y31" t="s">
        <v>746</v>
      </c>
      <c r="Z31" t="s">
        <v>746</v>
      </c>
      <c r="AA31" t="s">
        <v>746</v>
      </c>
      <c r="AB31" t="s">
        <v>746</v>
      </c>
      <c r="AC31" t="s">
        <v>746</v>
      </c>
      <c r="AD31" t="s">
        <v>746</v>
      </c>
      <c r="AE31" t="s">
        <v>746</v>
      </c>
      <c r="AF31" t="s">
        <v>746</v>
      </c>
      <c r="AG31" t="s">
        <v>746</v>
      </c>
      <c r="AH31" t="s">
        <v>746</v>
      </c>
      <c r="AI31" t="s">
        <v>746</v>
      </c>
      <c r="AJ31" t="s">
        <v>746</v>
      </c>
      <c r="AK31" t="s">
        <v>746</v>
      </c>
      <c r="AL31" t="s">
        <v>746</v>
      </c>
      <c r="AM31" t="s">
        <v>746</v>
      </c>
      <c r="AN31" t="s">
        <v>746</v>
      </c>
      <c r="AO31" t="s">
        <v>746</v>
      </c>
      <c r="AP31" t="s">
        <v>746</v>
      </c>
      <c r="AQ31" t="s">
        <v>746</v>
      </c>
      <c r="AR31" t="s">
        <v>746</v>
      </c>
      <c r="AS31" t="s">
        <v>746</v>
      </c>
      <c r="AT31" t="s">
        <v>746</v>
      </c>
      <c r="AU31" t="s">
        <v>746</v>
      </c>
      <c r="AV31" s="205" t="e">
        <f t="shared" si="0"/>
        <v>#DIV/0!</v>
      </c>
    </row>
    <row r="32" spans="1:48" x14ac:dyDescent="0.25">
      <c r="A32" t="s">
        <v>753</v>
      </c>
      <c r="B32" t="s">
        <v>746</v>
      </c>
      <c r="C32" t="s">
        <v>746</v>
      </c>
      <c r="D32" t="s">
        <v>746</v>
      </c>
      <c r="E32" t="s">
        <v>746</v>
      </c>
      <c r="F32" t="s">
        <v>746</v>
      </c>
      <c r="G32" t="s">
        <v>746</v>
      </c>
      <c r="H32" t="s">
        <v>746</v>
      </c>
      <c r="I32" t="s">
        <v>746</v>
      </c>
      <c r="J32" t="s">
        <v>746</v>
      </c>
      <c r="K32" t="s">
        <v>746</v>
      </c>
      <c r="L32" t="s">
        <v>746</v>
      </c>
      <c r="M32" t="s">
        <v>746</v>
      </c>
      <c r="N32" t="s">
        <v>746</v>
      </c>
      <c r="O32" t="s">
        <v>746</v>
      </c>
      <c r="P32" t="s">
        <v>746</v>
      </c>
      <c r="Q32" t="s">
        <v>746</v>
      </c>
      <c r="R32" t="s">
        <v>746</v>
      </c>
      <c r="S32" t="s">
        <v>746</v>
      </c>
      <c r="T32" t="s">
        <v>746</v>
      </c>
      <c r="U32" t="s">
        <v>746</v>
      </c>
      <c r="V32" t="s">
        <v>746</v>
      </c>
      <c r="W32" t="s">
        <v>746</v>
      </c>
      <c r="X32" t="s">
        <v>746</v>
      </c>
      <c r="Y32" t="s">
        <v>746</v>
      </c>
      <c r="Z32" t="s">
        <v>746</v>
      </c>
      <c r="AA32" t="s">
        <v>746</v>
      </c>
      <c r="AB32" t="s">
        <v>746</v>
      </c>
      <c r="AC32" t="s">
        <v>746</v>
      </c>
      <c r="AD32" t="s">
        <v>746</v>
      </c>
      <c r="AE32" t="s">
        <v>746</v>
      </c>
      <c r="AF32" t="s">
        <v>746</v>
      </c>
      <c r="AG32" t="s">
        <v>746</v>
      </c>
      <c r="AH32" t="s">
        <v>746</v>
      </c>
      <c r="AI32" t="s">
        <v>746</v>
      </c>
      <c r="AJ32" t="s">
        <v>746</v>
      </c>
      <c r="AK32" t="s">
        <v>746</v>
      </c>
      <c r="AL32" t="s">
        <v>746</v>
      </c>
      <c r="AM32" t="s">
        <v>746</v>
      </c>
      <c r="AN32" t="s">
        <v>746</v>
      </c>
      <c r="AO32" t="s">
        <v>746</v>
      </c>
      <c r="AP32" t="s">
        <v>746</v>
      </c>
      <c r="AQ32" t="s">
        <v>746</v>
      </c>
      <c r="AR32" t="s">
        <v>746</v>
      </c>
      <c r="AS32" t="s">
        <v>746</v>
      </c>
      <c r="AT32" t="s">
        <v>746</v>
      </c>
      <c r="AU32" t="s">
        <v>746</v>
      </c>
      <c r="AV32" s="205" t="e">
        <f t="shared" si="0"/>
        <v>#DIV/0!</v>
      </c>
    </row>
    <row r="33" spans="1:48" x14ac:dyDescent="0.25">
      <c r="A33" t="s">
        <v>50</v>
      </c>
      <c r="B33" t="s">
        <v>746</v>
      </c>
      <c r="C33" t="s">
        <v>746</v>
      </c>
      <c r="D33">
        <v>0</v>
      </c>
      <c r="E33">
        <v>1.2</v>
      </c>
      <c r="F33">
        <v>3.1</v>
      </c>
      <c r="G33">
        <v>2.1</v>
      </c>
      <c r="H33">
        <v>1.8</v>
      </c>
      <c r="I33">
        <v>1.2</v>
      </c>
      <c r="J33">
        <v>1.2</v>
      </c>
      <c r="K33">
        <v>1.3</v>
      </c>
      <c r="L33">
        <v>2.1</v>
      </c>
      <c r="M33">
        <v>1.6</v>
      </c>
      <c r="N33">
        <v>1.3</v>
      </c>
      <c r="O33">
        <v>4.3</v>
      </c>
      <c r="P33">
        <v>2.5</v>
      </c>
      <c r="Q33">
        <v>6</v>
      </c>
      <c r="R33">
        <v>2</v>
      </c>
      <c r="S33">
        <v>1.7</v>
      </c>
      <c r="T33">
        <v>-0.4</v>
      </c>
      <c r="U33">
        <v>-0.4</v>
      </c>
      <c r="V33">
        <v>1.6</v>
      </c>
      <c r="W33">
        <v>0.6</v>
      </c>
      <c r="X33">
        <v>-2.2999999999999998</v>
      </c>
      <c r="Y33">
        <v>0.3</v>
      </c>
      <c r="Z33">
        <v>0.8</v>
      </c>
      <c r="AA33">
        <v>1.2</v>
      </c>
      <c r="AB33">
        <v>0.2</v>
      </c>
      <c r="AC33">
        <v>1</v>
      </c>
      <c r="AD33">
        <v>2.1</v>
      </c>
      <c r="AE33">
        <v>1</v>
      </c>
      <c r="AF33">
        <v>0.3</v>
      </c>
      <c r="AG33">
        <v>0.1</v>
      </c>
      <c r="AH33">
        <v>0.1</v>
      </c>
      <c r="AI33">
        <v>0.4</v>
      </c>
      <c r="AJ33">
        <v>-0.2</v>
      </c>
      <c r="AK33">
        <v>-0.5</v>
      </c>
      <c r="AL33">
        <v>-0.3</v>
      </c>
      <c r="AM33">
        <v>-1.3</v>
      </c>
      <c r="AN33">
        <v>0.9</v>
      </c>
      <c r="AO33">
        <v>-0.3</v>
      </c>
      <c r="AP33">
        <v>1.9</v>
      </c>
      <c r="AQ33">
        <v>1.7</v>
      </c>
      <c r="AR33">
        <v>3.7</v>
      </c>
      <c r="AS33">
        <v>0.4</v>
      </c>
      <c r="AT33">
        <v>-0.4</v>
      </c>
      <c r="AU33">
        <v>-0.3</v>
      </c>
      <c r="AV33" s="205">
        <f t="shared" si="0"/>
        <v>1.02</v>
      </c>
    </row>
    <row r="34" spans="1:48" x14ac:dyDescent="0.25">
      <c r="A34" t="s">
        <v>51</v>
      </c>
      <c r="B34">
        <v>0</v>
      </c>
      <c r="C34">
        <v>0</v>
      </c>
      <c r="D34">
        <v>2.8</v>
      </c>
      <c r="E34">
        <v>2.8</v>
      </c>
      <c r="F34">
        <v>2.8</v>
      </c>
      <c r="G34">
        <v>2.8</v>
      </c>
      <c r="H34">
        <v>2.7</v>
      </c>
      <c r="I34">
        <v>2.7</v>
      </c>
      <c r="J34">
        <v>2.5</v>
      </c>
      <c r="K34">
        <v>6.4</v>
      </c>
      <c r="L34">
        <v>23.9</v>
      </c>
      <c r="M34">
        <v>333.5</v>
      </c>
      <c r="N34">
        <v>82</v>
      </c>
      <c r="O34">
        <v>72.8</v>
      </c>
      <c r="P34">
        <v>96</v>
      </c>
      <c r="Q34">
        <v>62.1</v>
      </c>
      <c r="R34">
        <v>123</v>
      </c>
      <c r="S34">
        <v>1061.2</v>
      </c>
      <c r="T34">
        <v>18.7</v>
      </c>
      <c r="U34">
        <v>2.6</v>
      </c>
      <c r="V34">
        <v>10.3</v>
      </c>
      <c r="W34">
        <v>7.4</v>
      </c>
      <c r="X34">
        <v>5.8</v>
      </c>
      <c r="Y34">
        <v>2.2999999999999998</v>
      </c>
      <c r="Z34">
        <v>6.1</v>
      </c>
      <c r="AA34">
        <v>6</v>
      </c>
      <c r="AB34">
        <v>7.4</v>
      </c>
      <c r="AC34">
        <v>7.6</v>
      </c>
      <c r="AD34">
        <v>12</v>
      </c>
      <c r="AE34">
        <v>2.5</v>
      </c>
      <c r="AF34">
        <v>3</v>
      </c>
      <c r="AG34">
        <v>3.4</v>
      </c>
      <c r="AH34">
        <v>2.4</v>
      </c>
      <c r="AI34">
        <v>0.4</v>
      </c>
      <c r="AJ34">
        <v>-1.6</v>
      </c>
      <c r="AK34">
        <v>-1.1000000000000001</v>
      </c>
      <c r="AL34">
        <v>-1.3</v>
      </c>
      <c r="AM34">
        <v>1.2</v>
      </c>
      <c r="AN34">
        <v>2.6</v>
      </c>
      <c r="AO34">
        <v>2.5</v>
      </c>
      <c r="AP34">
        <v>1.2</v>
      </c>
      <c r="AQ34">
        <v>2.8</v>
      </c>
      <c r="AR34">
        <v>13</v>
      </c>
      <c r="AS34">
        <v>8.6</v>
      </c>
      <c r="AT34">
        <v>2.6</v>
      </c>
      <c r="AU34">
        <v>3.5</v>
      </c>
      <c r="AV34" s="205">
        <f t="shared" si="0"/>
        <v>6.1</v>
      </c>
    </row>
    <row r="35" spans="1:48" x14ac:dyDescent="0.25">
      <c r="A35" t="s">
        <v>52</v>
      </c>
      <c r="B35">
        <v>12.3</v>
      </c>
      <c r="C35">
        <v>7.6</v>
      </c>
      <c r="D35">
        <v>12.1</v>
      </c>
      <c r="E35">
        <v>8.3000000000000007</v>
      </c>
      <c r="F35">
        <v>4.8</v>
      </c>
      <c r="G35">
        <v>7.1</v>
      </c>
      <c r="H35">
        <v>-2.7</v>
      </c>
      <c r="I35">
        <v>-2.9</v>
      </c>
      <c r="J35">
        <v>4.2</v>
      </c>
      <c r="K35">
        <v>-0.3</v>
      </c>
      <c r="L35">
        <v>-0.8</v>
      </c>
      <c r="M35">
        <v>2.5</v>
      </c>
      <c r="N35">
        <v>-2</v>
      </c>
      <c r="O35">
        <v>0.6</v>
      </c>
      <c r="P35">
        <v>24.7</v>
      </c>
      <c r="Q35">
        <v>7.8</v>
      </c>
      <c r="R35">
        <v>6.1</v>
      </c>
      <c r="S35">
        <v>2.9</v>
      </c>
      <c r="T35">
        <v>4.9000000000000004</v>
      </c>
      <c r="U35">
        <v>-1.1000000000000001</v>
      </c>
      <c r="V35">
        <v>-0.2</v>
      </c>
      <c r="W35">
        <v>4.7</v>
      </c>
      <c r="X35">
        <v>2.2999999999999998</v>
      </c>
      <c r="Y35">
        <v>2</v>
      </c>
      <c r="Z35">
        <v>-0.4</v>
      </c>
      <c r="AA35">
        <v>6.4</v>
      </c>
      <c r="AB35">
        <v>2.2999999999999998</v>
      </c>
      <c r="AC35">
        <v>-0.2</v>
      </c>
      <c r="AD35">
        <v>10.7</v>
      </c>
      <c r="AE35">
        <v>0.9</v>
      </c>
      <c r="AF35">
        <v>-0.6</v>
      </c>
      <c r="AG35">
        <v>2.8</v>
      </c>
      <c r="AH35">
        <v>3.8</v>
      </c>
      <c r="AI35">
        <v>0.5</v>
      </c>
      <c r="AJ35">
        <v>-0.3</v>
      </c>
      <c r="AK35">
        <v>1.7</v>
      </c>
      <c r="AL35">
        <v>0.4</v>
      </c>
      <c r="AM35">
        <v>1.5</v>
      </c>
      <c r="AN35">
        <v>2</v>
      </c>
      <c r="AO35">
        <v>-3.2</v>
      </c>
      <c r="AP35">
        <v>1.9</v>
      </c>
      <c r="AQ35">
        <v>3.9</v>
      </c>
      <c r="AR35">
        <v>13.8</v>
      </c>
      <c r="AS35">
        <v>0.9</v>
      </c>
      <c r="AT35">
        <v>4.2</v>
      </c>
      <c r="AU35">
        <v>-0.5</v>
      </c>
      <c r="AV35" s="205">
        <f t="shared" si="0"/>
        <v>4.4599999999999991</v>
      </c>
    </row>
    <row r="36" spans="1:48" x14ac:dyDescent="0.25">
      <c r="A36" t="s">
        <v>53</v>
      </c>
      <c r="B36">
        <v>1.2</v>
      </c>
      <c r="C36">
        <v>12.6</v>
      </c>
      <c r="D36">
        <v>5.2</v>
      </c>
      <c r="E36">
        <v>8.3000000000000007</v>
      </c>
      <c r="F36">
        <v>14.3</v>
      </c>
      <c r="G36">
        <v>3.8</v>
      </c>
      <c r="H36">
        <v>1.8</v>
      </c>
      <c r="I36">
        <v>7.1</v>
      </c>
      <c r="J36">
        <v>4.5999999999999996</v>
      </c>
      <c r="K36">
        <v>11.6</v>
      </c>
      <c r="L36">
        <v>7</v>
      </c>
      <c r="M36">
        <v>8.8000000000000007</v>
      </c>
      <c r="N36">
        <v>1.8</v>
      </c>
      <c r="O36">
        <v>9.6999999999999993</v>
      </c>
      <c r="P36">
        <v>14.6</v>
      </c>
      <c r="Q36">
        <v>18.899999999999999</v>
      </c>
      <c r="R36">
        <v>26.9</v>
      </c>
      <c r="S36">
        <v>31.4</v>
      </c>
      <c r="T36">
        <v>12.7</v>
      </c>
      <c r="U36">
        <v>3.2</v>
      </c>
      <c r="V36">
        <v>24.4</v>
      </c>
      <c r="W36">
        <v>9.3000000000000007</v>
      </c>
      <c r="X36">
        <v>-1.4</v>
      </c>
      <c r="Y36">
        <v>10.6</v>
      </c>
      <c r="Z36">
        <v>8.1999999999999993</v>
      </c>
      <c r="AA36">
        <v>13.3</v>
      </c>
      <c r="AB36">
        <v>2.7</v>
      </c>
      <c r="AC36">
        <v>8.4</v>
      </c>
      <c r="AD36">
        <v>24.4</v>
      </c>
      <c r="AE36">
        <v>10.6</v>
      </c>
      <c r="AF36">
        <v>6.5</v>
      </c>
      <c r="AG36">
        <v>9.6</v>
      </c>
      <c r="AH36">
        <v>18.2</v>
      </c>
      <c r="AI36">
        <v>7.9</v>
      </c>
      <c r="AJ36">
        <v>4.4000000000000004</v>
      </c>
      <c r="AK36">
        <v>5.5</v>
      </c>
      <c r="AL36">
        <v>5.6</v>
      </c>
      <c r="AM36">
        <v>15.8</v>
      </c>
      <c r="AN36">
        <v>-2.8</v>
      </c>
      <c r="AO36">
        <v>-0.8</v>
      </c>
      <c r="AP36">
        <v>7.5</v>
      </c>
      <c r="AQ36">
        <v>8.4</v>
      </c>
      <c r="AR36">
        <v>18.899999999999999</v>
      </c>
      <c r="AS36">
        <v>27.1</v>
      </c>
      <c r="AT36">
        <v>20.2</v>
      </c>
      <c r="AU36">
        <v>34.200000000000003</v>
      </c>
      <c r="AV36" s="205">
        <f t="shared" si="0"/>
        <v>21.759999999999998</v>
      </c>
    </row>
    <row r="37" spans="1:48" x14ac:dyDescent="0.25">
      <c r="A37" t="s">
        <v>54</v>
      </c>
      <c r="B37">
        <v>15.1</v>
      </c>
      <c r="C37">
        <v>20.7</v>
      </c>
      <c r="D37">
        <v>21.1</v>
      </c>
      <c r="E37">
        <v>20.2</v>
      </c>
      <c r="F37">
        <v>9.6999999999999993</v>
      </c>
      <c r="G37">
        <v>5.9</v>
      </c>
      <c r="H37">
        <v>11.1</v>
      </c>
      <c r="I37">
        <v>3.8</v>
      </c>
      <c r="J37">
        <v>3.6</v>
      </c>
      <c r="K37">
        <v>4.7</v>
      </c>
      <c r="L37">
        <v>11.1</v>
      </c>
      <c r="M37">
        <v>7.6</v>
      </c>
      <c r="N37">
        <v>13.4</v>
      </c>
      <c r="O37">
        <v>5.8</v>
      </c>
      <c r="P37">
        <v>3.3</v>
      </c>
      <c r="Q37">
        <v>8.4</v>
      </c>
      <c r="R37">
        <v>6</v>
      </c>
      <c r="S37">
        <v>8.6</v>
      </c>
      <c r="T37">
        <v>4.4000000000000004</v>
      </c>
      <c r="U37">
        <v>4.3</v>
      </c>
      <c r="V37">
        <v>-2.4</v>
      </c>
      <c r="W37">
        <v>3.7</v>
      </c>
      <c r="X37">
        <v>1.9</v>
      </c>
      <c r="Y37">
        <v>1.2</v>
      </c>
      <c r="Z37">
        <v>-1.9</v>
      </c>
      <c r="AA37">
        <v>0.4</v>
      </c>
      <c r="AB37">
        <v>4.8</v>
      </c>
      <c r="AC37">
        <v>4.4000000000000004</v>
      </c>
      <c r="AD37">
        <v>6.8</v>
      </c>
      <c r="AE37">
        <v>1</v>
      </c>
      <c r="AF37">
        <v>2.1</v>
      </c>
      <c r="AG37">
        <v>4.5</v>
      </c>
      <c r="AH37">
        <v>2.5</v>
      </c>
      <c r="AI37">
        <v>1.5</v>
      </c>
      <c r="AJ37">
        <v>-0.2</v>
      </c>
      <c r="AK37">
        <v>0.1</v>
      </c>
      <c r="AL37">
        <v>-1.4</v>
      </c>
      <c r="AM37">
        <v>0.8</v>
      </c>
      <c r="AN37">
        <v>1.3</v>
      </c>
      <c r="AO37">
        <v>1.1000000000000001</v>
      </c>
      <c r="AP37">
        <v>0.6</v>
      </c>
      <c r="AQ37">
        <v>1.9</v>
      </c>
      <c r="AR37">
        <v>7.9</v>
      </c>
      <c r="AS37">
        <v>3.7</v>
      </c>
      <c r="AT37">
        <v>1.1000000000000001</v>
      </c>
      <c r="AU37">
        <v>2.2999999999999998</v>
      </c>
      <c r="AV37" s="205">
        <f t="shared" si="0"/>
        <v>3.38</v>
      </c>
    </row>
    <row r="38" spans="1:48" x14ac:dyDescent="0.25">
      <c r="A38" t="s">
        <v>55</v>
      </c>
      <c r="B38" t="s">
        <v>746</v>
      </c>
      <c r="C38" t="s">
        <v>746</v>
      </c>
      <c r="D38" t="s">
        <v>746</v>
      </c>
      <c r="E38" t="s">
        <v>746</v>
      </c>
      <c r="F38" t="s">
        <v>746</v>
      </c>
      <c r="G38" t="s">
        <v>746</v>
      </c>
      <c r="H38" t="s">
        <v>746</v>
      </c>
      <c r="I38">
        <v>-31.2</v>
      </c>
      <c r="J38">
        <v>23</v>
      </c>
      <c r="K38">
        <v>63.8</v>
      </c>
      <c r="L38">
        <v>141.80000000000001</v>
      </c>
      <c r="M38">
        <v>191</v>
      </c>
      <c r="N38">
        <v>75</v>
      </c>
      <c r="O38">
        <v>114.3</v>
      </c>
      <c r="P38">
        <v>10.4</v>
      </c>
      <c r="Q38">
        <v>10.1</v>
      </c>
      <c r="R38">
        <v>7.1</v>
      </c>
      <c r="S38">
        <v>10.5</v>
      </c>
      <c r="T38">
        <v>12.9</v>
      </c>
      <c r="U38">
        <v>2</v>
      </c>
      <c r="V38">
        <v>-0.8</v>
      </c>
      <c r="W38">
        <v>-0.1</v>
      </c>
      <c r="X38">
        <v>0</v>
      </c>
      <c r="Y38">
        <v>1</v>
      </c>
      <c r="Z38">
        <v>3.9</v>
      </c>
      <c r="AA38">
        <v>6.3</v>
      </c>
      <c r="AB38">
        <v>6.1</v>
      </c>
      <c r="AC38">
        <v>7.7</v>
      </c>
      <c r="AD38">
        <v>25</v>
      </c>
      <c r="AE38">
        <v>-0.7</v>
      </c>
      <c r="AF38">
        <v>4</v>
      </c>
      <c r="AG38">
        <v>5.5</v>
      </c>
      <c r="AH38">
        <v>2.9</v>
      </c>
      <c r="AI38">
        <v>2.9</v>
      </c>
      <c r="AJ38">
        <v>3.9</v>
      </c>
      <c r="AK38">
        <v>1.2</v>
      </c>
      <c r="AL38">
        <v>3</v>
      </c>
      <c r="AM38">
        <v>2.9</v>
      </c>
      <c r="AN38">
        <v>2.5</v>
      </c>
      <c r="AO38">
        <v>1.9</v>
      </c>
      <c r="AP38">
        <v>2.9</v>
      </c>
      <c r="AQ38">
        <v>2.9</v>
      </c>
      <c r="AR38">
        <v>5.3</v>
      </c>
      <c r="AS38">
        <v>2.1</v>
      </c>
      <c r="AT38">
        <v>0.8</v>
      </c>
      <c r="AU38">
        <v>2.5</v>
      </c>
      <c r="AV38" s="205">
        <f t="shared" si="0"/>
        <v>2.7199999999999998</v>
      </c>
    </row>
    <row r="39" spans="1:48" x14ac:dyDescent="0.25">
      <c r="A39" t="s">
        <v>56</v>
      </c>
      <c r="B39">
        <v>7.7</v>
      </c>
      <c r="C39">
        <v>7.5</v>
      </c>
      <c r="D39">
        <v>15.3</v>
      </c>
      <c r="E39">
        <v>20.5</v>
      </c>
      <c r="F39">
        <v>12.1</v>
      </c>
      <c r="G39">
        <v>4.2</v>
      </c>
      <c r="H39">
        <v>4.3</v>
      </c>
      <c r="I39">
        <v>2.8</v>
      </c>
      <c r="J39">
        <v>1.7</v>
      </c>
      <c r="K39">
        <v>1.6</v>
      </c>
      <c r="L39">
        <v>1.5</v>
      </c>
      <c r="M39">
        <v>-0.6</v>
      </c>
      <c r="N39">
        <v>1.9</v>
      </c>
      <c r="O39">
        <v>-3.7</v>
      </c>
      <c r="P39">
        <v>14.9</v>
      </c>
      <c r="Q39">
        <v>25.8</v>
      </c>
      <c r="R39">
        <v>3.9</v>
      </c>
      <c r="S39">
        <v>4.8</v>
      </c>
      <c r="T39">
        <v>3.2</v>
      </c>
      <c r="U39">
        <v>1.8</v>
      </c>
      <c r="V39">
        <v>1.2</v>
      </c>
      <c r="W39">
        <v>4.5</v>
      </c>
      <c r="X39">
        <v>2.8</v>
      </c>
      <c r="Y39">
        <v>0.6</v>
      </c>
      <c r="Z39">
        <v>0.3</v>
      </c>
      <c r="AA39">
        <v>2</v>
      </c>
      <c r="AB39">
        <v>4.9000000000000004</v>
      </c>
      <c r="AC39">
        <v>1.1000000000000001</v>
      </c>
      <c r="AD39">
        <v>5.3</v>
      </c>
      <c r="AE39">
        <v>3</v>
      </c>
      <c r="AF39">
        <v>1.3</v>
      </c>
      <c r="AG39">
        <v>3</v>
      </c>
      <c r="AH39">
        <v>2.4</v>
      </c>
      <c r="AI39">
        <v>2.1</v>
      </c>
      <c r="AJ39">
        <v>1.9</v>
      </c>
      <c r="AK39">
        <v>2.7</v>
      </c>
      <c r="AL39">
        <v>0.9</v>
      </c>
      <c r="AM39">
        <v>0.6</v>
      </c>
      <c r="AN39">
        <v>1.1000000000000001</v>
      </c>
      <c r="AO39">
        <v>2.5</v>
      </c>
      <c r="AP39">
        <v>2.5</v>
      </c>
      <c r="AQ39">
        <v>2.2999999999999998</v>
      </c>
      <c r="AR39">
        <v>6.3</v>
      </c>
      <c r="AS39">
        <v>7.4</v>
      </c>
      <c r="AT39">
        <v>4.5</v>
      </c>
      <c r="AU39">
        <v>3.4</v>
      </c>
      <c r="AV39" s="205">
        <f t="shared" si="0"/>
        <v>4.7799999999999994</v>
      </c>
    </row>
    <row r="40" spans="1:48" x14ac:dyDescent="0.25">
      <c r="A40" t="s">
        <v>58</v>
      </c>
      <c r="B40">
        <v>10.199999999999999</v>
      </c>
      <c r="C40">
        <v>12.5</v>
      </c>
      <c r="D40">
        <v>10.8</v>
      </c>
      <c r="E40">
        <v>5.8</v>
      </c>
      <c r="F40">
        <v>4.3</v>
      </c>
      <c r="G40">
        <v>4</v>
      </c>
      <c r="H40">
        <v>4.2</v>
      </c>
      <c r="I40">
        <v>4.4000000000000004</v>
      </c>
      <c r="J40">
        <v>4</v>
      </c>
      <c r="K40">
        <v>5</v>
      </c>
      <c r="L40">
        <v>4.8</v>
      </c>
      <c r="M40">
        <v>5.6</v>
      </c>
      <c r="N40">
        <v>1.5</v>
      </c>
      <c r="O40">
        <v>1.9</v>
      </c>
      <c r="P40">
        <v>0.2</v>
      </c>
      <c r="Q40">
        <v>2.1</v>
      </c>
      <c r="R40">
        <v>1.6</v>
      </c>
      <c r="S40">
        <v>1.6</v>
      </c>
      <c r="T40">
        <v>1</v>
      </c>
      <c r="U40">
        <v>1.7</v>
      </c>
      <c r="V40">
        <v>2.7</v>
      </c>
      <c r="W40">
        <v>2.5</v>
      </c>
      <c r="X40">
        <v>2.2999999999999998</v>
      </c>
      <c r="Y40">
        <v>2.8</v>
      </c>
      <c r="Z40">
        <v>1.9</v>
      </c>
      <c r="AA40">
        <v>2.2000000000000002</v>
      </c>
      <c r="AB40">
        <v>2</v>
      </c>
      <c r="AC40">
        <v>2.1</v>
      </c>
      <c r="AD40">
        <v>2.4</v>
      </c>
      <c r="AE40">
        <v>0.3</v>
      </c>
      <c r="AF40">
        <v>1.8</v>
      </c>
      <c r="AG40">
        <v>2.9</v>
      </c>
      <c r="AH40">
        <v>1.5</v>
      </c>
      <c r="AI40">
        <v>0.9</v>
      </c>
      <c r="AJ40">
        <v>1.9</v>
      </c>
      <c r="AK40">
        <v>1.1000000000000001</v>
      </c>
      <c r="AL40">
        <v>1.4</v>
      </c>
      <c r="AM40">
        <v>1.6</v>
      </c>
      <c r="AN40">
        <v>2.2999999999999998</v>
      </c>
      <c r="AO40">
        <v>1.9</v>
      </c>
      <c r="AP40">
        <v>0.7</v>
      </c>
      <c r="AQ40">
        <v>3.4</v>
      </c>
      <c r="AR40">
        <v>6.8</v>
      </c>
      <c r="AS40">
        <v>3.9</v>
      </c>
      <c r="AT40">
        <v>2.4</v>
      </c>
      <c r="AU40">
        <v>2.1</v>
      </c>
      <c r="AV40" s="205">
        <f t="shared" si="0"/>
        <v>3.72</v>
      </c>
    </row>
    <row r="41" spans="1:48" x14ac:dyDescent="0.25">
      <c r="A41" t="s">
        <v>754</v>
      </c>
      <c r="B41" t="s">
        <v>746</v>
      </c>
      <c r="C41" t="s">
        <v>746</v>
      </c>
      <c r="D41" t="s">
        <v>746</v>
      </c>
      <c r="E41" t="s">
        <v>746</v>
      </c>
      <c r="F41" t="s">
        <v>746</v>
      </c>
      <c r="G41" t="s">
        <v>746</v>
      </c>
      <c r="H41" t="s">
        <v>746</v>
      </c>
      <c r="I41" t="s">
        <v>746</v>
      </c>
      <c r="J41" t="s">
        <v>746</v>
      </c>
      <c r="K41" t="s">
        <v>746</v>
      </c>
      <c r="L41" t="s">
        <v>746</v>
      </c>
      <c r="M41" t="s">
        <v>746</v>
      </c>
      <c r="N41" t="s">
        <v>746</v>
      </c>
      <c r="O41" t="s">
        <v>746</v>
      </c>
      <c r="P41" t="s">
        <v>746</v>
      </c>
      <c r="Q41" t="s">
        <v>746</v>
      </c>
      <c r="R41" t="s">
        <v>746</v>
      </c>
      <c r="S41" t="s">
        <v>746</v>
      </c>
      <c r="T41" t="s">
        <v>746</v>
      </c>
      <c r="U41" t="s">
        <v>746</v>
      </c>
      <c r="V41" t="s">
        <v>746</v>
      </c>
      <c r="W41" t="s">
        <v>746</v>
      </c>
      <c r="X41" t="s">
        <v>746</v>
      </c>
      <c r="Y41" t="s">
        <v>746</v>
      </c>
      <c r="Z41" t="s">
        <v>746</v>
      </c>
      <c r="AA41" t="s">
        <v>746</v>
      </c>
      <c r="AB41" t="s">
        <v>746</v>
      </c>
      <c r="AC41" t="s">
        <v>746</v>
      </c>
      <c r="AD41" t="s">
        <v>746</v>
      </c>
      <c r="AE41" t="s">
        <v>746</v>
      </c>
      <c r="AF41" t="s">
        <v>746</v>
      </c>
      <c r="AG41" t="s">
        <v>746</v>
      </c>
      <c r="AH41" t="s">
        <v>746</v>
      </c>
      <c r="AI41" t="s">
        <v>746</v>
      </c>
      <c r="AJ41" t="s">
        <v>746</v>
      </c>
      <c r="AK41" t="s">
        <v>746</v>
      </c>
      <c r="AL41" t="s">
        <v>746</v>
      </c>
      <c r="AM41" t="s">
        <v>746</v>
      </c>
      <c r="AN41" t="s">
        <v>746</v>
      </c>
      <c r="AO41" t="s">
        <v>746</v>
      </c>
      <c r="AP41" t="s">
        <v>746</v>
      </c>
      <c r="AQ41" t="s">
        <v>746</v>
      </c>
      <c r="AR41" t="s">
        <v>746</v>
      </c>
      <c r="AS41" t="s">
        <v>746</v>
      </c>
      <c r="AT41" t="s">
        <v>746</v>
      </c>
      <c r="AU41" t="s">
        <v>746</v>
      </c>
      <c r="AV41" s="205" t="e">
        <f t="shared" si="0"/>
        <v>#DIV/0!</v>
      </c>
    </row>
    <row r="42" spans="1:48" x14ac:dyDescent="0.25">
      <c r="A42" t="s">
        <v>59</v>
      </c>
      <c r="B42">
        <v>13.3</v>
      </c>
      <c r="C42">
        <v>14.7</v>
      </c>
      <c r="D42">
        <v>13.2</v>
      </c>
      <c r="E42">
        <v>14.6</v>
      </c>
      <c r="F42">
        <v>2.6</v>
      </c>
      <c r="G42">
        <v>10.5</v>
      </c>
      <c r="H42">
        <v>2.4</v>
      </c>
      <c r="I42">
        <v>-7</v>
      </c>
      <c r="J42">
        <v>-3.9</v>
      </c>
      <c r="K42">
        <v>0.6</v>
      </c>
      <c r="L42">
        <v>-0.2</v>
      </c>
      <c r="M42">
        <v>-2.8</v>
      </c>
      <c r="N42">
        <v>-0.8</v>
      </c>
      <c r="O42">
        <v>-2.9</v>
      </c>
      <c r="P42">
        <v>24.5</v>
      </c>
      <c r="Q42">
        <v>19.2</v>
      </c>
      <c r="R42">
        <v>3.7</v>
      </c>
      <c r="S42">
        <v>1.6</v>
      </c>
      <c r="T42">
        <v>-1.9</v>
      </c>
      <c r="U42">
        <v>-1.4</v>
      </c>
      <c r="V42">
        <v>3.2</v>
      </c>
      <c r="W42">
        <v>3.8</v>
      </c>
      <c r="X42">
        <v>2.2999999999999998</v>
      </c>
      <c r="Y42">
        <v>4.4000000000000004</v>
      </c>
      <c r="Z42">
        <v>-2.2000000000000002</v>
      </c>
      <c r="AA42">
        <v>2.9</v>
      </c>
      <c r="AB42">
        <v>6.9</v>
      </c>
      <c r="AC42">
        <v>0.9</v>
      </c>
      <c r="AD42">
        <v>9.1999999999999993</v>
      </c>
      <c r="AE42">
        <v>3.6</v>
      </c>
      <c r="AF42">
        <v>1.5</v>
      </c>
      <c r="AG42">
        <v>1.2</v>
      </c>
      <c r="AH42">
        <v>5.9</v>
      </c>
      <c r="AI42">
        <v>4</v>
      </c>
      <c r="AJ42">
        <v>17.8</v>
      </c>
      <c r="AK42">
        <v>1.4</v>
      </c>
      <c r="AL42">
        <v>4.9000000000000004</v>
      </c>
      <c r="AM42">
        <v>4.2</v>
      </c>
      <c r="AN42">
        <v>1.6</v>
      </c>
      <c r="AO42">
        <v>2.8</v>
      </c>
      <c r="AP42">
        <v>0.9</v>
      </c>
      <c r="AQ42">
        <v>4.3</v>
      </c>
      <c r="AR42">
        <v>5.6</v>
      </c>
      <c r="AS42">
        <v>3</v>
      </c>
      <c r="AT42">
        <v>1.5</v>
      </c>
      <c r="AU42">
        <v>1</v>
      </c>
      <c r="AV42" s="205">
        <f t="shared" si="0"/>
        <v>3.0799999999999996</v>
      </c>
    </row>
    <row r="43" spans="1:48" x14ac:dyDescent="0.25">
      <c r="A43" t="s">
        <v>60</v>
      </c>
      <c r="B43">
        <v>8.6</v>
      </c>
      <c r="C43">
        <v>8.1</v>
      </c>
      <c r="D43">
        <v>6.4</v>
      </c>
      <c r="E43">
        <v>7.9</v>
      </c>
      <c r="F43">
        <v>20.3</v>
      </c>
      <c r="G43">
        <v>5.0999999999999996</v>
      </c>
      <c r="H43">
        <v>-13.1</v>
      </c>
      <c r="I43">
        <v>-2.7</v>
      </c>
      <c r="J43">
        <v>14.9</v>
      </c>
      <c r="K43">
        <v>-4.9000000000000004</v>
      </c>
      <c r="L43">
        <v>0.5</v>
      </c>
      <c r="M43">
        <v>4.2</v>
      </c>
      <c r="N43">
        <v>-3.8</v>
      </c>
      <c r="O43">
        <v>-10.9</v>
      </c>
      <c r="P43">
        <v>41.3</v>
      </c>
      <c r="Q43">
        <v>5.4</v>
      </c>
      <c r="R43">
        <v>11.3</v>
      </c>
      <c r="S43">
        <v>5.6</v>
      </c>
      <c r="T43">
        <v>4.3</v>
      </c>
      <c r="U43">
        <v>-8.4</v>
      </c>
      <c r="V43">
        <v>3.8</v>
      </c>
      <c r="W43">
        <v>12.4</v>
      </c>
      <c r="X43">
        <v>5.2</v>
      </c>
      <c r="Y43">
        <v>-1.8</v>
      </c>
      <c r="Z43">
        <v>-4.8</v>
      </c>
      <c r="AA43">
        <v>4.4000000000000004</v>
      </c>
      <c r="AB43">
        <v>9.6</v>
      </c>
      <c r="AC43">
        <v>-7.4</v>
      </c>
      <c r="AD43">
        <v>8.3000000000000007</v>
      </c>
      <c r="AE43">
        <v>10.1</v>
      </c>
      <c r="AF43">
        <v>-2.1</v>
      </c>
      <c r="AG43">
        <v>2</v>
      </c>
      <c r="AH43">
        <v>7.5</v>
      </c>
      <c r="AI43">
        <v>0.2</v>
      </c>
      <c r="AJ43">
        <v>-5.5</v>
      </c>
      <c r="AK43">
        <v>4.8</v>
      </c>
      <c r="AL43">
        <v>-1.6</v>
      </c>
      <c r="AM43">
        <v>-0.9</v>
      </c>
      <c r="AN43">
        <v>4</v>
      </c>
      <c r="AO43">
        <v>-1</v>
      </c>
      <c r="AP43">
        <v>-2.7</v>
      </c>
      <c r="AQ43">
        <v>-0.8</v>
      </c>
      <c r="AR43">
        <v>5.8</v>
      </c>
      <c r="AS43">
        <v>4.0999999999999996</v>
      </c>
      <c r="AT43">
        <v>5.7</v>
      </c>
      <c r="AU43">
        <v>-2.6</v>
      </c>
      <c r="AV43" s="205">
        <f t="shared" si="0"/>
        <v>2.4400000000000004</v>
      </c>
    </row>
    <row r="44" spans="1:48" x14ac:dyDescent="0.25">
      <c r="A44" t="s">
        <v>755</v>
      </c>
      <c r="B44" t="s">
        <v>746</v>
      </c>
      <c r="C44" t="s">
        <v>746</v>
      </c>
      <c r="D44" t="s">
        <v>746</v>
      </c>
      <c r="E44" t="s">
        <v>746</v>
      </c>
      <c r="F44" t="s">
        <v>746</v>
      </c>
      <c r="G44" t="s">
        <v>746</v>
      </c>
      <c r="H44" t="s">
        <v>746</v>
      </c>
      <c r="I44" t="s">
        <v>746</v>
      </c>
      <c r="J44" t="s">
        <v>746</v>
      </c>
      <c r="K44" t="s">
        <v>746</v>
      </c>
      <c r="L44" t="s">
        <v>746</v>
      </c>
      <c r="M44" t="s">
        <v>746</v>
      </c>
      <c r="N44" t="s">
        <v>746</v>
      </c>
      <c r="O44" t="s">
        <v>746</v>
      </c>
      <c r="P44" t="s">
        <v>746</v>
      </c>
      <c r="Q44" t="s">
        <v>746</v>
      </c>
      <c r="R44" t="s">
        <v>746</v>
      </c>
      <c r="S44" t="s">
        <v>746</v>
      </c>
      <c r="T44" t="s">
        <v>746</v>
      </c>
      <c r="U44" t="s">
        <v>746</v>
      </c>
      <c r="V44" t="s">
        <v>746</v>
      </c>
      <c r="W44" t="s">
        <v>746</v>
      </c>
      <c r="X44" t="s">
        <v>746</v>
      </c>
      <c r="Y44" t="s">
        <v>746</v>
      </c>
      <c r="Z44" t="s">
        <v>746</v>
      </c>
      <c r="AA44" t="s">
        <v>746</v>
      </c>
      <c r="AB44" t="s">
        <v>746</v>
      </c>
      <c r="AC44" t="s">
        <v>746</v>
      </c>
      <c r="AD44" t="s">
        <v>746</v>
      </c>
      <c r="AE44" t="s">
        <v>746</v>
      </c>
      <c r="AF44" t="s">
        <v>746</v>
      </c>
      <c r="AG44" t="s">
        <v>746</v>
      </c>
      <c r="AH44" t="s">
        <v>746</v>
      </c>
      <c r="AI44" t="s">
        <v>746</v>
      </c>
      <c r="AJ44" t="s">
        <v>746</v>
      </c>
      <c r="AK44" t="s">
        <v>746</v>
      </c>
      <c r="AL44" t="s">
        <v>746</v>
      </c>
      <c r="AM44" t="s">
        <v>746</v>
      </c>
      <c r="AN44" t="s">
        <v>746</v>
      </c>
      <c r="AO44" t="s">
        <v>746</v>
      </c>
      <c r="AP44" t="s">
        <v>746</v>
      </c>
      <c r="AQ44" t="s">
        <v>746</v>
      </c>
      <c r="AR44" t="s">
        <v>746</v>
      </c>
      <c r="AS44" t="s">
        <v>746</v>
      </c>
      <c r="AT44" t="s">
        <v>746</v>
      </c>
      <c r="AU44" t="s">
        <v>746</v>
      </c>
      <c r="AV44" s="205" t="e">
        <f t="shared" si="0"/>
        <v>#DIV/0!</v>
      </c>
    </row>
    <row r="45" spans="1:48" x14ac:dyDescent="0.25">
      <c r="A45" t="s">
        <v>61</v>
      </c>
      <c r="B45">
        <v>35.1</v>
      </c>
      <c r="C45">
        <v>19.7</v>
      </c>
      <c r="D45">
        <v>9.9</v>
      </c>
      <c r="E45">
        <v>27.3</v>
      </c>
      <c r="F45">
        <v>19.899999999999999</v>
      </c>
      <c r="G45">
        <v>30.7</v>
      </c>
      <c r="H45">
        <v>19.5</v>
      </c>
      <c r="I45">
        <v>19.899999999999999</v>
      </c>
      <c r="J45">
        <v>14.7</v>
      </c>
      <c r="K45">
        <v>17</v>
      </c>
      <c r="L45">
        <v>26</v>
      </c>
      <c r="M45">
        <v>21.8</v>
      </c>
      <c r="N45">
        <v>15.4</v>
      </c>
      <c r="O45">
        <v>12.7</v>
      </c>
      <c r="P45">
        <v>11.4</v>
      </c>
      <c r="Q45">
        <v>8.1999999999999993</v>
      </c>
      <c r="R45">
        <v>7.4</v>
      </c>
      <c r="S45">
        <v>6.1</v>
      </c>
      <c r="T45">
        <v>5.0999999999999996</v>
      </c>
      <c r="U45">
        <v>3.3</v>
      </c>
      <c r="V45">
        <v>3.8</v>
      </c>
      <c r="W45">
        <v>3.6</v>
      </c>
      <c r="X45">
        <v>2.5</v>
      </c>
      <c r="Y45">
        <v>2.8</v>
      </c>
      <c r="Z45">
        <v>1.1000000000000001</v>
      </c>
      <c r="AA45">
        <v>3.1</v>
      </c>
      <c r="AB45">
        <v>3.4</v>
      </c>
      <c r="AC45">
        <v>4.4000000000000004</v>
      </c>
      <c r="AD45">
        <v>8.6999999999999993</v>
      </c>
      <c r="AE45">
        <v>1.5</v>
      </c>
      <c r="AF45">
        <v>1.4</v>
      </c>
      <c r="AG45">
        <v>3.3</v>
      </c>
      <c r="AH45">
        <v>3</v>
      </c>
      <c r="AI45">
        <v>1.8</v>
      </c>
      <c r="AJ45">
        <v>4.7</v>
      </c>
      <c r="AK45">
        <v>4.3</v>
      </c>
      <c r="AL45">
        <v>3.8</v>
      </c>
      <c r="AM45">
        <v>2.2000000000000002</v>
      </c>
      <c r="AN45">
        <v>2.2999999999999998</v>
      </c>
      <c r="AO45">
        <v>2.2999999999999998</v>
      </c>
      <c r="AP45">
        <v>3</v>
      </c>
      <c r="AQ45">
        <v>4.5</v>
      </c>
      <c r="AR45">
        <v>11.6</v>
      </c>
      <c r="AS45">
        <v>7.6</v>
      </c>
      <c r="AT45">
        <v>3.9</v>
      </c>
      <c r="AU45">
        <v>4.2</v>
      </c>
      <c r="AV45" s="205">
        <f t="shared" si="0"/>
        <v>6.36</v>
      </c>
    </row>
    <row r="46" spans="1:48" x14ac:dyDescent="0.25">
      <c r="A46" t="s">
        <v>756</v>
      </c>
      <c r="B46" t="s">
        <v>746</v>
      </c>
      <c r="C46">
        <v>2.5</v>
      </c>
      <c r="D46">
        <v>2</v>
      </c>
      <c r="E46">
        <v>2</v>
      </c>
      <c r="F46">
        <v>2.7</v>
      </c>
      <c r="G46">
        <v>9.3000000000000007</v>
      </c>
      <c r="H46">
        <v>6.5</v>
      </c>
      <c r="I46">
        <v>7.3</v>
      </c>
      <c r="J46">
        <v>18.8</v>
      </c>
      <c r="K46">
        <v>18</v>
      </c>
      <c r="L46">
        <v>3.3</v>
      </c>
      <c r="M46">
        <v>3.6</v>
      </c>
      <c r="N46">
        <v>6.4</v>
      </c>
      <c r="O46">
        <v>14.6</v>
      </c>
      <c r="P46">
        <v>24.3</v>
      </c>
      <c r="Q46">
        <v>16.8</v>
      </c>
      <c r="R46">
        <v>8.3000000000000007</v>
      </c>
      <c r="S46">
        <v>2.8</v>
      </c>
      <c r="T46">
        <v>-0.8</v>
      </c>
      <c r="U46">
        <v>-1.4</v>
      </c>
      <c r="V46">
        <v>0.4</v>
      </c>
      <c r="W46">
        <v>0.7</v>
      </c>
      <c r="X46">
        <v>-0.8</v>
      </c>
      <c r="Y46">
        <v>1.2</v>
      </c>
      <c r="Z46">
        <v>3.9</v>
      </c>
      <c r="AA46">
        <v>1.8</v>
      </c>
      <c r="AB46">
        <v>1.5</v>
      </c>
      <c r="AC46">
        <v>4.8</v>
      </c>
      <c r="AD46">
        <v>5.8</v>
      </c>
      <c r="AE46">
        <v>-0.7</v>
      </c>
      <c r="AF46">
        <v>3.3</v>
      </c>
      <c r="AG46">
        <v>5.4</v>
      </c>
      <c r="AH46">
        <v>2.6</v>
      </c>
      <c r="AI46">
        <v>2.6</v>
      </c>
      <c r="AJ46">
        <v>2</v>
      </c>
      <c r="AK46">
        <v>1.4</v>
      </c>
      <c r="AL46">
        <v>2</v>
      </c>
      <c r="AM46">
        <v>1.6</v>
      </c>
      <c r="AN46">
        <v>2.1</v>
      </c>
      <c r="AO46">
        <v>2.9</v>
      </c>
      <c r="AP46">
        <v>2.5</v>
      </c>
      <c r="AQ46">
        <v>0.9</v>
      </c>
      <c r="AR46">
        <v>2</v>
      </c>
      <c r="AS46">
        <v>0.2</v>
      </c>
      <c r="AT46">
        <v>0.2</v>
      </c>
      <c r="AU46">
        <v>0</v>
      </c>
      <c r="AV46" s="205">
        <f t="shared" si="0"/>
        <v>0.66</v>
      </c>
    </row>
    <row r="47" spans="1:48" x14ac:dyDescent="0.25">
      <c r="A47" t="s">
        <v>63</v>
      </c>
      <c r="B47">
        <v>25.9</v>
      </c>
      <c r="C47">
        <v>27.4</v>
      </c>
      <c r="D47">
        <v>24.9</v>
      </c>
      <c r="E47">
        <v>19.5</v>
      </c>
      <c r="F47">
        <v>16.3</v>
      </c>
      <c r="G47">
        <v>23.9</v>
      </c>
      <c r="H47">
        <v>18.8</v>
      </c>
      <c r="I47">
        <v>23.3</v>
      </c>
      <c r="J47">
        <v>28.1</v>
      </c>
      <c r="K47">
        <v>25.9</v>
      </c>
      <c r="L47">
        <v>29.1</v>
      </c>
      <c r="M47">
        <v>30.3</v>
      </c>
      <c r="N47">
        <v>27</v>
      </c>
      <c r="O47">
        <v>22.4</v>
      </c>
      <c r="P47">
        <v>22.9</v>
      </c>
      <c r="Q47">
        <v>20.9</v>
      </c>
      <c r="R47">
        <v>20.8</v>
      </c>
      <c r="S47">
        <v>18.5</v>
      </c>
      <c r="T47">
        <v>18.7</v>
      </c>
      <c r="U47">
        <v>10.9</v>
      </c>
      <c r="V47">
        <v>9.1999999999999993</v>
      </c>
      <c r="W47">
        <v>8</v>
      </c>
      <c r="X47">
        <v>6.3</v>
      </c>
      <c r="Y47">
        <v>7.1</v>
      </c>
      <c r="Z47">
        <v>5.9</v>
      </c>
      <c r="AA47">
        <v>5</v>
      </c>
      <c r="AB47">
        <v>4.3</v>
      </c>
      <c r="AC47">
        <v>5.5</v>
      </c>
      <c r="AD47">
        <v>7</v>
      </c>
      <c r="AE47">
        <v>4.2</v>
      </c>
      <c r="AF47">
        <v>2.2999999999999998</v>
      </c>
      <c r="AG47">
        <v>3.4</v>
      </c>
      <c r="AH47">
        <v>3.2</v>
      </c>
      <c r="AI47">
        <v>2</v>
      </c>
      <c r="AJ47">
        <v>2.9</v>
      </c>
      <c r="AK47">
        <v>5</v>
      </c>
      <c r="AL47">
        <v>7.5</v>
      </c>
      <c r="AM47">
        <v>4.3</v>
      </c>
      <c r="AN47">
        <v>3.2</v>
      </c>
      <c r="AO47">
        <v>3.5</v>
      </c>
      <c r="AP47">
        <v>2.5</v>
      </c>
      <c r="AQ47">
        <v>3.5</v>
      </c>
      <c r="AR47">
        <v>10.199999999999999</v>
      </c>
      <c r="AS47">
        <v>11.7</v>
      </c>
      <c r="AT47">
        <v>6.6</v>
      </c>
      <c r="AU47">
        <v>5.0999999999999996</v>
      </c>
      <c r="AV47" s="205">
        <f t="shared" si="0"/>
        <v>7.42</v>
      </c>
    </row>
    <row r="48" spans="1:48" x14ac:dyDescent="0.25">
      <c r="A48" t="s">
        <v>64</v>
      </c>
      <c r="B48">
        <v>13.3</v>
      </c>
      <c r="C48">
        <v>6.5</v>
      </c>
      <c r="D48">
        <v>15.2</v>
      </c>
      <c r="E48">
        <v>9.1999999999999993</v>
      </c>
      <c r="F48">
        <v>6.1</v>
      </c>
      <c r="G48">
        <v>8.4</v>
      </c>
      <c r="H48">
        <v>-11.3</v>
      </c>
      <c r="I48">
        <v>3.3</v>
      </c>
      <c r="J48">
        <v>0.3</v>
      </c>
      <c r="K48">
        <v>4.4000000000000004</v>
      </c>
      <c r="L48">
        <v>-7.4</v>
      </c>
      <c r="M48">
        <v>1.7</v>
      </c>
      <c r="N48">
        <v>-1.4</v>
      </c>
      <c r="O48">
        <v>2</v>
      </c>
      <c r="P48">
        <v>25.3</v>
      </c>
      <c r="Q48">
        <v>3.1</v>
      </c>
      <c r="R48">
        <v>2.4</v>
      </c>
      <c r="S48">
        <v>1.5</v>
      </c>
      <c r="T48">
        <v>1.2</v>
      </c>
      <c r="U48">
        <v>1.1000000000000001</v>
      </c>
      <c r="V48">
        <v>5.9</v>
      </c>
      <c r="W48">
        <v>5.6</v>
      </c>
      <c r="X48">
        <v>3.6</v>
      </c>
      <c r="Y48">
        <v>3.7</v>
      </c>
      <c r="Z48">
        <v>4.5</v>
      </c>
      <c r="AA48">
        <v>3</v>
      </c>
      <c r="AB48">
        <v>3.4</v>
      </c>
      <c r="AC48">
        <v>4.5</v>
      </c>
      <c r="AD48">
        <v>4.8</v>
      </c>
      <c r="AE48">
        <v>4.8</v>
      </c>
      <c r="AF48">
        <v>3.9</v>
      </c>
      <c r="AG48">
        <v>2.2000000000000002</v>
      </c>
      <c r="AH48">
        <v>5.9</v>
      </c>
      <c r="AI48">
        <v>0.4</v>
      </c>
      <c r="AJ48">
        <v>0</v>
      </c>
      <c r="AK48">
        <v>0.9</v>
      </c>
      <c r="AL48">
        <v>0.8</v>
      </c>
      <c r="AM48">
        <v>0.1</v>
      </c>
      <c r="AN48">
        <v>1.7</v>
      </c>
      <c r="AO48">
        <v>3.7</v>
      </c>
      <c r="AP48">
        <v>0.8</v>
      </c>
      <c r="AQ48">
        <v>0</v>
      </c>
      <c r="AR48">
        <v>12.4</v>
      </c>
      <c r="AS48">
        <v>8.5</v>
      </c>
      <c r="AT48">
        <v>5</v>
      </c>
      <c r="AU48">
        <v>3.2</v>
      </c>
      <c r="AV48" s="205">
        <f t="shared" si="0"/>
        <v>5.8199999999999994</v>
      </c>
    </row>
    <row r="49" spans="1:48" x14ac:dyDescent="0.25">
      <c r="A49" t="s">
        <v>328</v>
      </c>
      <c r="B49">
        <v>40</v>
      </c>
      <c r="C49">
        <v>34.9</v>
      </c>
      <c r="D49">
        <v>37.1</v>
      </c>
      <c r="E49">
        <v>76.7</v>
      </c>
      <c r="F49">
        <v>52.6</v>
      </c>
      <c r="G49">
        <v>23.5</v>
      </c>
      <c r="H49">
        <v>46.7</v>
      </c>
      <c r="I49">
        <v>90.4</v>
      </c>
      <c r="J49">
        <v>82.7</v>
      </c>
      <c r="K49">
        <v>104.1</v>
      </c>
      <c r="L49">
        <v>81.3</v>
      </c>
      <c r="M49">
        <v>2154.4</v>
      </c>
      <c r="N49">
        <v>4129.2</v>
      </c>
      <c r="O49">
        <v>1986.9</v>
      </c>
      <c r="P49">
        <v>23773.1</v>
      </c>
      <c r="Q49">
        <v>541.79999999999995</v>
      </c>
      <c r="R49">
        <v>617</v>
      </c>
      <c r="S49">
        <v>199</v>
      </c>
      <c r="T49">
        <v>29.1</v>
      </c>
      <c r="U49">
        <v>284.89999999999998</v>
      </c>
      <c r="V49">
        <v>550</v>
      </c>
      <c r="W49">
        <v>357.3</v>
      </c>
      <c r="X49">
        <v>25.3</v>
      </c>
      <c r="Y49">
        <v>12.8</v>
      </c>
      <c r="Z49">
        <v>4</v>
      </c>
      <c r="AA49">
        <v>21.5</v>
      </c>
      <c r="AB49">
        <v>12.8</v>
      </c>
      <c r="AC49">
        <v>16.7</v>
      </c>
      <c r="AD49">
        <v>18</v>
      </c>
      <c r="AE49">
        <v>46.1</v>
      </c>
      <c r="AF49">
        <v>23.5</v>
      </c>
      <c r="AG49">
        <v>14.9</v>
      </c>
      <c r="AH49">
        <v>0.9</v>
      </c>
      <c r="AI49">
        <v>0.9</v>
      </c>
      <c r="AJ49">
        <v>1.2</v>
      </c>
      <c r="AK49">
        <v>0.7</v>
      </c>
      <c r="AL49">
        <v>3.2</v>
      </c>
      <c r="AM49">
        <v>35.700000000000003</v>
      </c>
      <c r="AN49">
        <v>29.3</v>
      </c>
      <c r="AO49">
        <v>4.7</v>
      </c>
      <c r="AP49">
        <v>11.4</v>
      </c>
      <c r="AQ49">
        <v>9</v>
      </c>
      <c r="AR49">
        <v>9.3000000000000007</v>
      </c>
      <c r="AS49">
        <v>19.899999999999999</v>
      </c>
      <c r="AT49">
        <v>17.7</v>
      </c>
      <c r="AU49">
        <v>7.4</v>
      </c>
      <c r="AV49" s="205">
        <f t="shared" si="0"/>
        <v>12.66</v>
      </c>
    </row>
    <row r="50" spans="1:48" x14ac:dyDescent="0.25">
      <c r="A50" t="s">
        <v>757</v>
      </c>
      <c r="B50">
        <v>7.3</v>
      </c>
      <c r="C50">
        <v>0.8</v>
      </c>
      <c r="D50">
        <v>3.5</v>
      </c>
      <c r="E50">
        <v>3.5</v>
      </c>
      <c r="F50">
        <v>3.5</v>
      </c>
      <c r="G50">
        <v>3.5</v>
      </c>
      <c r="H50">
        <v>3.5</v>
      </c>
      <c r="I50">
        <v>3.5</v>
      </c>
      <c r="J50">
        <v>-13</v>
      </c>
      <c r="K50">
        <v>-9.6</v>
      </c>
      <c r="L50">
        <v>0.3</v>
      </c>
      <c r="M50">
        <v>9.4</v>
      </c>
      <c r="N50">
        <v>-3.2</v>
      </c>
      <c r="O50">
        <v>-4.0999999999999996</v>
      </c>
      <c r="P50">
        <v>7.5</v>
      </c>
      <c r="Q50">
        <v>6.3</v>
      </c>
      <c r="R50">
        <v>7.4</v>
      </c>
      <c r="S50">
        <v>12.7</v>
      </c>
      <c r="T50">
        <v>2.2000000000000002</v>
      </c>
      <c r="U50">
        <v>3</v>
      </c>
      <c r="V50">
        <v>0.5</v>
      </c>
      <c r="W50">
        <v>0.8</v>
      </c>
      <c r="X50">
        <v>3</v>
      </c>
      <c r="Y50">
        <v>1.7</v>
      </c>
      <c r="Z50">
        <v>3.7</v>
      </c>
      <c r="AA50">
        <v>2.5</v>
      </c>
      <c r="AB50">
        <v>4.7</v>
      </c>
      <c r="AC50">
        <v>2.6</v>
      </c>
      <c r="AD50">
        <v>6</v>
      </c>
      <c r="AE50">
        <v>4.3</v>
      </c>
      <c r="AF50">
        <v>0.4</v>
      </c>
      <c r="AG50">
        <v>1.8</v>
      </c>
      <c r="AH50">
        <v>5</v>
      </c>
      <c r="AI50">
        <v>4.5999999999999996</v>
      </c>
      <c r="AJ50">
        <v>0.9</v>
      </c>
      <c r="AK50">
        <v>3.2</v>
      </c>
      <c r="AL50">
        <v>3.2</v>
      </c>
      <c r="AM50">
        <v>0.4</v>
      </c>
      <c r="AN50">
        <v>1.2</v>
      </c>
      <c r="AO50">
        <v>0.4</v>
      </c>
      <c r="AP50">
        <v>1.4</v>
      </c>
      <c r="AQ50">
        <v>2</v>
      </c>
      <c r="AR50">
        <v>3</v>
      </c>
      <c r="AS50">
        <v>4.3</v>
      </c>
      <c r="AT50">
        <v>3.1</v>
      </c>
      <c r="AU50">
        <v>2.6</v>
      </c>
      <c r="AV50" s="205">
        <f t="shared" si="0"/>
        <v>3</v>
      </c>
    </row>
    <row r="51" spans="1:48" x14ac:dyDescent="0.25">
      <c r="A51" t="s">
        <v>758</v>
      </c>
      <c r="B51" t="s">
        <v>746</v>
      </c>
      <c r="C51" t="s">
        <v>746</v>
      </c>
      <c r="D51" t="s">
        <v>746</v>
      </c>
      <c r="E51" t="s">
        <v>746</v>
      </c>
      <c r="F51" t="s">
        <v>746</v>
      </c>
      <c r="G51" t="s">
        <v>746</v>
      </c>
      <c r="H51" t="s">
        <v>746</v>
      </c>
      <c r="I51" t="s">
        <v>746</v>
      </c>
      <c r="J51" t="s">
        <v>746</v>
      </c>
      <c r="K51" t="s">
        <v>746</v>
      </c>
      <c r="L51" t="s">
        <v>746</v>
      </c>
      <c r="M51" t="s">
        <v>746</v>
      </c>
      <c r="N51" t="s">
        <v>746</v>
      </c>
      <c r="O51" t="s">
        <v>746</v>
      </c>
      <c r="P51" t="s">
        <v>746</v>
      </c>
      <c r="Q51" t="s">
        <v>746</v>
      </c>
      <c r="R51" t="s">
        <v>746</v>
      </c>
      <c r="S51" t="s">
        <v>746</v>
      </c>
      <c r="T51" t="s">
        <v>746</v>
      </c>
      <c r="U51" t="s">
        <v>746</v>
      </c>
      <c r="V51" t="s">
        <v>746</v>
      </c>
      <c r="W51" t="s">
        <v>746</v>
      </c>
      <c r="X51" t="s">
        <v>746</v>
      </c>
      <c r="Y51" t="s">
        <v>746</v>
      </c>
      <c r="Z51" t="s">
        <v>746</v>
      </c>
      <c r="AA51" t="s">
        <v>746</v>
      </c>
      <c r="AB51" t="s">
        <v>746</v>
      </c>
      <c r="AC51" t="s">
        <v>746</v>
      </c>
      <c r="AD51" t="s">
        <v>746</v>
      </c>
      <c r="AE51" t="s">
        <v>746</v>
      </c>
      <c r="AF51" t="s">
        <v>746</v>
      </c>
      <c r="AG51" t="s">
        <v>746</v>
      </c>
      <c r="AH51" t="s">
        <v>746</v>
      </c>
      <c r="AI51" t="s">
        <v>746</v>
      </c>
      <c r="AJ51" t="s">
        <v>746</v>
      </c>
      <c r="AK51" t="s">
        <v>746</v>
      </c>
      <c r="AL51" t="s">
        <v>746</v>
      </c>
      <c r="AM51" t="s">
        <v>746</v>
      </c>
      <c r="AN51" t="s">
        <v>746</v>
      </c>
      <c r="AO51" t="s">
        <v>746</v>
      </c>
      <c r="AP51" t="s">
        <v>746</v>
      </c>
      <c r="AQ51" t="s">
        <v>746</v>
      </c>
      <c r="AR51" t="s">
        <v>746</v>
      </c>
      <c r="AS51" t="s">
        <v>746</v>
      </c>
      <c r="AT51" t="s">
        <v>746</v>
      </c>
      <c r="AU51" t="s">
        <v>746</v>
      </c>
      <c r="AV51" s="205" t="e">
        <f t="shared" si="0"/>
        <v>#DIV/0!</v>
      </c>
    </row>
    <row r="52" spans="1:48" x14ac:dyDescent="0.25">
      <c r="A52" t="s">
        <v>67</v>
      </c>
      <c r="B52">
        <v>18.100000000000001</v>
      </c>
      <c r="C52">
        <v>36.799999999999997</v>
      </c>
      <c r="D52">
        <v>90.3</v>
      </c>
      <c r="E52">
        <v>32.5</v>
      </c>
      <c r="F52">
        <v>12</v>
      </c>
      <c r="G52">
        <v>15.1</v>
      </c>
      <c r="H52">
        <v>11.8</v>
      </c>
      <c r="I52">
        <v>16.8</v>
      </c>
      <c r="J52">
        <v>20.8</v>
      </c>
      <c r="K52">
        <v>16.5</v>
      </c>
      <c r="L52">
        <v>19.100000000000001</v>
      </c>
      <c r="M52">
        <v>20.2</v>
      </c>
      <c r="N52">
        <v>21.8</v>
      </c>
      <c r="O52">
        <v>9.8000000000000007</v>
      </c>
      <c r="P52">
        <v>13.5</v>
      </c>
      <c r="Q52">
        <v>23.2</v>
      </c>
      <c r="R52">
        <v>17.5</v>
      </c>
      <c r="S52">
        <v>13.2</v>
      </c>
      <c r="T52">
        <v>11.7</v>
      </c>
      <c r="U52">
        <v>10</v>
      </c>
      <c r="V52">
        <v>11</v>
      </c>
      <c r="W52">
        <v>11.3</v>
      </c>
      <c r="X52">
        <v>9.1999999999999993</v>
      </c>
      <c r="Y52">
        <v>9.4</v>
      </c>
      <c r="Z52">
        <v>12.3</v>
      </c>
      <c r="AA52">
        <v>13.8</v>
      </c>
      <c r="AB52">
        <v>11.5</v>
      </c>
      <c r="AC52">
        <v>9.4</v>
      </c>
      <c r="AD52">
        <v>13.4</v>
      </c>
      <c r="AE52">
        <v>7.8</v>
      </c>
      <c r="AF52">
        <v>5.7</v>
      </c>
      <c r="AG52">
        <v>4.9000000000000004</v>
      </c>
      <c r="AH52">
        <v>4.5</v>
      </c>
      <c r="AI52">
        <v>5.2</v>
      </c>
      <c r="AJ52">
        <v>4.5</v>
      </c>
      <c r="AK52">
        <v>0.8</v>
      </c>
      <c r="AL52">
        <v>0</v>
      </c>
      <c r="AM52">
        <v>1.6</v>
      </c>
      <c r="AN52">
        <v>2.2000000000000002</v>
      </c>
      <c r="AO52">
        <v>2.1</v>
      </c>
      <c r="AP52">
        <v>0.7</v>
      </c>
      <c r="AQ52">
        <v>1.7</v>
      </c>
      <c r="AR52">
        <v>8.3000000000000007</v>
      </c>
      <c r="AS52">
        <v>0.5</v>
      </c>
      <c r="AT52">
        <v>-0.4</v>
      </c>
      <c r="AU52">
        <v>-0.1</v>
      </c>
      <c r="AV52" s="205">
        <f t="shared" si="0"/>
        <v>2</v>
      </c>
    </row>
    <row r="53" spans="1:48" x14ac:dyDescent="0.25">
      <c r="A53" t="s">
        <v>329</v>
      </c>
      <c r="B53">
        <v>8.8000000000000007</v>
      </c>
      <c r="C53">
        <v>8.6999999999999993</v>
      </c>
      <c r="D53">
        <v>7.4</v>
      </c>
      <c r="E53">
        <v>5.9</v>
      </c>
      <c r="F53">
        <v>4.3</v>
      </c>
      <c r="G53">
        <v>1.8</v>
      </c>
      <c r="H53">
        <v>6.8</v>
      </c>
      <c r="I53">
        <v>7</v>
      </c>
      <c r="J53">
        <v>6.9</v>
      </c>
      <c r="K53">
        <v>1</v>
      </c>
      <c r="L53">
        <v>-0.7</v>
      </c>
      <c r="M53">
        <v>1.6</v>
      </c>
      <c r="N53">
        <v>4.2</v>
      </c>
      <c r="O53">
        <v>2.1</v>
      </c>
      <c r="P53">
        <v>26</v>
      </c>
      <c r="Q53">
        <v>14.1</v>
      </c>
      <c r="R53">
        <v>2.7</v>
      </c>
      <c r="S53">
        <v>6.3</v>
      </c>
      <c r="T53">
        <v>4.5</v>
      </c>
      <c r="U53">
        <v>0.7</v>
      </c>
      <c r="V53">
        <v>2.5</v>
      </c>
      <c r="W53">
        <v>4.4000000000000004</v>
      </c>
      <c r="X53">
        <v>3.1</v>
      </c>
      <c r="Y53">
        <v>3.3</v>
      </c>
      <c r="Z53">
        <v>1.5</v>
      </c>
      <c r="AA53">
        <v>3.9</v>
      </c>
      <c r="AB53">
        <v>2.5</v>
      </c>
      <c r="AC53">
        <v>1.9</v>
      </c>
      <c r="AD53">
        <v>1.7</v>
      </c>
      <c r="AE53">
        <v>0.5</v>
      </c>
      <c r="AF53">
        <v>1.8</v>
      </c>
      <c r="AG53">
        <v>4.9000000000000004</v>
      </c>
      <c r="AH53">
        <v>1.3</v>
      </c>
      <c r="AI53">
        <v>2.6</v>
      </c>
      <c r="AJ53">
        <v>0.5</v>
      </c>
      <c r="AK53">
        <v>1.1000000000000001</v>
      </c>
      <c r="AL53">
        <v>0.8</v>
      </c>
      <c r="AM53">
        <v>0.7</v>
      </c>
      <c r="AN53">
        <v>0.6</v>
      </c>
      <c r="AO53">
        <v>0.8</v>
      </c>
      <c r="AP53">
        <v>2.2999999999999998</v>
      </c>
      <c r="AQ53">
        <v>4.2</v>
      </c>
      <c r="AR53">
        <v>5.2</v>
      </c>
      <c r="AS53">
        <v>4.4000000000000004</v>
      </c>
      <c r="AT53">
        <v>3.4</v>
      </c>
      <c r="AU53">
        <v>0.1</v>
      </c>
      <c r="AV53" s="205">
        <f t="shared" si="0"/>
        <v>3.46</v>
      </c>
    </row>
    <row r="54" spans="1:48" x14ac:dyDescent="0.25">
      <c r="A54" t="s">
        <v>69</v>
      </c>
      <c r="B54" t="s">
        <v>746</v>
      </c>
      <c r="C54" t="s">
        <v>746</v>
      </c>
      <c r="D54" t="s">
        <v>746</v>
      </c>
      <c r="E54" t="s">
        <v>746</v>
      </c>
      <c r="F54" t="s">
        <v>746</v>
      </c>
      <c r="G54" t="s">
        <v>746</v>
      </c>
      <c r="H54" t="s">
        <v>746</v>
      </c>
      <c r="I54" t="s">
        <v>746</v>
      </c>
      <c r="J54" t="s">
        <v>746</v>
      </c>
      <c r="K54" t="s">
        <v>746</v>
      </c>
      <c r="L54" t="s">
        <v>746</v>
      </c>
      <c r="M54" t="s">
        <v>746</v>
      </c>
      <c r="N54" t="s">
        <v>746</v>
      </c>
      <c r="O54">
        <v>1518.5</v>
      </c>
      <c r="P54">
        <v>97.5</v>
      </c>
      <c r="Q54">
        <v>2</v>
      </c>
      <c r="R54">
        <v>3.6</v>
      </c>
      <c r="S54">
        <v>3.7</v>
      </c>
      <c r="T54">
        <v>6.7</v>
      </c>
      <c r="U54">
        <v>4</v>
      </c>
      <c r="V54">
        <v>4.5999999999999996</v>
      </c>
      <c r="W54">
        <v>4.3</v>
      </c>
      <c r="X54">
        <v>2.5</v>
      </c>
      <c r="Y54">
        <v>2.4</v>
      </c>
      <c r="Z54">
        <v>2.1</v>
      </c>
      <c r="AA54">
        <v>3</v>
      </c>
      <c r="AB54">
        <v>3.3</v>
      </c>
      <c r="AC54">
        <v>2.7</v>
      </c>
      <c r="AD54">
        <v>5.8</v>
      </c>
      <c r="AE54">
        <v>2.2000000000000002</v>
      </c>
      <c r="AF54">
        <v>1.1000000000000001</v>
      </c>
      <c r="AG54">
        <v>2.2000000000000002</v>
      </c>
      <c r="AH54">
        <v>3.4</v>
      </c>
      <c r="AI54">
        <v>2.2999999999999998</v>
      </c>
      <c r="AJ54">
        <v>0.2</v>
      </c>
      <c r="AK54">
        <v>-0.3</v>
      </c>
      <c r="AL54">
        <v>-0.6</v>
      </c>
      <c r="AM54">
        <v>1.3</v>
      </c>
      <c r="AN54">
        <v>1.6</v>
      </c>
      <c r="AO54">
        <v>0.8</v>
      </c>
      <c r="AP54">
        <v>0</v>
      </c>
      <c r="AQ54">
        <v>2.7</v>
      </c>
      <c r="AR54">
        <v>10.7</v>
      </c>
      <c r="AS54">
        <v>8.4</v>
      </c>
      <c r="AT54">
        <v>4</v>
      </c>
      <c r="AU54">
        <v>4.4000000000000004</v>
      </c>
      <c r="AV54" s="205">
        <f t="shared" si="0"/>
        <v>6.0399999999999991</v>
      </c>
    </row>
    <row r="55" spans="1:48" x14ac:dyDescent="0.25">
      <c r="A55" t="s">
        <v>70</v>
      </c>
      <c r="B55" t="s">
        <v>746</v>
      </c>
      <c r="C55" t="s">
        <v>746</v>
      </c>
      <c r="D55" t="s">
        <v>746</v>
      </c>
      <c r="E55" t="s">
        <v>746</v>
      </c>
      <c r="F55" t="s">
        <v>746</v>
      </c>
      <c r="G55" t="s">
        <v>746</v>
      </c>
      <c r="H55" t="s">
        <v>746</v>
      </c>
      <c r="I55" t="s">
        <v>746</v>
      </c>
      <c r="J55" t="s">
        <v>746</v>
      </c>
      <c r="K55" t="s">
        <v>746</v>
      </c>
      <c r="L55" t="s">
        <v>746</v>
      </c>
      <c r="M55" t="s">
        <v>746</v>
      </c>
      <c r="N55" t="s">
        <v>746</v>
      </c>
      <c r="O55" t="s">
        <v>746</v>
      </c>
      <c r="P55" t="s">
        <v>746</v>
      </c>
      <c r="Q55" t="s">
        <v>746</v>
      </c>
      <c r="R55" t="s">
        <v>746</v>
      </c>
      <c r="S55" t="s">
        <v>746</v>
      </c>
      <c r="T55" t="s">
        <v>746</v>
      </c>
      <c r="U55" t="s">
        <v>746</v>
      </c>
      <c r="V55" t="s">
        <v>746</v>
      </c>
      <c r="W55" t="s">
        <v>746</v>
      </c>
      <c r="X55" t="s">
        <v>746</v>
      </c>
      <c r="Y55" t="s">
        <v>746</v>
      </c>
      <c r="Z55" t="s">
        <v>746</v>
      </c>
      <c r="AA55" t="s">
        <v>746</v>
      </c>
      <c r="AB55" t="s">
        <v>746</v>
      </c>
      <c r="AC55" t="s">
        <v>746</v>
      </c>
      <c r="AD55" t="s">
        <v>746</v>
      </c>
      <c r="AE55" t="s">
        <v>746</v>
      </c>
      <c r="AF55" t="s">
        <v>746</v>
      </c>
      <c r="AG55" t="s">
        <v>746</v>
      </c>
      <c r="AH55" t="s">
        <v>746</v>
      </c>
      <c r="AI55" t="s">
        <v>746</v>
      </c>
      <c r="AJ55" t="s">
        <v>746</v>
      </c>
      <c r="AK55" t="s">
        <v>746</v>
      </c>
      <c r="AL55" t="s">
        <v>746</v>
      </c>
      <c r="AM55" t="s">
        <v>746</v>
      </c>
      <c r="AN55" t="s">
        <v>746</v>
      </c>
      <c r="AO55" t="s">
        <v>746</v>
      </c>
      <c r="AP55" t="s">
        <v>746</v>
      </c>
      <c r="AQ55" t="s">
        <v>746</v>
      </c>
      <c r="AR55" t="s">
        <v>746</v>
      </c>
      <c r="AS55" t="s">
        <v>746</v>
      </c>
      <c r="AT55" t="s">
        <v>746</v>
      </c>
      <c r="AU55" t="s">
        <v>746</v>
      </c>
      <c r="AV55" s="205" t="e">
        <f t="shared" si="0"/>
        <v>#DIV/0!</v>
      </c>
    </row>
    <row r="56" spans="1:48" x14ac:dyDescent="0.25">
      <c r="A56" t="s">
        <v>759</v>
      </c>
      <c r="B56" t="s">
        <v>746</v>
      </c>
      <c r="C56" t="s">
        <v>746</v>
      </c>
      <c r="D56" t="s">
        <v>746</v>
      </c>
      <c r="E56" t="s">
        <v>746</v>
      </c>
      <c r="F56" t="s">
        <v>746</v>
      </c>
      <c r="G56" t="s">
        <v>746</v>
      </c>
      <c r="H56" t="s">
        <v>746</v>
      </c>
      <c r="I56" t="s">
        <v>746</v>
      </c>
      <c r="J56" t="s">
        <v>746</v>
      </c>
      <c r="K56" t="s">
        <v>746</v>
      </c>
      <c r="L56" t="s">
        <v>746</v>
      </c>
      <c r="M56" t="s">
        <v>746</v>
      </c>
      <c r="N56" t="s">
        <v>746</v>
      </c>
      <c r="O56" t="s">
        <v>746</v>
      </c>
      <c r="P56" t="s">
        <v>746</v>
      </c>
      <c r="Q56" t="s">
        <v>746</v>
      </c>
      <c r="R56" t="s">
        <v>746</v>
      </c>
      <c r="S56" t="s">
        <v>746</v>
      </c>
      <c r="T56" t="s">
        <v>746</v>
      </c>
      <c r="U56" t="s">
        <v>746</v>
      </c>
      <c r="V56" t="s">
        <v>746</v>
      </c>
      <c r="W56" t="s">
        <v>746</v>
      </c>
      <c r="X56" t="s">
        <v>746</v>
      </c>
      <c r="Y56" t="s">
        <v>746</v>
      </c>
      <c r="Z56" t="s">
        <v>746</v>
      </c>
      <c r="AA56" t="s">
        <v>746</v>
      </c>
      <c r="AB56" t="s">
        <v>746</v>
      </c>
      <c r="AC56" t="s">
        <v>746</v>
      </c>
      <c r="AD56" t="s">
        <v>746</v>
      </c>
      <c r="AE56" t="s">
        <v>746</v>
      </c>
      <c r="AF56" t="s">
        <v>746</v>
      </c>
      <c r="AG56" t="s">
        <v>746</v>
      </c>
      <c r="AH56" t="s">
        <v>746</v>
      </c>
      <c r="AI56" t="s">
        <v>746</v>
      </c>
      <c r="AJ56" t="s">
        <v>746</v>
      </c>
      <c r="AK56" t="s">
        <v>746</v>
      </c>
      <c r="AL56" t="s">
        <v>746</v>
      </c>
      <c r="AM56" t="s">
        <v>746</v>
      </c>
      <c r="AN56" t="s">
        <v>746</v>
      </c>
      <c r="AO56" t="s">
        <v>746</v>
      </c>
      <c r="AP56" t="s">
        <v>746</v>
      </c>
      <c r="AQ56" t="s">
        <v>746</v>
      </c>
      <c r="AR56" t="s">
        <v>746</v>
      </c>
      <c r="AS56" t="s">
        <v>746</v>
      </c>
      <c r="AT56" t="s">
        <v>746</v>
      </c>
      <c r="AU56" t="s">
        <v>746</v>
      </c>
      <c r="AV56" s="205" t="e">
        <f t="shared" si="0"/>
        <v>#DIV/0!</v>
      </c>
    </row>
    <row r="57" spans="1:48" x14ac:dyDescent="0.25">
      <c r="A57" t="s">
        <v>71</v>
      </c>
      <c r="B57">
        <v>13.5</v>
      </c>
      <c r="C57">
        <v>10.7</v>
      </c>
      <c r="D57">
        <v>6.4</v>
      </c>
      <c r="E57">
        <v>5</v>
      </c>
      <c r="F57">
        <v>6</v>
      </c>
      <c r="G57">
        <v>5</v>
      </c>
      <c r="H57">
        <v>1.2</v>
      </c>
      <c r="I57">
        <v>2.7</v>
      </c>
      <c r="J57">
        <v>3.4</v>
      </c>
      <c r="K57">
        <v>3.8</v>
      </c>
      <c r="L57">
        <v>4.5</v>
      </c>
      <c r="M57">
        <v>5</v>
      </c>
      <c r="N57">
        <v>6.5</v>
      </c>
      <c r="O57">
        <v>4.9000000000000004</v>
      </c>
      <c r="P57">
        <v>4.7</v>
      </c>
      <c r="Q57">
        <v>2.6</v>
      </c>
      <c r="R57">
        <v>2.6</v>
      </c>
      <c r="S57">
        <v>3.3</v>
      </c>
      <c r="T57">
        <v>2.2999999999999998</v>
      </c>
      <c r="U57">
        <v>1.1000000000000001</v>
      </c>
      <c r="V57">
        <v>4.9000000000000004</v>
      </c>
      <c r="W57">
        <v>2</v>
      </c>
      <c r="X57">
        <v>2.8</v>
      </c>
      <c r="Y57">
        <v>4</v>
      </c>
      <c r="Z57">
        <v>1.9</v>
      </c>
      <c r="AA57">
        <v>2</v>
      </c>
      <c r="AB57">
        <v>2.2000000000000002</v>
      </c>
      <c r="AC57">
        <v>2.2000000000000002</v>
      </c>
      <c r="AD57">
        <v>4.4000000000000004</v>
      </c>
      <c r="AE57">
        <v>0.2</v>
      </c>
      <c r="AF57">
        <v>2.6</v>
      </c>
      <c r="AG57">
        <v>3.5</v>
      </c>
      <c r="AH57">
        <v>3.1</v>
      </c>
      <c r="AI57">
        <v>0.4</v>
      </c>
      <c r="AJ57">
        <v>-0.3</v>
      </c>
      <c r="AK57">
        <v>-1.5</v>
      </c>
      <c r="AL57">
        <v>-1.2</v>
      </c>
      <c r="AM57">
        <v>0.7</v>
      </c>
      <c r="AN57">
        <v>0.8</v>
      </c>
      <c r="AO57">
        <v>0.5</v>
      </c>
      <c r="AP57">
        <v>-1.1000000000000001</v>
      </c>
      <c r="AQ57">
        <v>2.2999999999999998</v>
      </c>
      <c r="AR57">
        <v>8.1</v>
      </c>
      <c r="AS57">
        <v>3.9</v>
      </c>
      <c r="AT57">
        <v>2.2999999999999998</v>
      </c>
      <c r="AU57">
        <v>0.8</v>
      </c>
      <c r="AV57" s="205">
        <f t="shared" si="0"/>
        <v>3.4799999999999995</v>
      </c>
    </row>
    <row r="58" spans="1:48" x14ac:dyDescent="0.25">
      <c r="A58" t="s">
        <v>330</v>
      </c>
      <c r="B58" t="s">
        <v>746</v>
      </c>
      <c r="C58" t="s">
        <v>746</v>
      </c>
      <c r="D58" t="s">
        <v>746</v>
      </c>
      <c r="E58" t="s">
        <v>746</v>
      </c>
      <c r="F58" t="s">
        <v>746</v>
      </c>
      <c r="G58" t="s">
        <v>746</v>
      </c>
      <c r="H58" t="s">
        <v>746</v>
      </c>
      <c r="I58" t="s">
        <v>746</v>
      </c>
      <c r="J58" t="s">
        <v>746</v>
      </c>
      <c r="K58" t="s">
        <v>746</v>
      </c>
      <c r="L58" t="s">
        <v>746</v>
      </c>
      <c r="M58" t="s">
        <v>746</v>
      </c>
      <c r="N58" t="s">
        <v>746</v>
      </c>
      <c r="O58" t="s">
        <v>746</v>
      </c>
      <c r="P58" t="s">
        <v>746</v>
      </c>
      <c r="Q58" t="s">
        <v>746</v>
      </c>
      <c r="R58">
        <v>8.6999999999999993</v>
      </c>
      <c r="S58">
        <v>8.6</v>
      </c>
      <c r="T58">
        <v>10.6</v>
      </c>
      <c r="U58">
        <v>2.2000000000000002</v>
      </c>
      <c r="V58">
        <v>3.8</v>
      </c>
      <c r="W58">
        <v>4.5999999999999996</v>
      </c>
      <c r="X58">
        <v>1.9</v>
      </c>
      <c r="Y58">
        <v>0.1</v>
      </c>
      <c r="Z58">
        <v>2.7</v>
      </c>
      <c r="AA58">
        <v>1.9</v>
      </c>
      <c r="AB58">
        <v>2.5</v>
      </c>
      <c r="AC58">
        <v>2.9</v>
      </c>
      <c r="AD58">
        <v>6.3</v>
      </c>
      <c r="AE58">
        <v>1</v>
      </c>
      <c r="AF58">
        <v>1.5</v>
      </c>
      <c r="AG58">
        <v>1.9</v>
      </c>
      <c r="AH58">
        <v>3.3</v>
      </c>
      <c r="AI58">
        <v>1.4</v>
      </c>
      <c r="AJ58">
        <v>0.4</v>
      </c>
      <c r="AK58">
        <v>0.3</v>
      </c>
      <c r="AL58">
        <v>0.6</v>
      </c>
      <c r="AM58">
        <v>2.4</v>
      </c>
      <c r="AN58">
        <v>2.2000000000000002</v>
      </c>
      <c r="AO58">
        <v>2.8</v>
      </c>
      <c r="AP58">
        <v>3.2</v>
      </c>
      <c r="AQ58">
        <v>3.9</v>
      </c>
      <c r="AR58">
        <v>15.1</v>
      </c>
      <c r="AS58">
        <v>10.7</v>
      </c>
      <c r="AT58">
        <v>2.4</v>
      </c>
      <c r="AU58">
        <v>2.5</v>
      </c>
      <c r="AV58" s="205">
        <f t="shared" si="0"/>
        <v>6.92</v>
      </c>
    </row>
    <row r="59" spans="1:48" x14ac:dyDescent="0.25">
      <c r="A59" t="s">
        <v>73</v>
      </c>
      <c r="B59">
        <v>11.3</v>
      </c>
      <c r="C59">
        <v>11.7</v>
      </c>
      <c r="D59">
        <v>10.1</v>
      </c>
      <c r="E59">
        <v>6.8</v>
      </c>
      <c r="F59">
        <v>6.3</v>
      </c>
      <c r="G59">
        <v>4.7</v>
      </c>
      <c r="H59">
        <v>3.7</v>
      </c>
      <c r="I59">
        <v>4</v>
      </c>
      <c r="J59">
        <v>4.5</v>
      </c>
      <c r="K59">
        <v>4.8</v>
      </c>
      <c r="L59">
        <v>2.6</v>
      </c>
      <c r="M59">
        <v>2.5</v>
      </c>
      <c r="N59">
        <v>2</v>
      </c>
      <c r="O59">
        <v>0.9</v>
      </c>
      <c r="P59">
        <v>1.8</v>
      </c>
      <c r="Q59">
        <v>2</v>
      </c>
      <c r="R59">
        <v>2.1</v>
      </c>
      <c r="S59">
        <v>2</v>
      </c>
      <c r="T59">
        <v>1.3</v>
      </c>
      <c r="U59">
        <v>2</v>
      </c>
      <c r="V59">
        <v>2.8</v>
      </c>
      <c r="W59">
        <v>2.2999999999999998</v>
      </c>
      <c r="X59">
        <v>2.4</v>
      </c>
      <c r="Y59">
        <v>2</v>
      </c>
      <c r="Z59">
        <v>0.9</v>
      </c>
      <c r="AA59">
        <v>1.7</v>
      </c>
      <c r="AB59">
        <v>1.9</v>
      </c>
      <c r="AC59">
        <v>1.7</v>
      </c>
      <c r="AD59">
        <v>3.6</v>
      </c>
      <c r="AE59">
        <v>1.1000000000000001</v>
      </c>
      <c r="AF59">
        <v>2.2000000000000002</v>
      </c>
      <c r="AG59">
        <v>2.7</v>
      </c>
      <c r="AH59">
        <v>2.2999999999999998</v>
      </c>
      <c r="AI59">
        <v>0.5</v>
      </c>
      <c r="AJ59">
        <v>0.3</v>
      </c>
      <c r="AK59">
        <v>0.2</v>
      </c>
      <c r="AL59">
        <v>0</v>
      </c>
      <c r="AM59">
        <v>1.1000000000000001</v>
      </c>
      <c r="AN59">
        <v>0.7</v>
      </c>
      <c r="AO59">
        <v>0.7</v>
      </c>
      <c r="AP59">
        <v>0.3</v>
      </c>
      <c r="AQ59">
        <v>1.9</v>
      </c>
      <c r="AR59">
        <v>8.6</v>
      </c>
      <c r="AS59">
        <v>3.4</v>
      </c>
      <c r="AT59">
        <v>1.3</v>
      </c>
      <c r="AU59">
        <v>1.8</v>
      </c>
      <c r="AV59" s="205">
        <f t="shared" si="0"/>
        <v>3.4</v>
      </c>
    </row>
    <row r="60" spans="1:48" x14ac:dyDescent="0.25">
      <c r="A60" t="s">
        <v>74</v>
      </c>
      <c r="B60" t="s">
        <v>746</v>
      </c>
      <c r="C60" t="s">
        <v>746</v>
      </c>
      <c r="D60" t="s">
        <v>746</v>
      </c>
      <c r="E60" t="s">
        <v>746</v>
      </c>
      <c r="F60" t="s">
        <v>746</v>
      </c>
      <c r="G60" t="s">
        <v>746</v>
      </c>
      <c r="H60" t="s">
        <v>746</v>
      </c>
      <c r="I60" t="s">
        <v>746</v>
      </c>
      <c r="J60" t="s">
        <v>746</v>
      </c>
      <c r="K60" t="s">
        <v>746</v>
      </c>
      <c r="L60" t="s">
        <v>746</v>
      </c>
      <c r="M60" t="s">
        <v>746</v>
      </c>
      <c r="N60">
        <v>3.4</v>
      </c>
      <c r="O60">
        <v>4.4000000000000004</v>
      </c>
      <c r="P60">
        <v>6.5</v>
      </c>
      <c r="Q60">
        <v>4.9000000000000004</v>
      </c>
      <c r="R60">
        <v>3.5</v>
      </c>
      <c r="S60">
        <v>2.5</v>
      </c>
      <c r="T60">
        <v>2.2000000000000002</v>
      </c>
      <c r="U60">
        <v>-0.4</v>
      </c>
      <c r="V60">
        <v>1.2</v>
      </c>
      <c r="W60">
        <v>1.9</v>
      </c>
      <c r="X60">
        <v>1.4</v>
      </c>
      <c r="Y60">
        <v>1.6</v>
      </c>
      <c r="Z60">
        <v>2.4</v>
      </c>
      <c r="AA60">
        <v>3.3</v>
      </c>
      <c r="AB60">
        <v>3.5</v>
      </c>
      <c r="AC60">
        <v>5.9</v>
      </c>
      <c r="AD60">
        <v>8.6999999999999993</v>
      </c>
      <c r="AE60">
        <v>5.6</v>
      </c>
      <c r="AF60">
        <v>2.5</v>
      </c>
      <c r="AG60">
        <v>5.2</v>
      </c>
      <c r="AH60">
        <v>4.2</v>
      </c>
      <c r="AI60">
        <v>1.1000000000000001</v>
      </c>
      <c r="AJ60">
        <v>1.3</v>
      </c>
      <c r="AK60">
        <v>-0.5</v>
      </c>
      <c r="AL60">
        <v>2.4</v>
      </c>
      <c r="AM60">
        <v>0.6</v>
      </c>
      <c r="AN60">
        <v>0.1</v>
      </c>
      <c r="AO60">
        <v>3.3</v>
      </c>
      <c r="AP60">
        <v>1.8</v>
      </c>
      <c r="AQ60">
        <v>1.2</v>
      </c>
      <c r="AR60">
        <v>5.2</v>
      </c>
      <c r="AS60">
        <v>1.4</v>
      </c>
      <c r="AT60">
        <v>2.1</v>
      </c>
      <c r="AU60">
        <v>-0.3</v>
      </c>
      <c r="AV60" s="205">
        <f t="shared" si="0"/>
        <v>1.92</v>
      </c>
    </row>
    <row r="61" spans="1:48" x14ac:dyDescent="0.25">
      <c r="A61" t="s">
        <v>75</v>
      </c>
      <c r="B61">
        <v>23.9</v>
      </c>
      <c r="C61">
        <v>13.3</v>
      </c>
      <c r="D61">
        <v>4.4000000000000004</v>
      </c>
      <c r="E61">
        <v>4.2</v>
      </c>
      <c r="F61">
        <v>2.1</v>
      </c>
      <c r="G61">
        <v>2.1</v>
      </c>
      <c r="H61">
        <v>3</v>
      </c>
      <c r="I61">
        <v>4.8</v>
      </c>
      <c r="J61">
        <v>2.2999999999999998</v>
      </c>
      <c r="K61">
        <v>7.7</v>
      </c>
      <c r="L61">
        <v>3.2</v>
      </c>
      <c r="M61">
        <v>5.6</v>
      </c>
      <c r="N61">
        <v>5.3</v>
      </c>
      <c r="O61">
        <v>1.6</v>
      </c>
      <c r="P61">
        <v>0</v>
      </c>
      <c r="Q61">
        <v>1.3</v>
      </c>
      <c r="R61">
        <v>1.7</v>
      </c>
      <c r="S61">
        <v>2.4</v>
      </c>
      <c r="T61">
        <v>1</v>
      </c>
      <c r="U61">
        <v>1.2</v>
      </c>
      <c r="V61">
        <v>0.8</v>
      </c>
      <c r="W61">
        <v>1.6</v>
      </c>
      <c r="X61">
        <v>0.2</v>
      </c>
      <c r="Y61">
        <v>1.5</v>
      </c>
      <c r="Z61">
        <v>2.4</v>
      </c>
      <c r="AA61">
        <v>1.7</v>
      </c>
      <c r="AB61">
        <v>2.6</v>
      </c>
      <c r="AC61">
        <v>3.2</v>
      </c>
      <c r="AD61">
        <v>6.4</v>
      </c>
      <c r="AE61">
        <v>0</v>
      </c>
      <c r="AF61">
        <v>2.8</v>
      </c>
      <c r="AG61">
        <v>1.1000000000000001</v>
      </c>
      <c r="AH61">
        <v>1.4</v>
      </c>
      <c r="AI61">
        <v>0</v>
      </c>
      <c r="AJ61">
        <v>0.8</v>
      </c>
      <c r="AK61">
        <v>-0.9</v>
      </c>
      <c r="AL61">
        <v>0.1</v>
      </c>
      <c r="AM61">
        <v>0.3</v>
      </c>
      <c r="AN61">
        <v>1</v>
      </c>
      <c r="AO61">
        <v>1.5</v>
      </c>
      <c r="AP61">
        <v>-0.7</v>
      </c>
      <c r="AQ61">
        <v>1.6</v>
      </c>
      <c r="AR61">
        <v>7.7</v>
      </c>
      <c r="AS61">
        <v>4.2</v>
      </c>
      <c r="AT61">
        <v>3.1</v>
      </c>
      <c r="AU61">
        <v>2.2999999999999998</v>
      </c>
      <c r="AV61" s="205">
        <f t="shared" si="0"/>
        <v>3.7800000000000002</v>
      </c>
    </row>
    <row r="62" spans="1:48" x14ac:dyDescent="0.25">
      <c r="A62" t="s">
        <v>76</v>
      </c>
      <c r="B62">
        <v>21.7</v>
      </c>
      <c r="C62">
        <v>7.5</v>
      </c>
      <c r="D62">
        <v>7.6</v>
      </c>
      <c r="E62">
        <v>5.6</v>
      </c>
      <c r="F62">
        <v>20.2</v>
      </c>
      <c r="G62">
        <v>45.3</v>
      </c>
      <c r="H62">
        <v>7.6</v>
      </c>
      <c r="I62">
        <v>13.6</v>
      </c>
      <c r="J62">
        <v>43.9</v>
      </c>
      <c r="K62">
        <v>40.700000000000003</v>
      </c>
      <c r="L62">
        <v>50.5</v>
      </c>
      <c r="M62">
        <v>47.1</v>
      </c>
      <c r="N62">
        <v>4.3</v>
      </c>
      <c r="O62">
        <v>5.3</v>
      </c>
      <c r="P62">
        <v>8.3000000000000007</v>
      </c>
      <c r="Q62">
        <v>12.5</v>
      </c>
      <c r="R62">
        <v>5.4</v>
      </c>
      <c r="S62">
        <v>8.3000000000000007</v>
      </c>
      <c r="T62">
        <v>4.8</v>
      </c>
      <c r="U62">
        <v>6.5</v>
      </c>
      <c r="V62">
        <v>7.7</v>
      </c>
      <c r="W62">
        <v>8.9</v>
      </c>
      <c r="X62">
        <v>5.2</v>
      </c>
      <c r="Y62">
        <v>27.4</v>
      </c>
      <c r="Z62">
        <v>51.5</v>
      </c>
      <c r="AA62">
        <v>4.2</v>
      </c>
      <c r="AB62">
        <v>7.6</v>
      </c>
      <c r="AC62">
        <v>6.1</v>
      </c>
      <c r="AD62">
        <v>10.6</v>
      </c>
      <c r="AE62">
        <v>1.4</v>
      </c>
      <c r="AF62">
        <v>6.3</v>
      </c>
      <c r="AG62">
        <v>8.5</v>
      </c>
      <c r="AH62">
        <v>3.7</v>
      </c>
      <c r="AI62">
        <v>4.8</v>
      </c>
      <c r="AJ62">
        <v>3</v>
      </c>
      <c r="AK62">
        <v>0.8</v>
      </c>
      <c r="AL62">
        <v>1.6</v>
      </c>
      <c r="AM62">
        <v>3.3</v>
      </c>
      <c r="AN62">
        <v>3.6</v>
      </c>
      <c r="AO62">
        <v>1.8</v>
      </c>
      <c r="AP62">
        <v>3.8</v>
      </c>
      <c r="AQ62">
        <v>8.1999999999999993</v>
      </c>
      <c r="AR62">
        <v>8.8000000000000007</v>
      </c>
      <c r="AS62">
        <v>4.8</v>
      </c>
      <c r="AT62">
        <v>3.3</v>
      </c>
      <c r="AU62">
        <v>3.9</v>
      </c>
      <c r="AV62" s="205">
        <f t="shared" si="0"/>
        <v>5.8</v>
      </c>
    </row>
    <row r="63" spans="1:48" x14ac:dyDescent="0.25">
      <c r="A63" t="s">
        <v>77</v>
      </c>
      <c r="B63">
        <v>13</v>
      </c>
      <c r="C63">
        <v>16.399999999999999</v>
      </c>
      <c r="D63">
        <v>16.3</v>
      </c>
      <c r="E63">
        <v>48.4</v>
      </c>
      <c r="F63">
        <v>31.2</v>
      </c>
      <c r="G63">
        <v>28</v>
      </c>
      <c r="H63">
        <v>23</v>
      </c>
      <c r="I63">
        <v>29.5</v>
      </c>
      <c r="J63">
        <v>58.2</v>
      </c>
      <c r="K63">
        <v>75.599999999999994</v>
      </c>
      <c r="L63">
        <v>48.5</v>
      </c>
      <c r="M63">
        <v>48.8</v>
      </c>
      <c r="N63">
        <v>54.3</v>
      </c>
      <c r="O63">
        <v>45</v>
      </c>
      <c r="P63">
        <v>27.4</v>
      </c>
      <c r="Q63">
        <v>22.9</v>
      </c>
      <c r="R63">
        <v>24.4</v>
      </c>
      <c r="S63">
        <v>30.6</v>
      </c>
      <c r="T63">
        <v>36.1</v>
      </c>
      <c r="U63">
        <v>52.2</v>
      </c>
      <c r="V63">
        <v>96.1</v>
      </c>
      <c r="W63">
        <v>37.700000000000003</v>
      </c>
      <c r="X63">
        <v>12.5</v>
      </c>
      <c r="Y63">
        <v>7.9</v>
      </c>
      <c r="Z63">
        <v>2.7</v>
      </c>
      <c r="AA63">
        <v>2.2000000000000002</v>
      </c>
      <c r="AB63">
        <v>3.3</v>
      </c>
      <c r="AC63">
        <v>2.2999999999999998</v>
      </c>
      <c r="AD63">
        <v>8.4</v>
      </c>
      <c r="AE63">
        <v>5.2</v>
      </c>
      <c r="AF63">
        <v>3.6</v>
      </c>
      <c r="AG63">
        <v>4.5</v>
      </c>
      <c r="AH63">
        <v>5.0999999999999996</v>
      </c>
      <c r="AI63">
        <v>2.7</v>
      </c>
      <c r="AJ63">
        <v>3.6</v>
      </c>
      <c r="AK63">
        <v>4</v>
      </c>
      <c r="AL63">
        <v>1.7</v>
      </c>
      <c r="AM63">
        <v>0.4</v>
      </c>
      <c r="AN63">
        <v>-0.2</v>
      </c>
      <c r="AO63">
        <v>0.3</v>
      </c>
      <c r="AP63">
        <v>-0.3</v>
      </c>
      <c r="AQ63">
        <v>0.1</v>
      </c>
      <c r="AR63">
        <v>3.5</v>
      </c>
      <c r="AS63">
        <v>2.2000000000000002</v>
      </c>
      <c r="AT63">
        <v>1.5</v>
      </c>
      <c r="AU63">
        <v>0.7</v>
      </c>
      <c r="AV63" s="205">
        <f t="shared" si="0"/>
        <v>1.6</v>
      </c>
    </row>
    <row r="64" spans="1:48" x14ac:dyDescent="0.25">
      <c r="A64" t="s">
        <v>760</v>
      </c>
      <c r="B64">
        <v>20.5</v>
      </c>
      <c r="C64">
        <v>10.4</v>
      </c>
      <c r="D64">
        <v>14.9</v>
      </c>
      <c r="E64">
        <v>16</v>
      </c>
      <c r="F64">
        <v>17.100000000000001</v>
      </c>
      <c r="G64">
        <v>12.1</v>
      </c>
      <c r="H64">
        <v>23.9</v>
      </c>
      <c r="I64">
        <v>25.2</v>
      </c>
      <c r="J64">
        <v>15.2</v>
      </c>
      <c r="K64">
        <v>20.100000000000001</v>
      </c>
      <c r="L64">
        <v>21.2</v>
      </c>
      <c r="M64">
        <v>14.7</v>
      </c>
      <c r="N64">
        <v>21.1</v>
      </c>
      <c r="O64">
        <v>11</v>
      </c>
      <c r="P64">
        <v>9</v>
      </c>
      <c r="Q64">
        <v>9.4</v>
      </c>
      <c r="R64">
        <v>7.1</v>
      </c>
      <c r="S64">
        <v>6.2</v>
      </c>
      <c r="T64">
        <v>5</v>
      </c>
      <c r="U64">
        <v>3.7</v>
      </c>
      <c r="V64">
        <v>2.8</v>
      </c>
      <c r="W64">
        <v>2.4</v>
      </c>
      <c r="X64">
        <v>2.2999999999999998</v>
      </c>
      <c r="Y64">
        <v>3.4</v>
      </c>
      <c r="Z64">
        <v>8.1999999999999993</v>
      </c>
      <c r="AA64">
        <v>8.6999999999999993</v>
      </c>
      <c r="AB64">
        <v>4.3</v>
      </c>
      <c r="AC64">
        <v>10.9</v>
      </c>
      <c r="AD64">
        <v>11.7</v>
      </c>
      <c r="AE64">
        <v>16.2</v>
      </c>
      <c r="AF64">
        <v>11.7</v>
      </c>
      <c r="AG64">
        <v>11.1</v>
      </c>
      <c r="AH64">
        <v>8.6999999999999993</v>
      </c>
      <c r="AI64">
        <v>6.9</v>
      </c>
      <c r="AJ64">
        <v>10.1</v>
      </c>
      <c r="AK64">
        <v>11</v>
      </c>
      <c r="AL64">
        <v>10.199999999999999</v>
      </c>
      <c r="AM64">
        <v>23.5</v>
      </c>
      <c r="AN64">
        <v>20.9</v>
      </c>
      <c r="AO64">
        <v>13.9</v>
      </c>
      <c r="AP64">
        <v>5.7</v>
      </c>
      <c r="AQ64">
        <v>4.5</v>
      </c>
      <c r="AR64">
        <v>8.5</v>
      </c>
      <c r="AS64">
        <v>24.4</v>
      </c>
      <c r="AT64">
        <v>33.299999999999997</v>
      </c>
      <c r="AU64">
        <v>20.399999999999999</v>
      </c>
      <c r="AV64" s="205">
        <f t="shared" si="0"/>
        <v>18.22</v>
      </c>
    </row>
    <row r="65" spans="1:48" x14ac:dyDescent="0.25">
      <c r="A65" t="s">
        <v>79</v>
      </c>
      <c r="B65">
        <v>17.399999999999999</v>
      </c>
      <c r="C65">
        <v>14.8</v>
      </c>
      <c r="D65">
        <v>11.7</v>
      </c>
      <c r="E65">
        <v>13.1</v>
      </c>
      <c r="F65">
        <v>11.7</v>
      </c>
      <c r="G65">
        <v>22.3</v>
      </c>
      <c r="H65">
        <v>31.9</v>
      </c>
      <c r="I65">
        <v>24.8</v>
      </c>
      <c r="J65">
        <v>19.8</v>
      </c>
      <c r="K65">
        <v>17.7</v>
      </c>
      <c r="L65">
        <v>28.3</v>
      </c>
      <c r="M65">
        <v>14.4</v>
      </c>
      <c r="N65">
        <v>11.2</v>
      </c>
      <c r="O65">
        <v>18.5</v>
      </c>
      <c r="P65">
        <v>10.6</v>
      </c>
      <c r="Q65">
        <v>10</v>
      </c>
      <c r="R65">
        <v>9.8000000000000007</v>
      </c>
      <c r="S65">
        <v>4.5</v>
      </c>
      <c r="T65">
        <v>2.5</v>
      </c>
      <c r="U65">
        <v>0.5</v>
      </c>
      <c r="V65">
        <v>2.2999999999999998</v>
      </c>
      <c r="W65">
        <v>3.7</v>
      </c>
      <c r="X65">
        <v>1.9</v>
      </c>
      <c r="Y65">
        <v>2.1</v>
      </c>
      <c r="Z65">
        <v>4.5</v>
      </c>
      <c r="AA65">
        <v>4.7</v>
      </c>
      <c r="AB65">
        <v>4</v>
      </c>
      <c r="AC65">
        <v>4.5999999999999996</v>
      </c>
      <c r="AD65">
        <v>7.3</v>
      </c>
      <c r="AE65">
        <v>0.5</v>
      </c>
      <c r="AF65">
        <v>1.2</v>
      </c>
      <c r="AG65">
        <v>5.0999999999999996</v>
      </c>
      <c r="AH65">
        <v>1.7</v>
      </c>
      <c r="AI65">
        <v>0.8</v>
      </c>
      <c r="AJ65">
        <v>1.1000000000000001</v>
      </c>
      <c r="AK65">
        <v>-0.7</v>
      </c>
      <c r="AL65">
        <v>0.6</v>
      </c>
      <c r="AM65">
        <v>1</v>
      </c>
      <c r="AN65">
        <v>1.1000000000000001</v>
      </c>
      <c r="AO65">
        <v>0.1</v>
      </c>
      <c r="AP65">
        <v>-0.4</v>
      </c>
      <c r="AQ65">
        <v>3.5</v>
      </c>
      <c r="AR65">
        <v>7.2</v>
      </c>
      <c r="AS65">
        <v>4</v>
      </c>
      <c r="AT65">
        <v>0.9</v>
      </c>
      <c r="AU65">
        <v>0.3</v>
      </c>
      <c r="AV65" s="205">
        <f t="shared" si="0"/>
        <v>3.18</v>
      </c>
    </row>
    <row r="66" spans="1:48" x14ac:dyDescent="0.25">
      <c r="A66" t="s">
        <v>80</v>
      </c>
      <c r="B66">
        <v>0</v>
      </c>
      <c r="C66">
        <v>16.7</v>
      </c>
      <c r="D66">
        <v>38.299999999999997</v>
      </c>
      <c r="E66">
        <v>60.1</v>
      </c>
      <c r="F66">
        <v>59.5</v>
      </c>
      <c r="G66">
        <v>84</v>
      </c>
      <c r="H66">
        <v>-17.600000000000001</v>
      </c>
      <c r="I66">
        <v>-13.2</v>
      </c>
      <c r="J66">
        <v>2.5</v>
      </c>
      <c r="K66">
        <v>6.1</v>
      </c>
      <c r="L66">
        <v>0.9</v>
      </c>
      <c r="M66">
        <v>-3.4</v>
      </c>
      <c r="N66">
        <v>-4.3</v>
      </c>
      <c r="O66">
        <v>5.5</v>
      </c>
      <c r="P66">
        <v>31.8</v>
      </c>
      <c r="Q66">
        <v>19.899999999999999</v>
      </c>
      <c r="R66">
        <v>4.5</v>
      </c>
      <c r="S66">
        <v>3</v>
      </c>
      <c r="T66">
        <v>7.9</v>
      </c>
      <c r="U66">
        <v>0.4</v>
      </c>
      <c r="V66">
        <v>4.8</v>
      </c>
      <c r="W66">
        <v>8.6999999999999993</v>
      </c>
      <c r="X66">
        <v>7.6</v>
      </c>
      <c r="Y66">
        <v>7.3</v>
      </c>
      <c r="Z66">
        <v>4.2</v>
      </c>
      <c r="AA66">
        <v>5.6</v>
      </c>
      <c r="AB66">
        <v>4.5</v>
      </c>
      <c r="AC66">
        <v>2.8</v>
      </c>
      <c r="AD66">
        <v>4.7</v>
      </c>
      <c r="AE66">
        <v>5.7</v>
      </c>
      <c r="AF66">
        <v>5.3</v>
      </c>
      <c r="AG66">
        <v>4.8</v>
      </c>
      <c r="AH66">
        <v>3.4</v>
      </c>
      <c r="AI66">
        <v>3.2</v>
      </c>
      <c r="AJ66">
        <v>4.3</v>
      </c>
      <c r="AK66">
        <v>1.7</v>
      </c>
      <c r="AL66">
        <v>1.4</v>
      </c>
      <c r="AM66">
        <v>0.7</v>
      </c>
      <c r="AN66">
        <v>1.3</v>
      </c>
      <c r="AO66">
        <v>1.2</v>
      </c>
      <c r="AP66">
        <v>4.8</v>
      </c>
      <c r="AQ66">
        <v>-0.1</v>
      </c>
      <c r="AR66">
        <v>4.9000000000000004</v>
      </c>
      <c r="AS66">
        <v>2.4</v>
      </c>
      <c r="AT66">
        <v>3.4</v>
      </c>
      <c r="AU66">
        <v>2.8</v>
      </c>
      <c r="AV66" s="205">
        <f t="shared" ref="AV66:AV129" si="1">AVERAGE(AQ66:AU66)</f>
        <v>2.6800000000000006</v>
      </c>
    </row>
    <row r="67" spans="1:48" x14ac:dyDescent="0.25">
      <c r="A67" t="s">
        <v>81</v>
      </c>
      <c r="B67" t="s">
        <v>746</v>
      </c>
      <c r="C67" t="s">
        <v>746</v>
      </c>
      <c r="D67" t="s">
        <v>746</v>
      </c>
      <c r="E67" t="s">
        <v>746</v>
      </c>
      <c r="F67" t="s">
        <v>746</v>
      </c>
      <c r="G67" t="s">
        <v>746</v>
      </c>
      <c r="H67" t="s">
        <v>746</v>
      </c>
      <c r="I67" t="s">
        <v>746</v>
      </c>
      <c r="J67" t="s">
        <v>746</v>
      </c>
      <c r="K67" t="s">
        <v>746</v>
      </c>
      <c r="L67" t="s">
        <v>746</v>
      </c>
      <c r="M67" t="s">
        <v>746</v>
      </c>
      <c r="N67" t="s">
        <v>746</v>
      </c>
      <c r="O67">
        <v>4.8</v>
      </c>
      <c r="P67">
        <v>13.1</v>
      </c>
      <c r="Q67">
        <v>12</v>
      </c>
      <c r="R67">
        <v>10.3</v>
      </c>
      <c r="S67">
        <v>3.7</v>
      </c>
      <c r="T67">
        <v>9.5</v>
      </c>
      <c r="U67">
        <v>8.4</v>
      </c>
      <c r="V67">
        <v>19.899999999999999</v>
      </c>
      <c r="W67">
        <v>14.6</v>
      </c>
      <c r="X67">
        <v>16.899999999999999</v>
      </c>
      <c r="Y67">
        <v>22.7</v>
      </c>
      <c r="Z67">
        <v>25.1</v>
      </c>
      <c r="AA67">
        <v>12.5</v>
      </c>
      <c r="AB67">
        <v>7.7</v>
      </c>
      <c r="AC67">
        <v>9.4</v>
      </c>
      <c r="AD67">
        <v>22.2</v>
      </c>
      <c r="AE67">
        <v>33.9</v>
      </c>
      <c r="AF67">
        <v>10.3</v>
      </c>
      <c r="AG67">
        <v>5.9</v>
      </c>
      <c r="AH67">
        <v>6</v>
      </c>
      <c r="AI67">
        <v>6.3</v>
      </c>
      <c r="AJ67">
        <v>8.4</v>
      </c>
      <c r="AK67">
        <v>28.5</v>
      </c>
      <c r="AL67">
        <v>-5.6</v>
      </c>
      <c r="AM67">
        <v>-13.3</v>
      </c>
      <c r="AN67">
        <v>-14.4</v>
      </c>
      <c r="AO67">
        <v>1.3</v>
      </c>
      <c r="AP67" t="s">
        <v>746</v>
      </c>
      <c r="AQ67" t="s">
        <v>746</v>
      </c>
      <c r="AR67" t="s">
        <v>746</v>
      </c>
      <c r="AS67" t="s">
        <v>746</v>
      </c>
      <c r="AT67" t="s">
        <v>746</v>
      </c>
      <c r="AU67" t="s">
        <v>746</v>
      </c>
      <c r="AV67" s="205" t="e">
        <f t="shared" si="1"/>
        <v>#DIV/0!</v>
      </c>
    </row>
    <row r="68" spans="1:48" x14ac:dyDescent="0.25">
      <c r="A68" t="s">
        <v>82</v>
      </c>
      <c r="B68" t="s">
        <v>746</v>
      </c>
      <c r="C68" t="s">
        <v>746</v>
      </c>
      <c r="D68" t="s">
        <v>746</v>
      </c>
      <c r="E68" t="s">
        <v>746</v>
      </c>
      <c r="F68" t="s">
        <v>746</v>
      </c>
      <c r="G68" t="s">
        <v>746</v>
      </c>
      <c r="H68" t="s">
        <v>746</v>
      </c>
      <c r="I68" t="s">
        <v>746</v>
      </c>
      <c r="J68" t="s">
        <v>746</v>
      </c>
      <c r="K68" t="s">
        <v>746</v>
      </c>
      <c r="L68" t="s">
        <v>746</v>
      </c>
      <c r="M68" t="s">
        <v>746</v>
      </c>
      <c r="N68" t="s">
        <v>746</v>
      </c>
      <c r="O68" t="s">
        <v>746</v>
      </c>
      <c r="P68">
        <v>47.7</v>
      </c>
      <c r="Q68">
        <v>29</v>
      </c>
      <c r="R68">
        <v>19.8</v>
      </c>
      <c r="S68">
        <v>9.3000000000000007</v>
      </c>
      <c r="T68">
        <v>8.8000000000000007</v>
      </c>
      <c r="U68">
        <v>3.1</v>
      </c>
      <c r="V68">
        <v>3.9</v>
      </c>
      <c r="W68">
        <v>5.6</v>
      </c>
      <c r="X68">
        <v>3.6</v>
      </c>
      <c r="Y68">
        <v>1.4</v>
      </c>
      <c r="Z68">
        <v>3</v>
      </c>
      <c r="AA68">
        <v>4.0999999999999996</v>
      </c>
      <c r="AB68">
        <v>4.4000000000000004</v>
      </c>
      <c r="AC68">
        <v>6.7</v>
      </c>
      <c r="AD68">
        <v>10.6</v>
      </c>
      <c r="AE68">
        <v>0.2</v>
      </c>
      <c r="AF68">
        <v>2.7</v>
      </c>
      <c r="AG68">
        <v>5.0999999999999996</v>
      </c>
      <c r="AH68">
        <v>4.2</v>
      </c>
      <c r="AI68">
        <v>3.2</v>
      </c>
      <c r="AJ68">
        <v>0.5</v>
      </c>
      <c r="AK68">
        <v>0.1</v>
      </c>
      <c r="AL68">
        <v>0.8</v>
      </c>
      <c r="AM68">
        <v>3.7</v>
      </c>
      <c r="AN68">
        <v>3.4</v>
      </c>
      <c r="AO68">
        <v>2.2999999999999998</v>
      </c>
      <c r="AP68">
        <v>-0.6</v>
      </c>
      <c r="AQ68">
        <v>4.5</v>
      </c>
      <c r="AR68">
        <v>19.399999999999999</v>
      </c>
      <c r="AS68">
        <v>9.1</v>
      </c>
      <c r="AT68">
        <v>3.7</v>
      </c>
      <c r="AU68">
        <v>4.8</v>
      </c>
      <c r="AV68" s="205">
        <f t="shared" si="1"/>
        <v>8.3000000000000007</v>
      </c>
    </row>
    <row r="69" spans="1:48" x14ac:dyDescent="0.25">
      <c r="A69" t="s">
        <v>614</v>
      </c>
      <c r="B69">
        <v>18.2</v>
      </c>
      <c r="C69">
        <v>20.100000000000001</v>
      </c>
      <c r="D69">
        <v>10.8</v>
      </c>
      <c r="E69">
        <v>11.6</v>
      </c>
      <c r="F69">
        <v>12.9</v>
      </c>
      <c r="G69">
        <v>20.5</v>
      </c>
      <c r="H69">
        <v>13.7</v>
      </c>
      <c r="I69">
        <v>13.4</v>
      </c>
      <c r="J69">
        <v>20.399999999999999</v>
      </c>
      <c r="K69">
        <v>7.5</v>
      </c>
      <c r="L69">
        <v>13.1</v>
      </c>
      <c r="M69">
        <v>8.9</v>
      </c>
      <c r="N69">
        <v>7.6</v>
      </c>
      <c r="O69">
        <v>12</v>
      </c>
      <c r="P69">
        <v>13.8</v>
      </c>
      <c r="Q69">
        <v>12.3</v>
      </c>
      <c r="R69">
        <v>6.4</v>
      </c>
      <c r="S69">
        <v>7.9</v>
      </c>
      <c r="T69">
        <v>7.5</v>
      </c>
      <c r="U69">
        <v>5.9</v>
      </c>
      <c r="V69">
        <v>9.9</v>
      </c>
      <c r="W69">
        <v>7.5</v>
      </c>
      <c r="X69">
        <v>11.9</v>
      </c>
      <c r="Y69">
        <v>7.3</v>
      </c>
      <c r="Z69">
        <v>3.5</v>
      </c>
      <c r="AA69">
        <v>4.9000000000000004</v>
      </c>
      <c r="AB69">
        <v>5.2</v>
      </c>
      <c r="AC69">
        <v>8.1</v>
      </c>
      <c r="AD69">
        <v>12.7</v>
      </c>
      <c r="AE69">
        <v>7.4</v>
      </c>
      <c r="AF69">
        <v>4.5</v>
      </c>
      <c r="AG69">
        <v>6.1</v>
      </c>
      <c r="AH69">
        <v>8.9</v>
      </c>
      <c r="AI69">
        <v>5.6</v>
      </c>
      <c r="AJ69">
        <v>5.7</v>
      </c>
      <c r="AK69">
        <v>5</v>
      </c>
      <c r="AL69">
        <v>7.8</v>
      </c>
      <c r="AM69">
        <v>6.2</v>
      </c>
      <c r="AN69">
        <v>4.8</v>
      </c>
      <c r="AO69">
        <v>2.6</v>
      </c>
      <c r="AP69">
        <v>3.9</v>
      </c>
      <c r="AQ69">
        <v>3.7</v>
      </c>
      <c r="AR69">
        <v>4.8</v>
      </c>
      <c r="AS69">
        <v>4.9000000000000004</v>
      </c>
      <c r="AT69">
        <v>4</v>
      </c>
      <c r="AU69">
        <v>3.1</v>
      </c>
      <c r="AV69" s="205">
        <f t="shared" si="1"/>
        <v>4.0999999999999996</v>
      </c>
    </row>
    <row r="70" spans="1:48" x14ac:dyDescent="0.25">
      <c r="A70" t="s">
        <v>84</v>
      </c>
      <c r="B70">
        <v>12.4</v>
      </c>
      <c r="C70">
        <v>1.9</v>
      </c>
      <c r="D70">
        <v>7.8</v>
      </c>
      <c r="E70">
        <v>3.6</v>
      </c>
      <c r="F70">
        <v>-0.3</v>
      </c>
      <c r="G70">
        <v>18.399999999999999</v>
      </c>
      <c r="H70">
        <v>5.5</v>
      </c>
      <c r="I70">
        <v>-9.1</v>
      </c>
      <c r="J70">
        <v>2.2000000000000002</v>
      </c>
      <c r="K70">
        <v>9.6</v>
      </c>
      <c r="L70">
        <v>5.2</v>
      </c>
      <c r="M70">
        <v>20.9</v>
      </c>
      <c r="N70">
        <v>21</v>
      </c>
      <c r="O70">
        <v>10</v>
      </c>
      <c r="P70">
        <v>1.2</v>
      </c>
      <c r="Q70">
        <v>13.4</v>
      </c>
      <c r="R70">
        <v>0.9</v>
      </c>
      <c r="S70">
        <v>-6.4</v>
      </c>
      <c r="T70">
        <v>3.6</v>
      </c>
      <c r="U70">
        <v>7.9</v>
      </c>
      <c r="V70">
        <v>0.7</v>
      </c>
      <c r="W70">
        <v>-8.1999999999999993</v>
      </c>
      <c r="X70">
        <v>1.7</v>
      </c>
      <c r="Y70">
        <v>17.8</v>
      </c>
      <c r="Z70">
        <v>3.2</v>
      </c>
      <c r="AA70">
        <v>11.7</v>
      </c>
      <c r="AB70">
        <v>13.6</v>
      </c>
      <c r="AC70">
        <v>17.2</v>
      </c>
      <c r="AD70">
        <v>44.4</v>
      </c>
      <c r="AE70">
        <v>8.5</v>
      </c>
      <c r="AF70">
        <v>8.1</v>
      </c>
      <c r="AG70">
        <v>33.200000000000003</v>
      </c>
      <c r="AH70">
        <v>24.1</v>
      </c>
      <c r="AI70">
        <v>8.1</v>
      </c>
      <c r="AJ70">
        <v>7.4</v>
      </c>
      <c r="AK70">
        <v>9.6</v>
      </c>
      <c r="AL70">
        <v>6.6</v>
      </c>
      <c r="AM70">
        <v>10.7</v>
      </c>
      <c r="AN70">
        <v>13.8</v>
      </c>
      <c r="AO70">
        <v>15.8</v>
      </c>
      <c r="AP70">
        <v>20.399999999999999</v>
      </c>
      <c r="AQ70">
        <v>26.8</v>
      </c>
      <c r="AR70">
        <v>33.9</v>
      </c>
      <c r="AS70">
        <v>30.2</v>
      </c>
      <c r="AT70">
        <v>21</v>
      </c>
      <c r="AU70">
        <v>13.2</v>
      </c>
      <c r="AV70" s="205">
        <f t="shared" si="1"/>
        <v>25.020000000000003</v>
      </c>
    </row>
    <row r="71" spans="1:48" x14ac:dyDescent="0.25">
      <c r="A71" t="s">
        <v>761</v>
      </c>
      <c r="B71" t="s">
        <v>746</v>
      </c>
      <c r="C71" t="s">
        <v>746</v>
      </c>
      <c r="D71" t="s">
        <v>746</v>
      </c>
      <c r="E71" t="s">
        <v>746</v>
      </c>
      <c r="F71" t="s">
        <v>746</v>
      </c>
      <c r="G71" t="s">
        <v>746</v>
      </c>
      <c r="H71" t="s">
        <v>746</v>
      </c>
      <c r="I71" t="s">
        <v>746</v>
      </c>
      <c r="J71" t="s">
        <v>746</v>
      </c>
      <c r="K71" t="s">
        <v>746</v>
      </c>
      <c r="L71" t="s">
        <v>746</v>
      </c>
      <c r="M71" t="s">
        <v>746</v>
      </c>
      <c r="N71" t="s">
        <v>746</v>
      </c>
      <c r="O71" t="s">
        <v>746</v>
      </c>
      <c r="P71" t="s">
        <v>746</v>
      </c>
      <c r="Q71" t="s">
        <v>746</v>
      </c>
      <c r="R71" t="s">
        <v>746</v>
      </c>
      <c r="S71" t="s">
        <v>746</v>
      </c>
      <c r="T71" t="s">
        <v>746</v>
      </c>
      <c r="U71" t="s">
        <v>746</v>
      </c>
      <c r="V71" t="s">
        <v>746</v>
      </c>
      <c r="W71" t="s">
        <v>746</v>
      </c>
      <c r="X71" t="s">
        <v>746</v>
      </c>
      <c r="Y71" t="s">
        <v>746</v>
      </c>
      <c r="Z71" t="s">
        <v>746</v>
      </c>
      <c r="AA71" t="s">
        <v>746</v>
      </c>
      <c r="AB71" t="s">
        <v>746</v>
      </c>
      <c r="AC71" t="s">
        <v>746</v>
      </c>
      <c r="AD71" t="s">
        <v>746</v>
      </c>
      <c r="AE71" t="s">
        <v>746</v>
      </c>
      <c r="AF71" t="s">
        <v>746</v>
      </c>
      <c r="AG71" t="s">
        <v>746</v>
      </c>
      <c r="AH71" t="s">
        <v>746</v>
      </c>
      <c r="AI71" t="s">
        <v>746</v>
      </c>
      <c r="AJ71" t="s">
        <v>746</v>
      </c>
      <c r="AK71" t="s">
        <v>746</v>
      </c>
      <c r="AL71" t="s">
        <v>746</v>
      </c>
      <c r="AM71" t="s">
        <v>746</v>
      </c>
      <c r="AN71" t="s">
        <v>746</v>
      </c>
      <c r="AO71" t="s">
        <v>746</v>
      </c>
      <c r="AP71" t="s">
        <v>746</v>
      </c>
      <c r="AQ71" t="s">
        <v>746</v>
      </c>
      <c r="AR71" t="s">
        <v>746</v>
      </c>
      <c r="AS71" t="s">
        <v>746</v>
      </c>
      <c r="AT71" t="s">
        <v>746</v>
      </c>
      <c r="AU71" t="s">
        <v>746</v>
      </c>
      <c r="AV71" s="205" t="e">
        <f t="shared" si="1"/>
        <v>#DIV/0!</v>
      </c>
    </row>
    <row r="72" spans="1:48" x14ac:dyDescent="0.25">
      <c r="A72" t="s">
        <v>762</v>
      </c>
      <c r="B72" t="s">
        <v>746</v>
      </c>
      <c r="C72" t="s">
        <v>746</v>
      </c>
      <c r="D72" t="s">
        <v>746</v>
      </c>
      <c r="E72" t="s">
        <v>746</v>
      </c>
      <c r="F72" t="s">
        <v>746</v>
      </c>
      <c r="G72" t="s">
        <v>746</v>
      </c>
      <c r="H72" t="s">
        <v>746</v>
      </c>
      <c r="I72" t="s">
        <v>746</v>
      </c>
      <c r="J72" t="s">
        <v>746</v>
      </c>
      <c r="K72" t="s">
        <v>746</v>
      </c>
      <c r="L72" t="s">
        <v>746</v>
      </c>
      <c r="M72" t="s">
        <v>746</v>
      </c>
      <c r="N72" t="s">
        <v>746</v>
      </c>
      <c r="O72" t="s">
        <v>746</v>
      </c>
      <c r="P72" t="s">
        <v>746</v>
      </c>
      <c r="Q72" t="s">
        <v>746</v>
      </c>
      <c r="R72" t="s">
        <v>746</v>
      </c>
      <c r="S72" t="s">
        <v>746</v>
      </c>
      <c r="T72" t="s">
        <v>746</v>
      </c>
      <c r="U72" t="s">
        <v>746</v>
      </c>
      <c r="V72" t="s">
        <v>746</v>
      </c>
      <c r="W72" t="s">
        <v>746</v>
      </c>
      <c r="X72" t="s">
        <v>746</v>
      </c>
      <c r="Y72" t="s">
        <v>746</v>
      </c>
      <c r="Z72" t="s">
        <v>746</v>
      </c>
      <c r="AA72" t="s">
        <v>746</v>
      </c>
      <c r="AB72" t="s">
        <v>746</v>
      </c>
      <c r="AC72" t="s">
        <v>746</v>
      </c>
      <c r="AD72" t="s">
        <v>746</v>
      </c>
      <c r="AE72" t="s">
        <v>746</v>
      </c>
      <c r="AF72" t="s">
        <v>746</v>
      </c>
      <c r="AG72" t="s">
        <v>746</v>
      </c>
      <c r="AH72" t="s">
        <v>746</v>
      </c>
      <c r="AI72" t="s">
        <v>746</v>
      </c>
      <c r="AJ72" t="s">
        <v>746</v>
      </c>
      <c r="AK72" t="s">
        <v>746</v>
      </c>
      <c r="AL72" t="s">
        <v>746</v>
      </c>
      <c r="AM72" t="s">
        <v>746</v>
      </c>
      <c r="AN72" t="s">
        <v>746</v>
      </c>
      <c r="AO72" t="s">
        <v>746</v>
      </c>
      <c r="AP72" t="s">
        <v>746</v>
      </c>
      <c r="AQ72" t="s">
        <v>746</v>
      </c>
      <c r="AR72" t="s">
        <v>746</v>
      </c>
      <c r="AS72" t="s">
        <v>746</v>
      </c>
      <c r="AT72" t="s">
        <v>746</v>
      </c>
      <c r="AU72" t="s">
        <v>746</v>
      </c>
      <c r="AV72" s="205" t="e">
        <f t="shared" si="1"/>
        <v>#DIV/0!</v>
      </c>
    </row>
    <row r="73" spans="1:48" x14ac:dyDescent="0.25">
      <c r="A73" t="s">
        <v>86</v>
      </c>
      <c r="B73">
        <v>14.5</v>
      </c>
      <c r="C73">
        <v>11.2</v>
      </c>
      <c r="D73">
        <v>7</v>
      </c>
      <c r="E73">
        <v>6.8</v>
      </c>
      <c r="F73">
        <v>5.3</v>
      </c>
      <c r="G73">
        <v>4.4000000000000004</v>
      </c>
      <c r="H73">
        <v>1.8</v>
      </c>
      <c r="I73">
        <v>5.7</v>
      </c>
      <c r="J73">
        <v>11.8</v>
      </c>
      <c r="K73">
        <v>6.2</v>
      </c>
      <c r="L73">
        <v>8.1999999999999993</v>
      </c>
      <c r="M73">
        <v>6.5</v>
      </c>
      <c r="N73">
        <v>4.9000000000000004</v>
      </c>
      <c r="O73">
        <v>5.2</v>
      </c>
      <c r="P73">
        <v>0.8</v>
      </c>
      <c r="Q73">
        <v>2.2000000000000002</v>
      </c>
      <c r="R73">
        <v>3</v>
      </c>
      <c r="S73">
        <v>3.4</v>
      </c>
      <c r="T73">
        <v>5.7</v>
      </c>
      <c r="U73">
        <v>2</v>
      </c>
      <c r="V73">
        <v>1.1000000000000001</v>
      </c>
      <c r="W73">
        <v>4.3</v>
      </c>
      <c r="X73">
        <v>0.7</v>
      </c>
      <c r="Y73">
        <v>4.2</v>
      </c>
      <c r="Z73">
        <v>2.8</v>
      </c>
      <c r="AA73">
        <v>2.2999999999999998</v>
      </c>
      <c r="AB73">
        <v>2.5</v>
      </c>
      <c r="AC73">
        <v>4.8</v>
      </c>
      <c r="AD73">
        <v>7.7</v>
      </c>
      <c r="AE73">
        <v>3.7</v>
      </c>
      <c r="AF73">
        <v>3.7</v>
      </c>
      <c r="AG73">
        <v>7.3</v>
      </c>
      <c r="AH73">
        <v>3.4</v>
      </c>
      <c r="AI73">
        <v>2.9</v>
      </c>
      <c r="AJ73">
        <v>0.5</v>
      </c>
      <c r="AK73">
        <v>1.4</v>
      </c>
      <c r="AL73">
        <v>3.9</v>
      </c>
      <c r="AM73">
        <v>3.3</v>
      </c>
      <c r="AN73">
        <v>4.0999999999999996</v>
      </c>
      <c r="AO73">
        <v>1.8</v>
      </c>
      <c r="AP73">
        <v>-1.7</v>
      </c>
      <c r="AQ73">
        <v>1.5</v>
      </c>
      <c r="AR73">
        <v>6.1</v>
      </c>
      <c r="AS73">
        <v>3</v>
      </c>
      <c r="AT73">
        <v>3.9</v>
      </c>
      <c r="AU73">
        <v>-1.4</v>
      </c>
      <c r="AV73" s="205">
        <f t="shared" si="1"/>
        <v>2.62</v>
      </c>
    </row>
    <row r="74" spans="1:48" x14ac:dyDescent="0.25">
      <c r="A74" t="s">
        <v>87</v>
      </c>
      <c r="B74">
        <v>11.6</v>
      </c>
      <c r="C74">
        <v>12</v>
      </c>
      <c r="D74">
        <v>9.3000000000000007</v>
      </c>
      <c r="E74">
        <v>8.4</v>
      </c>
      <c r="F74">
        <v>7</v>
      </c>
      <c r="G74">
        <v>5.8</v>
      </c>
      <c r="H74">
        <v>2.9</v>
      </c>
      <c r="I74">
        <v>4.0999999999999996</v>
      </c>
      <c r="J74">
        <v>5.0999999999999996</v>
      </c>
      <c r="K74">
        <v>6.6</v>
      </c>
      <c r="L74">
        <v>5</v>
      </c>
      <c r="M74">
        <v>4.5</v>
      </c>
      <c r="N74">
        <v>3.3</v>
      </c>
      <c r="O74">
        <v>3.3</v>
      </c>
      <c r="P74">
        <v>1.6</v>
      </c>
      <c r="Q74">
        <v>0.4</v>
      </c>
      <c r="R74">
        <v>1.1000000000000001</v>
      </c>
      <c r="S74">
        <v>1.2</v>
      </c>
      <c r="T74">
        <v>1.4</v>
      </c>
      <c r="U74">
        <v>1.3</v>
      </c>
      <c r="V74">
        <v>3</v>
      </c>
      <c r="W74">
        <v>2.7</v>
      </c>
      <c r="X74">
        <v>2</v>
      </c>
      <c r="Y74">
        <v>1.3</v>
      </c>
      <c r="Z74">
        <v>0.1</v>
      </c>
      <c r="AA74">
        <v>0.8</v>
      </c>
      <c r="AB74">
        <v>1.3</v>
      </c>
      <c r="AC74">
        <v>1.6</v>
      </c>
      <c r="AD74">
        <v>3.9</v>
      </c>
      <c r="AE74">
        <v>1.6</v>
      </c>
      <c r="AF74">
        <v>1.7</v>
      </c>
      <c r="AG74">
        <v>3.3</v>
      </c>
      <c r="AH74">
        <v>3.2</v>
      </c>
      <c r="AI74">
        <v>2.2000000000000002</v>
      </c>
      <c r="AJ74">
        <v>1.2</v>
      </c>
      <c r="AK74">
        <v>-0.2</v>
      </c>
      <c r="AL74">
        <v>0.4</v>
      </c>
      <c r="AM74">
        <v>0.8</v>
      </c>
      <c r="AN74">
        <v>1.2</v>
      </c>
      <c r="AO74">
        <v>1.1000000000000001</v>
      </c>
      <c r="AP74">
        <v>0.4</v>
      </c>
      <c r="AQ74">
        <v>2.1</v>
      </c>
      <c r="AR74">
        <v>7.2</v>
      </c>
      <c r="AS74">
        <v>4.3</v>
      </c>
      <c r="AT74">
        <v>1</v>
      </c>
      <c r="AU74">
        <v>1.8</v>
      </c>
      <c r="AV74" s="205">
        <f t="shared" si="1"/>
        <v>3.2800000000000002</v>
      </c>
    </row>
    <row r="75" spans="1:48" x14ac:dyDescent="0.25">
      <c r="A75" t="s">
        <v>88</v>
      </c>
      <c r="B75">
        <v>13.1</v>
      </c>
      <c r="C75">
        <v>13.3</v>
      </c>
      <c r="D75">
        <v>12</v>
      </c>
      <c r="E75">
        <v>9.5</v>
      </c>
      <c r="F75">
        <v>7.7</v>
      </c>
      <c r="G75">
        <v>5.8</v>
      </c>
      <c r="H75">
        <v>2.5</v>
      </c>
      <c r="I75">
        <v>3.3</v>
      </c>
      <c r="J75">
        <v>2.7</v>
      </c>
      <c r="K75">
        <v>6.6</v>
      </c>
      <c r="L75">
        <v>0.3</v>
      </c>
      <c r="M75">
        <v>3.4</v>
      </c>
      <c r="N75">
        <v>2.5</v>
      </c>
      <c r="O75">
        <v>2.2000000000000002</v>
      </c>
      <c r="P75">
        <v>1.7</v>
      </c>
      <c r="Q75">
        <v>1.8</v>
      </c>
      <c r="R75">
        <v>2.1</v>
      </c>
      <c r="S75">
        <v>1.3</v>
      </c>
      <c r="T75">
        <v>0.7</v>
      </c>
      <c r="U75">
        <v>0.6</v>
      </c>
      <c r="V75">
        <v>1.8</v>
      </c>
      <c r="W75">
        <v>1.8</v>
      </c>
      <c r="X75">
        <v>1.9</v>
      </c>
      <c r="Y75">
        <v>2.2000000000000002</v>
      </c>
      <c r="Z75">
        <v>2.2999999999999998</v>
      </c>
      <c r="AA75">
        <v>1.9</v>
      </c>
      <c r="AB75">
        <v>1.9</v>
      </c>
      <c r="AC75">
        <v>1.6</v>
      </c>
      <c r="AD75">
        <v>3.2</v>
      </c>
      <c r="AE75">
        <v>0.1</v>
      </c>
      <c r="AF75">
        <v>1.7</v>
      </c>
      <c r="AG75">
        <v>2.2999999999999998</v>
      </c>
      <c r="AH75">
        <v>2.2000000000000002</v>
      </c>
      <c r="AI75">
        <v>1</v>
      </c>
      <c r="AJ75">
        <v>0.6</v>
      </c>
      <c r="AK75">
        <v>0.1</v>
      </c>
      <c r="AL75">
        <v>0.3</v>
      </c>
      <c r="AM75">
        <v>1.2</v>
      </c>
      <c r="AN75">
        <v>2.1</v>
      </c>
      <c r="AO75">
        <v>1.3</v>
      </c>
      <c r="AP75">
        <v>0.5</v>
      </c>
      <c r="AQ75">
        <v>2.1</v>
      </c>
      <c r="AR75">
        <v>5.9</v>
      </c>
      <c r="AS75">
        <v>5.7</v>
      </c>
      <c r="AT75">
        <v>2.2999999999999998</v>
      </c>
      <c r="AU75">
        <v>0.9</v>
      </c>
      <c r="AV75" s="205">
        <f t="shared" si="1"/>
        <v>3.38</v>
      </c>
    </row>
    <row r="76" spans="1:48" x14ac:dyDescent="0.25">
      <c r="A76" t="s">
        <v>763</v>
      </c>
      <c r="B76" t="s">
        <v>746</v>
      </c>
      <c r="C76" t="s">
        <v>746</v>
      </c>
      <c r="D76" t="s">
        <v>746</v>
      </c>
      <c r="E76" t="s">
        <v>746</v>
      </c>
      <c r="F76" t="s">
        <v>746</v>
      </c>
      <c r="G76" t="s">
        <v>746</v>
      </c>
      <c r="H76" t="s">
        <v>746</v>
      </c>
      <c r="I76" t="s">
        <v>746</v>
      </c>
      <c r="J76" t="s">
        <v>746</v>
      </c>
      <c r="K76" t="s">
        <v>746</v>
      </c>
      <c r="L76" t="s">
        <v>746</v>
      </c>
      <c r="M76" t="s">
        <v>746</v>
      </c>
      <c r="N76" t="s">
        <v>746</v>
      </c>
      <c r="O76" t="s">
        <v>746</v>
      </c>
      <c r="P76" t="s">
        <v>746</v>
      </c>
      <c r="Q76" t="s">
        <v>746</v>
      </c>
      <c r="R76" t="s">
        <v>746</v>
      </c>
      <c r="S76" t="s">
        <v>746</v>
      </c>
      <c r="T76" t="s">
        <v>746</v>
      </c>
      <c r="U76" t="s">
        <v>746</v>
      </c>
      <c r="V76" t="s">
        <v>746</v>
      </c>
      <c r="W76" t="s">
        <v>746</v>
      </c>
      <c r="X76" t="s">
        <v>746</v>
      </c>
      <c r="Y76" t="s">
        <v>746</v>
      </c>
      <c r="Z76" t="s">
        <v>746</v>
      </c>
      <c r="AA76" t="s">
        <v>746</v>
      </c>
      <c r="AB76" t="s">
        <v>746</v>
      </c>
      <c r="AC76" t="s">
        <v>746</v>
      </c>
      <c r="AD76" t="s">
        <v>746</v>
      </c>
      <c r="AE76" t="s">
        <v>746</v>
      </c>
      <c r="AF76" t="s">
        <v>746</v>
      </c>
      <c r="AG76" t="s">
        <v>746</v>
      </c>
      <c r="AH76" t="s">
        <v>746</v>
      </c>
      <c r="AI76" t="s">
        <v>746</v>
      </c>
      <c r="AJ76" t="s">
        <v>746</v>
      </c>
      <c r="AK76" t="s">
        <v>746</v>
      </c>
      <c r="AL76" t="s">
        <v>746</v>
      </c>
      <c r="AM76" t="s">
        <v>746</v>
      </c>
      <c r="AN76" t="s">
        <v>746</v>
      </c>
      <c r="AO76" t="s">
        <v>746</v>
      </c>
      <c r="AP76" t="s">
        <v>746</v>
      </c>
      <c r="AQ76" t="s">
        <v>746</v>
      </c>
      <c r="AR76" t="s">
        <v>746</v>
      </c>
      <c r="AS76" t="s">
        <v>746</v>
      </c>
      <c r="AT76" t="s">
        <v>746</v>
      </c>
      <c r="AU76" t="s">
        <v>746</v>
      </c>
      <c r="AV76" s="205" t="e">
        <f t="shared" si="1"/>
        <v>#DIV/0!</v>
      </c>
    </row>
    <row r="77" spans="1:48" x14ac:dyDescent="0.25">
      <c r="A77" t="s">
        <v>764</v>
      </c>
      <c r="B77" t="s">
        <v>746</v>
      </c>
      <c r="C77" t="s">
        <v>746</v>
      </c>
      <c r="D77" t="s">
        <v>746</v>
      </c>
      <c r="E77" t="s">
        <v>746</v>
      </c>
      <c r="F77" t="s">
        <v>746</v>
      </c>
      <c r="G77" t="s">
        <v>746</v>
      </c>
      <c r="H77" t="s">
        <v>746</v>
      </c>
      <c r="I77" t="s">
        <v>746</v>
      </c>
      <c r="J77" t="s">
        <v>746</v>
      </c>
      <c r="K77" t="s">
        <v>746</v>
      </c>
      <c r="L77" t="s">
        <v>746</v>
      </c>
      <c r="M77" t="s">
        <v>746</v>
      </c>
      <c r="N77" t="s">
        <v>746</v>
      </c>
      <c r="O77" t="s">
        <v>746</v>
      </c>
      <c r="P77" t="s">
        <v>746</v>
      </c>
      <c r="Q77" t="s">
        <v>746</v>
      </c>
      <c r="R77" t="s">
        <v>746</v>
      </c>
      <c r="S77" t="s">
        <v>746</v>
      </c>
      <c r="T77" t="s">
        <v>746</v>
      </c>
      <c r="U77" t="s">
        <v>746</v>
      </c>
      <c r="V77" t="s">
        <v>746</v>
      </c>
      <c r="W77" t="s">
        <v>746</v>
      </c>
      <c r="X77" t="s">
        <v>746</v>
      </c>
      <c r="Y77" t="s">
        <v>746</v>
      </c>
      <c r="Z77" t="s">
        <v>746</v>
      </c>
      <c r="AA77" t="s">
        <v>746</v>
      </c>
      <c r="AB77" t="s">
        <v>746</v>
      </c>
      <c r="AC77" t="s">
        <v>746</v>
      </c>
      <c r="AD77" t="s">
        <v>746</v>
      </c>
      <c r="AE77" t="s">
        <v>746</v>
      </c>
      <c r="AF77" t="s">
        <v>746</v>
      </c>
      <c r="AG77" t="s">
        <v>746</v>
      </c>
      <c r="AH77" t="s">
        <v>746</v>
      </c>
      <c r="AI77" t="s">
        <v>746</v>
      </c>
      <c r="AJ77" t="s">
        <v>746</v>
      </c>
      <c r="AK77" t="s">
        <v>746</v>
      </c>
      <c r="AL77" t="s">
        <v>746</v>
      </c>
      <c r="AM77" t="s">
        <v>746</v>
      </c>
      <c r="AN77" t="s">
        <v>746</v>
      </c>
      <c r="AO77" t="s">
        <v>746</v>
      </c>
      <c r="AP77" t="s">
        <v>746</v>
      </c>
      <c r="AQ77" t="s">
        <v>746</v>
      </c>
      <c r="AR77" t="s">
        <v>746</v>
      </c>
      <c r="AS77" t="s">
        <v>746</v>
      </c>
      <c r="AT77" t="s">
        <v>746</v>
      </c>
      <c r="AU77" t="s">
        <v>746</v>
      </c>
      <c r="AV77" s="205" t="e">
        <f t="shared" si="1"/>
        <v>#DIV/0!</v>
      </c>
    </row>
    <row r="78" spans="1:48" x14ac:dyDescent="0.25">
      <c r="A78" t="s">
        <v>89</v>
      </c>
      <c r="B78">
        <v>12.3</v>
      </c>
      <c r="C78">
        <v>8.6</v>
      </c>
      <c r="D78">
        <v>16.7</v>
      </c>
      <c r="E78">
        <v>10.4</v>
      </c>
      <c r="F78">
        <v>5.9</v>
      </c>
      <c r="G78">
        <v>7.3</v>
      </c>
      <c r="H78">
        <v>6.4</v>
      </c>
      <c r="I78">
        <v>-1</v>
      </c>
      <c r="J78">
        <v>-9.8000000000000007</v>
      </c>
      <c r="K78">
        <v>6.9</v>
      </c>
      <c r="L78">
        <v>15.4</v>
      </c>
      <c r="M78">
        <v>-9.8000000000000007</v>
      </c>
      <c r="N78">
        <v>-9.5</v>
      </c>
      <c r="O78">
        <v>0.5</v>
      </c>
      <c r="P78">
        <v>36.1</v>
      </c>
      <c r="Q78">
        <v>9.6</v>
      </c>
      <c r="R78">
        <v>0.7</v>
      </c>
      <c r="S78">
        <v>4</v>
      </c>
      <c r="T78">
        <v>1.4</v>
      </c>
      <c r="U78">
        <v>-1.9</v>
      </c>
      <c r="V78">
        <v>0.5</v>
      </c>
      <c r="W78">
        <v>2.1</v>
      </c>
      <c r="X78">
        <v>0.2</v>
      </c>
      <c r="Y78">
        <v>2.1</v>
      </c>
      <c r="Z78">
        <v>0.4</v>
      </c>
      <c r="AA78">
        <v>1.2</v>
      </c>
      <c r="AB78">
        <v>-1.4</v>
      </c>
      <c r="AC78">
        <v>5</v>
      </c>
      <c r="AD78">
        <v>5.3</v>
      </c>
      <c r="AE78">
        <v>1.9</v>
      </c>
      <c r="AF78">
        <v>1.4</v>
      </c>
      <c r="AG78">
        <v>1.3</v>
      </c>
      <c r="AH78">
        <v>2.7</v>
      </c>
      <c r="AI78">
        <v>0.5</v>
      </c>
      <c r="AJ78">
        <v>4.5</v>
      </c>
      <c r="AK78">
        <v>-0.1</v>
      </c>
      <c r="AL78">
        <v>2.1</v>
      </c>
      <c r="AM78">
        <v>2.7</v>
      </c>
      <c r="AN78">
        <v>4.8</v>
      </c>
      <c r="AO78">
        <v>2</v>
      </c>
      <c r="AP78">
        <v>1.7</v>
      </c>
      <c r="AQ78">
        <v>1.1000000000000001</v>
      </c>
      <c r="AR78">
        <v>4.3</v>
      </c>
      <c r="AS78">
        <v>3.6</v>
      </c>
      <c r="AT78">
        <v>1.2</v>
      </c>
      <c r="AU78">
        <v>2</v>
      </c>
      <c r="AV78" s="205">
        <f t="shared" si="1"/>
        <v>2.44</v>
      </c>
    </row>
    <row r="79" spans="1:48" x14ac:dyDescent="0.25">
      <c r="A79" t="s">
        <v>90</v>
      </c>
      <c r="B79">
        <v>5</v>
      </c>
      <c r="C79">
        <v>7.9</v>
      </c>
      <c r="D79">
        <v>8.1999999999999993</v>
      </c>
      <c r="E79">
        <v>10.6</v>
      </c>
      <c r="F79">
        <v>22.1</v>
      </c>
      <c r="G79">
        <v>18.3</v>
      </c>
      <c r="H79">
        <v>56.6</v>
      </c>
      <c r="I79">
        <v>23.7</v>
      </c>
      <c r="J79">
        <v>11.5</v>
      </c>
      <c r="K79">
        <v>8.3000000000000007</v>
      </c>
      <c r="L79">
        <v>12.2</v>
      </c>
      <c r="M79">
        <v>8.6</v>
      </c>
      <c r="N79">
        <v>9.5</v>
      </c>
      <c r="O79">
        <v>6.5</v>
      </c>
      <c r="P79">
        <v>1.7</v>
      </c>
      <c r="Q79">
        <v>7</v>
      </c>
      <c r="R79">
        <v>1.1000000000000001</v>
      </c>
      <c r="S79">
        <v>2.8</v>
      </c>
      <c r="T79">
        <v>1.1000000000000001</v>
      </c>
      <c r="U79">
        <v>3.8</v>
      </c>
      <c r="V79">
        <v>0.9</v>
      </c>
      <c r="W79">
        <v>4.5</v>
      </c>
      <c r="X79">
        <v>8.6</v>
      </c>
      <c r="Y79">
        <v>17</v>
      </c>
      <c r="Z79">
        <v>14.3</v>
      </c>
      <c r="AA79">
        <v>5</v>
      </c>
      <c r="AB79">
        <v>2.1</v>
      </c>
      <c r="AC79">
        <v>5.4</v>
      </c>
      <c r="AD79">
        <v>4.5</v>
      </c>
      <c r="AE79">
        <v>4.5999999999999996</v>
      </c>
      <c r="AF79">
        <v>5</v>
      </c>
      <c r="AG79">
        <v>4.8</v>
      </c>
      <c r="AH79">
        <v>4.5999999999999996</v>
      </c>
      <c r="AI79">
        <v>5.2</v>
      </c>
      <c r="AJ79">
        <v>6.3</v>
      </c>
      <c r="AK79">
        <v>6.8</v>
      </c>
      <c r="AL79">
        <v>7.2</v>
      </c>
      <c r="AM79">
        <v>8</v>
      </c>
      <c r="AN79">
        <v>6.5</v>
      </c>
      <c r="AO79">
        <v>7.1</v>
      </c>
      <c r="AP79">
        <v>5.9</v>
      </c>
      <c r="AQ79">
        <v>7.4</v>
      </c>
      <c r="AR79">
        <v>11.5</v>
      </c>
      <c r="AS79">
        <v>17</v>
      </c>
      <c r="AT79">
        <v>11.6</v>
      </c>
      <c r="AU79">
        <v>7.9</v>
      </c>
      <c r="AV79" s="205">
        <f t="shared" si="1"/>
        <v>11.08</v>
      </c>
    </row>
    <row r="80" spans="1:48" x14ac:dyDescent="0.25">
      <c r="A80" t="s">
        <v>91</v>
      </c>
      <c r="B80" t="s">
        <v>746</v>
      </c>
      <c r="C80" t="s">
        <v>746</v>
      </c>
      <c r="D80" t="s">
        <v>746</v>
      </c>
      <c r="E80" t="s">
        <v>746</v>
      </c>
      <c r="F80" t="s">
        <v>746</v>
      </c>
      <c r="G80" t="s">
        <v>746</v>
      </c>
      <c r="H80" t="s">
        <v>746</v>
      </c>
      <c r="I80" t="s">
        <v>746</v>
      </c>
      <c r="J80" t="s">
        <v>746</v>
      </c>
      <c r="K80" t="s">
        <v>746</v>
      </c>
      <c r="L80" t="s">
        <v>746</v>
      </c>
      <c r="M80" t="s">
        <v>746</v>
      </c>
      <c r="N80" t="s">
        <v>746</v>
      </c>
      <c r="O80" t="s">
        <v>746</v>
      </c>
      <c r="P80" t="s">
        <v>746</v>
      </c>
      <c r="Q80" t="s">
        <v>746</v>
      </c>
      <c r="R80" t="s">
        <v>746</v>
      </c>
      <c r="S80">
        <v>7.2</v>
      </c>
      <c r="T80">
        <v>3.6</v>
      </c>
      <c r="U80">
        <v>19.100000000000001</v>
      </c>
      <c r="V80">
        <v>4</v>
      </c>
      <c r="W80">
        <v>4.7</v>
      </c>
      <c r="X80">
        <v>5.6</v>
      </c>
      <c r="Y80">
        <v>4.8</v>
      </c>
      <c r="Z80">
        <v>5.7</v>
      </c>
      <c r="AA80">
        <v>8.1999999999999993</v>
      </c>
      <c r="AB80">
        <v>9.1999999999999993</v>
      </c>
      <c r="AC80">
        <v>9.1999999999999993</v>
      </c>
      <c r="AD80">
        <v>10</v>
      </c>
      <c r="AE80">
        <v>1.7</v>
      </c>
      <c r="AF80">
        <v>7.1</v>
      </c>
      <c r="AG80">
        <v>8.5</v>
      </c>
      <c r="AH80">
        <v>-0.9</v>
      </c>
      <c r="AI80">
        <v>-0.5</v>
      </c>
      <c r="AJ80">
        <v>3.1</v>
      </c>
      <c r="AK80">
        <v>4</v>
      </c>
      <c r="AL80">
        <v>2.1</v>
      </c>
      <c r="AM80">
        <v>6</v>
      </c>
      <c r="AN80">
        <v>2.6</v>
      </c>
      <c r="AO80">
        <v>4.9000000000000004</v>
      </c>
      <c r="AP80">
        <v>5.2</v>
      </c>
      <c r="AQ80">
        <v>9.6</v>
      </c>
      <c r="AR80">
        <v>11.9</v>
      </c>
      <c r="AS80">
        <v>2.5</v>
      </c>
      <c r="AT80">
        <v>1.1000000000000001</v>
      </c>
      <c r="AU80">
        <v>3.9</v>
      </c>
      <c r="AV80" s="205">
        <f t="shared" si="1"/>
        <v>5.8</v>
      </c>
    </row>
    <row r="81" spans="1:48" x14ac:dyDescent="0.25">
      <c r="A81" t="s">
        <v>92</v>
      </c>
      <c r="B81">
        <v>5.4</v>
      </c>
      <c r="C81">
        <v>6.3</v>
      </c>
      <c r="D81">
        <v>5.3</v>
      </c>
      <c r="E81">
        <v>3.3</v>
      </c>
      <c r="F81">
        <v>2.4</v>
      </c>
      <c r="G81">
        <v>2.1</v>
      </c>
      <c r="H81">
        <v>-0.1</v>
      </c>
      <c r="I81">
        <v>0.2</v>
      </c>
      <c r="J81">
        <v>1.3</v>
      </c>
      <c r="K81">
        <v>2.8</v>
      </c>
      <c r="L81">
        <v>2.7</v>
      </c>
      <c r="M81">
        <v>3.5</v>
      </c>
      <c r="N81">
        <v>5</v>
      </c>
      <c r="O81">
        <v>4.5</v>
      </c>
      <c r="P81">
        <v>2.7</v>
      </c>
      <c r="Q81">
        <v>1.7</v>
      </c>
      <c r="R81">
        <v>1.3</v>
      </c>
      <c r="S81">
        <v>1.5</v>
      </c>
      <c r="T81">
        <v>0.6</v>
      </c>
      <c r="U81">
        <v>0.6</v>
      </c>
      <c r="V81">
        <v>1.4</v>
      </c>
      <c r="W81">
        <v>1.9</v>
      </c>
      <c r="X81">
        <v>1.4</v>
      </c>
      <c r="Y81">
        <v>1.1000000000000001</v>
      </c>
      <c r="Z81">
        <v>1.8</v>
      </c>
      <c r="AA81">
        <v>2</v>
      </c>
      <c r="AB81">
        <v>1.8</v>
      </c>
      <c r="AC81">
        <v>2.2999999999999998</v>
      </c>
      <c r="AD81">
        <v>2.8</v>
      </c>
      <c r="AE81">
        <v>0.2</v>
      </c>
      <c r="AF81">
        <v>1.2</v>
      </c>
      <c r="AG81">
        <v>2.5</v>
      </c>
      <c r="AH81">
        <v>2.1</v>
      </c>
      <c r="AI81">
        <v>1.6</v>
      </c>
      <c r="AJ81">
        <v>0.8</v>
      </c>
      <c r="AK81">
        <v>0.7</v>
      </c>
      <c r="AL81">
        <v>0.3</v>
      </c>
      <c r="AM81">
        <v>1.7</v>
      </c>
      <c r="AN81">
        <v>1.9</v>
      </c>
      <c r="AO81">
        <v>1.4</v>
      </c>
      <c r="AP81">
        <v>0.4</v>
      </c>
      <c r="AQ81">
        <v>3.2</v>
      </c>
      <c r="AR81">
        <v>8.6999999999999993</v>
      </c>
      <c r="AS81">
        <v>6</v>
      </c>
      <c r="AT81">
        <v>2.5</v>
      </c>
      <c r="AU81">
        <v>2.2999999999999998</v>
      </c>
      <c r="AV81" s="205">
        <f t="shared" si="1"/>
        <v>4.54</v>
      </c>
    </row>
    <row r="82" spans="1:48" x14ac:dyDescent="0.25">
      <c r="A82" t="s">
        <v>93</v>
      </c>
      <c r="B82">
        <v>50</v>
      </c>
      <c r="C82">
        <v>116.5</v>
      </c>
      <c r="D82">
        <v>22.5</v>
      </c>
      <c r="E82">
        <v>122.2</v>
      </c>
      <c r="F82">
        <v>40</v>
      </c>
      <c r="G82">
        <v>10.3</v>
      </c>
      <c r="H82">
        <v>24.5</v>
      </c>
      <c r="I82">
        <v>39.799999999999997</v>
      </c>
      <c r="J82">
        <v>31.4</v>
      </c>
      <c r="K82">
        <v>25.2</v>
      </c>
      <c r="L82">
        <v>37.200000000000003</v>
      </c>
      <c r="M82">
        <v>18.100000000000001</v>
      </c>
      <c r="N82">
        <v>10</v>
      </c>
      <c r="O82">
        <v>24.9</v>
      </c>
      <c r="P82">
        <v>24.9</v>
      </c>
      <c r="Q82">
        <v>59.3</v>
      </c>
      <c r="R82">
        <v>44.5</v>
      </c>
      <c r="S82">
        <v>24.8</v>
      </c>
      <c r="T82">
        <v>19.2</v>
      </c>
      <c r="U82">
        <v>12.5</v>
      </c>
      <c r="V82">
        <v>25.1</v>
      </c>
      <c r="W82">
        <v>32.9</v>
      </c>
      <c r="X82">
        <v>14.8</v>
      </c>
      <c r="Y82">
        <v>26.6</v>
      </c>
      <c r="Z82">
        <v>12.7</v>
      </c>
      <c r="AA82">
        <v>15.1</v>
      </c>
      <c r="AB82">
        <v>11.7</v>
      </c>
      <c r="AC82">
        <v>10.7</v>
      </c>
      <c r="AD82">
        <v>16.5</v>
      </c>
      <c r="AE82">
        <v>13.1</v>
      </c>
      <c r="AF82">
        <v>6.7</v>
      </c>
      <c r="AG82">
        <v>7.7</v>
      </c>
      <c r="AH82">
        <v>7.1</v>
      </c>
      <c r="AI82">
        <v>11.7</v>
      </c>
      <c r="AJ82">
        <v>15.5</v>
      </c>
      <c r="AK82">
        <v>17.2</v>
      </c>
      <c r="AL82">
        <v>17.5</v>
      </c>
      <c r="AM82">
        <v>12.4</v>
      </c>
      <c r="AN82">
        <v>9.8000000000000007</v>
      </c>
      <c r="AO82">
        <v>7.2</v>
      </c>
      <c r="AP82">
        <v>9.9</v>
      </c>
      <c r="AQ82">
        <v>10</v>
      </c>
      <c r="AR82">
        <v>31.9</v>
      </c>
      <c r="AS82">
        <v>39.200000000000003</v>
      </c>
      <c r="AT82">
        <v>22.9</v>
      </c>
      <c r="AU82">
        <v>14.2</v>
      </c>
      <c r="AV82" s="205">
        <f t="shared" si="1"/>
        <v>23.64</v>
      </c>
    </row>
    <row r="83" spans="1:48" x14ac:dyDescent="0.25">
      <c r="A83" t="s">
        <v>765</v>
      </c>
      <c r="B83" t="s">
        <v>746</v>
      </c>
      <c r="C83" t="s">
        <v>746</v>
      </c>
      <c r="D83" t="s">
        <v>746</v>
      </c>
      <c r="E83" t="s">
        <v>746</v>
      </c>
      <c r="F83" t="s">
        <v>746</v>
      </c>
      <c r="G83" t="s">
        <v>746</v>
      </c>
      <c r="H83" t="s">
        <v>746</v>
      </c>
      <c r="I83" t="s">
        <v>746</v>
      </c>
      <c r="J83" t="s">
        <v>746</v>
      </c>
      <c r="K83" t="s">
        <v>746</v>
      </c>
      <c r="L83" t="s">
        <v>746</v>
      </c>
      <c r="M83" t="s">
        <v>746</v>
      </c>
      <c r="N83" t="s">
        <v>746</v>
      </c>
      <c r="O83" t="s">
        <v>746</v>
      </c>
      <c r="P83" t="s">
        <v>746</v>
      </c>
      <c r="Q83" t="s">
        <v>746</v>
      </c>
      <c r="R83" t="s">
        <v>746</v>
      </c>
      <c r="S83" t="s">
        <v>746</v>
      </c>
      <c r="T83" t="s">
        <v>746</v>
      </c>
      <c r="U83" t="s">
        <v>746</v>
      </c>
      <c r="V83" t="s">
        <v>746</v>
      </c>
      <c r="W83" t="s">
        <v>746</v>
      </c>
      <c r="X83" t="s">
        <v>746</v>
      </c>
      <c r="Y83" t="s">
        <v>746</v>
      </c>
      <c r="Z83" t="s">
        <v>746</v>
      </c>
      <c r="AA83" t="s">
        <v>746</v>
      </c>
      <c r="AB83" t="s">
        <v>746</v>
      </c>
      <c r="AC83" t="s">
        <v>746</v>
      </c>
      <c r="AD83" t="s">
        <v>746</v>
      </c>
      <c r="AE83" t="s">
        <v>746</v>
      </c>
      <c r="AF83" t="s">
        <v>746</v>
      </c>
      <c r="AG83" t="s">
        <v>746</v>
      </c>
      <c r="AH83" t="s">
        <v>746</v>
      </c>
      <c r="AI83" t="s">
        <v>746</v>
      </c>
      <c r="AJ83" t="s">
        <v>746</v>
      </c>
      <c r="AK83" t="s">
        <v>746</v>
      </c>
      <c r="AL83" t="s">
        <v>746</v>
      </c>
      <c r="AM83" t="s">
        <v>746</v>
      </c>
      <c r="AN83" t="s">
        <v>746</v>
      </c>
      <c r="AO83" t="s">
        <v>746</v>
      </c>
      <c r="AP83" t="s">
        <v>746</v>
      </c>
      <c r="AQ83" t="s">
        <v>746</v>
      </c>
      <c r="AR83" t="s">
        <v>746</v>
      </c>
      <c r="AS83" t="s">
        <v>746</v>
      </c>
      <c r="AT83" t="s">
        <v>746</v>
      </c>
      <c r="AU83" t="s">
        <v>746</v>
      </c>
      <c r="AV83" s="205" t="e">
        <f t="shared" si="1"/>
        <v>#DIV/0!</v>
      </c>
    </row>
    <row r="84" spans="1:48" x14ac:dyDescent="0.25">
      <c r="A84" t="s">
        <v>94</v>
      </c>
      <c r="B84">
        <v>24.9</v>
      </c>
      <c r="C84">
        <v>24.5</v>
      </c>
      <c r="D84">
        <v>21.1</v>
      </c>
      <c r="E84">
        <v>20.2</v>
      </c>
      <c r="F84">
        <v>18.5</v>
      </c>
      <c r="G84">
        <v>19.3</v>
      </c>
      <c r="H84">
        <v>23</v>
      </c>
      <c r="I84">
        <v>16.399999999999999</v>
      </c>
      <c r="J84">
        <v>13.5</v>
      </c>
      <c r="K84">
        <v>13.7</v>
      </c>
      <c r="L84">
        <v>20.399999999999999</v>
      </c>
      <c r="M84">
        <v>19.5</v>
      </c>
      <c r="N84">
        <v>15.9</v>
      </c>
      <c r="O84">
        <v>14.4</v>
      </c>
      <c r="P84">
        <v>10.9</v>
      </c>
      <c r="Q84">
        <v>8.8000000000000007</v>
      </c>
      <c r="R84">
        <v>7.9</v>
      </c>
      <c r="S84">
        <v>5.4</v>
      </c>
      <c r="T84">
        <v>4.5</v>
      </c>
      <c r="U84">
        <v>2.1</v>
      </c>
      <c r="V84">
        <v>2.9</v>
      </c>
      <c r="W84">
        <v>3.6</v>
      </c>
      <c r="X84">
        <v>3.9</v>
      </c>
      <c r="Y84">
        <v>3.5</v>
      </c>
      <c r="Z84">
        <v>3</v>
      </c>
      <c r="AA84">
        <v>3.5</v>
      </c>
      <c r="AB84">
        <v>3.3</v>
      </c>
      <c r="AC84">
        <v>3</v>
      </c>
      <c r="AD84">
        <v>4.2</v>
      </c>
      <c r="AE84">
        <v>1.3</v>
      </c>
      <c r="AF84">
        <v>4.7</v>
      </c>
      <c r="AG84">
        <v>3.1</v>
      </c>
      <c r="AH84">
        <v>1</v>
      </c>
      <c r="AI84">
        <v>-0.9</v>
      </c>
      <c r="AJ84">
        <v>-1.4</v>
      </c>
      <c r="AK84">
        <v>-1.1000000000000001</v>
      </c>
      <c r="AL84">
        <v>0</v>
      </c>
      <c r="AM84">
        <v>1.1000000000000001</v>
      </c>
      <c r="AN84">
        <v>0.8</v>
      </c>
      <c r="AO84">
        <v>0.5</v>
      </c>
      <c r="AP84">
        <v>-1.3</v>
      </c>
      <c r="AQ84">
        <v>0.6</v>
      </c>
      <c r="AR84">
        <v>9.3000000000000007</v>
      </c>
      <c r="AS84">
        <v>4.2</v>
      </c>
      <c r="AT84">
        <v>3</v>
      </c>
      <c r="AU84">
        <v>2.9</v>
      </c>
      <c r="AV84" s="205">
        <f t="shared" si="1"/>
        <v>4</v>
      </c>
    </row>
    <row r="85" spans="1:48" x14ac:dyDescent="0.25">
      <c r="A85" t="s">
        <v>766</v>
      </c>
      <c r="B85" t="s">
        <v>746</v>
      </c>
      <c r="C85" t="s">
        <v>746</v>
      </c>
      <c r="D85" t="s">
        <v>746</v>
      </c>
      <c r="E85" t="s">
        <v>746</v>
      </c>
      <c r="F85" t="s">
        <v>746</v>
      </c>
      <c r="G85" t="s">
        <v>746</v>
      </c>
      <c r="H85" t="s">
        <v>746</v>
      </c>
      <c r="I85" t="s">
        <v>746</v>
      </c>
      <c r="J85" t="s">
        <v>746</v>
      </c>
      <c r="K85" t="s">
        <v>746</v>
      </c>
      <c r="L85" t="s">
        <v>746</v>
      </c>
      <c r="M85" t="s">
        <v>746</v>
      </c>
      <c r="N85" t="s">
        <v>746</v>
      </c>
      <c r="O85" t="s">
        <v>746</v>
      </c>
      <c r="P85" t="s">
        <v>746</v>
      </c>
      <c r="Q85" t="s">
        <v>746</v>
      </c>
      <c r="R85" t="s">
        <v>746</v>
      </c>
      <c r="S85" t="s">
        <v>746</v>
      </c>
      <c r="T85" t="s">
        <v>746</v>
      </c>
      <c r="U85" t="s">
        <v>746</v>
      </c>
      <c r="V85" t="s">
        <v>746</v>
      </c>
      <c r="W85" t="s">
        <v>746</v>
      </c>
      <c r="X85" t="s">
        <v>746</v>
      </c>
      <c r="Y85" t="s">
        <v>746</v>
      </c>
      <c r="Z85" t="s">
        <v>746</v>
      </c>
      <c r="AA85" t="s">
        <v>746</v>
      </c>
      <c r="AB85" t="s">
        <v>746</v>
      </c>
      <c r="AC85" t="s">
        <v>746</v>
      </c>
      <c r="AD85" t="s">
        <v>746</v>
      </c>
      <c r="AE85" t="s">
        <v>746</v>
      </c>
      <c r="AF85" t="s">
        <v>746</v>
      </c>
      <c r="AG85" t="s">
        <v>746</v>
      </c>
      <c r="AH85" t="s">
        <v>746</v>
      </c>
      <c r="AI85" t="s">
        <v>746</v>
      </c>
      <c r="AJ85" t="s">
        <v>746</v>
      </c>
      <c r="AK85" t="s">
        <v>746</v>
      </c>
      <c r="AL85" t="s">
        <v>746</v>
      </c>
      <c r="AM85" t="s">
        <v>746</v>
      </c>
      <c r="AN85" t="s">
        <v>746</v>
      </c>
      <c r="AO85" t="s">
        <v>746</v>
      </c>
      <c r="AP85" t="s">
        <v>746</v>
      </c>
      <c r="AQ85" t="s">
        <v>746</v>
      </c>
      <c r="AR85" t="s">
        <v>746</v>
      </c>
      <c r="AS85" t="s">
        <v>746</v>
      </c>
      <c r="AT85" t="s">
        <v>746</v>
      </c>
      <c r="AU85" t="s">
        <v>746</v>
      </c>
      <c r="AV85" s="205" t="e">
        <f t="shared" si="1"/>
        <v>#DIV/0!</v>
      </c>
    </row>
    <row r="86" spans="1:48" x14ac:dyDescent="0.25">
      <c r="A86" t="s">
        <v>95</v>
      </c>
      <c r="B86">
        <v>21.8</v>
      </c>
      <c r="C86">
        <v>18.8</v>
      </c>
      <c r="D86">
        <v>7.8</v>
      </c>
      <c r="E86">
        <v>6.1</v>
      </c>
      <c r="F86">
        <v>5.7</v>
      </c>
      <c r="G86">
        <v>2.5</v>
      </c>
      <c r="H86">
        <v>0.6</v>
      </c>
      <c r="I86">
        <v>-0.9</v>
      </c>
      <c r="J86">
        <v>4</v>
      </c>
      <c r="K86">
        <v>5.6</v>
      </c>
      <c r="L86">
        <v>2.7</v>
      </c>
      <c r="M86">
        <v>2.6</v>
      </c>
      <c r="N86">
        <v>3.8</v>
      </c>
      <c r="O86">
        <v>2.8</v>
      </c>
      <c r="P86">
        <v>6.4</v>
      </c>
      <c r="Q86">
        <v>3</v>
      </c>
      <c r="R86">
        <v>2</v>
      </c>
      <c r="S86">
        <v>1.2</v>
      </c>
      <c r="T86">
        <v>1.4</v>
      </c>
      <c r="U86">
        <v>0.6</v>
      </c>
      <c r="V86">
        <v>2.1</v>
      </c>
      <c r="W86">
        <v>1.7</v>
      </c>
      <c r="X86">
        <v>1.1000000000000001</v>
      </c>
      <c r="Y86">
        <v>2.2000000000000002</v>
      </c>
      <c r="Z86">
        <v>2.2999999999999998</v>
      </c>
      <c r="AA86">
        <v>3.5</v>
      </c>
      <c r="AB86">
        <v>4.3</v>
      </c>
      <c r="AC86">
        <v>3.9</v>
      </c>
      <c r="AD86">
        <v>8</v>
      </c>
      <c r="AE86">
        <v>-0.3</v>
      </c>
      <c r="AF86">
        <v>3.4</v>
      </c>
      <c r="AG86">
        <v>3</v>
      </c>
      <c r="AH86">
        <v>2.4</v>
      </c>
      <c r="AI86">
        <v>0</v>
      </c>
      <c r="AJ86">
        <v>-1</v>
      </c>
      <c r="AK86">
        <v>-0.5</v>
      </c>
      <c r="AL86">
        <v>1.6</v>
      </c>
      <c r="AM86">
        <v>0.9</v>
      </c>
      <c r="AN86">
        <v>0.8</v>
      </c>
      <c r="AO86">
        <v>0.6</v>
      </c>
      <c r="AP86">
        <v>-0.7</v>
      </c>
      <c r="AQ86">
        <v>1.2</v>
      </c>
      <c r="AR86">
        <v>2.6</v>
      </c>
      <c r="AS86">
        <v>2.7</v>
      </c>
      <c r="AT86">
        <v>1.1000000000000001</v>
      </c>
      <c r="AU86">
        <v>0.6</v>
      </c>
      <c r="AV86" s="205">
        <f t="shared" si="1"/>
        <v>1.64</v>
      </c>
    </row>
    <row r="87" spans="1:48" x14ac:dyDescent="0.25">
      <c r="A87" t="s">
        <v>767</v>
      </c>
      <c r="B87" t="s">
        <v>746</v>
      </c>
      <c r="C87" t="s">
        <v>746</v>
      </c>
      <c r="D87" t="s">
        <v>746</v>
      </c>
      <c r="E87" t="s">
        <v>746</v>
      </c>
      <c r="F87" t="s">
        <v>746</v>
      </c>
      <c r="G87" t="s">
        <v>746</v>
      </c>
      <c r="H87" t="s">
        <v>746</v>
      </c>
      <c r="I87" t="s">
        <v>746</v>
      </c>
      <c r="J87" t="s">
        <v>746</v>
      </c>
      <c r="K87" t="s">
        <v>746</v>
      </c>
      <c r="L87" t="s">
        <v>746</v>
      </c>
      <c r="M87" t="s">
        <v>746</v>
      </c>
      <c r="N87" t="s">
        <v>746</v>
      </c>
      <c r="O87" t="s">
        <v>746</v>
      </c>
      <c r="P87" t="s">
        <v>746</v>
      </c>
      <c r="Q87" t="s">
        <v>746</v>
      </c>
      <c r="R87" t="s">
        <v>746</v>
      </c>
      <c r="S87" t="s">
        <v>746</v>
      </c>
      <c r="T87" t="s">
        <v>746</v>
      </c>
      <c r="U87" t="s">
        <v>746</v>
      </c>
      <c r="V87" t="s">
        <v>746</v>
      </c>
      <c r="W87" t="s">
        <v>746</v>
      </c>
      <c r="X87" t="s">
        <v>746</v>
      </c>
      <c r="Y87" t="s">
        <v>746</v>
      </c>
      <c r="Z87" t="s">
        <v>746</v>
      </c>
      <c r="AA87" t="s">
        <v>746</v>
      </c>
      <c r="AB87" t="s">
        <v>746</v>
      </c>
      <c r="AC87" t="s">
        <v>746</v>
      </c>
      <c r="AD87" t="s">
        <v>746</v>
      </c>
      <c r="AE87" t="s">
        <v>746</v>
      </c>
      <c r="AF87" t="s">
        <v>746</v>
      </c>
      <c r="AG87" t="s">
        <v>746</v>
      </c>
      <c r="AH87" t="s">
        <v>746</v>
      </c>
      <c r="AI87" t="s">
        <v>746</v>
      </c>
      <c r="AJ87" t="s">
        <v>746</v>
      </c>
      <c r="AK87" t="s">
        <v>746</v>
      </c>
      <c r="AL87" t="s">
        <v>746</v>
      </c>
      <c r="AM87" t="s">
        <v>746</v>
      </c>
      <c r="AN87" t="s">
        <v>746</v>
      </c>
      <c r="AO87" t="s">
        <v>746</v>
      </c>
      <c r="AP87" t="s">
        <v>746</v>
      </c>
      <c r="AQ87" t="s">
        <v>746</v>
      </c>
      <c r="AR87" t="s">
        <v>746</v>
      </c>
      <c r="AS87" t="s">
        <v>746</v>
      </c>
      <c r="AT87" t="s">
        <v>746</v>
      </c>
      <c r="AU87" t="s">
        <v>746</v>
      </c>
      <c r="AV87" s="205" t="e">
        <f t="shared" si="1"/>
        <v>#DIV/0!</v>
      </c>
    </row>
    <row r="88" spans="1:48" x14ac:dyDescent="0.25">
      <c r="A88" t="s">
        <v>768</v>
      </c>
      <c r="B88" t="s">
        <v>746</v>
      </c>
      <c r="C88" t="s">
        <v>746</v>
      </c>
      <c r="D88" t="s">
        <v>746</v>
      </c>
      <c r="E88" t="s">
        <v>746</v>
      </c>
      <c r="F88" t="s">
        <v>746</v>
      </c>
      <c r="G88" t="s">
        <v>746</v>
      </c>
      <c r="H88" t="s">
        <v>746</v>
      </c>
      <c r="I88" t="s">
        <v>746</v>
      </c>
      <c r="J88" t="s">
        <v>746</v>
      </c>
      <c r="K88" t="s">
        <v>746</v>
      </c>
      <c r="L88" t="s">
        <v>746</v>
      </c>
      <c r="M88" t="s">
        <v>746</v>
      </c>
      <c r="N88" t="s">
        <v>746</v>
      </c>
      <c r="O88" t="s">
        <v>746</v>
      </c>
      <c r="P88" t="s">
        <v>746</v>
      </c>
      <c r="Q88" t="s">
        <v>746</v>
      </c>
      <c r="R88" t="s">
        <v>746</v>
      </c>
      <c r="S88" t="s">
        <v>746</v>
      </c>
      <c r="T88" t="s">
        <v>746</v>
      </c>
      <c r="U88" t="s">
        <v>746</v>
      </c>
      <c r="V88" t="s">
        <v>746</v>
      </c>
      <c r="W88" t="s">
        <v>746</v>
      </c>
      <c r="X88" t="s">
        <v>746</v>
      </c>
      <c r="Y88" t="s">
        <v>746</v>
      </c>
      <c r="Z88" t="s">
        <v>746</v>
      </c>
      <c r="AA88" t="s">
        <v>746</v>
      </c>
      <c r="AB88" t="s">
        <v>746</v>
      </c>
      <c r="AC88" t="s">
        <v>746</v>
      </c>
      <c r="AD88" t="s">
        <v>746</v>
      </c>
      <c r="AE88" t="s">
        <v>746</v>
      </c>
      <c r="AF88" t="s">
        <v>746</v>
      </c>
      <c r="AG88" t="s">
        <v>746</v>
      </c>
      <c r="AH88" t="s">
        <v>746</v>
      </c>
      <c r="AI88" t="s">
        <v>746</v>
      </c>
      <c r="AJ88" t="s">
        <v>746</v>
      </c>
      <c r="AK88" t="s">
        <v>746</v>
      </c>
      <c r="AL88" t="s">
        <v>746</v>
      </c>
      <c r="AM88" t="s">
        <v>746</v>
      </c>
      <c r="AN88" t="s">
        <v>746</v>
      </c>
      <c r="AO88" t="s">
        <v>746</v>
      </c>
      <c r="AP88" t="s">
        <v>746</v>
      </c>
      <c r="AQ88" t="s">
        <v>746</v>
      </c>
      <c r="AR88" t="s">
        <v>746</v>
      </c>
      <c r="AS88" t="s">
        <v>746</v>
      </c>
      <c r="AT88" t="s">
        <v>746</v>
      </c>
      <c r="AU88" t="s">
        <v>746</v>
      </c>
      <c r="AV88" s="205" t="e">
        <f t="shared" si="1"/>
        <v>#DIV/0!</v>
      </c>
    </row>
    <row r="89" spans="1:48" x14ac:dyDescent="0.25">
      <c r="A89" t="s">
        <v>96</v>
      </c>
      <c r="B89">
        <v>10.7</v>
      </c>
      <c r="C89">
        <v>11.4</v>
      </c>
      <c r="D89">
        <v>4.9000000000000004</v>
      </c>
      <c r="E89">
        <v>6.7</v>
      </c>
      <c r="F89">
        <v>3.2</v>
      </c>
      <c r="G89">
        <v>19.2</v>
      </c>
      <c r="H89">
        <v>32.799999999999997</v>
      </c>
      <c r="I89">
        <v>10.8</v>
      </c>
      <c r="J89">
        <v>10.3</v>
      </c>
      <c r="K89">
        <v>13</v>
      </c>
      <c r="L89">
        <v>38</v>
      </c>
      <c r="M89">
        <v>35.1</v>
      </c>
      <c r="N89">
        <v>10.199999999999999</v>
      </c>
      <c r="O89">
        <v>13.4</v>
      </c>
      <c r="P89">
        <v>12.5</v>
      </c>
      <c r="Q89">
        <v>8.4</v>
      </c>
      <c r="R89">
        <v>11.1</v>
      </c>
      <c r="S89">
        <v>9.1999999999999993</v>
      </c>
      <c r="T89">
        <v>6.6</v>
      </c>
      <c r="U89">
        <v>5.2</v>
      </c>
      <c r="V89">
        <v>6</v>
      </c>
      <c r="W89">
        <v>7.3</v>
      </c>
      <c r="X89">
        <v>8.1</v>
      </c>
      <c r="Y89">
        <v>5.6</v>
      </c>
      <c r="Z89">
        <v>7.6</v>
      </c>
      <c r="AA89">
        <v>9.1</v>
      </c>
      <c r="AB89">
        <v>6.6</v>
      </c>
      <c r="AC89">
        <v>6.8</v>
      </c>
      <c r="AD89">
        <v>11.4</v>
      </c>
      <c r="AE89">
        <v>1.9</v>
      </c>
      <c r="AF89">
        <v>4</v>
      </c>
      <c r="AG89">
        <v>6.2</v>
      </c>
      <c r="AH89">
        <v>3.8</v>
      </c>
      <c r="AI89">
        <v>4.3</v>
      </c>
      <c r="AJ89">
        <v>3.4</v>
      </c>
      <c r="AK89">
        <v>2.4</v>
      </c>
      <c r="AL89">
        <v>4.5</v>
      </c>
      <c r="AM89">
        <v>4.4000000000000004</v>
      </c>
      <c r="AN89">
        <v>3.8</v>
      </c>
      <c r="AO89">
        <v>3.7</v>
      </c>
      <c r="AP89">
        <v>3.2</v>
      </c>
      <c r="AQ89">
        <v>4.3</v>
      </c>
      <c r="AR89">
        <v>6.9</v>
      </c>
      <c r="AS89">
        <v>6.2</v>
      </c>
      <c r="AT89">
        <v>2.9</v>
      </c>
      <c r="AU89">
        <v>1.6</v>
      </c>
      <c r="AV89" s="205">
        <f t="shared" si="1"/>
        <v>4.38</v>
      </c>
    </row>
    <row r="90" spans="1:48" x14ac:dyDescent="0.25">
      <c r="A90" t="s">
        <v>97</v>
      </c>
      <c r="B90">
        <v>40</v>
      </c>
      <c r="C90">
        <v>35</v>
      </c>
      <c r="D90">
        <v>29.9</v>
      </c>
      <c r="E90">
        <v>30.3</v>
      </c>
      <c r="F90">
        <v>26</v>
      </c>
      <c r="G90">
        <v>19</v>
      </c>
      <c r="H90">
        <v>64.7</v>
      </c>
      <c r="I90">
        <v>36.9</v>
      </c>
      <c r="J90">
        <v>27.3</v>
      </c>
      <c r="K90">
        <v>28.3</v>
      </c>
      <c r="L90">
        <v>25.7</v>
      </c>
      <c r="M90">
        <v>19.7</v>
      </c>
      <c r="N90">
        <v>16.600000000000001</v>
      </c>
      <c r="O90">
        <v>7.1</v>
      </c>
      <c r="P90">
        <v>4.2</v>
      </c>
      <c r="Q90">
        <v>5.6</v>
      </c>
      <c r="R90">
        <v>3</v>
      </c>
      <c r="S90">
        <v>1.9</v>
      </c>
      <c r="T90">
        <v>5.0999999999999996</v>
      </c>
      <c r="U90">
        <v>4.5999999999999996</v>
      </c>
      <c r="V90">
        <v>6.8</v>
      </c>
      <c r="W90">
        <v>5.4</v>
      </c>
      <c r="X90">
        <v>3</v>
      </c>
      <c r="Y90">
        <v>11</v>
      </c>
      <c r="Z90">
        <v>17.5</v>
      </c>
      <c r="AA90">
        <v>31.4</v>
      </c>
      <c r="AB90">
        <v>34.700000000000003</v>
      </c>
      <c r="AC90">
        <v>22.9</v>
      </c>
      <c r="AD90">
        <v>18.399999999999999</v>
      </c>
      <c r="AE90">
        <v>4.7</v>
      </c>
      <c r="AF90">
        <v>15.5</v>
      </c>
      <c r="AG90">
        <v>21.4</v>
      </c>
      <c r="AH90">
        <v>15.2</v>
      </c>
      <c r="AI90">
        <v>11.9</v>
      </c>
      <c r="AJ90">
        <v>9.6999999999999993</v>
      </c>
      <c r="AK90">
        <v>8.1999999999999993</v>
      </c>
      <c r="AL90">
        <v>8.1999999999999993</v>
      </c>
      <c r="AM90">
        <v>8.9</v>
      </c>
      <c r="AN90">
        <v>9.8000000000000007</v>
      </c>
      <c r="AO90">
        <v>9.5</v>
      </c>
      <c r="AP90">
        <v>10.6</v>
      </c>
      <c r="AQ90">
        <v>12.6</v>
      </c>
      <c r="AR90">
        <v>10.5</v>
      </c>
      <c r="AS90">
        <v>5.4</v>
      </c>
      <c r="AT90">
        <v>4.5</v>
      </c>
      <c r="AU90">
        <v>3.1</v>
      </c>
      <c r="AV90" s="205">
        <f t="shared" si="1"/>
        <v>7.2200000000000006</v>
      </c>
    </row>
    <row r="91" spans="1:48" x14ac:dyDescent="0.25">
      <c r="A91" t="s">
        <v>98</v>
      </c>
      <c r="B91">
        <v>64.8</v>
      </c>
      <c r="C91">
        <v>41.9</v>
      </c>
      <c r="D91">
        <v>16.5</v>
      </c>
      <c r="E91">
        <v>23.3</v>
      </c>
      <c r="F91">
        <v>64.900000000000006</v>
      </c>
      <c r="G91">
        <v>112.7</v>
      </c>
      <c r="H91">
        <v>26.5</v>
      </c>
      <c r="I91">
        <v>86.8</v>
      </c>
      <c r="J91">
        <v>60.3</v>
      </c>
      <c r="K91">
        <v>80.8</v>
      </c>
      <c r="L91">
        <v>33</v>
      </c>
      <c r="M91">
        <v>57.6</v>
      </c>
      <c r="N91">
        <v>69.400000000000006</v>
      </c>
      <c r="O91">
        <v>48.2</v>
      </c>
      <c r="P91">
        <v>15.2</v>
      </c>
      <c r="Q91">
        <v>45.1</v>
      </c>
      <c r="R91">
        <v>50.9</v>
      </c>
      <c r="S91">
        <v>49.1</v>
      </c>
      <c r="T91">
        <v>8.1</v>
      </c>
      <c r="U91">
        <v>-2.1</v>
      </c>
      <c r="V91">
        <v>8.6</v>
      </c>
      <c r="W91">
        <v>3.3</v>
      </c>
      <c r="X91">
        <v>3.3</v>
      </c>
      <c r="Y91">
        <v>-3.5</v>
      </c>
      <c r="Z91">
        <v>0.8</v>
      </c>
      <c r="AA91">
        <v>3.4</v>
      </c>
      <c r="AB91">
        <v>2</v>
      </c>
      <c r="AC91">
        <v>4.5999999999999996</v>
      </c>
      <c r="AD91">
        <v>10.4</v>
      </c>
      <c r="AE91">
        <v>-1.6</v>
      </c>
      <c r="AF91">
        <v>1.1000000000000001</v>
      </c>
      <c r="AG91">
        <v>5.0999999999999996</v>
      </c>
      <c r="AH91">
        <v>2.1</v>
      </c>
      <c r="AI91">
        <v>0.8</v>
      </c>
      <c r="AJ91">
        <v>-1</v>
      </c>
      <c r="AK91">
        <v>1.5</v>
      </c>
      <c r="AL91">
        <v>2.7</v>
      </c>
      <c r="AM91">
        <v>-0.2</v>
      </c>
      <c r="AN91">
        <v>0.4</v>
      </c>
      <c r="AO91">
        <v>0.3</v>
      </c>
      <c r="AP91">
        <v>1.5</v>
      </c>
      <c r="AQ91">
        <v>3.3</v>
      </c>
      <c r="AR91">
        <v>7.9</v>
      </c>
      <c r="AS91">
        <v>7.2</v>
      </c>
      <c r="AT91">
        <v>3.7</v>
      </c>
      <c r="AU91">
        <v>0.9</v>
      </c>
      <c r="AV91" s="205">
        <f t="shared" si="1"/>
        <v>4.5999999999999996</v>
      </c>
    </row>
    <row r="92" spans="1:48" x14ac:dyDescent="0.25">
      <c r="A92" t="s">
        <v>99</v>
      </c>
      <c r="B92">
        <v>14.1</v>
      </c>
      <c r="C92">
        <v>22.2</v>
      </c>
      <c r="D92">
        <v>20.6</v>
      </c>
      <c r="E92">
        <v>15.3</v>
      </c>
      <c r="F92">
        <v>25.1</v>
      </c>
      <c r="G92">
        <v>15</v>
      </c>
      <c r="H92">
        <v>7.9</v>
      </c>
      <c r="I92">
        <v>28.7</v>
      </c>
      <c r="J92">
        <v>39.9</v>
      </c>
      <c r="K92">
        <v>89.5</v>
      </c>
      <c r="L92">
        <v>64.3</v>
      </c>
      <c r="M92">
        <v>103.1</v>
      </c>
      <c r="N92">
        <v>26.7</v>
      </c>
      <c r="O92">
        <v>8.4</v>
      </c>
      <c r="P92">
        <v>12.4</v>
      </c>
      <c r="Q92">
        <v>12.2</v>
      </c>
      <c r="R92">
        <v>7.1</v>
      </c>
      <c r="S92">
        <v>3.6</v>
      </c>
      <c r="T92">
        <v>4.5999999999999996</v>
      </c>
      <c r="U92">
        <v>7.5</v>
      </c>
      <c r="V92">
        <v>6.1</v>
      </c>
      <c r="W92">
        <v>2.6</v>
      </c>
      <c r="X92">
        <v>5.4</v>
      </c>
      <c r="Y92">
        <v>6</v>
      </c>
      <c r="Z92">
        <v>4.7</v>
      </c>
      <c r="AA92">
        <v>6.9</v>
      </c>
      <c r="AB92">
        <v>6.7</v>
      </c>
      <c r="AC92">
        <v>12.2</v>
      </c>
      <c r="AD92">
        <v>8.1</v>
      </c>
      <c r="AE92">
        <v>3</v>
      </c>
      <c r="AF92">
        <v>4.3</v>
      </c>
      <c r="AG92">
        <v>4.4000000000000004</v>
      </c>
      <c r="AH92">
        <v>2.4</v>
      </c>
      <c r="AI92">
        <v>1.9</v>
      </c>
      <c r="AJ92">
        <v>0.7</v>
      </c>
      <c r="AK92">
        <v>-0.9</v>
      </c>
      <c r="AL92">
        <v>0.8</v>
      </c>
      <c r="AM92">
        <v>1.9</v>
      </c>
      <c r="AN92">
        <v>1.3</v>
      </c>
      <c r="AO92">
        <v>2.1</v>
      </c>
      <c r="AP92">
        <v>0.7</v>
      </c>
      <c r="AQ92">
        <v>4.5</v>
      </c>
      <c r="AR92">
        <v>6.9</v>
      </c>
      <c r="AS92">
        <v>2.8</v>
      </c>
      <c r="AT92">
        <v>2.9</v>
      </c>
      <c r="AU92">
        <v>3.3</v>
      </c>
      <c r="AV92" s="205">
        <f t="shared" si="1"/>
        <v>4.08</v>
      </c>
    </row>
    <row r="93" spans="1:48" x14ac:dyDescent="0.25">
      <c r="A93" t="s">
        <v>100</v>
      </c>
      <c r="B93">
        <v>19.100000000000001</v>
      </c>
      <c r="C93">
        <v>10.9</v>
      </c>
      <c r="D93">
        <v>7.4</v>
      </c>
      <c r="E93">
        <v>10.199999999999999</v>
      </c>
      <c r="F93">
        <v>6.4</v>
      </c>
      <c r="G93">
        <v>10.6</v>
      </c>
      <c r="H93">
        <v>3.3</v>
      </c>
      <c r="I93">
        <v>-11.4</v>
      </c>
      <c r="J93">
        <v>4.0999999999999996</v>
      </c>
      <c r="K93">
        <v>6.9</v>
      </c>
      <c r="L93">
        <v>21.3</v>
      </c>
      <c r="M93">
        <v>15.4</v>
      </c>
      <c r="N93">
        <v>19.399999999999999</v>
      </c>
      <c r="O93">
        <v>22.6</v>
      </c>
      <c r="P93">
        <v>42.6</v>
      </c>
      <c r="Q93">
        <v>30.2</v>
      </c>
      <c r="R93">
        <v>20.6</v>
      </c>
      <c r="S93">
        <v>11.6</v>
      </c>
      <c r="T93">
        <v>6.6</v>
      </c>
      <c r="U93">
        <v>2.8</v>
      </c>
      <c r="V93">
        <v>6.4</v>
      </c>
      <c r="W93">
        <v>15.5</v>
      </c>
      <c r="X93">
        <v>6.6</v>
      </c>
      <c r="Y93">
        <v>22.2</v>
      </c>
      <c r="Z93">
        <v>25.7</v>
      </c>
      <c r="AA93">
        <v>14.1</v>
      </c>
      <c r="AB93">
        <v>13</v>
      </c>
      <c r="AC93">
        <v>6.9</v>
      </c>
      <c r="AD93">
        <v>12.5</v>
      </c>
      <c r="AE93">
        <v>5.6</v>
      </c>
      <c r="AF93">
        <v>2.9</v>
      </c>
      <c r="AG93">
        <v>5.2</v>
      </c>
      <c r="AH93">
        <v>5.7</v>
      </c>
      <c r="AI93">
        <v>5.3</v>
      </c>
      <c r="AJ93">
        <v>3.2</v>
      </c>
      <c r="AK93">
        <v>5.3</v>
      </c>
      <c r="AL93">
        <v>11.4</v>
      </c>
      <c r="AM93">
        <v>10.6</v>
      </c>
      <c r="AN93">
        <v>11.4</v>
      </c>
      <c r="AO93">
        <v>17.3</v>
      </c>
      <c r="AP93">
        <v>22.9</v>
      </c>
      <c r="AQ93">
        <v>15.9</v>
      </c>
      <c r="AR93">
        <v>27.6</v>
      </c>
      <c r="AS93">
        <v>44.1</v>
      </c>
      <c r="AT93">
        <v>25.8</v>
      </c>
      <c r="AU93">
        <v>28.3</v>
      </c>
      <c r="AV93" s="205">
        <f t="shared" si="1"/>
        <v>28.339999999999996</v>
      </c>
    </row>
    <row r="94" spans="1:48" x14ac:dyDescent="0.25">
      <c r="A94" t="s">
        <v>769</v>
      </c>
      <c r="B94" t="s">
        <v>746</v>
      </c>
      <c r="C94" t="s">
        <v>746</v>
      </c>
      <c r="D94" t="s">
        <v>746</v>
      </c>
      <c r="E94" t="s">
        <v>746</v>
      </c>
      <c r="F94" t="s">
        <v>746</v>
      </c>
      <c r="G94" t="s">
        <v>746</v>
      </c>
      <c r="H94" t="s">
        <v>746</v>
      </c>
      <c r="I94" t="s">
        <v>746</v>
      </c>
      <c r="J94" t="s">
        <v>746</v>
      </c>
      <c r="K94" t="s">
        <v>746</v>
      </c>
      <c r="L94" t="s">
        <v>746</v>
      </c>
      <c r="M94" t="s">
        <v>746</v>
      </c>
      <c r="N94" t="s">
        <v>746</v>
      </c>
      <c r="O94" t="s">
        <v>746</v>
      </c>
      <c r="P94" t="s">
        <v>746</v>
      </c>
      <c r="Q94" t="s">
        <v>746</v>
      </c>
      <c r="R94" t="s">
        <v>746</v>
      </c>
      <c r="S94" t="s">
        <v>746</v>
      </c>
      <c r="T94" t="s">
        <v>746</v>
      </c>
      <c r="U94" t="s">
        <v>746</v>
      </c>
      <c r="V94" t="s">
        <v>746</v>
      </c>
      <c r="W94" t="s">
        <v>746</v>
      </c>
      <c r="X94" t="s">
        <v>746</v>
      </c>
      <c r="Y94" t="s">
        <v>746</v>
      </c>
      <c r="Z94" t="s">
        <v>746</v>
      </c>
      <c r="AA94" t="s">
        <v>746</v>
      </c>
      <c r="AB94" t="s">
        <v>746</v>
      </c>
      <c r="AC94" t="s">
        <v>746</v>
      </c>
      <c r="AD94" t="s">
        <v>746</v>
      </c>
      <c r="AE94" t="s">
        <v>746</v>
      </c>
      <c r="AF94" t="s">
        <v>746</v>
      </c>
      <c r="AG94" t="s">
        <v>746</v>
      </c>
      <c r="AH94" t="s">
        <v>746</v>
      </c>
      <c r="AI94" t="s">
        <v>746</v>
      </c>
      <c r="AJ94" t="s">
        <v>746</v>
      </c>
      <c r="AK94" t="s">
        <v>746</v>
      </c>
      <c r="AL94" t="s">
        <v>746</v>
      </c>
      <c r="AM94" t="s">
        <v>746</v>
      </c>
      <c r="AN94" t="s">
        <v>746</v>
      </c>
      <c r="AO94" t="s">
        <v>746</v>
      </c>
      <c r="AP94" t="s">
        <v>746</v>
      </c>
      <c r="AQ94" t="s">
        <v>746</v>
      </c>
      <c r="AR94" t="s">
        <v>746</v>
      </c>
      <c r="AS94" t="s">
        <v>746</v>
      </c>
      <c r="AT94" t="s">
        <v>746</v>
      </c>
      <c r="AU94" t="s">
        <v>746</v>
      </c>
      <c r="AV94" s="205" t="e">
        <f t="shared" si="1"/>
        <v>#DIV/0!</v>
      </c>
    </row>
    <row r="95" spans="1:48" x14ac:dyDescent="0.25">
      <c r="A95" t="s">
        <v>101</v>
      </c>
      <c r="B95">
        <v>18.100000000000001</v>
      </c>
      <c r="C95">
        <v>9.4</v>
      </c>
      <c r="D95">
        <v>9</v>
      </c>
      <c r="E95">
        <v>8.1999999999999993</v>
      </c>
      <c r="F95">
        <v>4.7</v>
      </c>
      <c r="G95">
        <v>3.4</v>
      </c>
      <c r="H95">
        <v>4.4000000000000004</v>
      </c>
      <c r="I95">
        <v>2.5</v>
      </c>
      <c r="J95">
        <v>4.5</v>
      </c>
      <c r="K95">
        <v>9.9</v>
      </c>
      <c r="L95">
        <v>23.3</v>
      </c>
      <c r="M95">
        <v>33.6</v>
      </c>
      <c r="N95">
        <v>8.6999999999999993</v>
      </c>
      <c r="O95">
        <v>10.8</v>
      </c>
      <c r="P95">
        <v>21.7</v>
      </c>
      <c r="Q95">
        <v>29.5</v>
      </c>
      <c r="R95">
        <v>23.8</v>
      </c>
      <c r="S95">
        <v>20.2</v>
      </c>
      <c r="T95">
        <v>13.7</v>
      </c>
      <c r="U95">
        <v>11.6</v>
      </c>
      <c r="V95">
        <v>11.1</v>
      </c>
      <c r="W95">
        <v>9.6999999999999993</v>
      </c>
      <c r="X95">
        <v>7.7</v>
      </c>
      <c r="Y95">
        <v>7.7</v>
      </c>
      <c r="Z95">
        <v>8.1</v>
      </c>
      <c r="AA95">
        <v>8.8000000000000007</v>
      </c>
      <c r="AB95">
        <v>5.6</v>
      </c>
      <c r="AC95">
        <v>6.9</v>
      </c>
      <c r="AD95">
        <v>11.4</v>
      </c>
      <c r="AE95">
        <v>5.5</v>
      </c>
      <c r="AF95">
        <v>4.7</v>
      </c>
      <c r="AG95">
        <v>6.8</v>
      </c>
      <c r="AH95">
        <v>5.2</v>
      </c>
      <c r="AI95">
        <v>5.2</v>
      </c>
      <c r="AJ95">
        <v>6.1</v>
      </c>
      <c r="AK95">
        <v>3.2</v>
      </c>
      <c r="AL95">
        <v>2.7</v>
      </c>
      <c r="AM95">
        <v>3.9</v>
      </c>
      <c r="AN95">
        <v>4.3</v>
      </c>
      <c r="AO95">
        <v>4.4000000000000004</v>
      </c>
      <c r="AP95">
        <v>3.5</v>
      </c>
      <c r="AQ95">
        <v>4.5</v>
      </c>
      <c r="AR95">
        <v>9.1</v>
      </c>
      <c r="AS95">
        <v>6.7</v>
      </c>
      <c r="AT95">
        <v>4.5999999999999996</v>
      </c>
      <c r="AU95">
        <v>4.5999999999999996</v>
      </c>
      <c r="AV95" s="205">
        <f t="shared" si="1"/>
        <v>5.9</v>
      </c>
    </row>
    <row r="96" spans="1:48" x14ac:dyDescent="0.25">
      <c r="A96" t="s">
        <v>770</v>
      </c>
      <c r="B96">
        <v>4.4000000000000004</v>
      </c>
      <c r="C96">
        <v>9.5</v>
      </c>
      <c r="D96">
        <v>11</v>
      </c>
      <c r="E96">
        <v>10</v>
      </c>
      <c r="F96">
        <v>8.5</v>
      </c>
      <c r="G96">
        <v>3.6</v>
      </c>
      <c r="H96">
        <v>3.6</v>
      </c>
      <c r="I96">
        <v>5.7</v>
      </c>
      <c r="J96">
        <v>7.8</v>
      </c>
      <c r="K96">
        <v>10.199999999999999</v>
      </c>
      <c r="L96">
        <v>10.3</v>
      </c>
      <c r="M96">
        <v>11.2</v>
      </c>
      <c r="N96">
        <v>9.6</v>
      </c>
      <c r="O96">
        <v>8.8000000000000007</v>
      </c>
      <c r="P96">
        <v>8.8000000000000007</v>
      </c>
      <c r="Q96">
        <v>9</v>
      </c>
      <c r="R96">
        <v>6.3</v>
      </c>
      <c r="S96">
        <v>5.8</v>
      </c>
      <c r="T96">
        <v>2.8</v>
      </c>
      <c r="U96">
        <v>-4</v>
      </c>
      <c r="V96">
        <v>-3.7</v>
      </c>
      <c r="W96">
        <v>-1.6</v>
      </c>
      <c r="X96">
        <v>-3</v>
      </c>
      <c r="Y96">
        <v>-2.6</v>
      </c>
      <c r="Z96">
        <v>-0.4</v>
      </c>
      <c r="AA96">
        <v>0.9</v>
      </c>
      <c r="AB96">
        <v>2</v>
      </c>
      <c r="AC96">
        <v>2</v>
      </c>
      <c r="AD96">
        <v>4.3</v>
      </c>
      <c r="AE96">
        <v>0.6</v>
      </c>
      <c r="AF96">
        <v>2.2999999999999998</v>
      </c>
      <c r="AG96">
        <v>5.3</v>
      </c>
      <c r="AH96">
        <v>4.0999999999999996</v>
      </c>
      <c r="AI96">
        <v>4.3</v>
      </c>
      <c r="AJ96">
        <v>4.4000000000000004</v>
      </c>
      <c r="AK96">
        <v>3</v>
      </c>
      <c r="AL96">
        <v>2.4</v>
      </c>
      <c r="AM96">
        <v>1.5</v>
      </c>
      <c r="AN96">
        <v>2.4</v>
      </c>
      <c r="AO96">
        <v>2.9</v>
      </c>
      <c r="AP96">
        <v>0.3</v>
      </c>
      <c r="AQ96">
        <v>1.6</v>
      </c>
      <c r="AR96">
        <v>1.9</v>
      </c>
      <c r="AS96">
        <v>2.1</v>
      </c>
      <c r="AT96">
        <v>1.7</v>
      </c>
      <c r="AU96">
        <v>1.4</v>
      </c>
      <c r="AV96" s="205">
        <f t="shared" si="1"/>
        <v>1.7399999999999998</v>
      </c>
    </row>
    <row r="97" spans="1:48" x14ac:dyDescent="0.25">
      <c r="A97" t="s">
        <v>103</v>
      </c>
      <c r="B97">
        <v>9.3000000000000007</v>
      </c>
      <c r="C97">
        <v>4.5</v>
      </c>
      <c r="D97">
        <v>7</v>
      </c>
      <c r="E97">
        <v>6.4</v>
      </c>
      <c r="F97">
        <v>8.6999999999999993</v>
      </c>
      <c r="G97">
        <v>7</v>
      </c>
      <c r="H97">
        <v>5.3</v>
      </c>
      <c r="I97">
        <v>8.6999999999999993</v>
      </c>
      <c r="J97">
        <v>15.8</v>
      </c>
      <c r="K97">
        <v>16.899999999999999</v>
      </c>
      <c r="L97">
        <v>29</v>
      </c>
      <c r="M97">
        <v>34.200000000000003</v>
      </c>
      <c r="N97">
        <v>22.9</v>
      </c>
      <c r="O97">
        <v>22.5</v>
      </c>
      <c r="P97">
        <v>18.899999999999999</v>
      </c>
      <c r="Q97">
        <v>28.3</v>
      </c>
      <c r="R97">
        <v>23.5</v>
      </c>
      <c r="S97">
        <v>18.3</v>
      </c>
      <c r="T97">
        <v>14.2</v>
      </c>
      <c r="U97">
        <v>10</v>
      </c>
      <c r="V97">
        <v>9.8000000000000007</v>
      </c>
      <c r="W97">
        <v>9.1999999999999993</v>
      </c>
      <c r="X97">
        <v>5.3</v>
      </c>
      <c r="Y97">
        <v>4.7</v>
      </c>
      <c r="Z97">
        <v>6.8</v>
      </c>
      <c r="AA97">
        <v>3.6</v>
      </c>
      <c r="AB97">
        <v>3.9</v>
      </c>
      <c r="AC97">
        <v>8</v>
      </c>
      <c r="AD97">
        <v>6.1</v>
      </c>
      <c r="AE97">
        <v>4.2</v>
      </c>
      <c r="AF97">
        <v>4.9000000000000004</v>
      </c>
      <c r="AG97">
        <v>3.9</v>
      </c>
      <c r="AH97">
        <v>5.7</v>
      </c>
      <c r="AI97">
        <v>1.7</v>
      </c>
      <c r="AJ97">
        <v>-0.2</v>
      </c>
      <c r="AK97">
        <v>-0.1</v>
      </c>
      <c r="AL97">
        <v>0.4</v>
      </c>
      <c r="AM97">
        <v>2.4</v>
      </c>
      <c r="AN97">
        <v>2.8</v>
      </c>
      <c r="AO97">
        <v>3.4</v>
      </c>
      <c r="AP97">
        <v>3.3</v>
      </c>
      <c r="AQ97">
        <v>5.0999999999999996</v>
      </c>
      <c r="AR97">
        <v>14.6</v>
      </c>
      <c r="AS97">
        <v>17.100000000000001</v>
      </c>
      <c r="AT97">
        <v>3.7</v>
      </c>
      <c r="AU97">
        <v>4.4000000000000004</v>
      </c>
      <c r="AV97" s="205">
        <f t="shared" si="1"/>
        <v>8.98</v>
      </c>
    </row>
    <row r="98" spans="1:48" x14ac:dyDescent="0.25">
      <c r="A98" t="s">
        <v>104</v>
      </c>
      <c r="B98">
        <v>58.5</v>
      </c>
      <c r="C98">
        <v>50.9</v>
      </c>
      <c r="D98">
        <v>51</v>
      </c>
      <c r="E98">
        <v>84.3</v>
      </c>
      <c r="F98">
        <v>29.2</v>
      </c>
      <c r="G98">
        <v>32.4</v>
      </c>
      <c r="H98">
        <v>21.3</v>
      </c>
      <c r="I98">
        <v>18.8</v>
      </c>
      <c r="J98">
        <v>25.5</v>
      </c>
      <c r="K98">
        <v>14.5</v>
      </c>
      <c r="L98">
        <v>15.5</v>
      </c>
      <c r="M98">
        <v>6.8</v>
      </c>
      <c r="N98">
        <v>4</v>
      </c>
      <c r="O98">
        <v>4.0999999999999996</v>
      </c>
      <c r="P98">
        <v>1.6</v>
      </c>
      <c r="Q98">
        <v>1.7</v>
      </c>
      <c r="R98">
        <v>2.2999999999999998</v>
      </c>
      <c r="S98">
        <v>1.8</v>
      </c>
      <c r="T98">
        <v>1.7</v>
      </c>
      <c r="U98">
        <v>3.2</v>
      </c>
      <c r="V98">
        <v>5.0999999999999996</v>
      </c>
      <c r="W98">
        <v>6.4</v>
      </c>
      <c r="X98">
        <v>5.2</v>
      </c>
      <c r="Y98">
        <v>2.1</v>
      </c>
      <c r="Z98">
        <v>3.2</v>
      </c>
      <c r="AA98">
        <v>4</v>
      </c>
      <c r="AB98">
        <v>6.7</v>
      </c>
      <c r="AC98">
        <v>5.0999999999999996</v>
      </c>
      <c r="AD98">
        <v>12.7</v>
      </c>
      <c r="AE98">
        <v>12</v>
      </c>
      <c r="AF98">
        <v>5.4</v>
      </c>
      <c r="AG98">
        <v>4</v>
      </c>
      <c r="AH98">
        <v>5.2</v>
      </c>
      <c r="AI98">
        <v>3.9</v>
      </c>
      <c r="AJ98">
        <v>2</v>
      </c>
      <c r="AK98">
        <v>1.6</v>
      </c>
      <c r="AL98">
        <v>1.7</v>
      </c>
      <c r="AM98">
        <v>1.8</v>
      </c>
      <c r="AN98">
        <v>2.7</v>
      </c>
      <c r="AO98">
        <v>3</v>
      </c>
      <c r="AP98">
        <v>2.8</v>
      </c>
      <c r="AQ98">
        <v>4.5</v>
      </c>
      <c r="AR98">
        <v>8.3000000000000007</v>
      </c>
      <c r="AS98">
        <v>8.6999999999999993</v>
      </c>
      <c r="AT98">
        <v>5.9</v>
      </c>
      <c r="AU98">
        <v>4.0999999999999996</v>
      </c>
      <c r="AV98" s="205">
        <f t="shared" si="1"/>
        <v>6.3</v>
      </c>
    </row>
    <row r="99" spans="1:48" x14ac:dyDescent="0.25">
      <c r="A99" t="s">
        <v>105</v>
      </c>
      <c r="B99">
        <v>11.3</v>
      </c>
      <c r="C99">
        <v>12.7</v>
      </c>
      <c r="D99">
        <v>7.7</v>
      </c>
      <c r="E99">
        <v>12.6</v>
      </c>
      <c r="F99">
        <v>6.5</v>
      </c>
      <c r="G99">
        <v>6.3</v>
      </c>
      <c r="H99">
        <v>8.9</v>
      </c>
      <c r="I99">
        <v>9.1</v>
      </c>
      <c r="J99">
        <v>7.2</v>
      </c>
      <c r="K99">
        <v>4.5999999999999996</v>
      </c>
      <c r="L99">
        <v>11.2</v>
      </c>
      <c r="M99">
        <v>13.5</v>
      </c>
      <c r="N99">
        <v>9.9</v>
      </c>
      <c r="O99">
        <v>7.3</v>
      </c>
      <c r="P99">
        <v>10.3</v>
      </c>
      <c r="Q99">
        <v>10</v>
      </c>
      <c r="R99">
        <v>9.4</v>
      </c>
      <c r="S99">
        <v>6.8</v>
      </c>
      <c r="T99">
        <v>13.1</v>
      </c>
      <c r="U99">
        <v>3.4</v>
      </c>
      <c r="V99">
        <v>3.8</v>
      </c>
      <c r="W99">
        <v>4.4000000000000004</v>
      </c>
      <c r="X99">
        <v>5</v>
      </c>
      <c r="Y99">
        <v>4.0999999999999996</v>
      </c>
      <c r="Z99">
        <v>4</v>
      </c>
      <c r="AA99">
        <v>3.7</v>
      </c>
      <c r="AB99">
        <v>6.7</v>
      </c>
      <c r="AC99">
        <v>5.9</v>
      </c>
      <c r="AD99">
        <v>9.1999999999999993</v>
      </c>
      <c r="AE99">
        <v>10.6</v>
      </c>
      <c r="AF99">
        <v>9.4</v>
      </c>
      <c r="AG99">
        <v>8.1</v>
      </c>
      <c r="AH99">
        <v>10</v>
      </c>
      <c r="AI99">
        <v>9.8000000000000007</v>
      </c>
      <c r="AJ99">
        <v>5.9</v>
      </c>
      <c r="AK99">
        <v>4.9000000000000004</v>
      </c>
      <c r="AL99">
        <v>4.5</v>
      </c>
      <c r="AM99">
        <v>3.6</v>
      </c>
      <c r="AN99">
        <v>3.4</v>
      </c>
      <c r="AO99">
        <v>4.8</v>
      </c>
      <c r="AP99">
        <v>6.2</v>
      </c>
      <c r="AQ99">
        <v>5.5</v>
      </c>
      <c r="AR99">
        <v>6.6</v>
      </c>
      <c r="AS99">
        <v>5.4</v>
      </c>
      <c r="AT99">
        <v>4.5999999999999996</v>
      </c>
      <c r="AU99">
        <v>2.1</v>
      </c>
      <c r="AV99" s="205">
        <f t="shared" si="1"/>
        <v>4.8400000000000007</v>
      </c>
    </row>
    <row r="100" spans="1:48" x14ac:dyDescent="0.25">
      <c r="A100" t="s">
        <v>106</v>
      </c>
      <c r="B100">
        <v>18</v>
      </c>
      <c r="C100">
        <v>12.2</v>
      </c>
      <c r="D100">
        <v>9.5</v>
      </c>
      <c r="E100">
        <v>11.8</v>
      </c>
      <c r="F100">
        <v>10.5</v>
      </c>
      <c r="G100">
        <v>4.7</v>
      </c>
      <c r="H100">
        <v>5.8</v>
      </c>
      <c r="I100">
        <v>9.3000000000000007</v>
      </c>
      <c r="J100">
        <v>8.1</v>
      </c>
      <c r="K100">
        <v>6.4</v>
      </c>
      <c r="L100">
        <v>7.8</v>
      </c>
      <c r="M100">
        <v>9.4</v>
      </c>
      <c r="N100">
        <v>7.5</v>
      </c>
      <c r="O100">
        <v>9.6999999999999993</v>
      </c>
      <c r="P100">
        <v>8.5</v>
      </c>
      <c r="Q100">
        <v>9.4</v>
      </c>
      <c r="R100">
        <v>8</v>
      </c>
      <c r="S100">
        <v>6.2</v>
      </c>
      <c r="T100">
        <v>58.4</v>
      </c>
      <c r="U100">
        <v>20.5</v>
      </c>
      <c r="V100">
        <v>3.7</v>
      </c>
      <c r="W100">
        <v>11.5</v>
      </c>
      <c r="X100">
        <v>11.9</v>
      </c>
      <c r="Y100">
        <v>6.8</v>
      </c>
      <c r="Z100">
        <v>6.1</v>
      </c>
      <c r="AA100">
        <v>10.5</v>
      </c>
      <c r="AB100">
        <v>13.1</v>
      </c>
      <c r="AC100">
        <v>6.3</v>
      </c>
      <c r="AD100">
        <v>9.9</v>
      </c>
      <c r="AE100">
        <v>4.8</v>
      </c>
      <c r="AF100">
        <v>5.0999999999999996</v>
      </c>
      <c r="AG100">
        <v>5.3</v>
      </c>
      <c r="AH100">
        <v>4</v>
      </c>
      <c r="AI100">
        <v>6.4</v>
      </c>
      <c r="AJ100">
        <v>6.4</v>
      </c>
      <c r="AK100">
        <v>6.4</v>
      </c>
      <c r="AL100">
        <v>3.5</v>
      </c>
      <c r="AM100">
        <v>3.8</v>
      </c>
      <c r="AN100">
        <v>3.3</v>
      </c>
      <c r="AO100">
        <v>2.8</v>
      </c>
      <c r="AP100">
        <v>2</v>
      </c>
      <c r="AQ100">
        <v>1.6</v>
      </c>
      <c r="AR100">
        <v>4.0999999999999996</v>
      </c>
      <c r="AS100">
        <v>3.7</v>
      </c>
      <c r="AT100">
        <v>2.2999999999999998</v>
      </c>
      <c r="AU100">
        <v>1.9</v>
      </c>
      <c r="AV100" s="205">
        <f t="shared" si="1"/>
        <v>2.7199999999999998</v>
      </c>
    </row>
    <row r="101" spans="1:48" x14ac:dyDescent="0.25">
      <c r="A101" t="s">
        <v>771</v>
      </c>
      <c r="B101">
        <v>20.6</v>
      </c>
      <c r="C101">
        <v>24.2</v>
      </c>
      <c r="D101">
        <v>18.7</v>
      </c>
      <c r="E101">
        <v>19.7</v>
      </c>
      <c r="F101">
        <v>12.6</v>
      </c>
      <c r="G101">
        <v>4.4000000000000004</v>
      </c>
      <c r="H101">
        <v>23.7</v>
      </c>
      <c r="I101">
        <v>27.7</v>
      </c>
      <c r="J101">
        <v>28.9</v>
      </c>
      <c r="K101">
        <v>17.399999999999999</v>
      </c>
      <c r="L101">
        <v>9</v>
      </c>
      <c r="M101">
        <v>20.2</v>
      </c>
      <c r="N101">
        <v>24.5</v>
      </c>
      <c r="O101">
        <v>22.5</v>
      </c>
      <c r="P101">
        <v>34.9</v>
      </c>
      <c r="Q101">
        <v>49.3</v>
      </c>
      <c r="R101">
        <v>23.9</v>
      </c>
      <c r="S101">
        <v>16.5</v>
      </c>
      <c r="T101">
        <v>18.5</v>
      </c>
      <c r="U101">
        <v>20.2</v>
      </c>
      <c r="V101">
        <v>12.3</v>
      </c>
      <c r="W101">
        <v>11.5</v>
      </c>
      <c r="X101">
        <v>15.8</v>
      </c>
      <c r="Y101">
        <v>15.6</v>
      </c>
      <c r="Z101">
        <v>15.3</v>
      </c>
      <c r="AA101">
        <v>10.3</v>
      </c>
      <c r="AB101">
        <v>12</v>
      </c>
      <c r="AC101">
        <v>18.399999999999999</v>
      </c>
      <c r="AD101">
        <v>25.3</v>
      </c>
      <c r="AE101">
        <v>10.8</v>
      </c>
      <c r="AF101">
        <v>12.3</v>
      </c>
      <c r="AG101">
        <v>25.3</v>
      </c>
      <c r="AH101">
        <v>29.3</v>
      </c>
      <c r="AI101">
        <v>32.9</v>
      </c>
      <c r="AJ101">
        <v>14.5</v>
      </c>
      <c r="AK101">
        <v>11.1</v>
      </c>
      <c r="AL101">
        <v>6.8</v>
      </c>
      <c r="AM101">
        <v>8.1999999999999993</v>
      </c>
      <c r="AN101">
        <v>26.9</v>
      </c>
      <c r="AO101">
        <v>34.799999999999997</v>
      </c>
      <c r="AP101">
        <v>36.5</v>
      </c>
      <c r="AQ101">
        <v>40.200000000000003</v>
      </c>
      <c r="AR101">
        <v>45.8</v>
      </c>
      <c r="AS101">
        <v>40.700000000000003</v>
      </c>
      <c r="AT101">
        <v>32.5</v>
      </c>
      <c r="AU101">
        <v>50.9</v>
      </c>
      <c r="AV101" s="205">
        <f t="shared" si="1"/>
        <v>42.019999999999996</v>
      </c>
    </row>
    <row r="102" spans="1:48" x14ac:dyDescent="0.25">
      <c r="A102" t="s">
        <v>108</v>
      </c>
      <c r="B102" t="s">
        <v>746</v>
      </c>
      <c r="C102" t="s">
        <v>746</v>
      </c>
      <c r="D102" t="s">
        <v>746</v>
      </c>
      <c r="E102" t="s">
        <v>746</v>
      </c>
      <c r="F102" t="s">
        <v>746</v>
      </c>
      <c r="G102" t="s">
        <v>746</v>
      </c>
      <c r="H102" t="s">
        <v>746</v>
      </c>
      <c r="I102" t="s">
        <v>746</v>
      </c>
      <c r="J102" t="s">
        <v>746</v>
      </c>
      <c r="K102" t="s">
        <v>746</v>
      </c>
      <c r="L102" t="s">
        <v>746</v>
      </c>
      <c r="M102" t="s">
        <v>746</v>
      </c>
      <c r="N102" t="s">
        <v>746</v>
      </c>
      <c r="O102" t="s">
        <v>746</v>
      </c>
      <c r="P102" t="s">
        <v>746</v>
      </c>
      <c r="Q102" t="s">
        <v>746</v>
      </c>
      <c r="R102" t="s">
        <v>746</v>
      </c>
      <c r="S102" t="s">
        <v>746</v>
      </c>
      <c r="T102" t="s">
        <v>746</v>
      </c>
      <c r="U102" t="s">
        <v>746</v>
      </c>
      <c r="V102" t="s">
        <v>746</v>
      </c>
      <c r="W102" t="s">
        <v>746</v>
      </c>
      <c r="X102" t="s">
        <v>746</v>
      </c>
      <c r="Y102" t="s">
        <v>746</v>
      </c>
      <c r="Z102" t="s">
        <v>746</v>
      </c>
      <c r="AA102">
        <v>37</v>
      </c>
      <c r="AB102">
        <v>53.2</v>
      </c>
      <c r="AC102">
        <v>30.8</v>
      </c>
      <c r="AD102">
        <v>2.7</v>
      </c>
      <c r="AE102">
        <v>-2.8</v>
      </c>
      <c r="AF102">
        <v>2.4</v>
      </c>
      <c r="AG102">
        <v>5.6</v>
      </c>
      <c r="AH102">
        <v>6.1</v>
      </c>
      <c r="AI102">
        <v>1.9</v>
      </c>
      <c r="AJ102">
        <v>2.2000000000000002</v>
      </c>
      <c r="AK102">
        <v>1.4</v>
      </c>
      <c r="AL102">
        <v>0.5</v>
      </c>
      <c r="AM102">
        <v>0.2</v>
      </c>
      <c r="AN102">
        <v>0.4</v>
      </c>
      <c r="AO102">
        <v>-0.2</v>
      </c>
      <c r="AP102">
        <v>0.6</v>
      </c>
      <c r="AQ102">
        <v>6</v>
      </c>
      <c r="AR102">
        <v>5</v>
      </c>
      <c r="AS102">
        <v>4.4000000000000004</v>
      </c>
      <c r="AT102">
        <v>2.6</v>
      </c>
      <c r="AU102">
        <v>0.3</v>
      </c>
      <c r="AV102" s="205">
        <f t="shared" si="1"/>
        <v>3.66</v>
      </c>
    </row>
    <row r="103" spans="1:48" x14ac:dyDescent="0.25">
      <c r="A103" t="s">
        <v>109</v>
      </c>
      <c r="B103">
        <v>18.3</v>
      </c>
      <c r="C103">
        <v>20.2</v>
      </c>
      <c r="D103">
        <v>17.2</v>
      </c>
      <c r="E103">
        <v>10.4</v>
      </c>
      <c r="F103">
        <v>8.6</v>
      </c>
      <c r="G103">
        <v>5.5</v>
      </c>
      <c r="H103">
        <v>3</v>
      </c>
      <c r="I103">
        <v>3.2</v>
      </c>
      <c r="J103">
        <v>2.2000000000000002</v>
      </c>
      <c r="K103">
        <v>4</v>
      </c>
      <c r="L103">
        <v>3.4</v>
      </c>
      <c r="M103">
        <v>3.1</v>
      </c>
      <c r="N103">
        <v>3.1</v>
      </c>
      <c r="O103">
        <v>1.4</v>
      </c>
      <c r="P103">
        <v>2.4</v>
      </c>
      <c r="Q103">
        <v>2.5</v>
      </c>
      <c r="R103">
        <v>2.2000000000000002</v>
      </c>
      <c r="S103">
        <v>1.3</v>
      </c>
      <c r="T103">
        <v>2.1</v>
      </c>
      <c r="U103">
        <v>2.4</v>
      </c>
      <c r="V103">
        <v>5.3</v>
      </c>
      <c r="W103">
        <v>4</v>
      </c>
      <c r="X103">
        <v>4.7</v>
      </c>
      <c r="Y103">
        <v>4</v>
      </c>
      <c r="Z103">
        <v>2.2999999999999998</v>
      </c>
      <c r="AA103">
        <v>2.2000000000000002</v>
      </c>
      <c r="AB103">
        <v>2.7</v>
      </c>
      <c r="AC103">
        <v>2.9</v>
      </c>
      <c r="AD103">
        <v>3.1</v>
      </c>
      <c r="AE103">
        <v>-1.7</v>
      </c>
      <c r="AF103">
        <v>-1.6</v>
      </c>
      <c r="AG103">
        <v>1.2</v>
      </c>
      <c r="AH103">
        <v>1.9</v>
      </c>
      <c r="AI103">
        <v>0.5</v>
      </c>
      <c r="AJ103">
        <v>0.3</v>
      </c>
      <c r="AK103">
        <v>0</v>
      </c>
      <c r="AL103">
        <v>-0.2</v>
      </c>
      <c r="AM103">
        <v>0.3</v>
      </c>
      <c r="AN103">
        <v>0.7</v>
      </c>
      <c r="AO103">
        <v>0.9</v>
      </c>
      <c r="AP103">
        <v>-0.5</v>
      </c>
      <c r="AQ103">
        <v>2.4</v>
      </c>
      <c r="AR103">
        <v>8.1</v>
      </c>
      <c r="AS103">
        <v>5.2</v>
      </c>
      <c r="AT103">
        <v>1.3</v>
      </c>
      <c r="AU103">
        <v>2.1</v>
      </c>
      <c r="AV103" s="205">
        <f t="shared" si="1"/>
        <v>3.8200000000000003</v>
      </c>
    </row>
    <row r="104" spans="1:48" x14ac:dyDescent="0.25">
      <c r="A104" t="s">
        <v>772</v>
      </c>
      <c r="B104" t="s">
        <v>746</v>
      </c>
      <c r="C104" t="s">
        <v>746</v>
      </c>
      <c r="D104" t="s">
        <v>746</v>
      </c>
      <c r="E104" t="s">
        <v>746</v>
      </c>
      <c r="F104" t="s">
        <v>746</v>
      </c>
      <c r="G104" t="s">
        <v>746</v>
      </c>
      <c r="H104" t="s">
        <v>746</v>
      </c>
      <c r="I104" t="s">
        <v>746</v>
      </c>
      <c r="J104" t="s">
        <v>746</v>
      </c>
      <c r="K104" t="s">
        <v>746</v>
      </c>
      <c r="L104" t="s">
        <v>746</v>
      </c>
      <c r="M104" t="s">
        <v>746</v>
      </c>
      <c r="N104" t="s">
        <v>746</v>
      </c>
      <c r="O104" t="s">
        <v>746</v>
      </c>
      <c r="P104" t="s">
        <v>746</v>
      </c>
      <c r="Q104" t="s">
        <v>746</v>
      </c>
      <c r="R104" t="s">
        <v>746</v>
      </c>
      <c r="S104" t="s">
        <v>746</v>
      </c>
      <c r="T104" t="s">
        <v>746</v>
      </c>
      <c r="U104" t="s">
        <v>746</v>
      </c>
      <c r="V104" t="s">
        <v>746</v>
      </c>
      <c r="W104" t="s">
        <v>746</v>
      </c>
      <c r="X104" t="s">
        <v>746</v>
      </c>
      <c r="Y104" t="s">
        <v>746</v>
      </c>
      <c r="Z104" t="s">
        <v>746</v>
      </c>
      <c r="AA104" t="s">
        <v>746</v>
      </c>
      <c r="AB104" t="s">
        <v>746</v>
      </c>
      <c r="AC104" t="s">
        <v>746</v>
      </c>
      <c r="AD104" t="s">
        <v>746</v>
      </c>
      <c r="AE104" t="s">
        <v>746</v>
      </c>
      <c r="AF104" t="s">
        <v>746</v>
      </c>
      <c r="AG104" t="s">
        <v>746</v>
      </c>
      <c r="AH104" t="s">
        <v>746</v>
      </c>
      <c r="AI104" t="s">
        <v>746</v>
      </c>
      <c r="AJ104" t="s">
        <v>746</v>
      </c>
      <c r="AK104" t="s">
        <v>746</v>
      </c>
      <c r="AL104" t="s">
        <v>746</v>
      </c>
      <c r="AM104" t="s">
        <v>746</v>
      </c>
      <c r="AN104" t="s">
        <v>746</v>
      </c>
      <c r="AO104" t="s">
        <v>746</v>
      </c>
      <c r="AP104" t="s">
        <v>746</v>
      </c>
      <c r="AQ104" t="s">
        <v>746</v>
      </c>
      <c r="AR104" t="s">
        <v>746</v>
      </c>
      <c r="AS104" t="s">
        <v>746</v>
      </c>
      <c r="AT104" t="s">
        <v>746</v>
      </c>
      <c r="AU104" t="s">
        <v>746</v>
      </c>
      <c r="AV104" s="205" t="e">
        <f t="shared" si="1"/>
        <v>#DIV/0!</v>
      </c>
    </row>
    <row r="105" spans="1:48" x14ac:dyDescent="0.25">
      <c r="A105" t="s">
        <v>110</v>
      </c>
      <c r="B105">
        <v>316.60000000000002</v>
      </c>
      <c r="C105">
        <v>116.8</v>
      </c>
      <c r="D105">
        <v>120.4</v>
      </c>
      <c r="E105">
        <v>145.6</v>
      </c>
      <c r="F105">
        <v>373.8</v>
      </c>
      <c r="G105">
        <v>304.60000000000002</v>
      </c>
      <c r="H105">
        <v>48.2</v>
      </c>
      <c r="I105">
        <v>19.899999999999999</v>
      </c>
      <c r="J105">
        <v>16.2</v>
      </c>
      <c r="K105">
        <v>20.2</v>
      </c>
      <c r="L105">
        <v>17.2</v>
      </c>
      <c r="M105">
        <v>19</v>
      </c>
      <c r="N105">
        <v>11.9</v>
      </c>
      <c r="O105">
        <v>10.9</v>
      </c>
      <c r="P105">
        <v>12.3</v>
      </c>
      <c r="Q105">
        <v>10</v>
      </c>
      <c r="R105">
        <v>11.3</v>
      </c>
      <c r="S105">
        <v>9</v>
      </c>
      <c r="T105">
        <v>5.4</v>
      </c>
      <c r="U105">
        <v>5.2</v>
      </c>
      <c r="V105">
        <v>1.1000000000000001</v>
      </c>
      <c r="W105">
        <v>1.1000000000000001</v>
      </c>
      <c r="X105">
        <v>5.7</v>
      </c>
      <c r="Y105">
        <v>0.7</v>
      </c>
      <c r="Z105">
        <v>-0.4</v>
      </c>
      <c r="AA105">
        <v>1.3</v>
      </c>
      <c r="AB105">
        <v>2.1</v>
      </c>
      <c r="AC105">
        <v>0.5</v>
      </c>
      <c r="AD105">
        <v>4.5999999999999996</v>
      </c>
      <c r="AE105">
        <v>3.3</v>
      </c>
      <c r="AF105">
        <v>2.7</v>
      </c>
      <c r="AG105">
        <v>3.5</v>
      </c>
      <c r="AH105">
        <v>1.7</v>
      </c>
      <c r="AI105">
        <v>1.5</v>
      </c>
      <c r="AJ105">
        <v>0.5</v>
      </c>
      <c r="AK105">
        <v>-0.6</v>
      </c>
      <c r="AL105">
        <v>-0.5</v>
      </c>
      <c r="AM105">
        <v>0.2</v>
      </c>
      <c r="AN105">
        <v>0.8</v>
      </c>
      <c r="AO105">
        <v>0.8</v>
      </c>
      <c r="AP105">
        <v>-0.6</v>
      </c>
      <c r="AQ105">
        <v>1.5</v>
      </c>
      <c r="AR105">
        <v>4.4000000000000004</v>
      </c>
      <c r="AS105">
        <v>4.2</v>
      </c>
      <c r="AT105">
        <v>3.1</v>
      </c>
      <c r="AU105">
        <v>3</v>
      </c>
      <c r="AV105" s="205">
        <f t="shared" si="1"/>
        <v>3.2400000000000007</v>
      </c>
    </row>
    <row r="106" spans="1:48" x14ac:dyDescent="0.25">
      <c r="A106" t="s">
        <v>111</v>
      </c>
      <c r="B106">
        <v>21.8</v>
      </c>
      <c r="C106">
        <v>19.5</v>
      </c>
      <c r="D106">
        <v>16.5</v>
      </c>
      <c r="E106">
        <v>14.7</v>
      </c>
      <c r="F106">
        <v>10.7</v>
      </c>
      <c r="G106">
        <v>9</v>
      </c>
      <c r="H106">
        <v>5.8</v>
      </c>
      <c r="I106">
        <v>4.7</v>
      </c>
      <c r="J106">
        <v>5.0999999999999996</v>
      </c>
      <c r="K106">
        <v>6.2</v>
      </c>
      <c r="L106">
        <v>6.4</v>
      </c>
      <c r="M106">
        <v>6.2</v>
      </c>
      <c r="N106">
        <v>5</v>
      </c>
      <c r="O106">
        <v>4.5</v>
      </c>
      <c r="P106">
        <v>4.2</v>
      </c>
      <c r="Q106">
        <v>5.4</v>
      </c>
      <c r="R106">
        <v>3.9</v>
      </c>
      <c r="S106">
        <v>1.9</v>
      </c>
      <c r="T106">
        <v>2</v>
      </c>
      <c r="U106">
        <v>1.6</v>
      </c>
      <c r="V106">
        <v>2.6</v>
      </c>
      <c r="W106">
        <v>2.2999999999999998</v>
      </c>
      <c r="X106">
        <v>2.6</v>
      </c>
      <c r="Y106">
        <v>2.8</v>
      </c>
      <c r="Z106">
        <v>2.2999999999999998</v>
      </c>
      <c r="AA106">
        <v>2.2000000000000002</v>
      </c>
      <c r="AB106">
        <v>2.2000000000000002</v>
      </c>
      <c r="AC106">
        <v>2</v>
      </c>
      <c r="AD106">
        <v>3.5</v>
      </c>
      <c r="AE106">
        <v>0.8</v>
      </c>
      <c r="AF106">
        <v>1.6</v>
      </c>
      <c r="AG106">
        <v>2.9</v>
      </c>
      <c r="AH106">
        <v>3.3</v>
      </c>
      <c r="AI106">
        <v>1.3</v>
      </c>
      <c r="AJ106">
        <v>0.2</v>
      </c>
      <c r="AK106">
        <v>0.2</v>
      </c>
      <c r="AL106">
        <v>-0.1</v>
      </c>
      <c r="AM106">
        <v>1.3</v>
      </c>
      <c r="AN106">
        <v>1.2</v>
      </c>
      <c r="AO106">
        <v>0.7</v>
      </c>
      <c r="AP106">
        <v>-0.2</v>
      </c>
      <c r="AQ106">
        <v>2</v>
      </c>
      <c r="AR106">
        <v>8.6999999999999993</v>
      </c>
      <c r="AS106">
        <v>5.9</v>
      </c>
      <c r="AT106">
        <v>1.1000000000000001</v>
      </c>
      <c r="AU106">
        <v>1.6</v>
      </c>
      <c r="AV106" s="205">
        <f t="shared" si="1"/>
        <v>3.8600000000000008</v>
      </c>
    </row>
    <row r="107" spans="1:48" x14ac:dyDescent="0.25">
      <c r="A107" t="s">
        <v>112</v>
      </c>
      <c r="B107">
        <v>18</v>
      </c>
      <c r="C107">
        <v>9.1999999999999993</v>
      </c>
      <c r="D107">
        <v>6.8</v>
      </c>
      <c r="E107">
        <v>16.7</v>
      </c>
      <c r="F107">
        <v>31.3</v>
      </c>
      <c r="G107">
        <v>29.7</v>
      </c>
      <c r="H107">
        <v>24.4</v>
      </c>
      <c r="I107">
        <v>11.2</v>
      </c>
      <c r="J107">
        <v>8.1999999999999993</v>
      </c>
      <c r="K107">
        <v>16.100000000000001</v>
      </c>
      <c r="L107">
        <v>24.8</v>
      </c>
      <c r="M107">
        <v>51</v>
      </c>
      <c r="N107">
        <v>77.3</v>
      </c>
      <c r="O107">
        <v>21.6</v>
      </c>
      <c r="P107">
        <v>35.5</v>
      </c>
      <c r="Q107">
        <v>19.899999999999999</v>
      </c>
      <c r="R107">
        <v>26.4</v>
      </c>
      <c r="S107">
        <v>9.6999999999999993</v>
      </c>
      <c r="T107">
        <v>8.6</v>
      </c>
      <c r="U107">
        <v>6</v>
      </c>
      <c r="V107">
        <v>8.1</v>
      </c>
      <c r="W107">
        <v>6.9</v>
      </c>
      <c r="X107">
        <v>7</v>
      </c>
      <c r="Y107">
        <v>10.1</v>
      </c>
      <c r="Z107">
        <v>13.5</v>
      </c>
      <c r="AA107">
        <v>15.1</v>
      </c>
      <c r="AB107">
        <v>8.5</v>
      </c>
      <c r="AC107">
        <v>9.3000000000000007</v>
      </c>
      <c r="AD107">
        <v>22</v>
      </c>
      <c r="AE107">
        <v>9.6</v>
      </c>
      <c r="AF107">
        <v>12.6</v>
      </c>
      <c r="AG107">
        <v>7.5</v>
      </c>
      <c r="AH107">
        <v>6.9</v>
      </c>
      <c r="AI107">
        <v>9.4</v>
      </c>
      <c r="AJ107">
        <v>8.3000000000000007</v>
      </c>
      <c r="AK107">
        <v>3.7</v>
      </c>
      <c r="AL107">
        <v>2.2999999999999998</v>
      </c>
      <c r="AM107">
        <v>4.4000000000000004</v>
      </c>
      <c r="AN107">
        <v>3.7</v>
      </c>
      <c r="AO107">
        <v>3.9</v>
      </c>
      <c r="AP107">
        <v>5.2</v>
      </c>
      <c r="AQ107">
        <v>5.9</v>
      </c>
      <c r="AR107">
        <v>10.3</v>
      </c>
      <c r="AS107">
        <v>6.5</v>
      </c>
      <c r="AT107">
        <v>5.5</v>
      </c>
      <c r="AU107">
        <v>3.9</v>
      </c>
      <c r="AV107" s="205">
        <f t="shared" si="1"/>
        <v>6.42</v>
      </c>
    </row>
    <row r="108" spans="1:48" x14ac:dyDescent="0.25">
      <c r="A108" t="s">
        <v>113</v>
      </c>
      <c r="B108">
        <v>7.8</v>
      </c>
      <c r="C108">
        <v>4.9000000000000004</v>
      </c>
      <c r="D108">
        <v>2.7</v>
      </c>
      <c r="E108">
        <v>1.9</v>
      </c>
      <c r="F108">
        <v>2.2999999999999998</v>
      </c>
      <c r="G108">
        <v>2</v>
      </c>
      <c r="H108">
        <v>0.6</v>
      </c>
      <c r="I108">
        <v>0.1</v>
      </c>
      <c r="J108">
        <v>0.7</v>
      </c>
      <c r="K108">
        <v>2.2999999999999998</v>
      </c>
      <c r="L108">
        <v>3.1</v>
      </c>
      <c r="M108">
        <v>3.3</v>
      </c>
      <c r="N108">
        <v>1.7</v>
      </c>
      <c r="O108">
        <v>1.3</v>
      </c>
      <c r="P108">
        <v>0.7</v>
      </c>
      <c r="Q108">
        <v>-0.1</v>
      </c>
      <c r="R108">
        <v>0.1</v>
      </c>
      <c r="S108">
        <v>1.7</v>
      </c>
      <c r="T108">
        <v>0.7</v>
      </c>
      <c r="U108">
        <v>-0.3</v>
      </c>
      <c r="V108">
        <v>-0.7</v>
      </c>
      <c r="W108">
        <v>-0.7</v>
      </c>
      <c r="X108">
        <v>-0.9</v>
      </c>
      <c r="Y108">
        <v>-0.3</v>
      </c>
      <c r="Z108">
        <v>0</v>
      </c>
      <c r="AA108">
        <v>-0.3</v>
      </c>
      <c r="AB108">
        <v>0.3</v>
      </c>
      <c r="AC108">
        <v>0</v>
      </c>
      <c r="AD108">
        <v>1.4</v>
      </c>
      <c r="AE108">
        <v>-1.3</v>
      </c>
      <c r="AF108">
        <v>-0.7</v>
      </c>
      <c r="AG108">
        <v>-0.3</v>
      </c>
      <c r="AH108">
        <v>0</v>
      </c>
      <c r="AI108">
        <v>0.3</v>
      </c>
      <c r="AJ108">
        <v>2.8</v>
      </c>
      <c r="AK108">
        <v>0.8</v>
      </c>
      <c r="AL108">
        <v>-0.1</v>
      </c>
      <c r="AM108">
        <v>0.5</v>
      </c>
      <c r="AN108">
        <v>1</v>
      </c>
      <c r="AO108">
        <v>0.5</v>
      </c>
      <c r="AP108">
        <v>0</v>
      </c>
      <c r="AQ108">
        <v>-0.2</v>
      </c>
      <c r="AR108">
        <v>2.5</v>
      </c>
      <c r="AS108">
        <v>3.3</v>
      </c>
      <c r="AT108">
        <v>2.7</v>
      </c>
      <c r="AU108">
        <v>3.2</v>
      </c>
      <c r="AV108" s="205">
        <f t="shared" si="1"/>
        <v>2.2999999999999998</v>
      </c>
    </row>
    <row r="109" spans="1:48" x14ac:dyDescent="0.25">
      <c r="A109" t="s">
        <v>114</v>
      </c>
      <c r="B109">
        <v>10.9</v>
      </c>
      <c r="C109">
        <v>7.7</v>
      </c>
      <c r="D109">
        <v>7.6</v>
      </c>
      <c r="E109">
        <v>5</v>
      </c>
      <c r="F109">
        <v>4</v>
      </c>
      <c r="G109">
        <v>2.8</v>
      </c>
      <c r="H109">
        <v>0</v>
      </c>
      <c r="I109">
        <v>-0.2</v>
      </c>
      <c r="J109">
        <v>6.7</v>
      </c>
      <c r="K109">
        <v>25.7</v>
      </c>
      <c r="L109">
        <v>16.2</v>
      </c>
      <c r="M109">
        <v>8.1999999999999993</v>
      </c>
      <c r="N109">
        <v>4</v>
      </c>
      <c r="O109">
        <v>3.3</v>
      </c>
      <c r="P109">
        <v>3.5</v>
      </c>
      <c r="Q109">
        <v>2.4</v>
      </c>
      <c r="R109">
        <v>6.5</v>
      </c>
      <c r="S109">
        <v>3</v>
      </c>
      <c r="T109">
        <v>3.1</v>
      </c>
      <c r="U109">
        <v>0.6</v>
      </c>
      <c r="V109">
        <v>0.7</v>
      </c>
      <c r="W109">
        <v>1.8</v>
      </c>
      <c r="X109">
        <v>1.8</v>
      </c>
      <c r="Y109">
        <v>1.6</v>
      </c>
      <c r="Z109">
        <v>3.4</v>
      </c>
      <c r="AA109">
        <v>3.5</v>
      </c>
      <c r="AB109">
        <v>6.3</v>
      </c>
      <c r="AC109">
        <v>4.7</v>
      </c>
      <c r="AD109">
        <v>14</v>
      </c>
      <c r="AE109">
        <v>-0.7</v>
      </c>
      <c r="AF109">
        <v>4.8</v>
      </c>
      <c r="AG109">
        <v>4.2</v>
      </c>
      <c r="AH109">
        <v>4.5</v>
      </c>
      <c r="AI109">
        <v>4.8</v>
      </c>
      <c r="AJ109">
        <v>2.9</v>
      </c>
      <c r="AK109">
        <v>-0.9</v>
      </c>
      <c r="AL109">
        <v>-0.8</v>
      </c>
      <c r="AM109">
        <v>3.3</v>
      </c>
      <c r="AN109">
        <v>4.5</v>
      </c>
      <c r="AO109">
        <v>0.8</v>
      </c>
      <c r="AP109">
        <v>0.3</v>
      </c>
      <c r="AQ109">
        <v>1.3</v>
      </c>
      <c r="AR109">
        <v>4.2</v>
      </c>
      <c r="AS109">
        <v>2.1</v>
      </c>
      <c r="AT109">
        <v>1.6</v>
      </c>
      <c r="AU109">
        <v>1.8</v>
      </c>
      <c r="AV109" s="205">
        <f t="shared" si="1"/>
        <v>2.2000000000000002</v>
      </c>
    </row>
    <row r="110" spans="1:48" x14ac:dyDescent="0.25">
      <c r="A110" t="s">
        <v>116</v>
      </c>
      <c r="B110" t="s">
        <v>746</v>
      </c>
      <c r="C110" t="s">
        <v>746</v>
      </c>
      <c r="D110" t="s">
        <v>746</v>
      </c>
      <c r="E110" t="s">
        <v>746</v>
      </c>
      <c r="F110" t="s">
        <v>746</v>
      </c>
      <c r="G110" t="s">
        <v>746</v>
      </c>
      <c r="H110" t="s">
        <v>746</v>
      </c>
      <c r="I110" t="s">
        <v>746</v>
      </c>
      <c r="J110" t="s">
        <v>746</v>
      </c>
      <c r="K110" t="s">
        <v>746</v>
      </c>
      <c r="L110" t="s">
        <v>746</v>
      </c>
      <c r="M110" t="s">
        <v>746</v>
      </c>
      <c r="N110" t="s">
        <v>746</v>
      </c>
      <c r="O110">
        <v>1662.3</v>
      </c>
      <c r="P110">
        <v>1402</v>
      </c>
      <c r="Q110">
        <v>176.4</v>
      </c>
      <c r="R110">
        <v>39.200000000000003</v>
      </c>
      <c r="S110">
        <v>17.399999999999999</v>
      </c>
      <c r="T110">
        <v>7.1</v>
      </c>
      <c r="U110">
        <v>8.3000000000000007</v>
      </c>
      <c r="V110">
        <v>13.2</v>
      </c>
      <c r="W110">
        <v>8.4</v>
      </c>
      <c r="X110">
        <v>6</v>
      </c>
      <c r="Y110">
        <v>6.4</v>
      </c>
      <c r="Z110">
        <v>7</v>
      </c>
      <c r="AA110">
        <v>7.4</v>
      </c>
      <c r="AB110">
        <v>8.6</v>
      </c>
      <c r="AC110">
        <v>10.8</v>
      </c>
      <c r="AD110">
        <v>17.2</v>
      </c>
      <c r="AE110">
        <v>7.3</v>
      </c>
      <c r="AF110">
        <v>7.1</v>
      </c>
      <c r="AG110">
        <v>8.4</v>
      </c>
      <c r="AH110">
        <v>5.0999999999999996</v>
      </c>
      <c r="AI110">
        <v>5.8</v>
      </c>
      <c r="AJ110">
        <v>6.6</v>
      </c>
      <c r="AK110">
        <v>6.8</v>
      </c>
      <c r="AL110">
        <v>14.6</v>
      </c>
      <c r="AM110">
        <v>7.5</v>
      </c>
      <c r="AN110">
        <v>6</v>
      </c>
      <c r="AO110">
        <v>5.3</v>
      </c>
      <c r="AP110">
        <v>6.8</v>
      </c>
      <c r="AQ110">
        <v>8</v>
      </c>
      <c r="AR110">
        <v>15</v>
      </c>
      <c r="AS110">
        <v>14.5</v>
      </c>
      <c r="AT110">
        <v>8.6999999999999993</v>
      </c>
      <c r="AU110">
        <v>11.4</v>
      </c>
      <c r="AV110" s="205">
        <f t="shared" si="1"/>
        <v>11.52</v>
      </c>
    </row>
    <row r="111" spans="1:48" x14ac:dyDescent="0.25">
      <c r="A111" t="s">
        <v>117</v>
      </c>
      <c r="B111">
        <v>13.9</v>
      </c>
      <c r="C111">
        <v>11.6</v>
      </c>
      <c r="D111">
        <v>20.7</v>
      </c>
      <c r="E111">
        <v>11.4</v>
      </c>
      <c r="F111">
        <v>10.3</v>
      </c>
      <c r="G111">
        <v>13</v>
      </c>
      <c r="H111">
        <v>2.5</v>
      </c>
      <c r="I111">
        <v>8.6</v>
      </c>
      <c r="J111">
        <v>12.3</v>
      </c>
      <c r="K111">
        <v>13.8</v>
      </c>
      <c r="L111">
        <v>17.8</v>
      </c>
      <c r="M111">
        <v>20.100000000000001</v>
      </c>
      <c r="N111">
        <v>27.3</v>
      </c>
      <c r="O111">
        <v>46</v>
      </c>
      <c r="P111">
        <v>28.8</v>
      </c>
      <c r="Q111">
        <v>1.6</v>
      </c>
      <c r="R111">
        <v>6.8</v>
      </c>
      <c r="S111">
        <v>11.3</v>
      </c>
      <c r="T111">
        <v>5.4</v>
      </c>
      <c r="U111">
        <v>5.8</v>
      </c>
      <c r="V111">
        <v>10</v>
      </c>
      <c r="W111">
        <v>5.7</v>
      </c>
      <c r="X111">
        <v>2</v>
      </c>
      <c r="Y111">
        <v>9.8000000000000007</v>
      </c>
      <c r="Z111">
        <v>11.8</v>
      </c>
      <c r="AA111">
        <v>9.9</v>
      </c>
      <c r="AB111">
        <v>6</v>
      </c>
      <c r="AC111">
        <v>4.3</v>
      </c>
      <c r="AD111">
        <v>15.1</v>
      </c>
      <c r="AE111">
        <v>10.5</v>
      </c>
      <c r="AF111">
        <v>4.0999999999999996</v>
      </c>
      <c r="AG111">
        <v>14</v>
      </c>
      <c r="AH111">
        <v>9.4</v>
      </c>
      <c r="AI111">
        <v>5.7</v>
      </c>
      <c r="AJ111">
        <v>6.9</v>
      </c>
      <c r="AK111">
        <v>6.6</v>
      </c>
      <c r="AL111">
        <v>6.3</v>
      </c>
      <c r="AM111">
        <v>8</v>
      </c>
      <c r="AN111">
        <v>4.7</v>
      </c>
      <c r="AO111">
        <v>5.2</v>
      </c>
      <c r="AP111">
        <v>5.3</v>
      </c>
      <c r="AQ111">
        <v>6.1</v>
      </c>
      <c r="AR111">
        <v>7.6</v>
      </c>
      <c r="AS111">
        <v>7.7</v>
      </c>
      <c r="AT111">
        <v>4.5</v>
      </c>
      <c r="AU111">
        <v>4.0999999999999996</v>
      </c>
      <c r="AV111" s="205">
        <f t="shared" si="1"/>
        <v>6</v>
      </c>
    </row>
    <row r="112" spans="1:48" x14ac:dyDescent="0.25">
      <c r="A112" t="s">
        <v>119</v>
      </c>
      <c r="B112">
        <v>16.100000000000001</v>
      </c>
      <c r="C112">
        <v>7.7</v>
      </c>
      <c r="D112">
        <v>5.5</v>
      </c>
      <c r="E112">
        <v>6.3</v>
      </c>
      <c r="F112">
        <v>5.4</v>
      </c>
      <c r="G112">
        <v>4.5</v>
      </c>
      <c r="H112">
        <v>6.6</v>
      </c>
      <c r="I112">
        <v>-10.199999999999999</v>
      </c>
      <c r="J112">
        <v>1.1000000000000001</v>
      </c>
      <c r="K112">
        <v>5.6</v>
      </c>
      <c r="L112">
        <v>4</v>
      </c>
      <c r="M112">
        <v>6.1</v>
      </c>
      <c r="N112">
        <v>4.2</v>
      </c>
      <c r="O112">
        <v>6.1</v>
      </c>
      <c r="P112">
        <v>4</v>
      </c>
      <c r="Q112">
        <v>4.0999999999999996</v>
      </c>
      <c r="R112">
        <v>-1.7</v>
      </c>
      <c r="S112">
        <v>2.6</v>
      </c>
      <c r="T112">
        <v>3.7</v>
      </c>
      <c r="U112">
        <v>1.8</v>
      </c>
      <c r="V112">
        <v>0.4</v>
      </c>
      <c r="W112">
        <v>6</v>
      </c>
      <c r="X112">
        <v>3.2</v>
      </c>
      <c r="Y112">
        <v>1.6</v>
      </c>
      <c r="Z112">
        <v>-0.7</v>
      </c>
      <c r="AA112">
        <v>-0.4</v>
      </c>
      <c r="AB112">
        <v>-1</v>
      </c>
      <c r="AC112">
        <v>3.6</v>
      </c>
      <c r="AD112">
        <v>13.7</v>
      </c>
      <c r="AE112">
        <v>9.8000000000000007</v>
      </c>
      <c r="AF112">
        <v>-3.9</v>
      </c>
      <c r="AG112">
        <v>1.5</v>
      </c>
      <c r="AH112">
        <v>-3</v>
      </c>
      <c r="AI112">
        <v>-1.5</v>
      </c>
      <c r="AJ112">
        <v>2.1</v>
      </c>
      <c r="AK112">
        <v>0.6</v>
      </c>
      <c r="AL112">
        <v>1.9</v>
      </c>
      <c r="AM112">
        <v>0.4</v>
      </c>
      <c r="AN112">
        <v>0.6</v>
      </c>
      <c r="AO112">
        <v>-1.8</v>
      </c>
      <c r="AP112">
        <v>2.6</v>
      </c>
      <c r="AQ112">
        <v>2.1</v>
      </c>
      <c r="AR112">
        <v>5.3</v>
      </c>
      <c r="AS112">
        <v>9.3000000000000007</v>
      </c>
      <c r="AT112">
        <v>2.5</v>
      </c>
      <c r="AU112">
        <v>6.5</v>
      </c>
      <c r="AV112" s="205">
        <f t="shared" si="1"/>
        <v>5.1400000000000006</v>
      </c>
    </row>
    <row r="113" spans="1:48" x14ac:dyDescent="0.25">
      <c r="A113" t="s">
        <v>773</v>
      </c>
      <c r="B113" t="s">
        <v>746</v>
      </c>
      <c r="C113" t="s">
        <v>746</v>
      </c>
      <c r="D113" t="s">
        <v>746</v>
      </c>
      <c r="E113" t="s">
        <v>746</v>
      </c>
      <c r="F113" t="s">
        <v>746</v>
      </c>
      <c r="G113" t="s">
        <v>746</v>
      </c>
      <c r="H113" t="s">
        <v>746</v>
      </c>
      <c r="I113" t="s">
        <v>746</v>
      </c>
      <c r="J113" t="s">
        <v>746</v>
      </c>
      <c r="K113" t="s">
        <v>746</v>
      </c>
      <c r="L113" t="s">
        <v>746</v>
      </c>
      <c r="M113" t="s">
        <v>746</v>
      </c>
      <c r="N113" t="s">
        <v>746</v>
      </c>
      <c r="O113" t="s">
        <v>746</v>
      </c>
      <c r="P113" t="s">
        <v>746</v>
      </c>
      <c r="Q113" t="s">
        <v>746</v>
      </c>
      <c r="R113" t="s">
        <v>746</v>
      </c>
      <c r="S113" t="s">
        <v>746</v>
      </c>
      <c r="T113" t="s">
        <v>746</v>
      </c>
      <c r="U113" t="s">
        <v>746</v>
      </c>
      <c r="V113" t="s">
        <v>746</v>
      </c>
      <c r="W113" t="s">
        <v>746</v>
      </c>
      <c r="X113" t="s">
        <v>746</v>
      </c>
      <c r="Y113" t="s">
        <v>746</v>
      </c>
      <c r="Z113" t="s">
        <v>746</v>
      </c>
      <c r="AA113" t="s">
        <v>746</v>
      </c>
      <c r="AB113" t="s">
        <v>746</v>
      </c>
      <c r="AC113" t="s">
        <v>746</v>
      </c>
      <c r="AD113" t="s">
        <v>746</v>
      </c>
      <c r="AE113" t="s">
        <v>746</v>
      </c>
      <c r="AF113" t="s">
        <v>746</v>
      </c>
      <c r="AG113" t="s">
        <v>746</v>
      </c>
      <c r="AH113" t="s">
        <v>746</v>
      </c>
      <c r="AI113" t="s">
        <v>746</v>
      </c>
      <c r="AJ113" t="s">
        <v>746</v>
      </c>
      <c r="AK113" t="s">
        <v>746</v>
      </c>
      <c r="AL113" t="s">
        <v>746</v>
      </c>
      <c r="AM113" t="s">
        <v>746</v>
      </c>
      <c r="AN113" t="s">
        <v>746</v>
      </c>
      <c r="AO113" t="s">
        <v>746</v>
      </c>
      <c r="AP113" t="s">
        <v>746</v>
      </c>
      <c r="AQ113" t="s">
        <v>746</v>
      </c>
      <c r="AR113" t="s">
        <v>746</v>
      </c>
      <c r="AS113" t="s">
        <v>746</v>
      </c>
      <c r="AT113" t="s">
        <v>746</v>
      </c>
      <c r="AU113" t="s">
        <v>746</v>
      </c>
      <c r="AV113" s="205" t="e">
        <f t="shared" si="1"/>
        <v>#DIV/0!</v>
      </c>
    </row>
    <row r="114" spans="1:48" x14ac:dyDescent="0.25">
      <c r="A114" t="s">
        <v>774</v>
      </c>
      <c r="B114">
        <v>28.7</v>
      </c>
      <c r="C114">
        <v>21.4</v>
      </c>
      <c r="D114">
        <v>7.2</v>
      </c>
      <c r="E114">
        <v>3.4</v>
      </c>
      <c r="F114">
        <v>2.2999999999999998</v>
      </c>
      <c r="G114">
        <v>2.5</v>
      </c>
      <c r="H114">
        <v>2.8</v>
      </c>
      <c r="I114">
        <v>3</v>
      </c>
      <c r="J114">
        <v>7.1</v>
      </c>
      <c r="K114">
        <v>5.7</v>
      </c>
      <c r="L114">
        <v>8.6</v>
      </c>
      <c r="M114">
        <v>9.3000000000000007</v>
      </c>
      <c r="N114">
        <v>6.2</v>
      </c>
      <c r="O114">
        <v>4.8</v>
      </c>
      <c r="P114">
        <v>6.3</v>
      </c>
      <c r="Q114">
        <v>4.5</v>
      </c>
      <c r="R114">
        <v>4.9000000000000004</v>
      </c>
      <c r="S114">
        <v>4.4000000000000004</v>
      </c>
      <c r="T114">
        <v>7.5</v>
      </c>
      <c r="U114">
        <v>0.8</v>
      </c>
      <c r="V114">
        <v>2.2999999999999998</v>
      </c>
      <c r="W114">
        <v>4.0999999999999996</v>
      </c>
      <c r="X114">
        <v>2.8</v>
      </c>
      <c r="Y114">
        <v>3.5</v>
      </c>
      <c r="Z114">
        <v>3.6</v>
      </c>
      <c r="AA114">
        <v>2.8</v>
      </c>
      <c r="AB114">
        <v>2.2000000000000002</v>
      </c>
      <c r="AC114">
        <v>2.5</v>
      </c>
      <c r="AD114">
        <v>4.7</v>
      </c>
      <c r="AE114">
        <v>2.8</v>
      </c>
      <c r="AF114">
        <v>2.9</v>
      </c>
      <c r="AG114">
        <v>4</v>
      </c>
      <c r="AH114">
        <v>2.2000000000000002</v>
      </c>
      <c r="AI114">
        <v>1.3</v>
      </c>
      <c r="AJ114">
        <v>1.3</v>
      </c>
      <c r="AK114">
        <v>0.7</v>
      </c>
      <c r="AL114">
        <v>1</v>
      </c>
      <c r="AM114">
        <v>1.9</v>
      </c>
      <c r="AN114">
        <v>1.5</v>
      </c>
      <c r="AO114">
        <v>0.4</v>
      </c>
      <c r="AP114">
        <v>0.5</v>
      </c>
      <c r="AQ114">
        <v>2.5</v>
      </c>
      <c r="AR114">
        <v>5.0999999999999996</v>
      </c>
      <c r="AS114">
        <v>3.6</v>
      </c>
      <c r="AT114">
        <v>2.2999999999999998</v>
      </c>
      <c r="AU114">
        <v>2.1</v>
      </c>
      <c r="AV114" s="205">
        <f t="shared" si="1"/>
        <v>3.12</v>
      </c>
    </row>
    <row r="115" spans="1:48" x14ac:dyDescent="0.25">
      <c r="A115" t="s">
        <v>122</v>
      </c>
      <c r="B115" t="s">
        <v>746</v>
      </c>
      <c r="C115" t="s">
        <v>746</v>
      </c>
      <c r="D115" t="s">
        <v>746</v>
      </c>
      <c r="E115" t="s">
        <v>746</v>
      </c>
      <c r="F115" t="s">
        <v>746</v>
      </c>
      <c r="G115" t="s">
        <v>746</v>
      </c>
      <c r="H115" t="s">
        <v>746</v>
      </c>
      <c r="I115" t="s">
        <v>746</v>
      </c>
      <c r="J115" t="s">
        <v>746</v>
      </c>
      <c r="K115" t="s">
        <v>746</v>
      </c>
      <c r="L115" t="s">
        <v>746</v>
      </c>
      <c r="M115" t="s">
        <v>746</v>
      </c>
      <c r="N115" t="s">
        <v>746</v>
      </c>
      <c r="O115" t="s">
        <v>746</v>
      </c>
      <c r="P115" t="s">
        <v>746</v>
      </c>
      <c r="Q115" t="s">
        <v>746</v>
      </c>
      <c r="R115" t="s">
        <v>746</v>
      </c>
      <c r="S115" t="s">
        <v>746</v>
      </c>
      <c r="T115" t="s">
        <v>746</v>
      </c>
      <c r="U115" t="s">
        <v>746</v>
      </c>
      <c r="V115" t="s">
        <v>746</v>
      </c>
      <c r="W115">
        <v>11.7</v>
      </c>
      <c r="X115">
        <v>2.7</v>
      </c>
      <c r="Y115">
        <v>1.2</v>
      </c>
      <c r="Z115">
        <v>-1.1000000000000001</v>
      </c>
      <c r="AA115">
        <v>-1.4</v>
      </c>
      <c r="AB115">
        <v>0.6</v>
      </c>
      <c r="AC115">
        <v>4.3</v>
      </c>
      <c r="AD115">
        <v>9.3000000000000007</v>
      </c>
      <c r="AE115">
        <v>-2.4</v>
      </c>
      <c r="AF115">
        <v>3.5</v>
      </c>
      <c r="AG115">
        <v>7.3</v>
      </c>
      <c r="AH115">
        <v>2.5</v>
      </c>
      <c r="AI115">
        <v>1.8</v>
      </c>
      <c r="AJ115">
        <v>0.4</v>
      </c>
      <c r="AK115">
        <v>-0.5</v>
      </c>
      <c r="AL115">
        <v>0.3</v>
      </c>
      <c r="AM115">
        <v>1.5</v>
      </c>
      <c r="AN115">
        <v>1.1000000000000001</v>
      </c>
      <c r="AO115">
        <v>2.7</v>
      </c>
      <c r="AP115">
        <v>0.2</v>
      </c>
      <c r="AQ115">
        <v>3.3</v>
      </c>
      <c r="AR115">
        <v>11.6</v>
      </c>
      <c r="AS115">
        <v>4.9000000000000004</v>
      </c>
      <c r="AT115">
        <v>1.6</v>
      </c>
      <c r="AU115">
        <v>3.9</v>
      </c>
      <c r="AV115" s="205">
        <f t="shared" si="1"/>
        <v>5.0599999999999996</v>
      </c>
    </row>
    <row r="116" spans="1:48" x14ac:dyDescent="0.25">
      <c r="A116" t="s">
        <v>123</v>
      </c>
      <c r="B116" t="s">
        <v>746</v>
      </c>
      <c r="C116" t="s">
        <v>746</v>
      </c>
      <c r="D116" t="s">
        <v>746</v>
      </c>
      <c r="E116" t="s">
        <v>746</v>
      </c>
      <c r="F116" t="s">
        <v>746</v>
      </c>
      <c r="G116" t="s">
        <v>746</v>
      </c>
      <c r="H116" t="s">
        <v>746</v>
      </c>
      <c r="I116" t="s">
        <v>746</v>
      </c>
      <c r="J116" t="s">
        <v>746</v>
      </c>
      <c r="K116" t="s">
        <v>746</v>
      </c>
      <c r="L116" t="s">
        <v>746</v>
      </c>
      <c r="M116" t="s">
        <v>746</v>
      </c>
      <c r="N116" t="s">
        <v>746</v>
      </c>
      <c r="O116" t="s">
        <v>746</v>
      </c>
      <c r="P116" t="s">
        <v>746</v>
      </c>
      <c r="Q116" t="s">
        <v>746</v>
      </c>
      <c r="R116" t="s">
        <v>746</v>
      </c>
      <c r="S116" t="s">
        <v>746</v>
      </c>
      <c r="T116" t="s">
        <v>746</v>
      </c>
      <c r="U116" t="s">
        <v>746</v>
      </c>
      <c r="V116" t="s">
        <v>746</v>
      </c>
      <c r="W116" t="s">
        <v>746</v>
      </c>
      <c r="X116" t="s">
        <v>746</v>
      </c>
      <c r="Y116" t="s">
        <v>746</v>
      </c>
      <c r="Z116" t="s">
        <v>746</v>
      </c>
      <c r="AA116" t="s">
        <v>746</v>
      </c>
      <c r="AB116" t="s">
        <v>746</v>
      </c>
      <c r="AC116" t="s">
        <v>746</v>
      </c>
      <c r="AD116" t="s">
        <v>746</v>
      </c>
      <c r="AE116" t="s">
        <v>746</v>
      </c>
      <c r="AF116" t="s">
        <v>746</v>
      </c>
      <c r="AG116" t="s">
        <v>746</v>
      </c>
      <c r="AH116" t="s">
        <v>746</v>
      </c>
      <c r="AI116" t="s">
        <v>746</v>
      </c>
      <c r="AJ116">
        <v>2.9</v>
      </c>
      <c r="AK116">
        <v>3.3</v>
      </c>
      <c r="AL116">
        <v>2.9</v>
      </c>
      <c r="AM116">
        <v>1.6</v>
      </c>
      <c r="AN116">
        <v>0.6</v>
      </c>
      <c r="AO116">
        <v>1.1000000000000001</v>
      </c>
      <c r="AP116">
        <v>2.1</v>
      </c>
      <c r="AQ116">
        <v>3.4</v>
      </c>
      <c r="AR116">
        <v>4</v>
      </c>
      <c r="AS116">
        <v>3.6</v>
      </c>
      <c r="AT116">
        <v>2.9</v>
      </c>
      <c r="AU116">
        <v>2.4</v>
      </c>
      <c r="AV116" s="205">
        <f t="shared" si="1"/>
        <v>3.2600000000000002</v>
      </c>
    </row>
    <row r="117" spans="1:48" x14ac:dyDescent="0.25">
      <c r="A117" t="s">
        <v>124</v>
      </c>
      <c r="B117" t="s">
        <v>746</v>
      </c>
      <c r="C117" t="s">
        <v>746</v>
      </c>
      <c r="D117" t="s">
        <v>746</v>
      </c>
      <c r="E117" t="s">
        <v>746</v>
      </c>
      <c r="F117" t="s">
        <v>746</v>
      </c>
      <c r="G117" t="s">
        <v>746</v>
      </c>
      <c r="H117" t="s">
        <v>746</v>
      </c>
      <c r="I117" t="s">
        <v>746</v>
      </c>
      <c r="J117" t="s">
        <v>746</v>
      </c>
      <c r="K117" t="s">
        <v>746</v>
      </c>
      <c r="L117" t="s">
        <v>746</v>
      </c>
      <c r="M117" t="s">
        <v>746</v>
      </c>
      <c r="N117" t="s">
        <v>746</v>
      </c>
      <c r="O117">
        <v>1086.2</v>
      </c>
      <c r="P117">
        <v>180.7</v>
      </c>
      <c r="Q117">
        <v>42.2</v>
      </c>
      <c r="R117">
        <v>31.9</v>
      </c>
      <c r="S117">
        <v>23.4</v>
      </c>
      <c r="T117">
        <v>10.5</v>
      </c>
      <c r="U117">
        <v>35.9</v>
      </c>
      <c r="V117">
        <v>19.7</v>
      </c>
      <c r="W117">
        <v>6.9</v>
      </c>
      <c r="X117">
        <v>2.1</v>
      </c>
      <c r="Y117">
        <v>3</v>
      </c>
      <c r="Z117">
        <v>4.0999999999999996</v>
      </c>
      <c r="AA117">
        <v>4.3</v>
      </c>
      <c r="AB117">
        <v>5.6</v>
      </c>
      <c r="AC117">
        <v>10.199999999999999</v>
      </c>
      <c r="AD117">
        <v>24.5</v>
      </c>
      <c r="AE117">
        <v>6.8</v>
      </c>
      <c r="AF117">
        <v>8</v>
      </c>
      <c r="AG117">
        <v>16.600000000000001</v>
      </c>
      <c r="AH117">
        <v>2.8</v>
      </c>
      <c r="AI117">
        <v>6.6</v>
      </c>
      <c r="AJ117">
        <v>7.5</v>
      </c>
      <c r="AK117">
        <v>6.5</v>
      </c>
      <c r="AL117">
        <v>0.4</v>
      </c>
      <c r="AM117">
        <v>3.2</v>
      </c>
      <c r="AN117">
        <v>1.5</v>
      </c>
      <c r="AO117">
        <v>1.1000000000000001</v>
      </c>
      <c r="AP117">
        <v>6.3</v>
      </c>
      <c r="AQ117">
        <v>11.9</v>
      </c>
      <c r="AR117">
        <v>13.9</v>
      </c>
      <c r="AS117">
        <v>10.8</v>
      </c>
      <c r="AT117">
        <v>5</v>
      </c>
      <c r="AU117">
        <v>8.1999999999999993</v>
      </c>
      <c r="AV117" s="205">
        <f t="shared" si="1"/>
        <v>9.9599999999999991</v>
      </c>
    </row>
    <row r="118" spans="1:48" x14ac:dyDescent="0.25">
      <c r="A118" t="s">
        <v>775</v>
      </c>
      <c r="B118">
        <v>188.8</v>
      </c>
      <c r="C118">
        <v>33.700000000000003</v>
      </c>
      <c r="D118">
        <v>70.400000000000006</v>
      </c>
      <c r="E118">
        <v>62.5</v>
      </c>
      <c r="F118">
        <v>27.2</v>
      </c>
      <c r="G118">
        <v>114.7</v>
      </c>
      <c r="H118">
        <v>35</v>
      </c>
      <c r="I118">
        <v>6.1</v>
      </c>
      <c r="J118">
        <v>14.8</v>
      </c>
      <c r="K118">
        <v>59.7</v>
      </c>
      <c r="L118">
        <v>-26.3</v>
      </c>
      <c r="M118">
        <v>13.4</v>
      </c>
      <c r="N118">
        <v>9.8000000000000007</v>
      </c>
      <c r="O118">
        <v>5.7</v>
      </c>
      <c r="P118">
        <v>7.7</v>
      </c>
      <c r="Q118">
        <v>19.100000000000001</v>
      </c>
      <c r="R118">
        <v>19.100000000000001</v>
      </c>
      <c r="S118">
        <v>19.5</v>
      </c>
      <c r="T118">
        <v>90.1</v>
      </c>
      <c r="U118">
        <v>128.4</v>
      </c>
      <c r="V118">
        <v>8.4</v>
      </c>
      <c r="W118">
        <v>7.8</v>
      </c>
      <c r="X118">
        <v>10.6</v>
      </c>
      <c r="Y118">
        <v>15.5</v>
      </c>
      <c r="Z118">
        <v>10.5</v>
      </c>
      <c r="AA118">
        <v>7.2</v>
      </c>
      <c r="AB118">
        <v>6.5</v>
      </c>
      <c r="AC118">
        <v>4.7</v>
      </c>
      <c r="AD118">
        <v>7.6</v>
      </c>
      <c r="AE118">
        <v>0.1</v>
      </c>
      <c r="AF118">
        <v>6</v>
      </c>
      <c r="AG118">
        <v>7.6</v>
      </c>
      <c r="AH118">
        <v>4.3</v>
      </c>
      <c r="AI118">
        <v>6.4</v>
      </c>
      <c r="AJ118">
        <v>4.0999999999999996</v>
      </c>
      <c r="AK118">
        <v>1.3</v>
      </c>
      <c r="AL118">
        <v>1.6</v>
      </c>
      <c r="AM118">
        <v>0.8</v>
      </c>
      <c r="AN118">
        <v>2</v>
      </c>
      <c r="AO118">
        <v>3.3</v>
      </c>
      <c r="AP118">
        <v>5.0999999999999996</v>
      </c>
      <c r="AQ118">
        <v>3.8</v>
      </c>
      <c r="AR118">
        <v>23</v>
      </c>
      <c r="AS118">
        <v>31.2</v>
      </c>
      <c r="AT118">
        <v>23.1</v>
      </c>
      <c r="AU118">
        <v>7.7</v>
      </c>
      <c r="AV118" s="205">
        <f t="shared" si="1"/>
        <v>17.759999999999998</v>
      </c>
    </row>
    <row r="119" spans="1:48" x14ac:dyDescent="0.25">
      <c r="A119" t="s">
        <v>126</v>
      </c>
      <c r="B119" t="s">
        <v>746</v>
      </c>
      <c r="C119" t="s">
        <v>746</v>
      </c>
      <c r="D119" t="s">
        <v>746</v>
      </c>
      <c r="E119" t="s">
        <v>746</v>
      </c>
      <c r="F119" t="s">
        <v>746</v>
      </c>
      <c r="G119" t="s">
        <v>746</v>
      </c>
      <c r="H119" t="s">
        <v>746</v>
      </c>
      <c r="I119" t="s">
        <v>746</v>
      </c>
      <c r="J119" t="s">
        <v>746</v>
      </c>
      <c r="K119" t="s">
        <v>746</v>
      </c>
      <c r="L119" t="s">
        <v>746</v>
      </c>
      <c r="M119" t="s">
        <v>746</v>
      </c>
      <c r="N119" t="s">
        <v>746</v>
      </c>
      <c r="O119">
        <v>109.2</v>
      </c>
      <c r="P119">
        <v>35.9</v>
      </c>
      <c r="Q119">
        <v>25</v>
      </c>
      <c r="R119">
        <v>17.600000000000001</v>
      </c>
      <c r="S119">
        <v>8.1</v>
      </c>
      <c r="T119">
        <v>4.3</v>
      </c>
      <c r="U119">
        <v>2.1</v>
      </c>
      <c r="V119">
        <v>2.6</v>
      </c>
      <c r="W119">
        <v>2.5</v>
      </c>
      <c r="X119">
        <v>2</v>
      </c>
      <c r="Y119">
        <v>2.9</v>
      </c>
      <c r="Z119">
        <v>6.2</v>
      </c>
      <c r="AA119">
        <v>6.9</v>
      </c>
      <c r="AB119">
        <v>6.6</v>
      </c>
      <c r="AC119">
        <v>10.1</v>
      </c>
      <c r="AD119">
        <v>15.3</v>
      </c>
      <c r="AE119">
        <v>3.3</v>
      </c>
      <c r="AF119">
        <v>-1.2</v>
      </c>
      <c r="AG119">
        <v>4.2</v>
      </c>
      <c r="AH119">
        <v>2.2999999999999998</v>
      </c>
      <c r="AI119">
        <v>0</v>
      </c>
      <c r="AJ119">
        <v>0.7</v>
      </c>
      <c r="AK119">
        <v>0.2</v>
      </c>
      <c r="AL119">
        <v>0.1</v>
      </c>
      <c r="AM119">
        <v>2.9</v>
      </c>
      <c r="AN119">
        <v>2.6</v>
      </c>
      <c r="AO119">
        <v>2.7</v>
      </c>
      <c r="AP119">
        <v>0.1</v>
      </c>
      <c r="AQ119">
        <v>3.2</v>
      </c>
      <c r="AR119">
        <v>17.2</v>
      </c>
      <c r="AS119">
        <v>9.1</v>
      </c>
      <c r="AT119">
        <v>1.3</v>
      </c>
      <c r="AU119">
        <v>3.8</v>
      </c>
      <c r="AV119" s="205">
        <f t="shared" si="1"/>
        <v>6.92</v>
      </c>
    </row>
    <row r="120" spans="1:48" x14ac:dyDescent="0.25">
      <c r="A120" t="s">
        <v>127</v>
      </c>
      <c r="B120">
        <v>23.9</v>
      </c>
      <c r="C120">
        <v>19.3</v>
      </c>
      <c r="D120">
        <v>18.600000000000001</v>
      </c>
      <c r="E120">
        <v>7.2</v>
      </c>
      <c r="F120">
        <v>17.600000000000001</v>
      </c>
      <c r="G120">
        <v>69.400000000000006</v>
      </c>
      <c r="H120">
        <v>95.4</v>
      </c>
      <c r="I120">
        <v>487.2</v>
      </c>
      <c r="J120">
        <v>155</v>
      </c>
      <c r="K120">
        <v>72.2</v>
      </c>
      <c r="L120">
        <v>68.900000000000006</v>
      </c>
      <c r="M120">
        <v>50.1</v>
      </c>
      <c r="N120">
        <v>99.8</v>
      </c>
      <c r="O120">
        <v>24.7</v>
      </c>
      <c r="P120">
        <v>8.1999999999999993</v>
      </c>
      <c r="Q120">
        <v>10.3</v>
      </c>
      <c r="R120">
        <v>8.9</v>
      </c>
      <c r="S120">
        <v>7.7</v>
      </c>
      <c r="T120">
        <v>4.5</v>
      </c>
      <c r="U120">
        <v>0.2</v>
      </c>
      <c r="V120">
        <v>-0.4</v>
      </c>
      <c r="W120">
        <v>-0.4</v>
      </c>
      <c r="X120">
        <v>1.8</v>
      </c>
      <c r="Y120">
        <v>1.3</v>
      </c>
      <c r="Z120">
        <v>1.7</v>
      </c>
      <c r="AA120">
        <v>-1.4</v>
      </c>
      <c r="AB120">
        <v>4.0999999999999996</v>
      </c>
      <c r="AC120">
        <v>4.0999999999999996</v>
      </c>
      <c r="AD120">
        <v>10.7</v>
      </c>
      <c r="AE120">
        <v>1.2</v>
      </c>
      <c r="AF120">
        <v>4</v>
      </c>
      <c r="AG120">
        <v>5</v>
      </c>
      <c r="AH120">
        <v>6.6</v>
      </c>
      <c r="AI120">
        <v>4.8</v>
      </c>
      <c r="AJ120">
        <v>1.9</v>
      </c>
      <c r="AK120">
        <v>-3.7</v>
      </c>
      <c r="AL120">
        <v>-0.8</v>
      </c>
      <c r="AM120">
        <v>4.4000000000000004</v>
      </c>
      <c r="AN120">
        <v>6.1</v>
      </c>
      <c r="AO120">
        <v>2.9</v>
      </c>
      <c r="AP120">
        <v>84.9</v>
      </c>
      <c r="AQ120">
        <v>154.80000000000001</v>
      </c>
      <c r="AR120">
        <v>171.2</v>
      </c>
      <c r="AS120">
        <v>221.3</v>
      </c>
      <c r="AT120">
        <v>45.2</v>
      </c>
      <c r="AU120">
        <v>14.6</v>
      </c>
      <c r="AV120" s="205">
        <f t="shared" si="1"/>
        <v>121.42</v>
      </c>
    </row>
    <row r="121" spans="1:48" x14ac:dyDescent="0.25">
      <c r="A121" t="s">
        <v>128</v>
      </c>
      <c r="B121">
        <v>19.600000000000001</v>
      </c>
      <c r="C121">
        <v>11.9</v>
      </c>
      <c r="D121">
        <v>14.4</v>
      </c>
      <c r="E121">
        <v>15.1</v>
      </c>
      <c r="F121">
        <v>11.6</v>
      </c>
      <c r="G121">
        <v>15</v>
      </c>
      <c r="H121">
        <v>15.7</v>
      </c>
      <c r="I121">
        <v>12</v>
      </c>
      <c r="J121">
        <v>12.4</v>
      </c>
      <c r="K121">
        <v>14.7</v>
      </c>
      <c r="L121">
        <v>12</v>
      </c>
      <c r="M121">
        <v>17.3</v>
      </c>
      <c r="N121">
        <v>18.100000000000001</v>
      </c>
      <c r="O121">
        <v>10.7</v>
      </c>
      <c r="P121">
        <v>8.3000000000000007</v>
      </c>
      <c r="Q121">
        <v>9.6999999999999993</v>
      </c>
      <c r="R121">
        <v>8.9</v>
      </c>
      <c r="S121">
        <v>8.4</v>
      </c>
      <c r="T121">
        <v>8.1999999999999993</v>
      </c>
      <c r="U121">
        <v>7.8</v>
      </c>
      <c r="V121">
        <v>6.1</v>
      </c>
      <c r="W121">
        <v>8</v>
      </c>
      <c r="X121">
        <v>12.2</v>
      </c>
      <c r="Y121">
        <v>6.3</v>
      </c>
      <c r="Z121">
        <v>4.5999999999999996</v>
      </c>
      <c r="AA121">
        <v>3.6</v>
      </c>
      <c r="AB121">
        <v>6.3</v>
      </c>
      <c r="AC121">
        <v>9.1999999999999993</v>
      </c>
      <c r="AD121">
        <v>10.7</v>
      </c>
      <c r="AE121">
        <v>5.8</v>
      </c>
      <c r="AF121">
        <v>3.3</v>
      </c>
      <c r="AG121">
        <v>6</v>
      </c>
      <c r="AH121">
        <v>5.5</v>
      </c>
      <c r="AI121">
        <v>5</v>
      </c>
      <c r="AJ121">
        <v>4.5999999999999996</v>
      </c>
      <c r="AK121">
        <v>4.3</v>
      </c>
      <c r="AL121">
        <v>6.2</v>
      </c>
      <c r="AM121">
        <v>4.5</v>
      </c>
      <c r="AN121">
        <v>4.7</v>
      </c>
      <c r="AO121">
        <v>4.9000000000000004</v>
      </c>
      <c r="AP121">
        <v>5.4</v>
      </c>
      <c r="AQ121">
        <v>6.5</v>
      </c>
      <c r="AR121">
        <v>8.1999999999999993</v>
      </c>
      <c r="AS121">
        <v>6.5</v>
      </c>
      <c r="AT121">
        <v>5.2</v>
      </c>
      <c r="AU121">
        <v>4.4000000000000004</v>
      </c>
      <c r="AV121" s="205">
        <f t="shared" si="1"/>
        <v>6.1599999999999993</v>
      </c>
    </row>
    <row r="122" spans="1:48" x14ac:dyDescent="0.25">
      <c r="A122" t="s">
        <v>129</v>
      </c>
      <c r="B122" t="s">
        <v>746</v>
      </c>
      <c r="C122" t="s">
        <v>746</v>
      </c>
      <c r="D122" t="s">
        <v>746</v>
      </c>
      <c r="E122" t="s">
        <v>746</v>
      </c>
      <c r="F122" t="s">
        <v>746</v>
      </c>
      <c r="G122" t="s">
        <v>746</v>
      </c>
      <c r="H122" t="s">
        <v>746</v>
      </c>
      <c r="I122" t="s">
        <v>746</v>
      </c>
      <c r="J122" t="s">
        <v>746</v>
      </c>
      <c r="K122" t="s">
        <v>746</v>
      </c>
      <c r="L122" t="s">
        <v>746</v>
      </c>
      <c r="M122" t="s">
        <v>746</v>
      </c>
      <c r="N122" t="s">
        <v>746</v>
      </c>
      <c r="O122" t="s">
        <v>746</v>
      </c>
      <c r="P122" t="s">
        <v>746</v>
      </c>
      <c r="Q122" t="s">
        <v>746</v>
      </c>
      <c r="R122" t="s">
        <v>746</v>
      </c>
      <c r="S122" t="s">
        <v>746</v>
      </c>
      <c r="T122" t="s">
        <v>746</v>
      </c>
      <c r="U122">
        <v>2</v>
      </c>
      <c r="V122">
        <v>5.3</v>
      </c>
      <c r="W122">
        <v>12.1</v>
      </c>
      <c r="X122">
        <v>14.2</v>
      </c>
      <c r="Y122">
        <v>10.3</v>
      </c>
      <c r="Z122">
        <v>3.6</v>
      </c>
      <c r="AA122">
        <v>6.9</v>
      </c>
      <c r="AB122">
        <v>9.5</v>
      </c>
      <c r="AC122">
        <v>11.4</v>
      </c>
      <c r="AD122">
        <v>17.5</v>
      </c>
      <c r="AE122">
        <v>7.4</v>
      </c>
      <c r="AF122">
        <v>7.3</v>
      </c>
      <c r="AG122">
        <v>8.5</v>
      </c>
      <c r="AH122">
        <v>6.8</v>
      </c>
      <c r="AI122">
        <v>7.6</v>
      </c>
      <c r="AJ122">
        <v>9.9</v>
      </c>
      <c r="AK122">
        <v>7.7</v>
      </c>
      <c r="AL122">
        <v>8.8000000000000007</v>
      </c>
      <c r="AM122">
        <v>12.4</v>
      </c>
      <c r="AN122">
        <v>23.5</v>
      </c>
      <c r="AO122">
        <v>27</v>
      </c>
      <c r="AP122">
        <v>17</v>
      </c>
      <c r="AQ122">
        <v>7.8</v>
      </c>
      <c r="AR122">
        <v>7.6</v>
      </c>
      <c r="AS122">
        <v>10.1</v>
      </c>
      <c r="AT122">
        <v>8.1999999999999993</v>
      </c>
      <c r="AU122">
        <v>8.3000000000000007</v>
      </c>
      <c r="AV122" s="205">
        <f t="shared" si="1"/>
        <v>8.4</v>
      </c>
    </row>
    <row r="123" spans="1:48" x14ac:dyDescent="0.25">
      <c r="A123" t="s">
        <v>130</v>
      </c>
      <c r="B123">
        <v>14.3</v>
      </c>
      <c r="C123">
        <v>13.2</v>
      </c>
      <c r="D123">
        <v>13.8</v>
      </c>
      <c r="E123">
        <v>10.5</v>
      </c>
      <c r="F123">
        <v>12.4</v>
      </c>
      <c r="G123">
        <v>9.1</v>
      </c>
      <c r="H123">
        <v>3.4</v>
      </c>
      <c r="I123">
        <v>4.4000000000000004</v>
      </c>
      <c r="J123">
        <v>3.1</v>
      </c>
      <c r="K123">
        <v>4.5</v>
      </c>
      <c r="L123">
        <v>0.7</v>
      </c>
      <c r="M123">
        <v>11.7</v>
      </c>
      <c r="N123">
        <v>9.4</v>
      </c>
      <c r="O123">
        <v>7.5</v>
      </c>
      <c r="P123">
        <v>10.7</v>
      </c>
      <c r="Q123">
        <v>8.3000000000000007</v>
      </c>
      <c r="R123">
        <v>4</v>
      </c>
      <c r="S123">
        <v>3.6</v>
      </c>
      <c r="T123">
        <v>3.7</v>
      </c>
      <c r="U123">
        <v>2.6</v>
      </c>
      <c r="V123">
        <v>-2.9</v>
      </c>
      <c r="W123">
        <v>-8.8000000000000007</v>
      </c>
      <c r="X123">
        <v>-9.9</v>
      </c>
      <c r="Y123">
        <v>-2.1</v>
      </c>
      <c r="Z123">
        <v>1.3</v>
      </c>
      <c r="AA123">
        <v>2.7</v>
      </c>
      <c r="AB123">
        <v>1.5</v>
      </c>
      <c r="AC123">
        <v>6.2</v>
      </c>
      <c r="AD123">
        <v>10.4</v>
      </c>
      <c r="AE123">
        <v>2.4</v>
      </c>
      <c r="AF123">
        <v>2.5</v>
      </c>
      <c r="AG123">
        <v>15.9</v>
      </c>
      <c r="AH123">
        <v>6.1</v>
      </c>
      <c r="AI123">
        <v>2.6</v>
      </c>
      <c r="AJ123">
        <v>2.4</v>
      </c>
      <c r="AK123">
        <v>10</v>
      </c>
      <c r="AL123">
        <v>25.9</v>
      </c>
      <c r="AM123">
        <v>25.8</v>
      </c>
      <c r="AN123">
        <v>13.2</v>
      </c>
      <c r="AO123">
        <v>-2.2000000000000002</v>
      </c>
      <c r="AP123">
        <v>1.4</v>
      </c>
      <c r="AQ123">
        <v>2.9</v>
      </c>
      <c r="AR123">
        <v>4.5</v>
      </c>
      <c r="AS123">
        <v>2.4</v>
      </c>
      <c r="AT123">
        <v>2.1</v>
      </c>
      <c r="AU123">
        <v>1.8</v>
      </c>
      <c r="AV123" s="205">
        <f t="shared" si="1"/>
        <v>2.74</v>
      </c>
    </row>
    <row r="124" spans="1:48" x14ac:dyDescent="0.25">
      <c r="A124" t="s">
        <v>131</v>
      </c>
      <c r="B124" t="s">
        <v>746</v>
      </c>
      <c r="C124" t="s">
        <v>746</v>
      </c>
      <c r="D124" t="s">
        <v>746</v>
      </c>
      <c r="E124" t="s">
        <v>746</v>
      </c>
      <c r="F124" t="s">
        <v>746</v>
      </c>
      <c r="G124" t="s">
        <v>746</v>
      </c>
      <c r="H124" t="s">
        <v>746</v>
      </c>
      <c r="I124" t="s">
        <v>746</v>
      </c>
      <c r="J124" t="s">
        <v>746</v>
      </c>
      <c r="K124" t="s">
        <v>746</v>
      </c>
      <c r="L124" t="s">
        <v>746</v>
      </c>
      <c r="M124" t="s">
        <v>746</v>
      </c>
      <c r="N124" t="s">
        <v>746</v>
      </c>
      <c r="O124" t="s">
        <v>746</v>
      </c>
      <c r="P124" t="s">
        <v>746</v>
      </c>
      <c r="Q124" t="s">
        <v>746</v>
      </c>
      <c r="R124" t="s">
        <v>746</v>
      </c>
      <c r="S124" t="s">
        <v>746</v>
      </c>
      <c r="T124" t="s">
        <v>746</v>
      </c>
      <c r="U124" t="s">
        <v>746</v>
      </c>
      <c r="V124" t="s">
        <v>746</v>
      </c>
      <c r="W124">
        <v>1</v>
      </c>
      <c r="X124">
        <v>0.6</v>
      </c>
      <c r="Y124">
        <v>0.6</v>
      </c>
      <c r="Z124">
        <v>0.8</v>
      </c>
      <c r="AA124">
        <v>1.2</v>
      </c>
      <c r="AB124">
        <v>1.1000000000000001</v>
      </c>
      <c r="AC124">
        <v>0.7</v>
      </c>
      <c r="AD124">
        <v>2.4</v>
      </c>
      <c r="AE124">
        <v>-0.5</v>
      </c>
      <c r="AF124">
        <v>0.7</v>
      </c>
      <c r="AG124">
        <v>0.2</v>
      </c>
      <c r="AH124">
        <v>-0.7</v>
      </c>
      <c r="AI124">
        <v>-0.2</v>
      </c>
      <c r="AJ124">
        <v>0</v>
      </c>
      <c r="AK124">
        <v>-1.1000000000000001</v>
      </c>
      <c r="AL124">
        <v>-0.4</v>
      </c>
      <c r="AM124">
        <v>0.5</v>
      </c>
      <c r="AN124">
        <v>0.9</v>
      </c>
      <c r="AO124">
        <v>0.4</v>
      </c>
      <c r="AP124">
        <v>-0.7</v>
      </c>
      <c r="AQ124">
        <v>0.6</v>
      </c>
      <c r="AR124">
        <v>2.8</v>
      </c>
      <c r="AS124">
        <v>2.1</v>
      </c>
      <c r="AT124">
        <v>1.1000000000000001</v>
      </c>
      <c r="AU124">
        <v>0.2</v>
      </c>
      <c r="AV124" s="205">
        <f t="shared" si="1"/>
        <v>1.3599999999999999</v>
      </c>
    </row>
    <row r="125" spans="1:48" x14ac:dyDescent="0.25">
      <c r="A125" t="s">
        <v>132</v>
      </c>
      <c r="B125" t="s">
        <v>746</v>
      </c>
      <c r="C125" t="s">
        <v>746</v>
      </c>
      <c r="D125" t="s">
        <v>746</v>
      </c>
      <c r="E125" t="s">
        <v>746</v>
      </c>
      <c r="F125" t="s">
        <v>746</v>
      </c>
      <c r="G125" t="s">
        <v>746</v>
      </c>
      <c r="H125" t="s">
        <v>746</v>
      </c>
      <c r="I125" t="s">
        <v>746</v>
      </c>
      <c r="J125" t="s">
        <v>746</v>
      </c>
      <c r="K125" t="s">
        <v>746</v>
      </c>
      <c r="L125" t="s">
        <v>746</v>
      </c>
      <c r="M125" t="s">
        <v>746</v>
      </c>
      <c r="N125" t="s">
        <v>746</v>
      </c>
      <c r="O125" t="s">
        <v>746</v>
      </c>
      <c r="P125" t="s">
        <v>746</v>
      </c>
      <c r="Q125" t="s">
        <v>746</v>
      </c>
      <c r="R125">
        <v>22.3</v>
      </c>
      <c r="S125">
        <v>8.6999999999999993</v>
      </c>
      <c r="T125">
        <v>5.4</v>
      </c>
      <c r="U125">
        <v>1.4</v>
      </c>
      <c r="V125">
        <v>1.1000000000000001</v>
      </c>
      <c r="W125">
        <v>1.5</v>
      </c>
      <c r="X125">
        <v>0.3</v>
      </c>
      <c r="Y125">
        <v>-1.1000000000000001</v>
      </c>
      <c r="Z125">
        <v>1.2</v>
      </c>
      <c r="AA125">
        <v>2.7</v>
      </c>
      <c r="AB125">
        <v>3.8</v>
      </c>
      <c r="AC125">
        <v>5.8</v>
      </c>
      <c r="AD125">
        <v>11.1</v>
      </c>
      <c r="AE125">
        <v>4.2</v>
      </c>
      <c r="AF125">
        <v>1.2</v>
      </c>
      <c r="AG125">
        <v>4.0999999999999996</v>
      </c>
      <c r="AH125">
        <v>3.2</v>
      </c>
      <c r="AI125">
        <v>1.2</v>
      </c>
      <c r="AJ125">
        <v>0.2</v>
      </c>
      <c r="AK125">
        <v>-0.7</v>
      </c>
      <c r="AL125">
        <v>0.7</v>
      </c>
      <c r="AM125">
        <v>3.7</v>
      </c>
      <c r="AN125">
        <v>2.5</v>
      </c>
      <c r="AO125">
        <v>2.2000000000000002</v>
      </c>
      <c r="AP125">
        <v>1.1000000000000001</v>
      </c>
      <c r="AQ125">
        <v>4.5999999999999996</v>
      </c>
      <c r="AR125">
        <v>18.899999999999999</v>
      </c>
      <c r="AS125">
        <v>8.6999999999999993</v>
      </c>
      <c r="AT125">
        <v>0.9</v>
      </c>
      <c r="AU125">
        <v>3.4</v>
      </c>
      <c r="AV125" s="205">
        <f t="shared" si="1"/>
        <v>7.3</v>
      </c>
    </row>
    <row r="126" spans="1:48" x14ac:dyDescent="0.25">
      <c r="A126" t="s">
        <v>133</v>
      </c>
      <c r="B126">
        <v>6.3</v>
      </c>
      <c r="C126">
        <v>8.1</v>
      </c>
      <c r="D126">
        <v>9.4</v>
      </c>
      <c r="E126">
        <v>8.6999999999999993</v>
      </c>
      <c r="F126">
        <v>5.6</v>
      </c>
      <c r="G126">
        <v>4.0999999999999996</v>
      </c>
      <c r="H126">
        <v>0.3</v>
      </c>
      <c r="I126">
        <v>-0.1</v>
      </c>
      <c r="J126">
        <v>1.4</v>
      </c>
      <c r="K126">
        <v>3.4</v>
      </c>
      <c r="L126">
        <v>3.7</v>
      </c>
      <c r="M126">
        <v>3.1</v>
      </c>
      <c r="N126">
        <v>3.2</v>
      </c>
      <c r="O126">
        <v>3.6</v>
      </c>
      <c r="P126">
        <v>2.2000000000000002</v>
      </c>
      <c r="Q126">
        <v>1.9</v>
      </c>
      <c r="R126">
        <v>1.2</v>
      </c>
      <c r="S126">
        <v>1.4</v>
      </c>
      <c r="T126">
        <v>1</v>
      </c>
      <c r="U126">
        <v>1</v>
      </c>
      <c r="V126">
        <v>3.8</v>
      </c>
      <c r="W126">
        <v>2.4</v>
      </c>
      <c r="X126">
        <v>2.1</v>
      </c>
      <c r="Y126">
        <v>2.5</v>
      </c>
      <c r="Z126">
        <v>3.2</v>
      </c>
      <c r="AA126">
        <v>3.8</v>
      </c>
      <c r="AB126">
        <v>3</v>
      </c>
      <c r="AC126">
        <v>2.7</v>
      </c>
      <c r="AD126">
        <v>4.0999999999999996</v>
      </c>
      <c r="AE126">
        <v>0</v>
      </c>
      <c r="AF126">
        <v>2.8</v>
      </c>
      <c r="AG126">
        <v>3.7</v>
      </c>
      <c r="AH126">
        <v>2.9</v>
      </c>
      <c r="AI126">
        <v>1.7</v>
      </c>
      <c r="AJ126">
        <v>0.7</v>
      </c>
      <c r="AK126">
        <v>0.1</v>
      </c>
      <c r="AL126">
        <v>0</v>
      </c>
      <c r="AM126">
        <v>2.1</v>
      </c>
      <c r="AN126">
        <v>2</v>
      </c>
      <c r="AO126">
        <v>1.7</v>
      </c>
      <c r="AP126">
        <v>0</v>
      </c>
      <c r="AQ126">
        <v>3.5</v>
      </c>
      <c r="AR126">
        <v>8.1</v>
      </c>
      <c r="AS126">
        <v>2.9</v>
      </c>
      <c r="AT126">
        <v>2.2999999999999998</v>
      </c>
      <c r="AU126">
        <v>2.5</v>
      </c>
      <c r="AV126" s="205">
        <f t="shared" si="1"/>
        <v>3.8600000000000003</v>
      </c>
    </row>
    <row r="127" spans="1:48" x14ac:dyDescent="0.25">
      <c r="A127" t="s">
        <v>776</v>
      </c>
      <c r="B127" t="s">
        <v>746</v>
      </c>
      <c r="C127" t="s">
        <v>746</v>
      </c>
      <c r="D127" t="s">
        <v>746</v>
      </c>
      <c r="E127" t="s">
        <v>746</v>
      </c>
      <c r="F127" t="s">
        <v>746</v>
      </c>
      <c r="G127" t="s">
        <v>746</v>
      </c>
      <c r="H127" t="s">
        <v>746</v>
      </c>
      <c r="I127" t="s">
        <v>746</v>
      </c>
      <c r="J127" t="s">
        <v>746</v>
      </c>
      <c r="K127" t="s">
        <v>746</v>
      </c>
      <c r="L127" t="s">
        <v>746</v>
      </c>
      <c r="M127" t="s">
        <v>746</v>
      </c>
      <c r="N127" t="s">
        <v>746</v>
      </c>
      <c r="O127" t="s">
        <v>746</v>
      </c>
      <c r="P127" t="s">
        <v>746</v>
      </c>
      <c r="Q127" t="s">
        <v>746</v>
      </c>
      <c r="R127" t="s">
        <v>746</v>
      </c>
      <c r="S127" t="s">
        <v>746</v>
      </c>
      <c r="T127" t="s">
        <v>746</v>
      </c>
      <c r="U127" t="s">
        <v>746</v>
      </c>
      <c r="V127" t="s">
        <v>746</v>
      </c>
      <c r="W127" t="s">
        <v>746</v>
      </c>
      <c r="X127">
        <v>-2.6</v>
      </c>
      <c r="Y127">
        <v>-1.6</v>
      </c>
      <c r="Z127">
        <v>1</v>
      </c>
      <c r="AA127">
        <v>4.4000000000000004</v>
      </c>
      <c r="AB127">
        <v>5.2</v>
      </c>
      <c r="AC127">
        <v>5.6</v>
      </c>
      <c r="AD127">
        <v>8.6</v>
      </c>
      <c r="AE127">
        <v>1.2</v>
      </c>
      <c r="AF127">
        <v>2.8</v>
      </c>
      <c r="AG127">
        <v>5.8</v>
      </c>
      <c r="AH127">
        <v>6.1</v>
      </c>
      <c r="AI127">
        <v>5.5</v>
      </c>
      <c r="AJ127">
        <v>6</v>
      </c>
      <c r="AK127">
        <v>4.5999999999999996</v>
      </c>
      <c r="AL127">
        <v>2.4</v>
      </c>
      <c r="AM127">
        <v>1.2</v>
      </c>
      <c r="AN127">
        <v>3</v>
      </c>
      <c r="AO127">
        <v>2.8</v>
      </c>
      <c r="AP127">
        <v>0.8</v>
      </c>
      <c r="AQ127">
        <v>0</v>
      </c>
      <c r="AR127">
        <v>1</v>
      </c>
      <c r="AS127">
        <v>0.9</v>
      </c>
      <c r="AT127">
        <v>0.7</v>
      </c>
      <c r="AU127">
        <v>0.3</v>
      </c>
      <c r="AV127" s="205">
        <f t="shared" si="1"/>
        <v>0.57999999999999985</v>
      </c>
    </row>
    <row r="128" spans="1:48" x14ac:dyDescent="0.25">
      <c r="A128" t="s">
        <v>135</v>
      </c>
      <c r="B128">
        <v>18.3</v>
      </c>
      <c r="C128">
        <v>30.5</v>
      </c>
      <c r="D128">
        <v>31.9</v>
      </c>
      <c r="E128">
        <v>19.5</v>
      </c>
      <c r="F128">
        <v>9.6999999999999993</v>
      </c>
      <c r="G128">
        <v>10.6</v>
      </c>
      <c r="H128">
        <v>14.5</v>
      </c>
      <c r="I128">
        <v>15.5</v>
      </c>
      <c r="J128">
        <v>26.3</v>
      </c>
      <c r="K128">
        <v>9</v>
      </c>
      <c r="L128">
        <v>11.9</v>
      </c>
      <c r="M128">
        <v>8.5</v>
      </c>
      <c r="N128">
        <v>14.6</v>
      </c>
      <c r="O128">
        <v>10</v>
      </c>
      <c r="P128">
        <v>39</v>
      </c>
      <c r="Q128">
        <v>49</v>
      </c>
      <c r="R128">
        <v>19.8</v>
      </c>
      <c r="S128">
        <v>4.5</v>
      </c>
      <c r="T128">
        <v>6.2</v>
      </c>
      <c r="U128">
        <v>7.2</v>
      </c>
      <c r="V128">
        <v>11.6</v>
      </c>
      <c r="W128">
        <v>7.9</v>
      </c>
      <c r="X128">
        <v>16.5</v>
      </c>
      <c r="Y128">
        <v>-1.7</v>
      </c>
      <c r="Z128">
        <v>14</v>
      </c>
      <c r="AA128">
        <v>18.399999999999999</v>
      </c>
      <c r="AB128">
        <v>10.8</v>
      </c>
      <c r="AC128">
        <v>10.3</v>
      </c>
      <c r="AD128">
        <v>9.3000000000000007</v>
      </c>
      <c r="AE128">
        <v>9</v>
      </c>
      <c r="AF128">
        <v>9.1999999999999993</v>
      </c>
      <c r="AG128">
        <v>9.5</v>
      </c>
      <c r="AH128">
        <v>5.7</v>
      </c>
      <c r="AI128">
        <v>5.8</v>
      </c>
      <c r="AJ128">
        <v>6.1</v>
      </c>
      <c r="AK128">
        <v>7.4</v>
      </c>
      <c r="AL128">
        <v>6.1</v>
      </c>
      <c r="AM128">
        <v>8.6</v>
      </c>
      <c r="AN128">
        <v>8.6</v>
      </c>
      <c r="AO128">
        <v>5.6</v>
      </c>
      <c r="AP128">
        <v>4.2</v>
      </c>
      <c r="AQ128">
        <v>5.8</v>
      </c>
      <c r="AR128">
        <v>8.1999999999999993</v>
      </c>
      <c r="AS128">
        <v>9.9</v>
      </c>
      <c r="AT128">
        <v>7.6</v>
      </c>
      <c r="AU128">
        <v>8</v>
      </c>
      <c r="AV128" s="205">
        <f t="shared" si="1"/>
        <v>7.9</v>
      </c>
    </row>
    <row r="129" spans="1:48" x14ac:dyDescent="0.25">
      <c r="A129" t="s">
        <v>136</v>
      </c>
      <c r="B129">
        <v>19.2</v>
      </c>
      <c r="C129">
        <v>12</v>
      </c>
      <c r="D129">
        <v>9.5</v>
      </c>
      <c r="E129">
        <v>13.8</v>
      </c>
      <c r="F129">
        <v>19.7</v>
      </c>
      <c r="G129">
        <v>10.6</v>
      </c>
      <c r="H129">
        <v>14.2</v>
      </c>
      <c r="I129">
        <v>25.1</v>
      </c>
      <c r="J129">
        <v>33.799999999999997</v>
      </c>
      <c r="K129">
        <v>12.5</v>
      </c>
      <c r="L129">
        <v>11.9</v>
      </c>
      <c r="M129">
        <v>8.1999999999999993</v>
      </c>
      <c r="N129">
        <v>23.2</v>
      </c>
      <c r="O129">
        <v>22.8</v>
      </c>
      <c r="P129">
        <v>34.700000000000003</v>
      </c>
      <c r="Q129">
        <v>83.1</v>
      </c>
      <c r="R129">
        <v>37.700000000000003</v>
      </c>
      <c r="S129">
        <v>9.1</v>
      </c>
      <c r="T129">
        <v>29.8</v>
      </c>
      <c r="U129">
        <v>44.8</v>
      </c>
      <c r="V129">
        <v>29.6</v>
      </c>
      <c r="W129">
        <v>22.7</v>
      </c>
      <c r="X129">
        <v>14.7</v>
      </c>
      <c r="Y129">
        <v>9.6</v>
      </c>
      <c r="Z129">
        <v>11.4</v>
      </c>
      <c r="AA129">
        <v>15.5</v>
      </c>
      <c r="AB129">
        <v>13.9</v>
      </c>
      <c r="AC129">
        <v>7.9</v>
      </c>
      <c r="AD129">
        <v>8.6999999999999993</v>
      </c>
      <c r="AE129">
        <v>8.4</v>
      </c>
      <c r="AF129">
        <v>7.4</v>
      </c>
      <c r="AG129">
        <v>7.6</v>
      </c>
      <c r="AH129">
        <v>21.3</v>
      </c>
      <c r="AI129">
        <v>28.3</v>
      </c>
      <c r="AJ129">
        <v>23.8</v>
      </c>
      <c r="AK129">
        <v>21.9</v>
      </c>
      <c r="AL129">
        <v>21.7</v>
      </c>
      <c r="AM129">
        <v>11.5</v>
      </c>
      <c r="AN129">
        <v>9.1999999999999993</v>
      </c>
      <c r="AO129">
        <v>9.4</v>
      </c>
      <c r="AP129">
        <v>8.6</v>
      </c>
      <c r="AQ129">
        <v>9.3000000000000007</v>
      </c>
      <c r="AR129">
        <v>20.8</v>
      </c>
      <c r="AS129">
        <v>28.8</v>
      </c>
      <c r="AT129">
        <v>32.200000000000003</v>
      </c>
      <c r="AU129">
        <v>28.4</v>
      </c>
      <c r="AV129" s="205">
        <f t="shared" si="1"/>
        <v>23.9</v>
      </c>
    </row>
    <row r="130" spans="1:48" x14ac:dyDescent="0.25">
      <c r="A130" t="s">
        <v>137</v>
      </c>
      <c r="B130">
        <v>6.7</v>
      </c>
      <c r="C130">
        <v>9.6999999999999993</v>
      </c>
      <c r="D130">
        <v>5.8</v>
      </c>
      <c r="E130">
        <v>3.7</v>
      </c>
      <c r="F130">
        <v>3.9</v>
      </c>
      <c r="G130">
        <v>2.6</v>
      </c>
      <c r="H130">
        <v>0.4</v>
      </c>
      <c r="I130">
        <v>0.7</v>
      </c>
      <c r="J130">
        <v>0.3</v>
      </c>
      <c r="K130">
        <v>2.6</v>
      </c>
      <c r="L130">
        <v>3</v>
      </c>
      <c r="M130">
        <v>4.3</v>
      </c>
      <c r="N130">
        <v>4.8</v>
      </c>
      <c r="O130">
        <v>3.5</v>
      </c>
      <c r="P130">
        <v>3.7</v>
      </c>
      <c r="Q130">
        <v>3.5</v>
      </c>
      <c r="R130">
        <v>3.5</v>
      </c>
      <c r="S130">
        <v>2.7</v>
      </c>
      <c r="T130">
        <v>5.3</v>
      </c>
      <c r="U130">
        <v>2.7</v>
      </c>
      <c r="V130">
        <v>1.6</v>
      </c>
      <c r="W130">
        <v>1.4</v>
      </c>
      <c r="X130">
        <v>1.8</v>
      </c>
      <c r="Y130">
        <v>1.1000000000000001</v>
      </c>
      <c r="Z130">
        <v>1.4</v>
      </c>
      <c r="AA130">
        <v>3</v>
      </c>
      <c r="AB130">
        <v>3.6</v>
      </c>
      <c r="AC130">
        <v>2</v>
      </c>
      <c r="AD130">
        <v>5.4</v>
      </c>
      <c r="AE130">
        <v>0.6</v>
      </c>
      <c r="AF130">
        <v>1.7</v>
      </c>
      <c r="AG130">
        <v>3.2</v>
      </c>
      <c r="AH130">
        <v>1.7</v>
      </c>
      <c r="AI130">
        <v>2.1</v>
      </c>
      <c r="AJ130">
        <v>3.1</v>
      </c>
      <c r="AK130">
        <v>2.1</v>
      </c>
      <c r="AL130">
        <v>2.1</v>
      </c>
      <c r="AM130">
        <v>3.8</v>
      </c>
      <c r="AN130">
        <v>1</v>
      </c>
      <c r="AO130">
        <v>0.7</v>
      </c>
      <c r="AP130">
        <v>-1.1000000000000001</v>
      </c>
      <c r="AQ130">
        <v>2.5</v>
      </c>
      <c r="AR130">
        <v>3.4</v>
      </c>
      <c r="AS130">
        <v>2.5</v>
      </c>
      <c r="AT130">
        <v>1.8</v>
      </c>
      <c r="AU130">
        <v>1.4</v>
      </c>
      <c r="AV130" s="205">
        <f t="shared" ref="AV130:AV193" si="2">AVERAGE(AQ130:AU130)</f>
        <v>2.3200000000000003</v>
      </c>
    </row>
    <row r="131" spans="1:48" x14ac:dyDescent="0.25">
      <c r="A131" t="s">
        <v>138</v>
      </c>
      <c r="B131">
        <v>27.9</v>
      </c>
      <c r="C131">
        <v>11.1</v>
      </c>
      <c r="D131">
        <v>-0.8</v>
      </c>
      <c r="E131">
        <v>9.9</v>
      </c>
      <c r="F131">
        <v>1</v>
      </c>
      <c r="G131">
        <v>-9.1999999999999993</v>
      </c>
      <c r="H131">
        <v>9.1</v>
      </c>
      <c r="I131">
        <v>11.7</v>
      </c>
      <c r="J131">
        <v>6.5</v>
      </c>
      <c r="K131">
        <v>7.2</v>
      </c>
      <c r="L131">
        <v>15.5</v>
      </c>
      <c r="M131">
        <v>12.5</v>
      </c>
      <c r="N131">
        <v>16.899999999999999</v>
      </c>
      <c r="O131">
        <v>20.100000000000001</v>
      </c>
      <c r="P131">
        <v>3.4</v>
      </c>
      <c r="Q131">
        <v>5.5</v>
      </c>
      <c r="R131">
        <v>6.2</v>
      </c>
      <c r="S131">
        <v>7.6</v>
      </c>
      <c r="T131">
        <v>-1.4</v>
      </c>
      <c r="U131">
        <v>3</v>
      </c>
      <c r="V131">
        <v>-1.2</v>
      </c>
      <c r="W131">
        <v>0.7</v>
      </c>
      <c r="X131">
        <v>0.9</v>
      </c>
      <c r="Y131">
        <v>-2.8</v>
      </c>
      <c r="Z131">
        <v>6.3</v>
      </c>
      <c r="AA131">
        <v>2.5</v>
      </c>
      <c r="AB131">
        <v>3.5</v>
      </c>
      <c r="AC131">
        <v>6.8</v>
      </c>
      <c r="AD131">
        <v>12</v>
      </c>
      <c r="AE131">
        <v>4.5</v>
      </c>
      <c r="AF131">
        <v>6.1</v>
      </c>
      <c r="AG131">
        <v>11.3</v>
      </c>
      <c r="AH131">
        <v>10.9</v>
      </c>
      <c r="AI131">
        <v>4</v>
      </c>
      <c r="AJ131">
        <v>2.4</v>
      </c>
      <c r="AK131">
        <v>1.4</v>
      </c>
      <c r="AL131">
        <v>0.8</v>
      </c>
      <c r="AM131">
        <v>2.2999999999999998</v>
      </c>
      <c r="AN131">
        <v>1.4</v>
      </c>
      <c r="AO131">
        <v>1.3</v>
      </c>
      <c r="AP131">
        <v>-1.6</v>
      </c>
      <c r="AQ131">
        <v>0.2</v>
      </c>
      <c r="AR131">
        <v>2.6</v>
      </c>
      <c r="AS131">
        <v>2.6</v>
      </c>
      <c r="AT131">
        <v>1.4</v>
      </c>
      <c r="AU131">
        <v>3.5</v>
      </c>
      <c r="AV131" s="205">
        <f t="shared" si="2"/>
        <v>2.06</v>
      </c>
    </row>
    <row r="132" spans="1:48" x14ac:dyDescent="0.25">
      <c r="A132" t="s">
        <v>139</v>
      </c>
      <c r="B132">
        <v>20.3</v>
      </c>
      <c r="C132">
        <v>12.7</v>
      </c>
      <c r="D132">
        <v>3.9</v>
      </c>
      <c r="E132">
        <v>10.5</v>
      </c>
      <c r="F132">
        <v>10.7</v>
      </c>
      <c r="G132">
        <v>9.1</v>
      </c>
      <c r="H132">
        <v>-1.4</v>
      </c>
      <c r="I132">
        <v>-14.9</v>
      </c>
      <c r="J132">
        <v>8.9</v>
      </c>
      <c r="K132">
        <v>-0.2</v>
      </c>
      <c r="L132">
        <v>1.6</v>
      </c>
      <c r="M132">
        <v>1.5</v>
      </c>
      <c r="N132">
        <v>-5.9</v>
      </c>
      <c r="O132">
        <v>-0.6</v>
      </c>
      <c r="P132">
        <v>24.3</v>
      </c>
      <c r="Q132">
        <v>11.6</v>
      </c>
      <c r="R132">
        <v>6.5</v>
      </c>
      <c r="S132">
        <v>-0.7</v>
      </c>
      <c r="T132">
        <v>4.0999999999999996</v>
      </c>
      <c r="U132">
        <v>-1.2</v>
      </c>
      <c r="V132">
        <v>-0.8</v>
      </c>
      <c r="W132">
        <v>5.2</v>
      </c>
      <c r="X132">
        <v>5</v>
      </c>
      <c r="Y132">
        <v>-1.3</v>
      </c>
      <c r="Z132">
        <v>-3.1</v>
      </c>
      <c r="AA132">
        <v>6.4</v>
      </c>
      <c r="AB132">
        <v>1.6</v>
      </c>
      <c r="AC132">
        <v>1.4</v>
      </c>
      <c r="AD132">
        <v>9.1999999999999993</v>
      </c>
      <c r="AE132">
        <v>2.4</v>
      </c>
      <c r="AF132">
        <v>1.2</v>
      </c>
      <c r="AG132">
        <v>3</v>
      </c>
      <c r="AH132">
        <v>5.3</v>
      </c>
      <c r="AI132">
        <v>-0.6</v>
      </c>
      <c r="AJ132">
        <v>0.9</v>
      </c>
      <c r="AK132">
        <v>1.4</v>
      </c>
      <c r="AL132">
        <v>-1.8</v>
      </c>
      <c r="AM132">
        <v>2.4</v>
      </c>
      <c r="AN132">
        <v>1.9</v>
      </c>
      <c r="AO132">
        <v>-3</v>
      </c>
      <c r="AP132">
        <v>0.5</v>
      </c>
      <c r="AQ132">
        <v>3.8</v>
      </c>
      <c r="AR132">
        <v>9.6999999999999993</v>
      </c>
      <c r="AS132">
        <v>2.1</v>
      </c>
      <c r="AT132">
        <v>3.2</v>
      </c>
      <c r="AU132">
        <v>2.2999999999999998</v>
      </c>
      <c r="AV132" s="205">
        <f t="shared" si="2"/>
        <v>4.2200000000000006</v>
      </c>
    </row>
    <row r="133" spans="1:48" x14ac:dyDescent="0.25">
      <c r="A133" t="s">
        <v>140</v>
      </c>
      <c r="B133">
        <v>2.7</v>
      </c>
      <c r="C133">
        <v>11.6</v>
      </c>
      <c r="D133">
        <v>5.8</v>
      </c>
      <c r="E133">
        <v>-0.9</v>
      </c>
      <c r="F133">
        <v>-0.4</v>
      </c>
      <c r="G133">
        <v>-0.2</v>
      </c>
      <c r="H133">
        <v>2</v>
      </c>
      <c r="I133">
        <v>0.4</v>
      </c>
      <c r="J133">
        <v>0.9</v>
      </c>
      <c r="K133">
        <v>0.9</v>
      </c>
      <c r="L133">
        <v>3</v>
      </c>
      <c r="M133">
        <v>2.6</v>
      </c>
      <c r="N133">
        <v>1.8</v>
      </c>
      <c r="O133">
        <v>4</v>
      </c>
      <c r="P133">
        <v>4.0999999999999996</v>
      </c>
      <c r="Q133">
        <v>4</v>
      </c>
      <c r="R133">
        <v>2</v>
      </c>
      <c r="S133">
        <v>3.9</v>
      </c>
      <c r="T133">
        <v>3.7</v>
      </c>
      <c r="U133">
        <v>2.2999999999999998</v>
      </c>
      <c r="V133">
        <v>3</v>
      </c>
      <c r="W133">
        <v>2.5</v>
      </c>
      <c r="X133">
        <v>2.6</v>
      </c>
      <c r="Y133">
        <v>1.9</v>
      </c>
      <c r="Z133">
        <v>2.7</v>
      </c>
      <c r="AA133">
        <v>2.5</v>
      </c>
      <c r="AB133">
        <v>2.6</v>
      </c>
      <c r="AC133">
        <v>0.7</v>
      </c>
      <c r="AD133">
        <v>4.7</v>
      </c>
      <c r="AE133">
        <v>1.8</v>
      </c>
      <c r="AF133">
        <v>2</v>
      </c>
      <c r="AG133">
        <v>2.5</v>
      </c>
      <c r="AH133">
        <v>3.2</v>
      </c>
      <c r="AI133">
        <v>1</v>
      </c>
      <c r="AJ133">
        <v>0.8</v>
      </c>
      <c r="AK133">
        <v>1.2</v>
      </c>
      <c r="AL133">
        <v>0.9</v>
      </c>
      <c r="AM133">
        <v>1.3</v>
      </c>
      <c r="AN133">
        <v>1.7</v>
      </c>
      <c r="AO133">
        <v>1.5</v>
      </c>
      <c r="AP133">
        <v>0.8</v>
      </c>
      <c r="AQ133">
        <v>0.7</v>
      </c>
      <c r="AR133">
        <v>6.1</v>
      </c>
      <c r="AS133">
        <v>5.6</v>
      </c>
      <c r="AT133">
        <v>2.4</v>
      </c>
      <c r="AU133">
        <v>2.4</v>
      </c>
      <c r="AV133" s="205">
        <f t="shared" si="2"/>
        <v>3.44</v>
      </c>
    </row>
    <row r="134" spans="1:48" x14ac:dyDescent="0.25">
      <c r="A134" t="s">
        <v>141</v>
      </c>
      <c r="B134" t="s">
        <v>746</v>
      </c>
      <c r="C134" t="s">
        <v>746</v>
      </c>
      <c r="D134" t="s">
        <v>746</v>
      </c>
      <c r="E134" t="s">
        <v>746</v>
      </c>
      <c r="F134" t="s">
        <v>746</v>
      </c>
      <c r="G134" t="s">
        <v>746</v>
      </c>
      <c r="H134" t="s">
        <v>746</v>
      </c>
      <c r="I134" t="s">
        <v>746</v>
      </c>
      <c r="J134" t="s">
        <v>746</v>
      </c>
      <c r="K134" t="s">
        <v>746</v>
      </c>
      <c r="L134" t="s">
        <v>746</v>
      </c>
      <c r="M134" t="s">
        <v>746</v>
      </c>
      <c r="N134" t="s">
        <v>746</v>
      </c>
      <c r="O134" t="s">
        <v>746</v>
      </c>
      <c r="P134" t="s">
        <v>746</v>
      </c>
      <c r="Q134" t="s">
        <v>746</v>
      </c>
      <c r="R134" t="s">
        <v>746</v>
      </c>
      <c r="S134" t="s">
        <v>746</v>
      </c>
      <c r="T134" t="s">
        <v>746</v>
      </c>
      <c r="U134" t="s">
        <v>746</v>
      </c>
      <c r="V134" t="s">
        <v>746</v>
      </c>
      <c r="W134" t="s">
        <v>746</v>
      </c>
      <c r="X134" t="s">
        <v>746</v>
      </c>
      <c r="Y134" t="s">
        <v>746</v>
      </c>
      <c r="Z134">
        <v>2</v>
      </c>
      <c r="AA134">
        <v>3.5</v>
      </c>
      <c r="AB134">
        <v>5.3</v>
      </c>
      <c r="AC134">
        <v>2.6</v>
      </c>
      <c r="AD134">
        <v>14.7</v>
      </c>
      <c r="AE134">
        <v>0.5</v>
      </c>
      <c r="AF134">
        <v>1.8</v>
      </c>
      <c r="AG134">
        <v>5.4</v>
      </c>
      <c r="AH134">
        <v>4.3</v>
      </c>
      <c r="AI134">
        <v>1.9</v>
      </c>
      <c r="AJ134">
        <v>1.1000000000000001</v>
      </c>
      <c r="AK134">
        <v>-2.2000000000000002</v>
      </c>
      <c r="AL134">
        <v>-1.5</v>
      </c>
      <c r="AM134">
        <v>0.1</v>
      </c>
      <c r="AN134">
        <v>0.8</v>
      </c>
      <c r="AO134">
        <v>-0.1</v>
      </c>
      <c r="AP134">
        <v>-0.7</v>
      </c>
      <c r="AQ134">
        <v>2.2000000000000002</v>
      </c>
      <c r="AR134">
        <v>2.8</v>
      </c>
      <c r="AS134">
        <v>7.4</v>
      </c>
      <c r="AT134">
        <v>5.2</v>
      </c>
      <c r="AU134">
        <v>5.5</v>
      </c>
      <c r="AV134" s="205">
        <f t="shared" si="2"/>
        <v>4.62</v>
      </c>
    </row>
    <row r="135" spans="1:48" x14ac:dyDescent="0.25">
      <c r="A135" t="s">
        <v>777</v>
      </c>
      <c r="B135" t="s">
        <v>746</v>
      </c>
      <c r="C135" t="s">
        <v>746</v>
      </c>
      <c r="D135" t="s">
        <v>746</v>
      </c>
      <c r="E135" t="s">
        <v>746</v>
      </c>
      <c r="F135" t="s">
        <v>746</v>
      </c>
      <c r="G135" t="s">
        <v>746</v>
      </c>
      <c r="H135" t="s">
        <v>746</v>
      </c>
      <c r="I135" t="s">
        <v>746</v>
      </c>
      <c r="J135" t="s">
        <v>746</v>
      </c>
      <c r="K135" t="s">
        <v>746</v>
      </c>
      <c r="L135" t="s">
        <v>746</v>
      </c>
      <c r="M135" t="s">
        <v>746</v>
      </c>
      <c r="N135" t="s">
        <v>746</v>
      </c>
      <c r="O135" t="s">
        <v>746</v>
      </c>
      <c r="P135" t="s">
        <v>746</v>
      </c>
      <c r="Q135" t="s">
        <v>746</v>
      </c>
      <c r="R135" t="s">
        <v>746</v>
      </c>
      <c r="S135" t="s">
        <v>746</v>
      </c>
      <c r="T135" t="s">
        <v>746</v>
      </c>
      <c r="U135" t="s">
        <v>746</v>
      </c>
      <c r="V135" t="s">
        <v>746</v>
      </c>
      <c r="W135" t="s">
        <v>746</v>
      </c>
      <c r="X135" t="s">
        <v>746</v>
      </c>
      <c r="Y135" t="s">
        <v>746</v>
      </c>
      <c r="Z135" t="s">
        <v>746</v>
      </c>
      <c r="AA135" t="s">
        <v>746</v>
      </c>
      <c r="AB135" t="s">
        <v>746</v>
      </c>
      <c r="AC135" t="s">
        <v>746</v>
      </c>
      <c r="AD135" t="s">
        <v>746</v>
      </c>
      <c r="AE135" t="s">
        <v>746</v>
      </c>
      <c r="AF135" t="s">
        <v>746</v>
      </c>
      <c r="AG135" t="s">
        <v>746</v>
      </c>
      <c r="AH135" t="s">
        <v>746</v>
      </c>
      <c r="AI135" t="s">
        <v>746</v>
      </c>
      <c r="AJ135" t="s">
        <v>746</v>
      </c>
      <c r="AK135" t="s">
        <v>746</v>
      </c>
      <c r="AL135" t="s">
        <v>746</v>
      </c>
      <c r="AM135" t="s">
        <v>746</v>
      </c>
      <c r="AN135" t="s">
        <v>746</v>
      </c>
      <c r="AO135" t="s">
        <v>746</v>
      </c>
      <c r="AP135" t="s">
        <v>746</v>
      </c>
      <c r="AQ135" t="s">
        <v>746</v>
      </c>
      <c r="AR135" t="s">
        <v>746</v>
      </c>
      <c r="AS135" t="s">
        <v>746</v>
      </c>
      <c r="AT135" t="s">
        <v>746</v>
      </c>
      <c r="AU135" t="s">
        <v>746</v>
      </c>
      <c r="AV135" s="205" t="e">
        <f t="shared" si="2"/>
        <v>#DIV/0!</v>
      </c>
    </row>
    <row r="136" spans="1:48" x14ac:dyDescent="0.25">
      <c r="A136" t="s">
        <v>142</v>
      </c>
      <c r="B136" t="s">
        <v>746</v>
      </c>
      <c r="C136" t="s">
        <v>746</v>
      </c>
      <c r="D136" t="s">
        <v>746</v>
      </c>
      <c r="E136" t="s">
        <v>746</v>
      </c>
      <c r="F136" t="s">
        <v>746</v>
      </c>
      <c r="G136" t="s">
        <v>746</v>
      </c>
      <c r="H136" t="s">
        <v>746</v>
      </c>
      <c r="I136" t="s">
        <v>746</v>
      </c>
      <c r="J136" t="s">
        <v>746</v>
      </c>
      <c r="K136" t="s">
        <v>746</v>
      </c>
      <c r="L136" t="s">
        <v>746</v>
      </c>
      <c r="M136">
        <v>5.6</v>
      </c>
      <c r="N136">
        <v>10.1</v>
      </c>
      <c r="O136">
        <v>9.4</v>
      </c>
      <c r="P136">
        <v>4.0999999999999996</v>
      </c>
      <c r="Q136">
        <v>6.5</v>
      </c>
      <c r="R136">
        <v>4.7</v>
      </c>
      <c r="S136">
        <v>4.5999999999999996</v>
      </c>
      <c r="T136">
        <v>8</v>
      </c>
      <c r="U136">
        <v>4.0999999999999996</v>
      </c>
      <c r="V136">
        <v>3.3</v>
      </c>
      <c r="W136">
        <v>4.7</v>
      </c>
      <c r="X136">
        <v>3.9</v>
      </c>
      <c r="Y136">
        <v>5.2</v>
      </c>
      <c r="Z136">
        <v>10.4</v>
      </c>
      <c r="AA136">
        <v>12.1</v>
      </c>
      <c r="AB136">
        <v>6.2</v>
      </c>
      <c r="AC136">
        <v>7.3</v>
      </c>
      <c r="AD136">
        <v>7.5</v>
      </c>
      <c r="AE136">
        <v>2.1</v>
      </c>
      <c r="AF136">
        <v>6.3</v>
      </c>
      <c r="AG136">
        <v>5.7</v>
      </c>
      <c r="AH136">
        <v>4.9000000000000004</v>
      </c>
      <c r="AI136">
        <v>4.0999999999999996</v>
      </c>
      <c r="AJ136">
        <v>3.8</v>
      </c>
      <c r="AK136">
        <v>2.7</v>
      </c>
      <c r="AL136">
        <v>1.5</v>
      </c>
      <c r="AM136">
        <v>2.2999999999999998</v>
      </c>
      <c r="AN136">
        <v>3.1</v>
      </c>
      <c r="AO136">
        <v>2.2999999999999998</v>
      </c>
      <c r="AP136">
        <v>2.4</v>
      </c>
      <c r="AQ136">
        <v>3.6</v>
      </c>
      <c r="AR136">
        <v>9.6</v>
      </c>
      <c r="AS136">
        <v>4.9000000000000004</v>
      </c>
      <c r="AT136">
        <v>2.5</v>
      </c>
      <c r="AU136">
        <v>1.6</v>
      </c>
      <c r="AV136" s="205">
        <f t="shared" si="2"/>
        <v>4.4400000000000004</v>
      </c>
    </row>
    <row r="137" spans="1:48" x14ac:dyDescent="0.25">
      <c r="A137" t="s">
        <v>143</v>
      </c>
      <c r="B137">
        <v>33</v>
      </c>
      <c r="C137">
        <v>26.4</v>
      </c>
      <c r="D137">
        <v>13.4</v>
      </c>
      <c r="E137">
        <v>7.5</v>
      </c>
      <c r="F137">
        <v>5.5</v>
      </c>
      <c r="G137">
        <v>8.3000000000000007</v>
      </c>
      <c r="H137">
        <v>4.3</v>
      </c>
      <c r="I137">
        <v>0.7</v>
      </c>
      <c r="J137">
        <v>3.6</v>
      </c>
      <c r="K137">
        <v>13.6</v>
      </c>
      <c r="L137">
        <v>10.7</v>
      </c>
      <c r="M137">
        <v>12.8</v>
      </c>
      <c r="N137">
        <v>2.9</v>
      </c>
      <c r="O137">
        <v>15.3</v>
      </c>
      <c r="P137">
        <v>7.3</v>
      </c>
      <c r="Q137">
        <v>6</v>
      </c>
      <c r="R137">
        <v>6.6</v>
      </c>
      <c r="S137">
        <v>6.8</v>
      </c>
      <c r="T137">
        <v>6.8</v>
      </c>
      <c r="U137">
        <v>6.9</v>
      </c>
      <c r="V137">
        <v>4.2</v>
      </c>
      <c r="W137">
        <v>5.4</v>
      </c>
      <c r="X137">
        <v>6.4</v>
      </c>
      <c r="Y137">
        <v>2.7</v>
      </c>
      <c r="Z137">
        <v>4.7</v>
      </c>
      <c r="AA137">
        <v>4.9000000000000004</v>
      </c>
      <c r="AB137">
        <v>8.9</v>
      </c>
      <c r="AC137">
        <v>8.8000000000000007</v>
      </c>
      <c r="AD137">
        <v>9.6999999999999993</v>
      </c>
      <c r="AE137">
        <v>2.5</v>
      </c>
      <c r="AF137">
        <v>2.9</v>
      </c>
      <c r="AG137">
        <v>6.5</v>
      </c>
      <c r="AH137">
        <v>3.9</v>
      </c>
      <c r="AI137">
        <v>3.5</v>
      </c>
      <c r="AJ137">
        <v>3.2</v>
      </c>
      <c r="AK137">
        <v>1.3</v>
      </c>
      <c r="AL137">
        <v>1</v>
      </c>
      <c r="AM137">
        <v>3.7</v>
      </c>
      <c r="AN137">
        <v>3.2</v>
      </c>
      <c r="AO137">
        <v>0.5</v>
      </c>
      <c r="AP137">
        <v>2.5</v>
      </c>
      <c r="AQ137">
        <v>4</v>
      </c>
      <c r="AR137">
        <v>10.8</v>
      </c>
      <c r="AS137">
        <v>7</v>
      </c>
      <c r="AT137">
        <v>3.6</v>
      </c>
      <c r="AU137">
        <v>3.7</v>
      </c>
      <c r="AV137" s="205">
        <f t="shared" si="2"/>
        <v>5.82</v>
      </c>
    </row>
    <row r="138" spans="1:48" x14ac:dyDescent="0.25">
      <c r="A138" t="s">
        <v>778</v>
      </c>
      <c r="B138" t="s">
        <v>746</v>
      </c>
      <c r="C138" t="s">
        <v>746</v>
      </c>
      <c r="D138" t="s">
        <v>746</v>
      </c>
      <c r="E138" t="s">
        <v>746</v>
      </c>
      <c r="F138" t="s">
        <v>746</v>
      </c>
      <c r="G138" t="s">
        <v>746</v>
      </c>
      <c r="H138" t="s">
        <v>746</v>
      </c>
      <c r="I138" t="s">
        <v>746</v>
      </c>
      <c r="J138" t="s">
        <v>746</v>
      </c>
      <c r="K138" t="s">
        <v>746</v>
      </c>
      <c r="L138" t="s">
        <v>746</v>
      </c>
      <c r="M138" t="s">
        <v>746</v>
      </c>
      <c r="N138" t="s">
        <v>746</v>
      </c>
      <c r="O138" t="s">
        <v>746</v>
      </c>
      <c r="P138" t="s">
        <v>746</v>
      </c>
      <c r="Q138" t="s">
        <v>746</v>
      </c>
      <c r="R138" t="s">
        <v>746</v>
      </c>
      <c r="S138" t="s">
        <v>746</v>
      </c>
      <c r="T138" t="s">
        <v>746</v>
      </c>
      <c r="U138" t="s">
        <v>746</v>
      </c>
      <c r="V138" t="s">
        <v>746</v>
      </c>
      <c r="W138" t="s">
        <v>746</v>
      </c>
      <c r="X138" t="s">
        <v>746</v>
      </c>
      <c r="Y138" t="s">
        <v>746</v>
      </c>
      <c r="Z138" t="s">
        <v>746</v>
      </c>
      <c r="AA138" t="s">
        <v>746</v>
      </c>
      <c r="AB138" t="s">
        <v>746</v>
      </c>
      <c r="AC138" t="s">
        <v>746</v>
      </c>
      <c r="AD138" t="s">
        <v>746</v>
      </c>
      <c r="AE138" t="s">
        <v>746</v>
      </c>
      <c r="AF138" t="s">
        <v>746</v>
      </c>
      <c r="AG138" t="s">
        <v>746</v>
      </c>
      <c r="AH138" t="s">
        <v>746</v>
      </c>
      <c r="AI138" t="s">
        <v>746</v>
      </c>
      <c r="AJ138" t="s">
        <v>746</v>
      </c>
      <c r="AK138" t="s">
        <v>746</v>
      </c>
      <c r="AL138" t="s">
        <v>746</v>
      </c>
      <c r="AM138" t="s">
        <v>746</v>
      </c>
      <c r="AN138" t="s">
        <v>746</v>
      </c>
      <c r="AO138" t="s">
        <v>746</v>
      </c>
      <c r="AP138" t="s">
        <v>746</v>
      </c>
      <c r="AQ138" t="s">
        <v>746</v>
      </c>
      <c r="AR138" t="s">
        <v>746</v>
      </c>
      <c r="AS138" t="s">
        <v>746</v>
      </c>
      <c r="AT138" t="s">
        <v>746</v>
      </c>
      <c r="AU138" t="s">
        <v>746</v>
      </c>
      <c r="AV138" s="205" t="e">
        <f t="shared" si="2"/>
        <v>#DIV/0!</v>
      </c>
    </row>
    <row r="139" spans="1:48" x14ac:dyDescent="0.25">
      <c r="A139" t="s">
        <v>144</v>
      </c>
      <c r="B139">
        <v>26.5</v>
      </c>
      <c r="C139">
        <v>28</v>
      </c>
      <c r="D139">
        <v>59.1</v>
      </c>
      <c r="E139">
        <v>101.8</v>
      </c>
      <c r="F139">
        <v>65.400000000000006</v>
      </c>
      <c r="G139">
        <v>57.8</v>
      </c>
      <c r="H139">
        <v>86.4</v>
      </c>
      <c r="I139">
        <v>132</v>
      </c>
      <c r="J139">
        <v>113.5</v>
      </c>
      <c r="K139">
        <v>19.899999999999999</v>
      </c>
      <c r="L139">
        <v>26.7</v>
      </c>
      <c r="M139">
        <v>22.6</v>
      </c>
      <c r="N139">
        <v>15.5</v>
      </c>
      <c r="O139">
        <v>9.8000000000000007</v>
      </c>
      <c r="P139">
        <v>7</v>
      </c>
      <c r="Q139">
        <v>35.1</v>
      </c>
      <c r="R139">
        <v>34.299999999999997</v>
      </c>
      <c r="S139">
        <v>20.6</v>
      </c>
      <c r="T139">
        <v>15.9</v>
      </c>
      <c r="U139">
        <v>16.600000000000001</v>
      </c>
      <c r="V139">
        <v>9.5</v>
      </c>
      <c r="W139">
        <v>6.4</v>
      </c>
      <c r="X139">
        <v>5</v>
      </c>
      <c r="Y139">
        <v>4.5999999999999996</v>
      </c>
      <c r="Z139">
        <v>4.7</v>
      </c>
      <c r="AA139">
        <v>4</v>
      </c>
      <c r="AB139">
        <v>3.6</v>
      </c>
      <c r="AC139">
        <v>4</v>
      </c>
      <c r="AD139">
        <v>5.0999999999999996</v>
      </c>
      <c r="AE139">
        <v>5.3</v>
      </c>
      <c r="AF139">
        <v>4.2</v>
      </c>
      <c r="AG139">
        <v>3.4</v>
      </c>
      <c r="AH139">
        <v>4.0999999999999996</v>
      </c>
      <c r="AI139">
        <v>3.8</v>
      </c>
      <c r="AJ139">
        <v>4</v>
      </c>
      <c r="AK139">
        <v>2.7</v>
      </c>
      <c r="AL139">
        <v>2.8</v>
      </c>
      <c r="AM139">
        <v>6</v>
      </c>
      <c r="AN139">
        <v>4.9000000000000004</v>
      </c>
      <c r="AO139">
        <v>3.6</v>
      </c>
      <c r="AP139">
        <v>3.4</v>
      </c>
      <c r="AQ139">
        <v>5.7</v>
      </c>
      <c r="AR139">
        <v>7.9</v>
      </c>
      <c r="AS139">
        <v>5.5</v>
      </c>
      <c r="AT139">
        <v>4.7</v>
      </c>
      <c r="AU139">
        <v>3.8</v>
      </c>
      <c r="AV139" s="205">
        <f t="shared" si="2"/>
        <v>5.5200000000000005</v>
      </c>
    </row>
    <row r="140" spans="1:48" x14ac:dyDescent="0.25">
      <c r="A140" t="s">
        <v>779</v>
      </c>
      <c r="B140" t="s">
        <v>746</v>
      </c>
      <c r="C140" t="s">
        <v>746</v>
      </c>
      <c r="D140" t="s">
        <v>746</v>
      </c>
      <c r="E140" t="s">
        <v>746</v>
      </c>
      <c r="F140" t="s">
        <v>746</v>
      </c>
      <c r="G140" t="s">
        <v>746</v>
      </c>
      <c r="H140" t="s">
        <v>746</v>
      </c>
      <c r="I140" t="s">
        <v>746</v>
      </c>
      <c r="J140" t="s">
        <v>746</v>
      </c>
      <c r="K140" t="s">
        <v>746</v>
      </c>
      <c r="L140" t="s">
        <v>746</v>
      </c>
      <c r="M140" t="s">
        <v>746</v>
      </c>
      <c r="N140" t="s">
        <v>746</v>
      </c>
      <c r="O140" t="s">
        <v>746</v>
      </c>
      <c r="P140" t="s">
        <v>746</v>
      </c>
      <c r="Q140" t="s">
        <v>746</v>
      </c>
      <c r="R140">
        <v>2.8</v>
      </c>
      <c r="S140">
        <v>2.7</v>
      </c>
      <c r="T140">
        <v>1.6</v>
      </c>
      <c r="U140">
        <v>1.9</v>
      </c>
      <c r="V140">
        <v>1.8</v>
      </c>
      <c r="W140">
        <v>1.3</v>
      </c>
      <c r="X140">
        <v>-0.2</v>
      </c>
      <c r="Y140">
        <v>-0.2</v>
      </c>
      <c r="Z140">
        <v>1.7</v>
      </c>
      <c r="AA140">
        <v>4.0999999999999996</v>
      </c>
      <c r="AB140">
        <v>4.4000000000000004</v>
      </c>
      <c r="AC140">
        <v>3.6</v>
      </c>
      <c r="AD140">
        <v>6.6</v>
      </c>
      <c r="AE140">
        <v>8.1999999999999993</v>
      </c>
      <c r="AF140">
        <v>3.6</v>
      </c>
      <c r="AG140">
        <v>3.9</v>
      </c>
      <c r="AH140">
        <v>6.3</v>
      </c>
      <c r="AI140">
        <v>2.1</v>
      </c>
      <c r="AJ140">
        <v>0.7</v>
      </c>
      <c r="AK140">
        <v>0</v>
      </c>
      <c r="AL140">
        <v>-0.9</v>
      </c>
      <c r="AM140">
        <v>0.1</v>
      </c>
      <c r="AN140">
        <v>1</v>
      </c>
      <c r="AO140">
        <v>2.2000000000000002</v>
      </c>
      <c r="AP140">
        <v>1</v>
      </c>
      <c r="AQ140">
        <v>1.8</v>
      </c>
      <c r="AR140">
        <v>5</v>
      </c>
      <c r="AS140">
        <v>6.2</v>
      </c>
      <c r="AT140">
        <v>5.4</v>
      </c>
      <c r="AU140">
        <v>3.2</v>
      </c>
      <c r="AV140" s="205">
        <f t="shared" si="2"/>
        <v>4.3199999999999994</v>
      </c>
    </row>
    <row r="141" spans="1:48" x14ac:dyDescent="0.25">
      <c r="A141" t="s">
        <v>575</v>
      </c>
      <c r="B141" t="s">
        <v>746</v>
      </c>
      <c r="C141" t="s">
        <v>746</v>
      </c>
      <c r="D141" t="s">
        <v>746</v>
      </c>
      <c r="E141" t="s">
        <v>746</v>
      </c>
      <c r="F141" t="s">
        <v>746</v>
      </c>
      <c r="G141" t="s">
        <v>746</v>
      </c>
      <c r="H141" t="s">
        <v>746</v>
      </c>
      <c r="I141" t="s">
        <v>746</v>
      </c>
      <c r="J141" t="s">
        <v>746</v>
      </c>
      <c r="K141" t="s">
        <v>746</v>
      </c>
      <c r="L141" t="s">
        <v>746</v>
      </c>
      <c r="M141" t="s">
        <v>746</v>
      </c>
      <c r="N141" t="s">
        <v>746</v>
      </c>
      <c r="O141">
        <v>788.5</v>
      </c>
      <c r="P141">
        <v>329.6</v>
      </c>
      <c r="Q141">
        <v>30.2</v>
      </c>
      <c r="R141">
        <v>23.5</v>
      </c>
      <c r="S141">
        <v>11.8</v>
      </c>
      <c r="T141">
        <v>7.7</v>
      </c>
      <c r="U141">
        <v>39.299999999999997</v>
      </c>
      <c r="V141">
        <v>31.2</v>
      </c>
      <c r="W141">
        <v>9.6</v>
      </c>
      <c r="X141">
        <v>5.2</v>
      </c>
      <c r="Y141">
        <v>11.7</v>
      </c>
      <c r="Z141">
        <v>12.4</v>
      </c>
      <c r="AA141">
        <v>11.9</v>
      </c>
      <c r="AB141">
        <v>12.7</v>
      </c>
      <c r="AC141">
        <v>12.4</v>
      </c>
      <c r="AD141">
        <v>12.7</v>
      </c>
      <c r="AE141">
        <v>0</v>
      </c>
      <c r="AF141">
        <v>7.4</v>
      </c>
      <c r="AG141">
        <v>7.6</v>
      </c>
      <c r="AH141">
        <v>4.5999999999999996</v>
      </c>
      <c r="AI141">
        <v>4.5999999999999996</v>
      </c>
      <c r="AJ141">
        <v>5.0999999999999996</v>
      </c>
      <c r="AK141">
        <v>9.6</v>
      </c>
      <c r="AL141">
        <v>6.4</v>
      </c>
      <c r="AM141">
        <v>6.5</v>
      </c>
      <c r="AN141">
        <v>3.6</v>
      </c>
      <c r="AO141">
        <v>4.8</v>
      </c>
      <c r="AP141">
        <v>3.8</v>
      </c>
      <c r="AQ141">
        <v>5.0999999999999996</v>
      </c>
      <c r="AR141">
        <v>28.7</v>
      </c>
      <c r="AS141">
        <v>13.4</v>
      </c>
      <c r="AT141">
        <v>4.7</v>
      </c>
      <c r="AU141">
        <v>7.8</v>
      </c>
      <c r="AV141" s="205">
        <f t="shared" si="2"/>
        <v>11.94</v>
      </c>
    </row>
    <row r="142" spans="1:48" x14ac:dyDescent="0.25">
      <c r="A142" t="s">
        <v>146</v>
      </c>
      <c r="B142" t="s">
        <v>746</v>
      </c>
      <c r="C142" t="s">
        <v>746</v>
      </c>
      <c r="D142" t="s">
        <v>746</v>
      </c>
      <c r="E142" t="s">
        <v>746</v>
      </c>
      <c r="F142" t="s">
        <v>746</v>
      </c>
      <c r="G142" t="s">
        <v>746</v>
      </c>
      <c r="H142" t="s">
        <v>746</v>
      </c>
      <c r="I142" t="s">
        <v>746</v>
      </c>
      <c r="J142" t="s">
        <v>746</v>
      </c>
      <c r="K142" t="s">
        <v>746</v>
      </c>
      <c r="L142" t="s">
        <v>746</v>
      </c>
      <c r="M142" t="s">
        <v>746</v>
      </c>
      <c r="N142" t="s">
        <v>746</v>
      </c>
      <c r="O142" t="s">
        <v>746</v>
      </c>
      <c r="P142" t="s">
        <v>746</v>
      </c>
      <c r="Q142" t="s">
        <v>746</v>
      </c>
      <c r="R142" t="s">
        <v>746</v>
      </c>
      <c r="S142" t="s">
        <v>746</v>
      </c>
      <c r="T142" t="s">
        <v>746</v>
      </c>
      <c r="U142" t="s">
        <v>746</v>
      </c>
      <c r="V142" t="s">
        <v>746</v>
      </c>
      <c r="W142" t="s">
        <v>746</v>
      </c>
      <c r="X142" t="s">
        <v>746</v>
      </c>
      <c r="Y142" t="s">
        <v>746</v>
      </c>
      <c r="Z142" t="s">
        <v>746</v>
      </c>
      <c r="AA142" t="s">
        <v>746</v>
      </c>
      <c r="AB142" t="s">
        <v>746</v>
      </c>
      <c r="AC142" t="s">
        <v>746</v>
      </c>
      <c r="AD142" t="s">
        <v>746</v>
      </c>
      <c r="AE142" t="s">
        <v>746</v>
      </c>
      <c r="AF142" t="s">
        <v>746</v>
      </c>
      <c r="AG142" t="s">
        <v>746</v>
      </c>
      <c r="AH142" t="s">
        <v>746</v>
      </c>
      <c r="AI142" t="s">
        <v>746</v>
      </c>
      <c r="AJ142" t="s">
        <v>746</v>
      </c>
      <c r="AK142" t="s">
        <v>746</v>
      </c>
      <c r="AL142" t="s">
        <v>746</v>
      </c>
      <c r="AM142" t="s">
        <v>746</v>
      </c>
      <c r="AN142" t="s">
        <v>746</v>
      </c>
      <c r="AO142" t="s">
        <v>746</v>
      </c>
      <c r="AP142" t="s">
        <v>746</v>
      </c>
      <c r="AQ142" t="s">
        <v>746</v>
      </c>
      <c r="AR142" t="s">
        <v>746</v>
      </c>
      <c r="AS142" t="s">
        <v>746</v>
      </c>
      <c r="AT142" t="s">
        <v>746</v>
      </c>
      <c r="AU142" t="s">
        <v>746</v>
      </c>
      <c r="AV142" s="205" t="e">
        <f t="shared" si="2"/>
        <v>#DIV/0!</v>
      </c>
    </row>
    <row r="143" spans="1:48" x14ac:dyDescent="0.25">
      <c r="A143" t="s">
        <v>147</v>
      </c>
      <c r="B143" t="s">
        <v>746</v>
      </c>
      <c r="C143" t="s">
        <v>746</v>
      </c>
      <c r="D143" t="s">
        <v>746</v>
      </c>
      <c r="E143" t="s">
        <v>746</v>
      </c>
      <c r="F143" t="s">
        <v>746</v>
      </c>
      <c r="G143" t="s">
        <v>746</v>
      </c>
      <c r="H143" t="s">
        <v>746</v>
      </c>
      <c r="I143" t="s">
        <v>746</v>
      </c>
      <c r="J143" t="s">
        <v>746</v>
      </c>
      <c r="K143" t="s">
        <v>746</v>
      </c>
      <c r="L143" t="s">
        <v>746</v>
      </c>
      <c r="M143">
        <v>120.2</v>
      </c>
      <c r="N143">
        <v>202.9</v>
      </c>
      <c r="O143">
        <v>268.39999999999998</v>
      </c>
      <c r="P143">
        <v>193.4</v>
      </c>
      <c r="Q143">
        <v>0.2</v>
      </c>
      <c r="R143">
        <v>46.8</v>
      </c>
      <c r="S143">
        <v>30</v>
      </c>
      <c r="T143">
        <v>9.5</v>
      </c>
      <c r="U143">
        <v>7.6</v>
      </c>
      <c r="V143">
        <v>11.3</v>
      </c>
      <c r="W143">
        <v>6.4</v>
      </c>
      <c r="X143">
        <v>0.9</v>
      </c>
      <c r="Y143">
        <v>5.2</v>
      </c>
      <c r="Z143">
        <v>8.3000000000000007</v>
      </c>
      <c r="AA143">
        <v>12.6</v>
      </c>
      <c r="AB143">
        <v>4.4000000000000004</v>
      </c>
      <c r="AC143">
        <v>9.6</v>
      </c>
      <c r="AD143">
        <v>28</v>
      </c>
      <c r="AE143">
        <v>7.6</v>
      </c>
      <c r="AF143">
        <v>8.3000000000000007</v>
      </c>
      <c r="AG143">
        <v>8.8000000000000007</v>
      </c>
      <c r="AH143">
        <v>13.8</v>
      </c>
      <c r="AI143">
        <v>10.6</v>
      </c>
      <c r="AJ143">
        <v>12.9</v>
      </c>
      <c r="AK143">
        <v>6.8</v>
      </c>
      <c r="AL143">
        <v>0.8</v>
      </c>
      <c r="AM143">
        <v>4.3</v>
      </c>
      <c r="AN143">
        <v>6.8</v>
      </c>
      <c r="AO143">
        <v>7.3</v>
      </c>
      <c r="AP143">
        <v>3.7</v>
      </c>
      <c r="AQ143">
        <v>7.4</v>
      </c>
      <c r="AR143">
        <v>15.1</v>
      </c>
      <c r="AS143">
        <v>10.4</v>
      </c>
      <c r="AT143">
        <v>6.2</v>
      </c>
      <c r="AU143">
        <v>8.6</v>
      </c>
      <c r="AV143" s="205">
        <f t="shared" si="2"/>
        <v>9.5400000000000009</v>
      </c>
    </row>
    <row r="144" spans="1:48" x14ac:dyDescent="0.25">
      <c r="A144" t="s">
        <v>148</v>
      </c>
      <c r="B144" t="s">
        <v>746</v>
      </c>
      <c r="C144" t="s">
        <v>746</v>
      </c>
      <c r="D144" t="s">
        <v>746</v>
      </c>
      <c r="E144" t="s">
        <v>746</v>
      </c>
      <c r="F144" t="s">
        <v>746</v>
      </c>
      <c r="G144" t="s">
        <v>746</v>
      </c>
      <c r="H144" t="s">
        <v>746</v>
      </c>
      <c r="I144" t="s">
        <v>746</v>
      </c>
      <c r="J144" t="s">
        <v>746</v>
      </c>
      <c r="K144" t="s">
        <v>746</v>
      </c>
      <c r="L144" t="s">
        <v>746</v>
      </c>
      <c r="M144" t="s">
        <v>746</v>
      </c>
      <c r="N144" t="s">
        <v>746</v>
      </c>
      <c r="O144" t="s">
        <v>746</v>
      </c>
      <c r="P144" t="s">
        <v>746</v>
      </c>
      <c r="Q144" t="s">
        <v>746</v>
      </c>
      <c r="R144" t="s">
        <v>746</v>
      </c>
      <c r="S144" t="s">
        <v>746</v>
      </c>
      <c r="T144" t="s">
        <v>746</v>
      </c>
      <c r="U144" t="s">
        <v>746</v>
      </c>
      <c r="V144">
        <v>29.9</v>
      </c>
      <c r="W144">
        <v>23.7</v>
      </c>
      <c r="X144">
        <v>19.7</v>
      </c>
      <c r="Y144">
        <v>7.5</v>
      </c>
      <c r="Z144">
        <v>3.1</v>
      </c>
      <c r="AA144">
        <v>3.4</v>
      </c>
      <c r="AB144">
        <v>2.1</v>
      </c>
      <c r="AC144">
        <v>3.4</v>
      </c>
      <c r="AD144">
        <v>9</v>
      </c>
      <c r="AE144">
        <v>3.6</v>
      </c>
      <c r="AF144">
        <v>0.4</v>
      </c>
      <c r="AG144">
        <v>3.5</v>
      </c>
      <c r="AH144">
        <v>4.0999999999999996</v>
      </c>
      <c r="AI144">
        <v>2.2000000000000002</v>
      </c>
      <c r="AJ144">
        <v>-0.7</v>
      </c>
      <c r="AK144">
        <v>1.5</v>
      </c>
      <c r="AL144">
        <v>-0.3</v>
      </c>
      <c r="AM144">
        <v>2.4</v>
      </c>
      <c r="AN144">
        <v>2.6</v>
      </c>
      <c r="AO144">
        <v>0.4</v>
      </c>
      <c r="AP144">
        <v>-0.3</v>
      </c>
      <c r="AQ144">
        <v>2.4</v>
      </c>
      <c r="AR144">
        <v>13</v>
      </c>
      <c r="AS144">
        <v>8.6</v>
      </c>
      <c r="AT144">
        <v>3.3</v>
      </c>
      <c r="AU144">
        <v>3.9</v>
      </c>
      <c r="AV144" s="205">
        <f t="shared" si="2"/>
        <v>6.24</v>
      </c>
    </row>
    <row r="145" spans="1:48" x14ac:dyDescent="0.25">
      <c r="A145" t="s">
        <v>780</v>
      </c>
      <c r="B145" t="s">
        <v>746</v>
      </c>
      <c r="C145" t="s">
        <v>746</v>
      </c>
      <c r="D145" t="s">
        <v>746</v>
      </c>
      <c r="E145" t="s">
        <v>746</v>
      </c>
      <c r="F145" t="s">
        <v>746</v>
      </c>
      <c r="G145" t="s">
        <v>746</v>
      </c>
      <c r="H145" t="s">
        <v>746</v>
      </c>
      <c r="I145" t="s">
        <v>746</v>
      </c>
      <c r="J145" t="s">
        <v>746</v>
      </c>
      <c r="K145" t="s">
        <v>746</v>
      </c>
      <c r="L145" t="s">
        <v>746</v>
      </c>
      <c r="M145" t="s">
        <v>746</v>
      </c>
      <c r="N145" t="s">
        <v>746</v>
      </c>
      <c r="O145" t="s">
        <v>746</v>
      </c>
      <c r="P145" t="s">
        <v>746</v>
      </c>
      <c r="Q145" t="s">
        <v>746</v>
      </c>
      <c r="R145" t="s">
        <v>746</v>
      </c>
      <c r="S145" t="s">
        <v>746</v>
      </c>
      <c r="T145" t="s">
        <v>746</v>
      </c>
      <c r="U145" t="s">
        <v>746</v>
      </c>
      <c r="V145" t="s">
        <v>746</v>
      </c>
      <c r="W145" t="s">
        <v>746</v>
      </c>
      <c r="X145" t="s">
        <v>746</v>
      </c>
      <c r="Y145" t="s">
        <v>746</v>
      </c>
      <c r="Z145" t="s">
        <v>746</v>
      </c>
      <c r="AA145" t="s">
        <v>746</v>
      </c>
      <c r="AB145" t="s">
        <v>746</v>
      </c>
      <c r="AC145" t="s">
        <v>746</v>
      </c>
      <c r="AD145" t="s">
        <v>746</v>
      </c>
      <c r="AE145" t="s">
        <v>746</v>
      </c>
      <c r="AF145" t="s">
        <v>746</v>
      </c>
      <c r="AG145" t="s">
        <v>746</v>
      </c>
      <c r="AH145" t="s">
        <v>746</v>
      </c>
      <c r="AI145" t="s">
        <v>746</v>
      </c>
      <c r="AJ145" t="s">
        <v>746</v>
      </c>
      <c r="AK145" t="s">
        <v>746</v>
      </c>
      <c r="AL145" t="s">
        <v>746</v>
      </c>
      <c r="AM145" t="s">
        <v>746</v>
      </c>
      <c r="AN145" t="s">
        <v>746</v>
      </c>
      <c r="AO145" t="s">
        <v>746</v>
      </c>
      <c r="AP145" t="s">
        <v>746</v>
      </c>
      <c r="AQ145" t="s">
        <v>746</v>
      </c>
      <c r="AR145" t="s">
        <v>746</v>
      </c>
      <c r="AS145" t="s">
        <v>746</v>
      </c>
      <c r="AT145" t="s">
        <v>746</v>
      </c>
      <c r="AU145" t="s">
        <v>746</v>
      </c>
      <c r="AV145" s="205" t="e">
        <f t="shared" si="2"/>
        <v>#DIV/0!</v>
      </c>
    </row>
    <row r="146" spans="1:48" x14ac:dyDescent="0.25">
      <c r="A146" t="s">
        <v>149</v>
      </c>
      <c r="B146">
        <v>9.4</v>
      </c>
      <c r="C146">
        <v>12.5</v>
      </c>
      <c r="D146">
        <v>10.5</v>
      </c>
      <c r="E146">
        <v>6.2</v>
      </c>
      <c r="F146">
        <v>12.4</v>
      </c>
      <c r="G146">
        <v>7.7</v>
      </c>
      <c r="H146">
        <v>8.6999999999999993</v>
      </c>
      <c r="I146">
        <v>2.7</v>
      </c>
      <c r="J146">
        <v>2.4</v>
      </c>
      <c r="K146">
        <v>3.1</v>
      </c>
      <c r="L146">
        <v>6</v>
      </c>
      <c r="M146">
        <v>7.9</v>
      </c>
      <c r="N146">
        <v>5.8</v>
      </c>
      <c r="O146">
        <v>5.3</v>
      </c>
      <c r="P146">
        <v>5</v>
      </c>
      <c r="Q146">
        <v>6.3</v>
      </c>
      <c r="R146">
        <v>2.8</v>
      </c>
      <c r="S146">
        <v>1.1000000000000001</v>
      </c>
      <c r="T146">
        <v>2.7</v>
      </c>
      <c r="U146">
        <v>0.8</v>
      </c>
      <c r="V146">
        <v>1.8</v>
      </c>
      <c r="W146">
        <v>0.6</v>
      </c>
      <c r="X146">
        <v>2.8</v>
      </c>
      <c r="Y146">
        <v>1.1000000000000001</v>
      </c>
      <c r="Z146">
        <v>1.5</v>
      </c>
      <c r="AA146">
        <v>1.1000000000000001</v>
      </c>
      <c r="AB146">
        <v>3.2</v>
      </c>
      <c r="AC146">
        <v>2</v>
      </c>
      <c r="AD146">
        <v>3.8</v>
      </c>
      <c r="AE146">
        <v>-0.2</v>
      </c>
      <c r="AF146">
        <v>1</v>
      </c>
      <c r="AG146">
        <v>1</v>
      </c>
      <c r="AH146">
        <v>1.3</v>
      </c>
      <c r="AI146">
        <v>1.8</v>
      </c>
      <c r="AJ146">
        <v>0.5</v>
      </c>
      <c r="AK146">
        <v>1.6</v>
      </c>
      <c r="AL146">
        <v>1.5</v>
      </c>
      <c r="AM146">
        <v>0.8</v>
      </c>
      <c r="AN146">
        <v>1.6</v>
      </c>
      <c r="AO146">
        <v>0.2</v>
      </c>
      <c r="AP146">
        <v>0.7</v>
      </c>
      <c r="AQ146">
        <v>1.4</v>
      </c>
      <c r="AR146">
        <v>6.6</v>
      </c>
      <c r="AS146">
        <v>6.1</v>
      </c>
      <c r="AT146">
        <v>0.9</v>
      </c>
      <c r="AU146">
        <v>0.8</v>
      </c>
      <c r="AV146" s="205">
        <f t="shared" si="2"/>
        <v>3.16</v>
      </c>
    </row>
    <row r="147" spans="1:48" x14ac:dyDescent="0.25">
      <c r="A147" t="s">
        <v>150</v>
      </c>
      <c r="B147">
        <v>2</v>
      </c>
      <c r="C147">
        <v>4.2</v>
      </c>
      <c r="D147">
        <v>17.7</v>
      </c>
      <c r="E147">
        <v>28.2</v>
      </c>
      <c r="F147">
        <v>30</v>
      </c>
      <c r="G147">
        <v>30.8</v>
      </c>
      <c r="H147">
        <v>40.5</v>
      </c>
      <c r="I147">
        <v>164.1</v>
      </c>
      <c r="J147">
        <v>58.5</v>
      </c>
      <c r="K147">
        <v>42.1</v>
      </c>
      <c r="L147">
        <v>43.7</v>
      </c>
      <c r="M147">
        <v>33.299999999999997</v>
      </c>
      <c r="N147">
        <v>45.1</v>
      </c>
      <c r="O147">
        <v>42.3</v>
      </c>
      <c r="P147">
        <v>63.1</v>
      </c>
      <c r="Q147">
        <v>47.7</v>
      </c>
      <c r="R147">
        <v>48.5</v>
      </c>
      <c r="S147">
        <v>7.4</v>
      </c>
      <c r="T147">
        <v>1.5</v>
      </c>
      <c r="U147">
        <v>2.9</v>
      </c>
      <c r="V147">
        <v>12.7</v>
      </c>
      <c r="W147">
        <v>9.1</v>
      </c>
      <c r="X147">
        <v>16.8</v>
      </c>
      <c r="Y147">
        <v>13.5</v>
      </c>
      <c r="Z147">
        <v>12.6</v>
      </c>
      <c r="AA147">
        <v>6.4</v>
      </c>
      <c r="AB147">
        <v>13.2</v>
      </c>
      <c r="AC147">
        <v>10.4</v>
      </c>
      <c r="AD147">
        <v>14.5</v>
      </c>
      <c r="AE147">
        <v>3.8</v>
      </c>
      <c r="AF147">
        <v>12.4</v>
      </c>
      <c r="AG147">
        <v>11.2</v>
      </c>
      <c r="AH147">
        <v>2.6</v>
      </c>
      <c r="AI147">
        <v>4.3</v>
      </c>
      <c r="AJ147">
        <v>2.6</v>
      </c>
      <c r="AK147">
        <v>3.6</v>
      </c>
      <c r="AL147">
        <v>18.399999999999999</v>
      </c>
      <c r="AM147">
        <v>15.8</v>
      </c>
      <c r="AN147">
        <v>3.2</v>
      </c>
      <c r="AO147">
        <v>5.7</v>
      </c>
      <c r="AP147">
        <v>0.9</v>
      </c>
      <c r="AQ147">
        <v>6.6</v>
      </c>
      <c r="AR147">
        <v>10.4</v>
      </c>
      <c r="AS147">
        <v>7</v>
      </c>
      <c r="AT147">
        <v>3.2</v>
      </c>
      <c r="AU147">
        <v>4.4000000000000004</v>
      </c>
      <c r="AV147" s="205">
        <f t="shared" si="2"/>
        <v>6.32</v>
      </c>
    </row>
    <row r="148" spans="1:48" x14ac:dyDescent="0.25">
      <c r="A148" t="s">
        <v>151</v>
      </c>
      <c r="B148" t="s">
        <v>746</v>
      </c>
      <c r="C148" t="s">
        <v>746</v>
      </c>
      <c r="D148" t="s">
        <v>746</v>
      </c>
      <c r="E148" t="s">
        <v>746</v>
      </c>
      <c r="F148" t="s">
        <v>746</v>
      </c>
      <c r="G148" t="s">
        <v>746</v>
      </c>
      <c r="H148" t="s">
        <v>746</v>
      </c>
      <c r="I148" t="s">
        <v>746</v>
      </c>
      <c r="J148" t="s">
        <v>746</v>
      </c>
      <c r="K148" t="s">
        <v>746</v>
      </c>
      <c r="L148" t="s">
        <v>746</v>
      </c>
      <c r="M148" t="s">
        <v>746</v>
      </c>
      <c r="N148" t="s">
        <v>746</v>
      </c>
      <c r="O148" t="s">
        <v>746</v>
      </c>
      <c r="P148" t="s">
        <v>746</v>
      </c>
      <c r="Q148" t="s">
        <v>746</v>
      </c>
      <c r="R148" t="s">
        <v>746</v>
      </c>
      <c r="S148" t="s">
        <v>746</v>
      </c>
      <c r="T148">
        <v>47.3</v>
      </c>
      <c r="U148">
        <v>26.8</v>
      </c>
      <c r="V148">
        <v>4.3</v>
      </c>
      <c r="W148">
        <v>-19.8</v>
      </c>
      <c r="X148">
        <v>21.9</v>
      </c>
      <c r="Y148">
        <v>47.5</v>
      </c>
      <c r="Z148">
        <v>8</v>
      </c>
      <c r="AA148">
        <v>6.9</v>
      </c>
      <c r="AB148">
        <v>16.600000000000001</v>
      </c>
      <c r="AC148">
        <v>34.4</v>
      </c>
      <c r="AD148">
        <v>20.9</v>
      </c>
      <c r="AE148">
        <v>3.7</v>
      </c>
      <c r="AF148">
        <v>5.9</v>
      </c>
      <c r="AG148">
        <v>6.8</v>
      </c>
      <c r="AH148">
        <v>0.4</v>
      </c>
      <c r="AI148">
        <v>6.4</v>
      </c>
      <c r="AJ148">
        <v>5.7</v>
      </c>
      <c r="AK148">
        <v>10</v>
      </c>
      <c r="AL148">
        <v>6.8</v>
      </c>
      <c r="AM148">
        <v>4</v>
      </c>
      <c r="AN148">
        <v>7.3</v>
      </c>
      <c r="AO148">
        <v>9.1</v>
      </c>
      <c r="AP148">
        <v>2.2999999999999998</v>
      </c>
      <c r="AQ148">
        <v>9.6</v>
      </c>
      <c r="AR148">
        <v>27.2</v>
      </c>
      <c r="AS148">
        <v>27.6</v>
      </c>
      <c r="AT148">
        <v>29.6</v>
      </c>
      <c r="AU148">
        <v>22</v>
      </c>
      <c r="AV148" s="205">
        <f t="shared" si="2"/>
        <v>23.2</v>
      </c>
    </row>
    <row r="149" spans="1:48" x14ac:dyDescent="0.25">
      <c r="A149" t="s">
        <v>152</v>
      </c>
      <c r="B149" t="s">
        <v>746</v>
      </c>
      <c r="C149" t="s">
        <v>746</v>
      </c>
      <c r="D149" t="s">
        <v>746</v>
      </c>
      <c r="E149" t="s">
        <v>746</v>
      </c>
      <c r="F149" t="s">
        <v>746</v>
      </c>
      <c r="G149" t="s">
        <v>746</v>
      </c>
      <c r="H149" t="s">
        <v>746</v>
      </c>
      <c r="I149" t="s">
        <v>746</v>
      </c>
      <c r="J149" t="s">
        <v>746</v>
      </c>
      <c r="K149" t="s">
        <v>746</v>
      </c>
      <c r="L149">
        <v>13.7</v>
      </c>
      <c r="M149">
        <v>13.5</v>
      </c>
      <c r="N149">
        <v>21.6</v>
      </c>
      <c r="O149">
        <v>9.3000000000000007</v>
      </c>
      <c r="P149">
        <v>12.1</v>
      </c>
      <c r="Q149">
        <v>11.1</v>
      </c>
      <c r="R149">
        <v>8.6999999999999993</v>
      </c>
      <c r="S149">
        <v>9.6999999999999993</v>
      </c>
      <c r="T149">
        <v>6.6</v>
      </c>
      <c r="U149">
        <v>9.4</v>
      </c>
      <c r="V149">
        <v>10.199999999999999</v>
      </c>
      <c r="W149">
        <v>10.199999999999999</v>
      </c>
      <c r="X149">
        <v>12.7</v>
      </c>
      <c r="Y149">
        <v>7.2</v>
      </c>
      <c r="Z149">
        <v>4.0999999999999996</v>
      </c>
      <c r="AA149">
        <v>2.2999999999999998</v>
      </c>
      <c r="AB149">
        <v>5</v>
      </c>
      <c r="AC149">
        <v>6.5</v>
      </c>
      <c r="AD149">
        <v>9.1</v>
      </c>
      <c r="AE149">
        <v>9.5</v>
      </c>
      <c r="AF149">
        <v>4.9000000000000004</v>
      </c>
      <c r="AG149">
        <v>5</v>
      </c>
      <c r="AH149">
        <v>6.7</v>
      </c>
      <c r="AI149">
        <v>5.6</v>
      </c>
      <c r="AJ149">
        <v>5.3</v>
      </c>
      <c r="AK149">
        <v>3.4</v>
      </c>
      <c r="AL149">
        <v>6.7</v>
      </c>
      <c r="AM149">
        <v>6.1</v>
      </c>
      <c r="AN149">
        <v>4.3</v>
      </c>
      <c r="AO149">
        <v>3.7</v>
      </c>
      <c r="AP149">
        <v>2.2000000000000002</v>
      </c>
      <c r="AQ149">
        <v>3.6</v>
      </c>
      <c r="AR149">
        <v>6.1</v>
      </c>
      <c r="AS149">
        <v>5.9</v>
      </c>
      <c r="AT149">
        <v>4.2</v>
      </c>
      <c r="AU149">
        <v>3.5</v>
      </c>
      <c r="AV149" s="205">
        <f t="shared" si="2"/>
        <v>4.66</v>
      </c>
    </row>
    <row r="150" spans="1:48" x14ac:dyDescent="0.25">
      <c r="A150" t="s">
        <v>332</v>
      </c>
      <c r="B150" t="s">
        <v>746</v>
      </c>
      <c r="C150" t="s">
        <v>746</v>
      </c>
      <c r="D150" t="s">
        <v>746</v>
      </c>
      <c r="E150" t="s">
        <v>746</v>
      </c>
      <c r="F150" t="s">
        <v>746</v>
      </c>
      <c r="G150" t="s">
        <v>746</v>
      </c>
      <c r="H150" t="s">
        <v>746</v>
      </c>
      <c r="I150" t="s">
        <v>746</v>
      </c>
      <c r="J150" t="s">
        <v>746</v>
      </c>
      <c r="K150" t="s">
        <v>746</v>
      </c>
      <c r="L150" t="s">
        <v>746</v>
      </c>
      <c r="M150" t="s">
        <v>746</v>
      </c>
      <c r="N150" t="s">
        <v>746</v>
      </c>
      <c r="O150" t="s">
        <v>746</v>
      </c>
      <c r="P150" t="s">
        <v>746</v>
      </c>
      <c r="Q150" t="s">
        <v>746</v>
      </c>
      <c r="R150" t="s">
        <v>746</v>
      </c>
      <c r="S150" t="s">
        <v>746</v>
      </c>
      <c r="T150" t="s">
        <v>746</v>
      </c>
      <c r="U150" t="s">
        <v>746</v>
      </c>
      <c r="V150" t="s">
        <v>746</v>
      </c>
      <c r="W150" t="s">
        <v>746</v>
      </c>
      <c r="X150" t="s">
        <v>746</v>
      </c>
      <c r="Y150" t="s">
        <v>746</v>
      </c>
      <c r="Z150" t="s">
        <v>746</v>
      </c>
      <c r="AA150">
        <v>8.6999999999999993</v>
      </c>
      <c r="AB150">
        <v>19.3</v>
      </c>
      <c r="AC150">
        <v>5.6</v>
      </c>
      <c r="AD150">
        <v>1</v>
      </c>
      <c r="AE150">
        <v>22.4</v>
      </c>
      <c r="AF150">
        <v>-2</v>
      </c>
      <c r="AG150">
        <v>-3.4</v>
      </c>
      <c r="AH150">
        <v>0.3</v>
      </c>
      <c r="AI150">
        <v>-1.1000000000000001</v>
      </c>
      <c r="AJ150">
        <v>0.3</v>
      </c>
      <c r="AK150">
        <v>9.8000000000000007</v>
      </c>
      <c r="AL150">
        <v>8.1</v>
      </c>
      <c r="AM150">
        <v>4.5</v>
      </c>
      <c r="AN150">
        <v>1.1000000000000001</v>
      </c>
      <c r="AO150">
        <v>4.0999999999999996</v>
      </c>
      <c r="AP150">
        <v>0.9</v>
      </c>
      <c r="AQ150">
        <v>2</v>
      </c>
      <c r="AR150">
        <v>1.1000000000000001</v>
      </c>
      <c r="AS150">
        <v>4.8</v>
      </c>
      <c r="AT150">
        <v>9.3000000000000007</v>
      </c>
      <c r="AU150">
        <v>6.1</v>
      </c>
      <c r="AV150" s="205">
        <f t="shared" si="2"/>
        <v>4.660000000000001</v>
      </c>
    </row>
    <row r="151" spans="1:48" x14ac:dyDescent="0.25">
      <c r="A151" t="s">
        <v>154</v>
      </c>
      <c r="B151">
        <v>9.8000000000000007</v>
      </c>
      <c r="C151">
        <v>13.4</v>
      </c>
      <c r="D151">
        <v>10.4</v>
      </c>
      <c r="E151">
        <v>14.2</v>
      </c>
      <c r="F151">
        <v>6.2</v>
      </c>
      <c r="G151">
        <v>4.0999999999999996</v>
      </c>
      <c r="H151">
        <v>15.9</v>
      </c>
      <c r="I151">
        <v>13.3</v>
      </c>
      <c r="J151">
        <v>11</v>
      </c>
      <c r="K151">
        <v>8.1</v>
      </c>
      <c r="L151">
        <v>8.9</v>
      </c>
      <c r="M151">
        <v>7.9</v>
      </c>
      <c r="N151">
        <v>21.1</v>
      </c>
      <c r="O151">
        <v>8.9</v>
      </c>
      <c r="P151">
        <v>9</v>
      </c>
      <c r="Q151">
        <v>7.7</v>
      </c>
      <c r="R151">
        <v>7.2</v>
      </c>
      <c r="S151">
        <v>8.1</v>
      </c>
      <c r="T151">
        <v>8.3000000000000007</v>
      </c>
      <c r="U151">
        <v>11.4</v>
      </c>
      <c r="V151">
        <v>3.4</v>
      </c>
      <c r="W151">
        <v>2.4</v>
      </c>
      <c r="X151">
        <v>2.9</v>
      </c>
      <c r="Y151">
        <v>4.7</v>
      </c>
      <c r="Z151">
        <v>4</v>
      </c>
      <c r="AA151">
        <v>4.5</v>
      </c>
      <c r="AB151">
        <v>8</v>
      </c>
      <c r="AC151">
        <v>6.2</v>
      </c>
      <c r="AD151">
        <v>6.7</v>
      </c>
      <c r="AE151">
        <v>12.6</v>
      </c>
      <c r="AF151">
        <v>9.6</v>
      </c>
      <c r="AG151">
        <v>9.6</v>
      </c>
      <c r="AH151">
        <v>8.3000000000000007</v>
      </c>
      <c r="AI151">
        <v>9.9</v>
      </c>
      <c r="AJ151">
        <v>9</v>
      </c>
      <c r="AK151">
        <v>7.8</v>
      </c>
      <c r="AL151">
        <v>9.9</v>
      </c>
      <c r="AM151">
        <v>4.5</v>
      </c>
      <c r="AN151">
        <v>4.0999999999999996</v>
      </c>
      <c r="AO151">
        <v>4.5999999999999996</v>
      </c>
      <c r="AP151">
        <v>6.1</v>
      </c>
      <c r="AQ151">
        <v>3.6</v>
      </c>
      <c r="AR151">
        <v>6.4</v>
      </c>
      <c r="AS151">
        <v>7.7</v>
      </c>
      <c r="AT151">
        <v>5.4</v>
      </c>
      <c r="AU151">
        <v>4.0999999999999996</v>
      </c>
      <c r="AV151" s="205">
        <f t="shared" si="2"/>
        <v>5.44</v>
      </c>
    </row>
    <row r="152" spans="1:48" x14ac:dyDescent="0.25">
      <c r="A152" t="s">
        <v>155</v>
      </c>
      <c r="B152" t="s">
        <v>746</v>
      </c>
      <c r="C152">
        <v>6.8</v>
      </c>
      <c r="D152">
        <v>5.9</v>
      </c>
      <c r="E152">
        <v>2.9</v>
      </c>
      <c r="F152">
        <v>3.4</v>
      </c>
      <c r="G152">
        <v>2.2999999999999998</v>
      </c>
      <c r="H152">
        <v>0</v>
      </c>
      <c r="I152">
        <v>-1</v>
      </c>
      <c r="J152">
        <v>0.5</v>
      </c>
      <c r="K152">
        <v>1.1000000000000001</v>
      </c>
      <c r="L152">
        <v>2.5</v>
      </c>
      <c r="M152">
        <v>3.2</v>
      </c>
      <c r="N152">
        <v>2.8</v>
      </c>
      <c r="O152">
        <v>1.6</v>
      </c>
      <c r="P152">
        <v>2.1</v>
      </c>
      <c r="Q152">
        <v>1.3</v>
      </c>
      <c r="R152">
        <v>1.4</v>
      </c>
      <c r="S152">
        <v>1.9</v>
      </c>
      <c r="T152">
        <v>1.8</v>
      </c>
      <c r="U152">
        <v>2</v>
      </c>
      <c r="V152">
        <v>2.2999999999999998</v>
      </c>
      <c r="W152">
        <v>5.0999999999999996</v>
      </c>
      <c r="X152">
        <v>3.8</v>
      </c>
      <c r="Y152">
        <v>2.2000000000000002</v>
      </c>
      <c r="Z152">
        <v>1.4</v>
      </c>
      <c r="AA152">
        <v>1.5</v>
      </c>
      <c r="AB152">
        <v>1.6</v>
      </c>
      <c r="AC152">
        <v>1.6</v>
      </c>
      <c r="AD152">
        <v>2.2000000000000002</v>
      </c>
      <c r="AE152">
        <v>1</v>
      </c>
      <c r="AF152">
        <v>0.9</v>
      </c>
      <c r="AG152">
        <v>2.5</v>
      </c>
      <c r="AH152">
        <v>2.8</v>
      </c>
      <c r="AI152">
        <v>2.6</v>
      </c>
      <c r="AJ152">
        <v>0.3</v>
      </c>
      <c r="AK152">
        <v>0.2</v>
      </c>
      <c r="AL152">
        <v>0.1</v>
      </c>
      <c r="AM152">
        <v>1.3</v>
      </c>
      <c r="AN152">
        <v>1.6</v>
      </c>
      <c r="AO152">
        <v>2.7</v>
      </c>
      <c r="AP152">
        <v>1.1000000000000001</v>
      </c>
      <c r="AQ152">
        <v>2.8</v>
      </c>
      <c r="AR152">
        <v>11.6</v>
      </c>
      <c r="AS152">
        <v>4.0999999999999996</v>
      </c>
      <c r="AT152">
        <v>3.2</v>
      </c>
      <c r="AU152">
        <v>3</v>
      </c>
      <c r="AV152" s="205">
        <f t="shared" si="2"/>
        <v>4.9399999999999995</v>
      </c>
    </row>
    <row r="153" spans="1:48" x14ac:dyDescent="0.25">
      <c r="A153" t="s">
        <v>781</v>
      </c>
      <c r="B153" t="s">
        <v>746</v>
      </c>
      <c r="C153" t="s">
        <v>746</v>
      </c>
      <c r="D153" t="s">
        <v>746</v>
      </c>
      <c r="E153" t="s">
        <v>746</v>
      </c>
      <c r="F153" t="s">
        <v>746</v>
      </c>
      <c r="G153" t="s">
        <v>746</v>
      </c>
      <c r="H153" t="s">
        <v>746</v>
      </c>
      <c r="I153" t="s">
        <v>746</v>
      </c>
      <c r="J153" t="s">
        <v>746</v>
      </c>
      <c r="K153" t="s">
        <v>746</v>
      </c>
      <c r="L153" t="s">
        <v>746</v>
      </c>
      <c r="M153" t="s">
        <v>746</v>
      </c>
      <c r="N153" t="s">
        <v>746</v>
      </c>
      <c r="O153" t="s">
        <v>746</v>
      </c>
      <c r="P153" t="s">
        <v>746</v>
      </c>
      <c r="Q153" t="s">
        <v>746</v>
      </c>
      <c r="R153" t="s">
        <v>746</v>
      </c>
      <c r="S153" t="s">
        <v>746</v>
      </c>
      <c r="T153" t="s">
        <v>746</v>
      </c>
      <c r="U153" t="s">
        <v>746</v>
      </c>
      <c r="V153" t="s">
        <v>746</v>
      </c>
      <c r="W153" t="s">
        <v>746</v>
      </c>
      <c r="X153" t="s">
        <v>746</v>
      </c>
      <c r="Y153" t="s">
        <v>746</v>
      </c>
      <c r="Z153" t="s">
        <v>746</v>
      </c>
      <c r="AA153" t="s">
        <v>746</v>
      </c>
      <c r="AB153" t="s">
        <v>746</v>
      </c>
      <c r="AC153" t="s">
        <v>746</v>
      </c>
      <c r="AD153" t="s">
        <v>746</v>
      </c>
      <c r="AE153" t="s">
        <v>746</v>
      </c>
      <c r="AF153" t="s">
        <v>746</v>
      </c>
      <c r="AG153" t="s">
        <v>746</v>
      </c>
      <c r="AH153" t="s">
        <v>746</v>
      </c>
      <c r="AI153" t="s">
        <v>746</v>
      </c>
      <c r="AJ153" t="s">
        <v>746</v>
      </c>
      <c r="AK153" t="s">
        <v>746</v>
      </c>
      <c r="AL153" t="s">
        <v>746</v>
      </c>
      <c r="AM153" t="s">
        <v>746</v>
      </c>
      <c r="AN153" t="s">
        <v>746</v>
      </c>
      <c r="AO153" t="s">
        <v>746</v>
      </c>
      <c r="AP153" t="s">
        <v>746</v>
      </c>
      <c r="AQ153" t="s">
        <v>746</v>
      </c>
      <c r="AR153" t="s">
        <v>746</v>
      </c>
      <c r="AS153" t="s">
        <v>746</v>
      </c>
      <c r="AT153" t="s">
        <v>746</v>
      </c>
      <c r="AU153" t="s">
        <v>746</v>
      </c>
      <c r="AV153" s="205" t="e">
        <f t="shared" si="2"/>
        <v>#DIV/0!</v>
      </c>
    </row>
    <row r="154" spans="1:48" x14ac:dyDescent="0.25">
      <c r="A154" t="s">
        <v>156</v>
      </c>
      <c r="B154">
        <v>17.100000000000001</v>
      </c>
      <c r="C154">
        <v>15.5</v>
      </c>
      <c r="D154">
        <v>16.100000000000001</v>
      </c>
      <c r="E154">
        <v>7.4</v>
      </c>
      <c r="F154">
        <v>6.1</v>
      </c>
      <c r="G154">
        <v>15.4</v>
      </c>
      <c r="H154">
        <v>13.2</v>
      </c>
      <c r="I154">
        <v>15.8</v>
      </c>
      <c r="J154">
        <v>6.4</v>
      </c>
      <c r="K154">
        <v>5.7</v>
      </c>
      <c r="L154">
        <v>6.1</v>
      </c>
      <c r="M154">
        <v>2.6</v>
      </c>
      <c r="N154">
        <v>1</v>
      </c>
      <c r="O154">
        <v>1.3</v>
      </c>
      <c r="P154">
        <v>1.7</v>
      </c>
      <c r="Q154">
        <v>3.8</v>
      </c>
      <c r="R154">
        <v>2.2999999999999998</v>
      </c>
      <c r="S154">
        <v>1.2</v>
      </c>
      <c r="T154">
        <v>1.3</v>
      </c>
      <c r="U154">
        <v>-0.1</v>
      </c>
      <c r="V154">
        <v>2.6</v>
      </c>
      <c r="W154">
        <v>2.6</v>
      </c>
      <c r="X154">
        <v>2.7</v>
      </c>
      <c r="Y154">
        <v>1.8</v>
      </c>
      <c r="Z154">
        <v>2.2999999999999998</v>
      </c>
      <c r="AA154">
        <v>3</v>
      </c>
      <c r="AB154">
        <v>3.4</v>
      </c>
      <c r="AC154">
        <v>2.4</v>
      </c>
      <c r="AD154">
        <v>4</v>
      </c>
      <c r="AE154">
        <v>2.1</v>
      </c>
      <c r="AF154">
        <v>2.2999999999999998</v>
      </c>
      <c r="AG154">
        <v>4</v>
      </c>
      <c r="AH154">
        <v>1.1000000000000001</v>
      </c>
      <c r="AI154">
        <v>1.1000000000000001</v>
      </c>
      <c r="AJ154">
        <v>1.2</v>
      </c>
      <c r="AK154">
        <v>0.3</v>
      </c>
      <c r="AL154">
        <v>0.6</v>
      </c>
      <c r="AM154">
        <v>1.9</v>
      </c>
      <c r="AN154">
        <v>1.6</v>
      </c>
      <c r="AO154">
        <v>1.6</v>
      </c>
      <c r="AP154">
        <v>1.7</v>
      </c>
      <c r="AQ154">
        <v>3.9</v>
      </c>
      <c r="AR154">
        <v>7.2</v>
      </c>
      <c r="AS154">
        <v>5.7</v>
      </c>
      <c r="AT154">
        <v>2.9</v>
      </c>
      <c r="AU154">
        <v>2.8</v>
      </c>
      <c r="AV154" s="205">
        <f t="shared" si="2"/>
        <v>4.5</v>
      </c>
    </row>
    <row r="155" spans="1:48" x14ac:dyDescent="0.25">
      <c r="A155" t="s">
        <v>157</v>
      </c>
      <c r="B155">
        <v>35.1</v>
      </c>
      <c r="C155">
        <v>23.8</v>
      </c>
      <c r="D155">
        <v>28.5</v>
      </c>
      <c r="E155">
        <v>33.6</v>
      </c>
      <c r="F155">
        <v>141.30000000000001</v>
      </c>
      <c r="G155">
        <v>571.4</v>
      </c>
      <c r="H155">
        <v>885.2</v>
      </c>
      <c r="I155">
        <v>13109.5</v>
      </c>
      <c r="J155">
        <v>4775.2</v>
      </c>
      <c r="K155">
        <v>7428.7</v>
      </c>
      <c r="L155">
        <v>3004.1</v>
      </c>
      <c r="M155">
        <v>116.6</v>
      </c>
      <c r="N155">
        <v>21.9</v>
      </c>
      <c r="O155">
        <v>13.5</v>
      </c>
      <c r="P155">
        <v>3.7</v>
      </c>
      <c r="Q155">
        <v>11.1</v>
      </c>
      <c r="R155">
        <v>11.7</v>
      </c>
      <c r="S155">
        <v>9.1999999999999993</v>
      </c>
      <c r="T155">
        <v>13</v>
      </c>
      <c r="U155">
        <v>11.2</v>
      </c>
      <c r="V155">
        <v>11.5</v>
      </c>
      <c r="W155">
        <v>7.4</v>
      </c>
      <c r="X155">
        <v>3.8</v>
      </c>
      <c r="Y155">
        <v>5.3</v>
      </c>
      <c r="Z155">
        <v>8.5</v>
      </c>
      <c r="AA155">
        <v>9.6</v>
      </c>
      <c r="AB155">
        <v>9.1</v>
      </c>
      <c r="AC155">
        <v>11.1</v>
      </c>
      <c r="AD155">
        <v>19.8</v>
      </c>
      <c r="AE155">
        <v>3.7</v>
      </c>
      <c r="AF155">
        <v>5.5</v>
      </c>
      <c r="AG155">
        <v>8.1</v>
      </c>
      <c r="AH155">
        <v>7.2</v>
      </c>
      <c r="AI155">
        <v>7.1</v>
      </c>
      <c r="AJ155">
        <v>6</v>
      </c>
      <c r="AK155">
        <v>4</v>
      </c>
      <c r="AL155">
        <v>3.5</v>
      </c>
      <c r="AM155">
        <v>3.9</v>
      </c>
      <c r="AN155">
        <v>4.9000000000000004</v>
      </c>
      <c r="AO155">
        <v>5.4</v>
      </c>
      <c r="AP155">
        <v>3.7</v>
      </c>
      <c r="AQ155">
        <v>4.9000000000000004</v>
      </c>
      <c r="AR155">
        <v>10.5</v>
      </c>
      <c r="AS155">
        <v>8.4</v>
      </c>
      <c r="AT155">
        <v>4.5999999999999996</v>
      </c>
      <c r="AU155">
        <v>2.1</v>
      </c>
      <c r="AV155" s="205">
        <f t="shared" si="2"/>
        <v>6.1</v>
      </c>
    </row>
    <row r="156" spans="1:48" x14ac:dyDescent="0.25">
      <c r="A156" t="s">
        <v>158</v>
      </c>
      <c r="B156">
        <v>7.3</v>
      </c>
      <c r="C156">
        <v>24.3</v>
      </c>
      <c r="D156">
        <v>10.4</v>
      </c>
      <c r="E156">
        <v>1.6</v>
      </c>
      <c r="F156">
        <v>8.4</v>
      </c>
      <c r="G156">
        <v>-1.1000000000000001</v>
      </c>
      <c r="H156">
        <v>-3.2</v>
      </c>
      <c r="I156">
        <v>-6.6</v>
      </c>
      <c r="J156">
        <v>0.6</v>
      </c>
      <c r="K156">
        <v>-0.8</v>
      </c>
      <c r="L156">
        <v>-2</v>
      </c>
      <c r="M156">
        <v>1.5</v>
      </c>
      <c r="N156">
        <v>-5.9</v>
      </c>
      <c r="O156">
        <v>-0.3</v>
      </c>
      <c r="P156">
        <v>35.5</v>
      </c>
      <c r="Q156">
        <v>10.9</v>
      </c>
      <c r="R156">
        <v>5.3</v>
      </c>
      <c r="S156">
        <v>2.9</v>
      </c>
      <c r="T156">
        <v>4.5999999999999996</v>
      </c>
      <c r="U156">
        <v>-2.1</v>
      </c>
      <c r="V156">
        <v>2.7</v>
      </c>
      <c r="W156">
        <v>3.9</v>
      </c>
      <c r="X156">
        <v>2.5</v>
      </c>
      <c r="Y156">
        <v>-1.5</v>
      </c>
      <c r="Z156">
        <v>0.2</v>
      </c>
      <c r="AA156">
        <v>7.8</v>
      </c>
      <c r="AB156">
        <v>0</v>
      </c>
      <c r="AC156">
        <v>0.1</v>
      </c>
      <c r="AD156">
        <v>10.5</v>
      </c>
      <c r="AE156">
        <v>1.2</v>
      </c>
      <c r="AF156">
        <v>0.9</v>
      </c>
      <c r="AG156">
        <v>2.9</v>
      </c>
      <c r="AH156">
        <v>0.5</v>
      </c>
      <c r="AI156">
        <v>2.2999999999999998</v>
      </c>
      <c r="AJ156">
        <v>-0.9</v>
      </c>
      <c r="AK156">
        <v>1</v>
      </c>
      <c r="AL156">
        <v>0.2</v>
      </c>
      <c r="AM156">
        <v>0.2</v>
      </c>
      <c r="AN156">
        <v>2.8</v>
      </c>
      <c r="AO156">
        <v>-2.5</v>
      </c>
      <c r="AP156">
        <v>2.9</v>
      </c>
      <c r="AQ156">
        <v>3.8</v>
      </c>
      <c r="AR156">
        <v>4.2</v>
      </c>
      <c r="AS156">
        <v>3.7</v>
      </c>
      <c r="AT156">
        <v>9.1</v>
      </c>
      <c r="AU156">
        <v>-4.5999999999999996</v>
      </c>
      <c r="AV156" s="205">
        <f t="shared" si="2"/>
        <v>3.2399999999999993</v>
      </c>
    </row>
    <row r="157" spans="1:48" x14ac:dyDescent="0.25">
      <c r="A157" t="s">
        <v>159</v>
      </c>
      <c r="B157" t="s">
        <v>746</v>
      </c>
      <c r="C157" t="s">
        <v>746</v>
      </c>
      <c r="D157" t="s">
        <v>746</v>
      </c>
      <c r="E157" t="s">
        <v>746</v>
      </c>
      <c r="F157" t="s">
        <v>746</v>
      </c>
      <c r="G157" t="s">
        <v>746</v>
      </c>
      <c r="H157" t="s">
        <v>746</v>
      </c>
      <c r="I157" t="s">
        <v>746</v>
      </c>
      <c r="J157" t="s">
        <v>746</v>
      </c>
      <c r="K157" t="s">
        <v>746</v>
      </c>
      <c r="L157" t="s">
        <v>746</v>
      </c>
      <c r="M157" t="s">
        <v>746</v>
      </c>
      <c r="N157" t="s">
        <v>746</v>
      </c>
      <c r="O157" t="s">
        <v>746</v>
      </c>
      <c r="P157" t="s">
        <v>746</v>
      </c>
      <c r="Q157" t="s">
        <v>746</v>
      </c>
      <c r="R157">
        <v>29.3</v>
      </c>
      <c r="S157">
        <v>10.7</v>
      </c>
      <c r="T157">
        <v>7.9</v>
      </c>
      <c r="U157">
        <v>6.6</v>
      </c>
      <c r="V157">
        <v>6.9</v>
      </c>
      <c r="W157">
        <v>18.899999999999999</v>
      </c>
      <c r="X157">
        <v>12.9</v>
      </c>
      <c r="Y157">
        <v>14</v>
      </c>
      <c r="Z157">
        <v>15</v>
      </c>
      <c r="AA157">
        <v>17.899999999999999</v>
      </c>
      <c r="AB157">
        <v>8.1999999999999993</v>
      </c>
      <c r="AC157">
        <v>5.4</v>
      </c>
      <c r="AD157">
        <v>11.6</v>
      </c>
      <c r="AE157">
        <v>12.5</v>
      </c>
      <c r="AF157">
        <v>13.7</v>
      </c>
      <c r="AG157">
        <v>10.8</v>
      </c>
      <c r="AH157">
        <v>12.2</v>
      </c>
      <c r="AI157">
        <v>8.5</v>
      </c>
      <c r="AJ157">
        <v>8</v>
      </c>
      <c r="AK157">
        <v>9</v>
      </c>
      <c r="AL157">
        <v>15.7</v>
      </c>
      <c r="AM157">
        <v>16.5</v>
      </c>
      <c r="AN157">
        <v>12.1</v>
      </c>
      <c r="AO157">
        <v>11.4</v>
      </c>
      <c r="AP157">
        <v>13.2</v>
      </c>
      <c r="AQ157">
        <v>17</v>
      </c>
      <c r="AR157">
        <v>18.8</v>
      </c>
      <c r="AS157">
        <v>24.7</v>
      </c>
      <c r="AT157">
        <v>33.200000000000003</v>
      </c>
      <c r="AU157">
        <v>23</v>
      </c>
      <c r="AV157" s="205">
        <f t="shared" si="2"/>
        <v>23.34</v>
      </c>
    </row>
    <row r="158" spans="1:48" x14ac:dyDescent="0.25">
      <c r="A158" t="s">
        <v>782</v>
      </c>
      <c r="B158" t="s">
        <v>746</v>
      </c>
      <c r="C158" t="s">
        <v>746</v>
      </c>
      <c r="D158" t="s">
        <v>746</v>
      </c>
      <c r="E158" t="s">
        <v>746</v>
      </c>
      <c r="F158" t="s">
        <v>746</v>
      </c>
      <c r="G158" t="s">
        <v>746</v>
      </c>
      <c r="H158" t="s">
        <v>746</v>
      </c>
      <c r="I158" t="s">
        <v>746</v>
      </c>
      <c r="J158" t="s">
        <v>746</v>
      </c>
      <c r="K158" t="s">
        <v>746</v>
      </c>
      <c r="L158" t="s">
        <v>746</v>
      </c>
      <c r="M158" t="s">
        <v>746</v>
      </c>
      <c r="N158" t="s">
        <v>746</v>
      </c>
      <c r="O158" t="s">
        <v>746</v>
      </c>
      <c r="P158" t="s">
        <v>746</v>
      </c>
      <c r="Q158" t="s">
        <v>746</v>
      </c>
      <c r="R158" t="s">
        <v>746</v>
      </c>
      <c r="S158" t="s">
        <v>746</v>
      </c>
      <c r="T158" t="s">
        <v>746</v>
      </c>
      <c r="U158" t="s">
        <v>746</v>
      </c>
      <c r="V158" t="s">
        <v>746</v>
      </c>
      <c r="W158" t="s">
        <v>746</v>
      </c>
      <c r="X158" t="s">
        <v>746</v>
      </c>
      <c r="Y158" t="s">
        <v>746</v>
      </c>
      <c r="Z158" t="s">
        <v>746</v>
      </c>
      <c r="AA158" t="s">
        <v>746</v>
      </c>
      <c r="AB158" t="s">
        <v>746</v>
      </c>
      <c r="AC158" t="s">
        <v>746</v>
      </c>
      <c r="AD158" t="s">
        <v>746</v>
      </c>
      <c r="AE158" t="s">
        <v>746</v>
      </c>
      <c r="AF158" t="s">
        <v>746</v>
      </c>
      <c r="AG158" t="s">
        <v>746</v>
      </c>
      <c r="AH158" t="s">
        <v>746</v>
      </c>
      <c r="AI158" t="s">
        <v>746</v>
      </c>
      <c r="AJ158" t="s">
        <v>746</v>
      </c>
      <c r="AK158" t="s">
        <v>746</v>
      </c>
      <c r="AL158" t="s">
        <v>746</v>
      </c>
      <c r="AM158" t="s">
        <v>746</v>
      </c>
      <c r="AN158" t="s">
        <v>746</v>
      </c>
      <c r="AO158" t="s">
        <v>746</v>
      </c>
      <c r="AP158" t="s">
        <v>746</v>
      </c>
      <c r="AQ158" t="s">
        <v>746</v>
      </c>
      <c r="AR158" t="s">
        <v>746</v>
      </c>
      <c r="AS158" t="s">
        <v>746</v>
      </c>
      <c r="AT158" t="s">
        <v>746</v>
      </c>
      <c r="AU158" t="s">
        <v>746</v>
      </c>
      <c r="AV158" s="205" t="e">
        <f t="shared" si="2"/>
        <v>#DIV/0!</v>
      </c>
    </row>
    <row r="159" spans="1:48" x14ac:dyDescent="0.25">
      <c r="A159" t="s">
        <v>783</v>
      </c>
      <c r="B159" t="s">
        <v>746</v>
      </c>
      <c r="C159" t="s">
        <v>746</v>
      </c>
      <c r="D159" t="s">
        <v>746</v>
      </c>
      <c r="E159" t="s">
        <v>746</v>
      </c>
      <c r="F159" t="s">
        <v>746</v>
      </c>
      <c r="G159" t="s">
        <v>746</v>
      </c>
      <c r="H159" t="s">
        <v>746</v>
      </c>
      <c r="I159" t="s">
        <v>746</v>
      </c>
      <c r="J159" t="s">
        <v>746</v>
      </c>
      <c r="K159" t="s">
        <v>746</v>
      </c>
      <c r="L159" t="s">
        <v>746</v>
      </c>
      <c r="M159" t="s">
        <v>746</v>
      </c>
      <c r="N159" t="s">
        <v>746</v>
      </c>
      <c r="O159">
        <v>338.7</v>
      </c>
      <c r="P159">
        <v>126.6</v>
      </c>
      <c r="Q159">
        <v>16.399999999999999</v>
      </c>
      <c r="R159">
        <v>2.5</v>
      </c>
      <c r="S159">
        <v>1.3</v>
      </c>
      <c r="T159">
        <v>0.5</v>
      </c>
      <c r="U159">
        <v>-1.3</v>
      </c>
      <c r="V159">
        <v>6.6</v>
      </c>
      <c r="W159">
        <v>5.0999999999999996</v>
      </c>
      <c r="X159">
        <v>1.7</v>
      </c>
      <c r="Y159">
        <v>1.1000000000000001</v>
      </c>
      <c r="Z159">
        <v>-0.4</v>
      </c>
      <c r="AA159">
        <v>0</v>
      </c>
      <c r="AB159">
        <v>3.3</v>
      </c>
      <c r="AC159">
        <v>2.8</v>
      </c>
      <c r="AD159">
        <v>7.2</v>
      </c>
      <c r="AE159">
        <v>-0.8</v>
      </c>
      <c r="AF159">
        <v>1.5</v>
      </c>
      <c r="AG159">
        <v>3.9</v>
      </c>
      <c r="AH159">
        <v>3.3</v>
      </c>
      <c r="AI159">
        <v>2.8</v>
      </c>
      <c r="AJ159">
        <v>-0.3</v>
      </c>
      <c r="AK159">
        <v>-0.2</v>
      </c>
      <c r="AL159">
        <v>-0.2</v>
      </c>
      <c r="AM159">
        <v>1.4</v>
      </c>
      <c r="AN159">
        <v>1.5</v>
      </c>
      <c r="AO159">
        <v>0.8</v>
      </c>
      <c r="AP159">
        <v>1.2</v>
      </c>
      <c r="AQ159">
        <v>3.2</v>
      </c>
      <c r="AR159">
        <v>14.2</v>
      </c>
      <c r="AS159">
        <v>9.4</v>
      </c>
      <c r="AT159">
        <v>3.5</v>
      </c>
      <c r="AU159">
        <v>4.0999999999999996</v>
      </c>
      <c r="AV159" s="205">
        <f t="shared" si="2"/>
        <v>6.88</v>
      </c>
    </row>
    <row r="160" spans="1:48" x14ac:dyDescent="0.25">
      <c r="A160" t="s">
        <v>784</v>
      </c>
      <c r="B160" t="s">
        <v>746</v>
      </c>
      <c r="C160" t="s">
        <v>746</v>
      </c>
      <c r="D160" t="s">
        <v>746</v>
      </c>
      <c r="E160" t="s">
        <v>746</v>
      </c>
      <c r="F160" t="s">
        <v>746</v>
      </c>
      <c r="G160" t="s">
        <v>746</v>
      </c>
      <c r="H160" t="s">
        <v>746</v>
      </c>
      <c r="I160" t="s">
        <v>746</v>
      </c>
      <c r="J160" t="s">
        <v>746</v>
      </c>
      <c r="K160" t="s">
        <v>746</v>
      </c>
      <c r="L160" t="s">
        <v>746</v>
      </c>
      <c r="M160" t="s">
        <v>746</v>
      </c>
      <c r="N160" t="s">
        <v>746</v>
      </c>
      <c r="O160" t="s">
        <v>746</v>
      </c>
      <c r="P160" t="s">
        <v>746</v>
      </c>
      <c r="Q160" t="s">
        <v>746</v>
      </c>
      <c r="R160" t="s">
        <v>746</v>
      </c>
      <c r="S160" t="s">
        <v>746</v>
      </c>
      <c r="T160" t="s">
        <v>746</v>
      </c>
      <c r="U160" t="s">
        <v>746</v>
      </c>
      <c r="V160" t="s">
        <v>746</v>
      </c>
      <c r="W160" t="s">
        <v>746</v>
      </c>
      <c r="X160" t="s">
        <v>746</v>
      </c>
      <c r="Y160" t="s">
        <v>746</v>
      </c>
      <c r="Z160" t="s">
        <v>746</v>
      </c>
      <c r="AA160" t="s">
        <v>746</v>
      </c>
      <c r="AB160" t="s">
        <v>746</v>
      </c>
      <c r="AC160" t="s">
        <v>746</v>
      </c>
      <c r="AD160" t="s">
        <v>746</v>
      </c>
      <c r="AE160" t="s">
        <v>746</v>
      </c>
      <c r="AF160" t="s">
        <v>746</v>
      </c>
      <c r="AG160" t="s">
        <v>746</v>
      </c>
      <c r="AH160" t="s">
        <v>746</v>
      </c>
      <c r="AI160" t="s">
        <v>746</v>
      </c>
      <c r="AJ160" t="s">
        <v>746</v>
      </c>
      <c r="AK160" t="s">
        <v>746</v>
      </c>
      <c r="AL160" t="s">
        <v>746</v>
      </c>
      <c r="AM160" t="s">
        <v>746</v>
      </c>
      <c r="AN160" t="s">
        <v>746</v>
      </c>
      <c r="AO160" t="s">
        <v>746</v>
      </c>
      <c r="AP160" t="s">
        <v>746</v>
      </c>
      <c r="AQ160" t="s">
        <v>746</v>
      </c>
      <c r="AR160" t="s">
        <v>746</v>
      </c>
      <c r="AS160" t="s">
        <v>746</v>
      </c>
      <c r="AT160" t="s">
        <v>746</v>
      </c>
      <c r="AU160" t="s">
        <v>746</v>
      </c>
      <c r="AV160" s="205" t="e">
        <f t="shared" si="2"/>
        <v>#DIV/0!</v>
      </c>
    </row>
    <row r="161" spans="1:48" x14ac:dyDescent="0.25">
      <c r="A161" t="s">
        <v>161</v>
      </c>
      <c r="B161">
        <v>10.9</v>
      </c>
      <c r="C161">
        <v>13.6</v>
      </c>
      <c r="D161">
        <v>11.4</v>
      </c>
      <c r="E161">
        <v>8.4</v>
      </c>
      <c r="F161">
        <v>6.2</v>
      </c>
      <c r="G161">
        <v>5.7</v>
      </c>
      <c r="H161">
        <v>7.2</v>
      </c>
      <c r="I161">
        <v>8.8000000000000007</v>
      </c>
      <c r="J161">
        <v>6.6</v>
      </c>
      <c r="K161">
        <v>4.5999999999999996</v>
      </c>
      <c r="L161">
        <v>4.0999999999999996</v>
      </c>
      <c r="M161">
        <v>3.4</v>
      </c>
      <c r="N161">
        <v>2.4</v>
      </c>
      <c r="O161">
        <v>2.2999999999999998</v>
      </c>
      <c r="P161">
        <v>1.4</v>
      </c>
      <c r="Q161">
        <v>2.4</v>
      </c>
      <c r="R161">
        <v>1.3</v>
      </c>
      <c r="S161">
        <v>2.5</v>
      </c>
      <c r="T161">
        <v>2.2999999999999998</v>
      </c>
      <c r="U161">
        <v>2.2999999999999998</v>
      </c>
      <c r="V161">
        <v>3.1</v>
      </c>
      <c r="W161">
        <v>3</v>
      </c>
      <c r="X161">
        <v>1.3</v>
      </c>
      <c r="Y161">
        <v>2.5</v>
      </c>
      <c r="Z161">
        <v>0.5</v>
      </c>
      <c r="AA161">
        <v>1.5</v>
      </c>
      <c r="AB161">
        <v>2.2999999999999998</v>
      </c>
      <c r="AC161">
        <v>0.8</v>
      </c>
      <c r="AD161">
        <v>3.7</v>
      </c>
      <c r="AE161">
        <v>2.2000000000000002</v>
      </c>
      <c r="AF161">
        <v>2.4</v>
      </c>
      <c r="AG161">
        <v>1.3</v>
      </c>
      <c r="AH161">
        <v>0.7</v>
      </c>
      <c r="AI161">
        <v>2.1</v>
      </c>
      <c r="AJ161">
        <v>2.1</v>
      </c>
      <c r="AK161">
        <v>2.2000000000000002</v>
      </c>
      <c r="AL161">
        <v>3.5</v>
      </c>
      <c r="AM161">
        <v>1.9</v>
      </c>
      <c r="AN161">
        <v>2.7</v>
      </c>
      <c r="AO161">
        <v>2.2000000000000002</v>
      </c>
      <c r="AP161">
        <v>1.3</v>
      </c>
      <c r="AQ161">
        <v>3.5</v>
      </c>
      <c r="AR161">
        <v>5.8</v>
      </c>
      <c r="AS161">
        <v>5.5</v>
      </c>
      <c r="AT161">
        <v>3.2</v>
      </c>
      <c r="AU161">
        <v>3</v>
      </c>
      <c r="AV161" s="205">
        <f t="shared" si="2"/>
        <v>4.2</v>
      </c>
    </row>
    <row r="162" spans="1:48" x14ac:dyDescent="0.25">
      <c r="A162" t="s">
        <v>162</v>
      </c>
      <c r="B162">
        <v>10</v>
      </c>
      <c r="C162">
        <v>6.4</v>
      </c>
      <c r="D162">
        <v>2.5</v>
      </c>
      <c r="E162">
        <v>-2.1</v>
      </c>
      <c r="F162">
        <v>-7.4</v>
      </c>
      <c r="G162">
        <v>-4</v>
      </c>
      <c r="H162">
        <v>7.6</v>
      </c>
      <c r="I162">
        <v>2.6</v>
      </c>
      <c r="J162">
        <v>1.6</v>
      </c>
      <c r="K162">
        <v>1.6</v>
      </c>
      <c r="L162">
        <v>10</v>
      </c>
      <c r="M162">
        <v>4.5999999999999996</v>
      </c>
      <c r="N162">
        <v>1</v>
      </c>
      <c r="O162">
        <v>1.1000000000000001</v>
      </c>
      <c r="P162">
        <v>-0.7</v>
      </c>
      <c r="Q162">
        <v>-1.1000000000000001</v>
      </c>
      <c r="R162">
        <v>0.5</v>
      </c>
      <c r="S162">
        <v>-0.4</v>
      </c>
      <c r="T162">
        <v>0.4</v>
      </c>
      <c r="U162">
        <v>0.5</v>
      </c>
      <c r="V162">
        <v>-1.2</v>
      </c>
      <c r="W162">
        <v>-0.8</v>
      </c>
      <c r="X162">
        <v>-0.3</v>
      </c>
      <c r="Y162">
        <v>0.2</v>
      </c>
      <c r="Z162">
        <v>0.8</v>
      </c>
      <c r="AA162">
        <v>1.9</v>
      </c>
      <c r="AB162">
        <v>3.2</v>
      </c>
      <c r="AC162">
        <v>5.9</v>
      </c>
      <c r="AD162">
        <v>12.6</v>
      </c>
      <c r="AE162">
        <v>3.5</v>
      </c>
      <c r="AF162">
        <v>3.3</v>
      </c>
      <c r="AG162">
        <v>4.0999999999999996</v>
      </c>
      <c r="AH162">
        <v>2.9</v>
      </c>
      <c r="AI162">
        <v>1.3</v>
      </c>
      <c r="AJ162">
        <v>1.2</v>
      </c>
      <c r="AK162">
        <v>0.1</v>
      </c>
      <c r="AL162">
        <v>0.9</v>
      </c>
      <c r="AM162">
        <v>1.5</v>
      </c>
      <c r="AN162">
        <v>0.7</v>
      </c>
      <c r="AO162">
        <v>0.5</v>
      </c>
      <c r="AP162">
        <v>-0.4</v>
      </c>
      <c r="AQ162">
        <v>1.7</v>
      </c>
      <c r="AR162">
        <v>2.5</v>
      </c>
      <c r="AS162">
        <v>1</v>
      </c>
      <c r="AT162">
        <v>0.6</v>
      </c>
      <c r="AU162">
        <v>1</v>
      </c>
      <c r="AV162" s="205">
        <f t="shared" si="2"/>
        <v>1.3599999999999999</v>
      </c>
    </row>
    <row r="163" spans="1:48" x14ac:dyDescent="0.25">
      <c r="A163" t="s">
        <v>163</v>
      </c>
      <c r="B163">
        <v>11.9</v>
      </c>
      <c r="C163">
        <v>11.9</v>
      </c>
      <c r="D163">
        <v>5.9</v>
      </c>
      <c r="E163">
        <v>6.4</v>
      </c>
      <c r="F163">
        <v>6.1</v>
      </c>
      <c r="G163">
        <v>5.6</v>
      </c>
      <c r="H163">
        <v>3.5</v>
      </c>
      <c r="I163">
        <v>4.7</v>
      </c>
      <c r="J163">
        <v>8.8000000000000007</v>
      </c>
      <c r="K163">
        <v>7.9</v>
      </c>
      <c r="L163">
        <v>9.1</v>
      </c>
      <c r="M163">
        <v>12.6</v>
      </c>
      <c r="N163">
        <v>4.8</v>
      </c>
      <c r="O163">
        <v>9.8000000000000007</v>
      </c>
      <c r="P163">
        <v>11.3</v>
      </c>
      <c r="Q163">
        <v>13</v>
      </c>
      <c r="R163">
        <v>10.8</v>
      </c>
      <c r="S163">
        <v>11.8</v>
      </c>
      <c r="T163">
        <v>7.8</v>
      </c>
      <c r="U163">
        <v>5.7</v>
      </c>
      <c r="V163">
        <v>3.6</v>
      </c>
      <c r="W163">
        <v>4.4000000000000004</v>
      </c>
      <c r="X163">
        <v>3.5</v>
      </c>
      <c r="Y163">
        <v>3.1</v>
      </c>
      <c r="Z163">
        <v>4.5999999999999996</v>
      </c>
      <c r="AA163">
        <v>9.3000000000000007</v>
      </c>
      <c r="AB163">
        <v>7.9</v>
      </c>
      <c r="AC163">
        <v>7.8</v>
      </c>
      <c r="AD163">
        <v>12</v>
      </c>
      <c r="AE163">
        <v>19.600000000000001</v>
      </c>
      <c r="AF163">
        <v>10.1</v>
      </c>
      <c r="AG163">
        <v>13.7</v>
      </c>
      <c r="AH163">
        <v>11</v>
      </c>
      <c r="AI163">
        <v>7.4</v>
      </c>
      <c r="AJ163">
        <v>8.6</v>
      </c>
      <c r="AK163">
        <v>4.5</v>
      </c>
      <c r="AL163">
        <v>2.9</v>
      </c>
      <c r="AM163">
        <v>4.8</v>
      </c>
      <c r="AN163">
        <v>4.7</v>
      </c>
      <c r="AO163">
        <v>6.8</v>
      </c>
      <c r="AP163">
        <v>10.7</v>
      </c>
      <c r="AQ163">
        <v>8.9</v>
      </c>
      <c r="AR163">
        <v>12.2</v>
      </c>
      <c r="AS163">
        <v>29.2</v>
      </c>
      <c r="AT163">
        <v>23.4</v>
      </c>
      <c r="AU163">
        <v>4.5</v>
      </c>
      <c r="AV163" s="205">
        <f t="shared" si="2"/>
        <v>15.639999999999997</v>
      </c>
    </row>
    <row r="164" spans="1:48" x14ac:dyDescent="0.25">
      <c r="A164" t="s">
        <v>164</v>
      </c>
      <c r="B164" t="s">
        <v>746</v>
      </c>
      <c r="C164" t="s">
        <v>746</v>
      </c>
      <c r="D164" t="s">
        <v>746</v>
      </c>
      <c r="E164" t="s">
        <v>746</v>
      </c>
      <c r="F164" t="s">
        <v>746</v>
      </c>
      <c r="G164" t="s">
        <v>746</v>
      </c>
      <c r="H164" t="s">
        <v>746</v>
      </c>
      <c r="I164" t="s">
        <v>746</v>
      </c>
      <c r="J164" t="s">
        <v>746</v>
      </c>
      <c r="K164" t="s">
        <v>746</v>
      </c>
      <c r="L164" t="s">
        <v>746</v>
      </c>
      <c r="M164" t="s">
        <v>746</v>
      </c>
      <c r="N164" t="s">
        <v>746</v>
      </c>
      <c r="O164" t="s">
        <v>746</v>
      </c>
      <c r="P164" t="s">
        <v>746</v>
      </c>
      <c r="Q164" t="s">
        <v>746</v>
      </c>
      <c r="R164" t="s">
        <v>746</v>
      </c>
      <c r="S164" t="s">
        <v>746</v>
      </c>
      <c r="T164" t="s">
        <v>746</v>
      </c>
      <c r="U164" t="s">
        <v>746</v>
      </c>
      <c r="V164" t="s">
        <v>746</v>
      </c>
      <c r="W164">
        <v>-0.7</v>
      </c>
      <c r="X164">
        <v>-0.3</v>
      </c>
      <c r="Y164">
        <v>0.6</v>
      </c>
      <c r="Z164">
        <v>0.5</v>
      </c>
      <c r="AA164">
        <v>3.6</v>
      </c>
      <c r="AB164">
        <v>4.2</v>
      </c>
      <c r="AC164">
        <v>3</v>
      </c>
      <c r="AD164">
        <v>9.9</v>
      </c>
      <c r="AE164">
        <v>4.7</v>
      </c>
      <c r="AF164">
        <v>1.1000000000000001</v>
      </c>
      <c r="AG164">
        <v>2.6</v>
      </c>
      <c r="AH164">
        <v>5.4</v>
      </c>
      <c r="AI164">
        <v>2.8</v>
      </c>
      <c r="AJ164">
        <v>4</v>
      </c>
      <c r="AK164">
        <v>2.2000000000000002</v>
      </c>
      <c r="AL164">
        <v>-1.3</v>
      </c>
      <c r="AM164">
        <v>1.1000000000000001</v>
      </c>
      <c r="AN164">
        <v>2.4</v>
      </c>
      <c r="AO164">
        <v>0.4</v>
      </c>
      <c r="AP164">
        <v>0.7</v>
      </c>
      <c r="AQ164">
        <v>-0.5</v>
      </c>
      <c r="AR164">
        <v>13.2</v>
      </c>
      <c r="AS164">
        <v>12.4</v>
      </c>
      <c r="AT164">
        <v>3.6</v>
      </c>
      <c r="AU164">
        <v>0.3</v>
      </c>
      <c r="AV164" s="205">
        <f t="shared" si="2"/>
        <v>5.8000000000000007</v>
      </c>
    </row>
    <row r="165" spans="1:48" x14ac:dyDescent="0.25">
      <c r="A165" t="s">
        <v>166</v>
      </c>
      <c r="B165">
        <v>13.8</v>
      </c>
      <c r="C165">
        <v>7.3</v>
      </c>
      <c r="D165">
        <v>4.3</v>
      </c>
      <c r="E165">
        <v>2.1</v>
      </c>
      <c r="F165">
        <v>1.6</v>
      </c>
      <c r="G165">
        <v>1</v>
      </c>
      <c r="H165">
        <v>-0.1</v>
      </c>
      <c r="I165">
        <v>1</v>
      </c>
      <c r="J165">
        <v>0.4</v>
      </c>
      <c r="K165">
        <v>0.1</v>
      </c>
      <c r="L165">
        <v>0.8</v>
      </c>
      <c r="M165">
        <v>1.5</v>
      </c>
      <c r="N165">
        <v>1.8</v>
      </c>
      <c r="O165">
        <v>0.5</v>
      </c>
      <c r="P165">
        <v>1.3</v>
      </c>
      <c r="Q165">
        <v>0.9</v>
      </c>
      <c r="R165">
        <v>1.4</v>
      </c>
      <c r="S165">
        <v>1.3</v>
      </c>
      <c r="T165">
        <v>0.6</v>
      </c>
      <c r="U165">
        <v>1.3</v>
      </c>
      <c r="V165">
        <v>1.4</v>
      </c>
      <c r="W165">
        <v>0.3</v>
      </c>
      <c r="X165">
        <v>0.9</v>
      </c>
      <c r="Y165">
        <v>0.2</v>
      </c>
      <c r="Z165">
        <v>0.5</v>
      </c>
      <c r="AA165">
        <v>2.9</v>
      </c>
      <c r="AB165">
        <v>2.5</v>
      </c>
      <c r="AC165">
        <v>4.2</v>
      </c>
      <c r="AD165">
        <v>8.8000000000000007</v>
      </c>
      <c r="AE165">
        <v>2.4</v>
      </c>
      <c r="AF165">
        <v>3.5</v>
      </c>
      <c r="AG165">
        <v>5.9</v>
      </c>
      <c r="AH165">
        <v>5.7</v>
      </c>
      <c r="AI165">
        <v>4</v>
      </c>
      <c r="AJ165">
        <v>2.6</v>
      </c>
      <c r="AK165">
        <v>0.1</v>
      </c>
      <c r="AL165">
        <v>0.7</v>
      </c>
      <c r="AM165">
        <v>0.9</v>
      </c>
      <c r="AN165">
        <v>0.8</v>
      </c>
      <c r="AO165">
        <v>-0.4</v>
      </c>
      <c r="AP165">
        <v>-1.6</v>
      </c>
      <c r="AQ165">
        <v>1.6</v>
      </c>
      <c r="AR165">
        <v>2.9</v>
      </c>
      <c r="AS165">
        <v>1.5</v>
      </c>
      <c r="AT165">
        <v>0.7</v>
      </c>
      <c r="AU165">
        <v>0</v>
      </c>
      <c r="AV165" s="205">
        <f t="shared" si="2"/>
        <v>1.34</v>
      </c>
    </row>
    <row r="166" spans="1:48" x14ac:dyDescent="0.25">
      <c r="A166" t="s">
        <v>167</v>
      </c>
      <c r="B166">
        <v>12.1</v>
      </c>
      <c r="C166">
        <v>8.1</v>
      </c>
      <c r="D166">
        <v>5.5</v>
      </c>
      <c r="E166">
        <v>7.9</v>
      </c>
      <c r="F166">
        <v>7.4</v>
      </c>
      <c r="G166">
        <v>3.7</v>
      </c>
      <c r="H166">
        <v>5.5</v>
      </c>
      <c r="I166">
        <v>3.3</v>
      </c>
      <c r="J166">
        <v>5.4</v>
      </c>
      <c r="K166">
        <v>4.5</v>
      </c>
      <c r="L166">
        <v>7</v>
      </c>
      <c r="M166">
        <v>7</v>
      </c>
      <c r="N166">
        <v>4.3</v>
      </c>
      <c r="O166">
        <v>5</v>
      </c>
      <c r="P166">
        <v>2.8</v>
      </c>
      <c r="Q166">
        <v>17.3</v>
      </c>
      <c r="R166">
        <v>11.6</v>
      </c>
      <c r="S166">
        <v>3.9</v>
      </c>
      <c r="T166">
        <v>13.6</v>
      </c>
      <c r="U166">
        <v>14.9</v>
      </c>
      <c r="V166">
        <v>15.6</v>
      </c>
      <c r="W166">
        <v>9.3000000000000007</v>
      </c>
      <c r="X166">
        <v>11.8</v>
      </c>
      <c r="Y166">
        <v>14.7</v>
      </c>
      <c r="Z166">
        <v>2.2000000000000002</v>
      </c>
      <c r="AA166">
        <v>1.8</v>
      </c>
      <c r="AB166">
        <v>2.4</v>
      </c>
      <c r="AC166">
        <v>0.9</v>
      </c>
      <c r="AD166">
        <v>10.8</v>
      </c>
      <c r="AE166">
        <v>6.9</v>
      </c>
      <c r="AF166">
        <v>5.0999999999999996</v>
      </c>
      <c r="AG166">
        <v>4.4000000000000004</v>
      </c>
      <c r="AH166">
        <v>4.5</v>
      </c>
      <c r="AI166">
        <v>5</v>
      </c>
      <c r="AJ166">
        <v>5.2</v>
      </c>
      <c r="AK166">
        <v>6</v>
      </c>
      <c r="AL166">
        <v>6.7</v>
      </c>
      <c r="AM166">
        <v>5.4</v>
      </c>
      <c r="AN166">
        <v>4.4000000000000004</v>
      </c>
      <c r="AO166">
        <v>3.9</v>
      </c>
      <c r="AP166">
        <v>4.9000000000000004</v>
      </c>
      <c r="AQ166">
        <v>4.5</v>
      </c>
      <c r="AR166">
        <v>5.3</v>
      </c>
      <c r="AS166">
        <v>2.2999999999999998</v>
      </c>
      <c r="AT166">
        <v>0.6</v>
      </c>
      <c r="AU166">
        <v>4.4000000000000004</v>
      </c>
      <c r="AV166" s="205">
        <f t="shared" si="2"/>
        <v>3.4200000000000004</v>
      </c>
    </row>
    <row r="167" spans="1:48" x14ac:dyDescent="0.25">
      <c r="A167" t="s">
        <v>168</v>
      </c>
      <c r="B167">
        <v>22.5</v>
      </c>
      <c r="C167">
        <v>13.8</v>
      </c>
      <c r="D167">
        <v>5.4</v>
      </c>
      <c r="E167">
        <v>12.8</v>
      </c>
      <c r="F167">
        <v>20.9</v>
      </c>
      <c r="G167">
        <v>24.8</v>
      </c>
      <c r="H167">
        <v>31.7</v>
      </c>
      <c r="I167">
        <v>21.7</v>
      </c>
      <c r="J167">
        <v>22.6</v>
      </c>
      <c r="K167">
        <v>25.6</v>
      </c>
      <c r="L167">
        <v>38.200000000000003</v>
      </c>
      <c r="M167">
        <v>24.3</v>
      </c>
      <c r="N167">
        <v>15.1</v>
      </c>
      <c r="O167">
        <v>18.399999999999999</v>
      </c>
      <c r="P167">
        <v>20.399999999999999</v>
      </c>
      <c r="Q167">
        <v>13.5</v>
      </c>
      <c r="R167">
        <v>9.8000000000000007</v>
      </c>
      <c r="S167">
        <v>6.9</v>
      </c>
      <c r="T167">
        <v>11.6</v>
      </c>
      <c r="U167">
        <v>6.7</v>
      </c>
      <c r="V167">
        <v>9</v>
      </c>
      <c r="W167">
        <v>7.3</v>
      </c>
      <c r="X167">
        <v>10.5</v>
      </c>
      <c r="Y167">
        <v>14.2</v>
      </c>
      <c r="Z167">
        <v>4.3</v>
      </c>
      <c r="AA167">
        <v>6.8</v>
      </c>
      <c r="AB167">
        <v>9.6</v>
      </c>
      <c r="AC167">
        <v>8.1</v>
      </c>
      <c r="AD167">
        <v>10.199999999999999</v>
      </c>
      <c r="AE167">
        <v>2.6</v>
      </c>
      <c r="AF167">
        <v>4.5999999999999996</v>
      </c>
      <c r="AG167">
        <v>8.1999999999999993</v>
      </c>
      <c r="AH167">
        <v>3.7</v>
      </c>
      <c r="AI167">
        <v>2.7</v>
      </c>
      <c r="AJ167">
        <v>5</v>
      </c>
      <c r="AK167">
        <v>3.1</v>
      </c>
      <c r="AL167">
        <v>4.0999999999999996</v>
      </c>
      <c r="AM167">
        <v>3.6</v>
      </c>
      <c r="AN167">
        <v>4</v>
      </c>
      <c r="AO167">
        <v>2.8</v>
      </c>
      <c r="AP167">
        <v>1.8</v>
      </c>
      <c r="AQ167">
        <v>4.8</v>
      </c>
      <c r="AR167">
        <v>9.8000000000000007</v>
      </c>
      <c r="AS167">
        <v>4.5999999999999996</v>
      </c>
      <c r="AT167">
        <v>3.8</v>
      </c>
      <c r="AU167">
        <v>4.0999999999999996</v>
      </c>
      <c r="AV167" s="205">
        <f t="shared" si="2"/>
        <v>5.42</v>
      </c>
    </row>
    <row r="168" spans="1:48" x14ac:dyDescent="0.25">
      <c r="A168" t="s">
        <v>169</v>
      </c>
      <c r="B168">
        <v>59.1</v>
      </c>
      <c r="C168">
        <v>75.400000000000006</v>
      </c>
      <c r="D168">
        <v>64.5</v>
      </c>
      <c r="E168">
        <v>111.1</v>
      </c>
      <c r="F168">
        <v>110.2</v>
      </c>
      <c r="G168">
        <v>163.4</v>
      </c>
      <c r="H168">
        <v>77.900000000000006</v>
      </c>
      <c r="I168">
        <v>85.8</v>
      </c>
      <c r="J168">
        <v>667</v>
      </c>
      <c r="K168">
        <v>3398.3</v>
      </c>
      <c r="L168">
        <v>7481.7</v>
      </c>
      <c r="M168">
        <v>409.5</v>
      </c>
      <c r="N168">
        <v>73.5</v>
      </c>
      <c r="O168">
        <v>48.6</v>
      </c>
      <c r="P168">
        <v>23.7</v>
      </c>
      <c r="Q168">
        <v>11.1</v>
      </c>
      <c r="R168">
        <v>11.5</v>
      </c>
      <c r="S168">
        <v>8.5</v>
      </c>
      <c r="T168">
        <v>7.3</v>
      </c>
      <c r="U168">
        <v>3.5</v>
      </c>
      <c r="V168">
        <v>3.8</v>
      </c>
      <c r="W168">
        <v>2</v>
      </c>
      <c r="X168">
        <v>0.2</v>
      </c>
      <c r="Y168">
        <v>2.2999999999999998</v>
      </c>
      <c r="Z168">
        <v>3.7</v>
      </c>
      <c r="AA168">
        <v>1.6</v>
      </c>
      <c r="AB168">
        <v>2</v>
      </c>
      <c r="AC168">
        <v>1.8</v>
      </c>
      <c r="AD168">
        <v>5.8</v>
      </c>
      <c r="AE168">
        <v>2.9</v>
      </c>
      <c r="AF168">
        <v>1.5</v>
      </c>
      <c r="AG168">
        <v>3.4</v>
      </c>
      <c r="AH168">
        <v>3.7</v>
      </c>
      <c r="AI168">
        <v>2.8</v>
      </c>
      <c r="AJ168">
        <v>3.2</v>
      </c>
      <c r="AK168">
        <v>3.5</v>
      </c>
      <c r="AL168">
        <v>3.6</v>
      </c>
      <c r="AM168">
        <v>2.8</v>
      </c>
      <c r="AN168">
        <v>1.3</v>
      </c>
      <c r="AO168">
        <v>2.1</v>
      </c>
      <c r="AP168">
        <v>1.8</v>
      </c>
      <c r="AQ168">
        <v>4</v>
      </c>
      <c r="AR168">
        <v>7.9</v>
      </c>
      <c r="AS168">
        <v>6.3</v>
      </c>
      <c r="AT168">
        <v>2.4</v>
      </c>
      <c r="AU168">
        <v>1.5</v>
      </c>
      <c r="AV168" s="205">
        <f t="shared" si="2"/>
        <v>4.42</v>
      </c>
    </row>
    <row r="169" spans="1:48" x14ac:dyDescent="0.25">
      <c r="A169" t="s">
        <v>170</v>
      </c>
      <c r="B169">
        <v>18.2</v>
      </c>
      <c r="C169">
        <v>13.1</v>
      </c>
      <c r="D169">
        <v>9</v>
      </c>
      <c r="E169">
        <v>5.3</v>
      </c>
      <c r="F169">
        <v>46.7</v>
      </c>
      <c r="G169">
        <v>23.2</v>
      </c>
      <c r="H169">
        <v>-0.3</v>
      </c>
      <c r="I169">
        <v>3</v>
      </c>
      <c r="J169">
        <v>12.2</v>
      </c>
      <c r="K169">
        <v>11.4</v>
      </c>
      <c r="L169">
        <v>13.2</v>
      </c>
      <c r="M169">
        <v>19.399999999999999</v>
      </c>
      <c r="N169">
        <v>8.6</v>
      </c>
      <c r="O169">
        <v>6.8</v>
      </c>
      <c r="P169">
        <v>12.5</v>
      </c>
      <c r="Q169">
        <v>6.9</v>
      </c>
      <c r="R169">
        <v>8.3000000000000007</v>
      </c>
      <c r="S169">
        <v>5.6</v>
      </c>
      <c r="T169">
        <v>9.4</v>
      </c>
      <c r="U169">
        <v>6.2</v>
      </c>
      <c r="V169">
        <v>6.5</v>
      </c>
      <c r="W169">
        <v>5.4</v>
      </c>
      <c r="X169">
        <v>2.8</v>
      </c>
      <c r="Y169">
        <v>2.2000000000000002</v>
      </c>
      <c r="Z169">
        <v>4.8</v>
      </c>
      <c r="AA169">
        <v>6.6</v>
      </c>
      <c r="AB169">
        <v>5.4</v>
      </c>
      <c r="AC169">
        <v>2.9</v>
      </c>
      <c r="AD169">
        <v>8.1999999999999993</v>
      </c>
      <c r="AE169">
        <v>4.2</v>
      </c>
      <c r="AF169">
        <v>3.7</v>
      </c>
      <c r="AG169">
        <v>4.7</v>
      </c>
      <c r="AH169">
        <v>3.2</v>
      </c>
      <c r="AI169">
        <v>2.6</v>
      </c>
      <c r="AJ169">
        <v>3.6</v>
      </c>
      <c r="AK169">
        <v>0.7</v>
      </c>
      <c r="AL169">
        <v>1.2</v>
      </c>
      <c r="AM169">
        <v>2.9</v>
      </c>
      <c r="AN169">
        <v>5.3</v>
      </c>
      <c r="AO169">
        <v>2.4</v>
      </c>
      <c r="AP169">
        <v>2.4</v>
      </c>
      <c r="AQ169">
        <v>3.9</v>
      </c>
      <c r="AR169">
        <v>5.8</v>
      </c>
      <c r="AS169">
        <v>6</v>
      </c>
      <c r="AT169">
        <v>3.2</v>
      </c>
      <c r="AU169">
        <v>1.7</v>
      </c>
      <c r="AV169" s="205">
        <f t="shared" si="2"/>
        <v>4.1199999999999992</v>
      </c>
    </row>
    <row r="170" spans="1:48" x14ac:dyDescent="0.25">
      <c r="A170" t="s">
        <v>785</v>
      </c>
      <c r="B170" t="s">
        <v>746</v>
      </c>
      <c r="C170" t="s">
        <v>746</v>
      </c>
      <c r="D170" t="s">
        <v>746</v>
      </c>
      <c r="E170" t="s">
        <v>746</v>
      </c>
      <c r="F170" t="s">
        <v>746</v>
      </c>
      <c r="G170" t="s">
        <v>746</v>
      </c>
      <c r="H170" t="s">
        <v>746</v>
      </c>
      <c r="I170" t="s">
        <v>746</v>
      </c>
      <c r="J170" t="s">
        <v>746</v>
      </c>
      <c r="K170" t="s">
        <v>746</v>
      </c>
      <c r="L170" t="s">
        <v>746</v>
      </c>
      <c r="M170" t="s">
        <v>746</v>
      </c>
      <c r="N170" t="s">
        <v>746</v>
      </c>
      <c r="O170" t="s">
        <v>746</v>
      </c>
      <c r="P170" t="s">
        <v>746</v>
      </c>
      <c r="Q170" t="s">
        <v>746</v>
      </c>
      <c r="R170" t="s">
        <v>746</v>
      </c>
      <c r="S170" t="s">
        <v>746</v>
      </c>
      <c r="T170" t="s">
        <v>746</v>
      </c>
      <c r="U170" t="s">
        <v>746</v>
      </c>
      <c r="V170" t="s">
        <v>746</v>
      </c>
      <c r="W170" t="s">
        <v>746</v>
      </c>
      <c r="X170" t="s">
        <v>746</v>
      </c>
      <c r="Y170" t="s">
        <v>746</v>
      </c>
      <c r="Z170" t="s">
        <v>746</v>
      </c>
      <c r="AA170" t="s">
        <v>746</v>
      </c>
      <c r="AB170" t="s">
        <v>746</v>
      </c>
      <c r="AC170" t="s">
        <v>746</v>
      </c>
      <c r="AD170" t="s">
        <v>746</v>
      </c>
      <c r="AE170" t="s">
        <v>746</v>
      </c>
      <c r="AF170" t="s">
        <v>746</v>
      </c>
      <c r="AG170" t="s">
        <v>746</v>
      </c>
      <c r="AH170" t="s">
        <v>746</v>
      </c>
      <c r="AI170" t="s">
        <v>746</v>
      </c>
      <c r="AJ170" t="s">
        <v>746</v>
      </c>
      <c r="AK170" t="s">
        <v>746</v>
      </c>
      <c r="AL170" t="s">
        <v>746</v>
      </c>
      <c r="AM170" t="s">
        <v>746</v>
      </c>
      <c r="AN170" t="s">
        <v>746</v>
      </c>
      <c r="AO170" t="s">
        <v>746</v>
      </c>
      <c r="AP170" t="s">
        <v>746</v>
      </c>
      <c r="AQ170" t="s">
        <v>746</v>
      </c>
      <c r="AR170" t="s">
        <v>746</v>
      </c>
      <c r="AS170" t="s">
        <v>746</v>
      </c>
      <c r="AT170" t="s">
        <v>746</v>
      </c>
      <c r="AU170" t="s">
        <v>746</v>
      </c>
      <c r="AV170" s="205" t="e">
        <f t="shared" si="2"/>
        <v>#DIV/0!</v>
      </c>
    </row>
    <row r="171" spans="1:48" x14ac:dyDescent="0.25">
      <c r="A171" t="s">
        <v>171</v>
      </c>
      <c r="B171">
        <v>9.4</v>
      </c>
      <c r="C171">
        <v>21.2</v>
      </c>
      <c r="D171">
        <v>100.8</v>
      </c>
      <c r="E171">
        <v>22.1</v>
      </c>
      <c r="F171">
        <v>75.599999999999994</v>
      </c>
      <c r="G171">
        <v>15.1</v>
      </c>
      <c r="H171">
        <v>17.8</v>
      </c>
      <c r="I171">
        <v>25.2</v>
      </c>
      <c r="J171">
        <v>60.2</v>
      </c>
      <c r="K171">
        <v>251.1</v>
      </c>
      <c r="L171">
        <v>585.79999999999995</v>
      </c>
      <c r="M171">
        <v>70.3</v>
      </c>
      <c r="N171">
        <v>43</v>
      </c>
      <c r="O171">
        <v>35.299999999999997</v>
      </c>
      <c r="P171">
        <v>32.200000000000003</v>
      </c>
      <c r="Q171">
        <v>27.9</v>
      </c>
      <c r="R171">
        <v>19.899999999999999</v>
      </c>
      <c r="S171">
        <v>14.9</v>
      </c>
      <c r="T171">
        <v>11.8</v>
      </c>
      <c r="U171">
        <v>7.3</v>
      </c>
      <c r="V171">
        <v>10.1</v>
      </c>
      <c r="W171">
        <v>5.5</v>
      </c>
      <c r="X171">
        <v>1.9</v>
      </c>
      <c r="Y171">
        <v>0.8</v>
      </c>
      <c r="Z171">
        <v>3.5</v>
      </c>
      <c r="AA171">
        <v>2.1</v>
      </c>
      <c r="AB171">
        <v>1</v>
      </c>
      <c r="AC171">
        <v>2.5</v>
      </c>
      <c r="AD171">
        <v>4.2</v>
      </c>
      <c r="AE171">
        <v>3.5</v>
      </c>
      <c r="AF171">
        <v>2.6</v>
      </c>
      <c r="AG171">
        <v>4.3</v>
      </c>
      <c r="AH171">
        <v>3.7</v>
      </c>
      <c r="AI171">
        <v>0.9</v>
      </c>
      <c r="AJ171">
        <v>0</v>
      </c>
      <c r="AK171">
        <v>-0.9</v>
      </c>
      <c r="AL171">
        <v>-0.6</v>
      </c>
      <c r="AM171">
        <v>2</v>
      </c>
      <c r="AN171">
        <v>1.6</v>
      </c>
      <c r="AO171">
        <v>2.2999999999999998</v>
      </c>
      <c r="AP171">
        <v>3.4</v>
      </c>
      <c r="AQ171">
        <v>5.0999999999999996</v>
      </c>
      <c r="AR171">
        <v>14.4</v>
      </c>
      <c r="AS171">
        <v>11.4</v>
      </c>
      <c r="AT171">
        <v>3.6</v>
      </c>
      <c r="AU171">
        <v>3.6</v>
      </c>
      <c r="AV171" s="205">
        <f t="shared" si="2"/>
        <v>7.62</v>
      </c>
    </row>
    <row r="172" spans="1:48" x14ac:dyDescent="0.25">
      <c r="A172" t="s">
        <v>172</v>
      </c>
      <c r="B172">
        <v>5.9</v>
      </c>
      <c r="C172">
        <v>21.2</v>
      </c>
      <c r="D172">
        <v>22.7</v>
      </c>
      <c r="E172">
        <v>25.1</v>
      </c>
      <c r="F172">
        <v>29.3</v>
      </c>
      <c r="G172">
        <v>19.3</v>
      </c>
      <c r="H172">
        <v>11.7</v>
      </c>
      <c r="I172">
        <v>9.4</v>
      </c>
      <c r="J172">
        <v>9.6</v>
      </c>
      <c r="K172">
        <v>12.6</v>
      </c>
      <c r="L172">
        <v>13.4</v>
      </c>
      <c r="M172">
        <v>11.4</v>
      </c>
      <c r="N172">
        <v>8.9</v>
      </c>
      <c r="O172">
        <v>5.9</v>
      </c>
      <c r="P172">
        <v>5</v>
      </c>
      <c r="Q172">
        <v>4</v>
      </c>
      <c r="R172">
        <v>2.9</v>
      </c>
      <c r="S172">
        <v>1.9</v>
      </c>
      <c r="T172">
        <v>2.2000000000000002</v>
      </c>
      <c r="U172">
        <v>2.2000000000000002</v>
      </c>
      <c r="V172">
        <v>2.8</v>
      </c>
      <c r="W172">
        <v>4.4000000000000004</v>
      </c>
      <c r="X172">
        <v>3.7</v>
      </c>
      <c r="Y172">
        <v>3.2</v>
      </c>
      <c r="Z172">
        <v>2.5</v>
      </c>
      <c r="AA172">
        <v>2.1</v>
      </c>
      <c r="AB172">
        <v>3</v>
      </c>
      <c r="AC172">
        <v>2.4</v>
      </c>
      <c r="AD172">
        <v>2.6</v>
      </c>
      <c r="AE172">
        <v>-0.9</v>
      </c>
      <c r="AF172">
        <v>1.4</v>
      </c>
      <c r="AG172">
        <v>3.6</v>
      </c>
      <c r="AH172">
        <v>2.8</v>
      </c>
      <c r="AI172">
        <v>0.4</v>
      </c>
      <c r="AJ172">
        <v>-0.2</v>
      </c>
      <c r="AK172">
        <v>0.5</v>
      </c>
      <c r="AL172">
        <v>0.6</v>
      </c>
      <c r="AM172">
        <v>1.6</v>
      </c>
      <c r="AN172">
        <v>1.2</v>
      </c>
      <c r="AO172">
        <v>0.3</v>
      </c>
      <c r="AP172">
        <v>-0.1</v>
      </c>
      <c r="AQ172">
        <v>0.9</v>
      </c>
      <c r="AR172">
        <v>8.1</v>
      </c>
      <c r="AS172">
        <v>5.3</v>
      </c>
      <c r="AT172">
        <v>2.7</v>
      </c>
      <c r="AU172">
        <v>2.2000000000000002</v>
      </c>
      <c r="AV172" s="205">
        <f t="shared" si="2"/>
        <v>3.84</v>
      </c>
    </row>
    <row r="173" spans="1:48" x14ac:dyDescent="0.25">
      <c r="A173" t="s">
        <v>786</v>
      </c>
      <c r="B173" t="s">
        <v>746</v>
      </c>
      <c r="C173">
        <v>9.5</v>
      </c>
      <c r="D173">
        <v>3.2</v>
      </c>
      <c r="E173">
        <v>0.3</v>
      </c>
      <c r="F173">
        <v>1.7</v>
      </c>
      <c r="G173">
        <v>0.2</v>
      </c>
      <c r="H173">
        <v>-0.2</v>
      </c>
      <c r="I173">
        <v>2.1</v>
      </c>
      <c r="J173">
        <v>2.6</v>
      </c>
      <c r="K173">
        <v>2.8</v>
      </c>
      <c r="L173">
        <v>4.4000000000000004</v>
      </c>
      <c r="M173">
        <v>2.2000000000000002</v>
      </c>
      <c r="N173">
        <v>1.5</v>
      </c>
      <c r="O173">
        <v>1</v>
      </c>
      <c r="P173">
        <v>1.4</v>
      </c>
      <c r="Q173">
        <v>1.9</v>
      </c>
      <c r="R173">
        <v>3.3</v>
      </c>
      <c r="S173">
        <v>1.9</v>
      </c>
      <c r="T173">
        <v>0.1</v>
      </c>
      <c r="U173">
        <v>0.7</v>
      </c>
      <c r="V173">
        <v>3.1</v>
      </c>
      <c r="W173">
        <v>0.6</v>
      </c>
      <c r="X173">
        <v>0.2</v>
      </c>
      <c r="Y173">
        <v>1.4</v>
      </c>
      <c r="Z173">
        <v>2.5</v>
      </c>
      <c r="AA173">
        <v>5.6</v>
      </c>
      <c r="AB173">
        <v>5.2</v>
      </c>
      <c r="AC173">
        <v>4.2</v>
      </c>
      <c r="AD173">
        <v>5.2</v>
      </c>
      <c r="AE173">
        <v>0.3</v>
      </c>
      <c r="AF173">
        <v>2.5</v>
      </c>
      <c r="AG173">
        <v>2.9</v>
      </c>
      <c r="AH173">
        <v>1.3</v>
      </c>
      <c r="AI173">
        <v>1.1000000000000001</v>
      </c>
      <c r="AJ173">
        <v>0.6</v>
      </c>
      <c r="AK173">
        <v>-0.8</v>
      </c>
      <c r="AL173">
        <v>-0.3</v>
      </c>
      <c r="AM173">
        <v>1.8</v>
      </c>
      <c r="AN173">
        <v>1.3</v>
      </c>
      <c r="AO173">
        <v>0.1</v>
      </c>
      <c r="AP173">
        <v>-0.5</v>
      </c>
      <c r="AQ173">
        <v>2.4</v>
      </c>
      <c r="AR173">
        <v>6</v>
      </c>
      <c r="AS173">
        <v>3.5</v>
      </c>
      <c r="AT173">
        <v>2</v>
      </c>
      <c r="AU173">
        <v>1.4</v>
      </c>
      <c r="AV173" s="205">
        <f t="shared" si="2"/>
        <v>3.06</v>
      </c>
    </row>
    <row r="174" spans="1:48" x14ac:dyDescent="0.25">
      <c r="A174" t="s">
        <v>173</v>
      </c>
      <c r="B174">
        <v>6.8</v>
      </c>
      <c r="C174">
        <v>8.5</v>
      </c>
      <c r="D174">
        <v>5.7</v>
      </c>
      <c r="E174">
        <v>2.7</v>
      </c>
      <c r="F174">
        <v>1.1000000000000001</v>
      </c>
      <c r="G174">
        <v>1.1000000000000001</v>
      </c>
      <c r="H174">
        <v>1.9</v>
      </c>
      <c r="I174">
        <v>4.5</v>
      </c>
      <c r="J174">
        <v>4.8</v>
      </c>
      <c r="K174">
        <v>3.3</v>
      </c>
      <c r="L174">
        <v>3</v>
      </c>
      <c r="M174">
        <v>4.5</v>
      </c>
      <c r="N174">
        <v>2.9</v>
      </c>
      <c r="O174">
        <v>-0.7</v>
      </c>
      <c r="P174">
        <v>1.4</v>
      </c>
      <c r="Q174">
        <v>3</v>
      </c>
      <c r="R174">
        <v>7</v>
      </c>
      <c r="S174">
        <v>2.7</v>
      </c>
      <c r="T174">
        <v>2.9</v>
      </c>
      <c r="U174">
        <v>2.2000000000000002</v>
      </c>
      <c r="V174">
        <v>1.6</v>
      </c>
      <c r="W174">
        <v>1.7</v>
      </c>
      <c r="X174">
        <v>0.2</v>
      </c>
      <c r="Y174">
        <v>2.2999999999999998</v>
      </c>
      <c r="Z174">
        <v>6.8</v>
      </c>
      <c r="AA174">
        <v>9</v>
      </c>
      <c r="AB174">
        <v>11.7</v>
      </c>
      <c r="AC174">
        <v>13.7</v>
      </c>
      <c r="AD174">
        <v>15.1</v>
      </c>
      <c r="AE174">
        <v>-4.9000000000000004</v>
      </c>
      <c r="AF174">
        <v>-2.4</v>
      </c>
      <c r="AG174">
        <v>2</v>
      </c>
      <c r="AH174">
        <v>1.8</v>
      </c>
      <c r="AI174">
        <v>3.1</v>
      </c>
      <c r="AJ174">
        <v>4.2</v>
      </c>
      <c r="AK174">
        <v>0.9</v>
      </c>
      <c r="AL174">
        <v>2.7</v>
      </c>
      <c r="AM174">
        <v>0.6</v>
      </c>
      <c r="AN174">
        <v>0.1</v>
      </c>
      <c r="AO174">
        <v>-0.9</v>
      </c>
      <c r="AP174">
        <v>-2.5</v>
      </c>
      <c r="AQ174">
        <v>2.2999999999999998</v>
      </c>
      <c r="AR174">
        <v>5</v>
      </c>
      <c r="AS174">
        <v>3.1</v>
      </c>
      <c r="AT174">
        <v>1.2</v>
      </c>
      <c r="AU174">
        <v>0.6</v>
      </c>
      <c r="AV174" s="205">
        <f t="shared" si="2"/>
        <v>2.44</v>
      </c>
    </row>
    <row r="175" spans="1:48" x14ac:dyDescent="0.25">
      <c r="A175" t="s">
        <v>787</v>
      </c>
      <c r="B175" t="s">
        <v>746</v>
      </c>
      <c r="C175" t="s">
        <v>746</v>
      </c>
      <c r="D175" t="s">
        <v>746</v>
      </c>
      <c r="E175" t="s">
        <v>746</v>
      </c>
      <c r="F175" t="s">
        <v>746</v>
      </c>
      <c r="G175" t="s">
        <v>746</v>
      </c>
      <c r="H175" t="s">
        <v>746</v>
      </c>
      <c r="I175" t="s">
        <v>746</v>
      </c>
      <c r="J175" t="s">
        <v>746</v>
      </c>
      <c r="K175" t="s">
        <v>746</v>
      </c>
      <c r="L175" t="s">
        <v>746</v>
      </c>
      <c r="M175" t="s">
        <v>746</v>
      </c>
      <c r="N175" t="s">
        <v>746</v>
      </c>
      <c r="O175" t="s">
        <v>746</v>
      </c>
      <c r="P175" t="s">
        <v>746</v>
      </c>
      <c r="Q175" t="s">
        <v>746</v>
      </c>
      <c r="R175" t="s">
        <v>746</v>
      </c>
      <c r="S175" t="s">
        <v>746</v>
      </c>
      <c r="T175" t="s">
        <v>746</v>
      </c>
      <c r="U175" t="s">
        <v>746</v>
      </c>
      <c r="V175" t="s">
        <v>746</v>
      </c>
      <c r="W175" t="s">
        <v>746</v>
      </c>
      <c r="X175" t="s">
        <v>746</v>
      </c>
      <c r="Y175" t="s">
        <v>746</v>
      </c>
      <c r="Z175" t="s">
        <v>746</v>
      </c>
      <c r="AA175" t="s">
        <v>746</v>
      </c>
      <c r="AB175" t="s">
        <v>746</v>
      </c>
      <c r="AC175" t="s">
        <v>746</v>
      </c>
      <c r="AD175" t="s">
        <v>746</v>
      </c>
      <c r="AE175" t="s">
        <v>746</v>
      </c>
      <c r="AF175" t="s">
        <v>746</v>
      </c>
      <c r="AG175" t="s">
        <v>746</v>
      </c>
      <c r="AH175" t="s">
        <v>746</v>
      </c>
      <c r="AI175" t="s">
        <v>746</v>
      </c>
      <c r="AJ175" t="s">
        <v>746</v>
      </c>
      <c r="AK175" t="s">
        <v>746</v>
      </c>
      <c r="AL175" t="s">
        <v>746</v>
      </c>
      <c r="AM175" t="s">
        <v>746</v>
      </c>
      <c r="AN175" t="s">
        <v>746</v>
      </c>
      <c r="AO175" t="s">
        <v>746</v>
      </c>
      <c r="AP175" t="s">
        <v>746</v>
      </c>
      <c r="AQ175" t="s">
        <v>746</v>
      </c>
      <c r="AR175" t="s">
        <v>746</v>
      </c>
      <c r="AS175" t="s">
        <v>746</v>
      </c>
      <c r="AT175" t="s">
        <v>746</v>
      </c>
      <c r="AU175" t="s">
        <v>746</v>
      </c>
      <c r="AV175" s="205" t="e">
        <f t="shared" si="2"/>
        <v>#DIV/0!</v>
      </c>
    </row>
    <row r="176" spans="1:48" x14ac:dyDescent="0.25">
      <c r="A176" t="s">
        <v>174</v>
      </c>
      <c r="B176">
        <v>1.5</v>
      </c>
      <c r="C176">
        <v>2.2000000000000002</v>
      </c>
      <c r="D176">
        <v>16.899999999999999</v>
      </c>
      <c r="E176">
        <v>4.7</v>
      </c>
      <c r="F176">
        <v>-0.3</v>
      </c>
      <c r="G176">
        <v>-0.2</v>
      </c>
      <c r="H176">
        <v>0.7</v>
      </c>
      <c r="I176">
        <v>1.1000000000000001</v>
      </c>
      <c r="J176">
        <v>2.6</v>
      </c>
      <c r="K176">
        <v>0.9</v>
      </c>
      <c r="L176">
        <v>127.9</v>
      </c>
      <c r="M176">
        <v>161.1</v>
      </c>
      <c r="N176">
        <v>210.4</v>
      </c>
      <c r="O176">
        <v>256.10000000000002</v>
      </c>
      <c r="P176">
        <v>136.69999999999999</v>
      </c>
      <c r="Q176">
        <v>32.299999999999997</v>
      </c>
      <c r="R176">
        <v>38.799999999999997</v>
      </c>
      <c r="S176">
        <v>154.80000000000001</v>
      </c>
      <c r="T176">
        <v>59.1</v>
      </c>
      <c r="U176">
        <v>45.8</v>
      </c>
      <c r="V176">
        <v>45.7</v>
      </c>
      <c r="W176">
        <v>34.5</v>
      </c>
      <c r="X176">
        <v>22.5</v>
      </c>
      <c r="Y176">
        <v>15.4</v>
      </c>
      <c r="Z176">
        <v>11.9</v>
      </c>
      <c r="AA176">
        <v>9</v>
      </c>
      <c r="AB176">
        <v>6.6</v>
      </c>
      <c r="AC176">
        <v>4.8</v>
      </c>
      <c r="AD176">
        <v>7.8</v>
      </c>
      <c r="AE176">
        <v>5.6</v>
      </c>
      <c r="AF176">
        <v>6.1</v>
      </c>
      <c r="AG176">
        <v>5.8</v>
      </c>
      <c r="AH176">
        <v>3.3</v>
      </c>
      <c r="AI176">
        <v>4</v>
      </c>
      <c r="AJ176">
        <v>1.1000000000000001</v>
      </c>
      <c r="AK176">
        <v>-0.6</v>
      </c>
      <c r="AL176">
        <v>-1.6</v>
      </c>
      <c r="AM176">
        <v>1.3</v>
      </c>
      <c r="AN176">
        <v>4.5999999999999996</v>
      </c>
      <c r="AO176">
        <v>3.8</v>
      </c>
      <c r="AP176">
        <v>2.6</v>
      </c>
      <c r="AQ176">
        <v>5</v>
      </c>
      <c r="AR176">
        <v>13.8</v>
      </c>
      <c r="AS176">
        <v>10.4</v>
      </c>
      <c r="AT176">
        <v>5.6</v>
      </c>
      <c r="AU176">
        <v>7.3</v>
      </c>
      <c r="AV176" s="205">
        <f t="shared" si="2"/>
        <v>8.42</v>
      </c>
    </row>
    <row r="177" spans="1:48" x14ac:dyDescent="0.25">
      <c r="A177" t="s">
        <v>175</v>
      </c>
      <c r="B177" t="s">
        <v>746</v>
      </c>
      <c r="C177" t="s">
        <v>746</v>
      </c>
      <c r="D177" t="s">
        <v>746</v>
      </c>
      <c r="E177" t="s">
        <v>746</v>
      </c>
      <c r="F177" t="s">
        <v>746</v>
      </c>
      <c r="G177" t="s">
        <v>746</v>
      </c>
      <c r="H177" t="s">
        <v>746</v>
      </c>
      <c r="I177" t="s">
        <v>746</v>
      </c>
      <c r="J177" t="s">
        <v>746</v>
      </c>
      <c r="K177" t="s">
        <v>746</v>
      </c>
      <c r="L177">
        <v>0</v>
      </c>
      <c r="M177">
        <v>135.6</v>
      </c>
      <c r="N177">
        <v>1569.1</v>
      </c>
      <c r="O177">
        <v>874.3</v>
      </c>
      <c r="P177">
        <v>307.5</v>
      </c>
      <c r="Q177">
        <v>197.3</v>
      </c>
      <c r="R177">
        <v>47.8</v>
      </c>
      <c r="S177">
        <v>14.8</v>
      </c>
      <c r="T177">
        <v>27.7</v>
      </c>
      <c r="U177">
        <v>85.7</v>
      </c>
      <c r="V177">
        <v>20.8</v>
      </c>
      <c r="W177">
        <v>21.5</v>
      </c>
      <c r="X177">
        <v>15.8</v>
      </c>
      <c r="Y177">
        <v>13.7</v>
      </c>
      <c r="Z177">
        <v>10.9</v>
      </c>
      <c r="AA177">
        <v>12.7</v>
      </c>
      <c r="AB177">
        <v>9.6999999999999993</v>
      </c>
      <c r="AC177">
        <v>9</v>
      </c>
      <c r="AD177">
        <v>14.1</v>
      </c>
      <c r="AE177">
        <v>11.6</v>
      </c>
      <c r="AF177">
        <v>6.8</v>
      </c>
      <c r="AG177">
        <v>8.4</v>
      </c>
      <c r="AH177">
        <v>5.0999999999999996</v>
      </c>
      <c r="AI177">
        <v>6.8</v>
      </c>
      <c r="AJ177">
        <v>7.8</v>
      </c>
      <c r="AK177">
        <v>15.5</v>
      </c>
      <c r="AL177">
        <v>7</v>
      </c>
      <c r="AM177">
        <v>3.7</v>
      </c>
      <c r="AN177">
        <v>2.9</v>
      </c>
      <c r="AO177">
        <v>4.5</v>
      </c>
      <c r="AP177">
        <v>3.4</v>
      </c>
      <c r="AQ177">
        <v>6.7</v>
      </c>
      <c r="AR177">
        <v>13.7</v>
      </c>
      <c r="AS177">
        <v>5.9</v>
      </c>
      <c r="AT177">
        <v>8.4</v>
      </c>
      <c r="AU177">
        <v>8.6999999999999993</v>
      </c>
      <c r="AV177" s="205">
        <f t="shared" si="2"/>
        <v>8.6799999999999979</v>
      </c>
    </row>
    <row r="178" spans="1:48" x14ac:dyDescent="0.25">
      <c r="A178" t="s">
        <v>176</v>
      </c>
      <c r="B178">
        <v>7.2</v>
      </c>
      <c r="C178">
        <v>6.4</v>
      </c>
      <c r="D178">
        <v>12.6</v>
      </c>
      <c r="E178">
        <v>6.6</v>
      </c>
      <c r="F178">
        <v>5.4</v>
      </c>
      <c r="G178">
        <v>1.7</v>
      </c>
      <c r="H178">
        <v>-1.1000000000000001</v>
      </c>
      <c r="I178">
        <v>4.0999999999999996</v>
      </c>
      <c r="J178">
        <v>2.9</v>
      </c>
      <c r="K178">
        <v>1</v>
      </c>
      <c r="L178">
        <v>4.2</v>
      </c>
      <c r="M178">
        <v>19.600000000000001</v>
      </c>
      <c r="N178">
        <v>9.5</v>
      </c>
      <c r="O178">
        <v>12.5</v>
      </c>
      <c r="P178">
        <v>21</v>
      </c>
      <c r="Q178">
        <v>56</v>
      </c>
      <c r="R178">
        <v>13.2</v>
      </c>
      <c r="S178">
        <v>11.8</v>
      </c>
      <c r="T178">
        <v>8.8000000000000007</v>
      </c>
      <c r="U178">
        <v>-2</v>
      </c>
      <c r="V178">
        <v>3.9</v>
      </c>
      <c r="W178">
        <v>3.4</v>
      </c>
      <c r="X178">
        <v>2</v>
      </c>
      <c r="Y178">
        <v>7.4</v>
      </c>
      <c r="Z178">
        <v>12</v>
      </c>
      <c r="AA178">
        <v>9.1</v>
      </c>
      <c r="AB178">
        <v>8.8000000000000007</v>
      </c>
      <c r="AC178">
        <v>9.1</v>
      </c>
      <c r="AD178">
        <v>15.4</v>
      </c>
      <c r="AE178">
        <v>10.3</v>
      </c>
      <c r="AF178">
        <v>2.2999999999999998</v>
      </c>
      <c r="AG178">
        <v>5.7</v>
      </c>
      <c r="AH178">
        <v>6.3</v>
      </c>
      <c r="AI178">
        <v>4.2</v>
      </c>
      <c r="AJ178">
        <v>1.8</v>
      </c>
      <c r="AK178">
        <v>2.5</v>
      </c>
      <c r="AL178">
        <v>5.7</v>
      </c>
      <c r="AM178">
        <v>4.8</v>
      </c>
      <c r="AN178">
        <v>1.4</v>
      </c>
      <c r="AO178">
        <v>2.4</v>
      </c>
      <c r="AP178">
        <v>7.7</v>
      </c>
      <c r="AQ178">
        <v>0.8</v>
      </c>
      <c r="AR178">
        <v>13.9</v>
      </c>
      <c r="AS178">
        <v>14</v>
      </c>
      <c r="AT178">
        <v>4.8</v>
      </c>
      <c r="AU178">
        <v>7</v>
      </c>
      <c r="AV178" s="205">
        <f t="shared" si="2"/>
        <v>8.1</v>
      </c>
    </row>
    <row r="179" spans="1:48" x14ac:dyDescent="0.25">
      <c r="A179" t="s">
        <v>788</v>
      </c>
      <c r="B179" t="s">
        <v>746</v>
      </c>
      <c r="C179" t="s">
        <v>746</v>
      </c>
      <c r="D179" t="s">
        <v>746</v>
      </c>
      <c r="E179" t="s">
        <v>746</v>
      </c>
      <c r="F179" t="s">
        <v>746</v>
      </c>
      <c r="G179" t="s">
        <v>746</v>
      </c>
      <c r="H179" t="s">
        <v>746</v>
      </c>
      <c r="I179" t="s">
        <v>746</v>
      </c>
      <c r="J179" t="s">
        <v>746</v>
      </c>
      <c r="K179" t="s">
        <v>746</v>
      </c>
      <c r="L179" t="s">
        <v>746</v>
      </c>
      <c r="M179" t="s">
        <v>746</v>
      </c>
      <c r="N179" t="s">
        <v>746</v>
      </c>
      <c r="O179" t="s">
        <v>746</v>
      </c>
      <c r="P179" t="s">
        <v>746</v>
      </c>
      <c r="Q179" t="s">
        <v>746</v>
      </c>
      <c r="R179" t="s">
        <v>746</v>
      </c>
      <c r="S179" t="s">
        <v>746</v>
      </c>
      <c r="T179" t="s">
        <v>746</v>
      </c>
      <c r="U179" t="s">
        <v>746</v>
      </c>
      <c r="V179" t="s">
        <v>746</v>
      </c>
      <c r="W179" t="s">
        <v>746</v>
      </c>
      <c r="X179" t="s">
        <v>746</v>
      </c>
      <c r="Y179" t="s">
        <v>746</v>
      </c>
      <c r="Z179" t="s">
        <v>746</v>
      </c>
      <c r="AA179" t="s">
        <v>746</v>
      </c>
      <c r="AB179" t="s">
        <v>746</v>
      </c>
      <c r="AC179" t="s">
        <v>746</v>
      </c>
      <c r="AD179" t="s">
        <v>746</v>
      </c>
      <c r="AE179" t="s">
        <v>746</v>
      </c>
      <c r="AF179" t="s">
        <v>746</v>
      </c>
      <c r="AG179" t="s">
        <v>746</v>
      </c>
      <c r="AH179" t="s">
        <v>746</v>
      </c>
      <c r="AI179" t="s">
        <v>746</v>
      </c>
      <c r="AJ179" t="s">
        <v>746</v>
      </c>
      <c r="AK179" t="s">
        <v>746</v>
      </c>
      <c r="AL179" t="s">
        <v>746</v>
      </c>
      <c r="AM179" t="s">
        <v>746</v>
      </c>
      <c r="AN179" t="s">
        <v>746</v>
      </c>
      <c r="AO179" t="s">
        <v>746</v>
      </c>
      <c r="AP179" t="s">
        <v>746</v>
      </c>
      <c r="AQ179" t="s">
        <v>746</v>
      </c>
      <c r="AR179" t="s">
        <v>746</v>
      </c>
      <c r="AS179" t="s">
        <v>746</v>
      </c>
      <c r="AT179" t="s">
        <v>746</v>
      </c>
      <c r="AU179" t="s">
        <v>746</v>
      </c>
      <c r="AV179" s="205" t="e">
        <f t="shared" si="2"/>
        <v>#DIV/0!</v>
      </c>
    </row>
    <row r="180" spans="1:48" x14ac:dyDescent="0.25">
      <c r="A180" t="s">
        <v>789</v>
      </c>
      <c r="B180">
        <v>19.3</v>
      </c>
      <c r="C180">
        <v>8.6</v>
      </c>
      <c r="D180">
        <v>6</v>
      </c>
      <c r="E180">
        <v>2.2000000000000002</v>
      </c>
      <c r="F180">
        <v>2.7</v>
      </c>
      <c r="G180">
        <v>2.7</v>
      </c>
      <c r="H180">
        <v>0</v>
      </c>
      <c r="I180">
        <v>0.9</v>
      </c>
      <c r="J180">
        <v>0.2</v>
      </c>
      <c r="K180">
        <v>5.0999999999999996</v>
      </c>
      <c r="L180">
        <v>4.2</v>
      </c>
      <c r="M180">
        <v>4.2</v>
      </c>
      <c r="N180">
        <v>2.8</v>
      </c>
      <c r="O180">
        <v>1.8</v>
      </c>
      <c r="P180">
        <v>1.4</v>
      </c>
      <c r="Q180">
        <v>3</v>
      </c>
      <c r="R180">
        <v>2</v>
      </c>
      <c r="S180">
        <v>8.6999999999999993</v>
      </c>
      <c r="T180">
        <v>3.7</v>
      </c>
      <c r="U180">
        <v>3.4</v>
      </c>
      <c r="V180">
        <v>2.1</v>
      </c>
      <c r="W180">
        <v>2.1</v>
      </c>
      <c r="X180">
        <v>2.1</v>
      </c>
      <c r="Y180">
        <v>2.2999999999999998</v>
      </c>
      <c r="Z180">
        <v>2.2000000000000002</v>
      </c>
      <c r="AA180">
        <v>3.4</v>
      </c>
      <c r="AB180">
        <v>8.5</v>
      </c>
      <c r="AC180">
        <v>4.5</v>
      </c>
      <c r="AD180">
        <v>5.3</v>
      </c>
      <c r="AE180">
        <v>2.1</v>
      </c>
      <c r="AF180">
        <v>0.9</v>
      </c>
      <c r="AG180">
        <v>5.8</v>
      </c>
      <c r="AH180">
        <v>0.8</v>
      </c>
      <c r="AI180">
        <v>1.1000000000000001</v>
      </c>
      <c r="AJ180">
        <v>0.2</v>
      </c>
      <c r="AK180">
        <v>-2.2999999999999998</v>
      </c>
      <c r="AL180">
        <v>-0.7</v>
      </c>
      <c r="AM180">
        <v>0.7</v>
      </c>
      <c r="AN180">
        <v>-1</v>
      </c>
      <c r="AO180">
        <v>-0.3</v>
      </c>
      <c r="AP180">
        <v>-1.2</v>
      </c>
      <c r="AQ180">
        <v>1.2</v>
      </c>
      <c r="AR180">
        <v>2.7</v>
      </c>
      <c r="AS180">
        <v>3.6</v>
      </c>
      <c r="AT180">
        <v>1.1000000000000001</v>
      </c>
      <c r="AU180">
        <v>1.3</v>
      </c>
      <c r="AV180" s="205">
        <f t="shared" si="2"/>
        <v>1.98</v>
      </c>
    </row>
    <row r="181" spans="1:48" x14ac:dyDescent="0.25">
      <c r="A181" t="s">
        <v>790</v>
      </c>
      <c r="B181">
        <v>19.399999999999999</v>
      </c>
      <c r="C181">
        <v>15.1</v>
      </c>
      <c r="D181">
        <v>4.5999999999999996</v>
      </c>
      <c r="E181">
        <v>1.5</v>
      </c>
      <c r="F181">
        <v>2</v>
      </c>
      <c r="G181">
        <v>0.5</v>
      </c>
      <c r="H181">
        <v>2.2000000000000002</v>
      </c>
      <c r="I181">
        <v>7</v>
      </c>
      <c r="J181">
        <v>0.8</v>
      </c>
      <c r="K181">
        <v>4.4000000000000004</v>
      </c>
      <c r="L181">
        <v>4.3</v>
      </c>
      <c r="M181">
        <v>5.5</v>
      </c>
      <c r="N181">
        <v>5.7</v>
      </c>
      <c r="O181">
        <v>0.8</v>
      </c>
      <c r="P181">
        <v>2.7</v>
      </c>
      <c r="Q181">
        <v>5.9</v>
      </c>
      <c r="R181">
        <v>0.9</v>
      </c>
      <c r="S181">
        <v>0</v>
      </c>
      <c r="T181">
        <v>3.2</v>
      </c>
      <c r="U181">
        <v>2.4</v>
      </c>
      <c r="V181">
        <v>4.8</v>
      </c>
      <c r="W181">
        <v>5.3</v>
      </c>
      <c r="X181">
        <v>-0.3</v>
      </c>
      <c r="Y181">
        <v>1</v>
      </c>
      <c r="Z181">
        <v>1.5</v>
      </c>
      <c r="AA181">
        <v>3.9</v>
      </c>
      <c r="AB181">
        <v>3.6</v>
      </c>
      <c r="AC181">
        <v>2.8</v>
      </c>
      <c r="AD181">
        <v>5.5</v>
      </c>
      <c r="AE181">
        <v>-0.2</v>
      </c>
      <c r="AF181">
        <v>3.3</v>
      </c>
      <c r="AG181">
        <v>2.8</v>
      </c>
      <c r="AH181">
        <v>4.2</v>
      </c>
      <c r="AI181">
        <v>1.5</v>
      </c>
      <c r="AJ181">
        <v>3.5</v>
      </c>
      <c r="AK181">
        <v>-1</v>
      </c>
      <c r="AL181">
        <v>-3.1</v>
      </c>
      <c r="AM181">
        <v>0.1</v>
      </c>
      <c r="AN181">
        <v>1.9</v>
      </c>
      <c r="AO181">
        <v>0.5</v>
      </c>
      <c r="AP181">
        <v>-1.8</v>
      </c>
      <c r="AQ181">
        <v>2.4</v>
      </c>
      <c r="AR181">
        <v>9.6999999999999993</v>
      </c>
      <c r="AS181">
        <v>3.8</v>
      </c>
      <c r="AT181">
        <v>-0.7</v>
      </c>
      <c r="AU181">
        <v>2</v>
      </c>
      <c r="AV181" s="205">
        <f t="shared" si="2"/>
        <v>3.44</v>
      </c>
    </row>
    <row r="182" spans="1:48" x14ac:dyDescent="0.25">
      <c r="A182" t="s">
        <v>791</v>
      </c>
      <c r="B182" t="s">
        <v>746</v>
      </c>
      <c r="C182" t="s">
        <v>746</v>
      </c>
      <c r="D182" t="s">
        <v>746</v>
      </c>
      <c r="E182" t="s">
        <v>746</v>
      </c>
      <c r="F182" t="s">
        <v>746</v>
      </c>
      <c r="G182" t="s">
        <v>746</v>
      </c>
      <c r="H182" t="s">
        <v>746</v>
      </c>
      <c r="I182" t="s">
        <v>746</v>
      </c>
      <c r="J182" t="s">
        <v>746</v>
      </c>
      <c r="K182" t="s">
        <v>746</v>
      </c>
      <c r="L182" t="s">
        <v>746</v>
      </c>
      <c r="M182" t="s">
        <v>746</v>
      </c>
      <c r="N182" t="s">
        <v>746</v>
      </c>
      <c r="O182" t="s">
        <v>746</v>
      </c>
      <c r="P182" t="s">
        <v>746</v>
      </c>
      <c r="Q182" t="s">
        <v>746</v>
      </c>
      <c r="R182" t="s">
        <v>746</v>
      </c>
      <c r="S182" t="s">
        <v>746</v>
      </c>
      <c r="T182" t="s">
        <v>746</v>
      </c>
      <c r="U182" t="s">
        <v>746</v>
      </c>
      <c r="V182" t="s">
        <v>746</v>
      </c>
      <c r="W182" t="s">
        <v>746</v>
      </c>
      <c r="X182" t="s">
        <v>746</v>
      </c>
      <c r="Y182" t="s">
        <v>746</v>
      </c>
      <c r="Z182" t="s">
        <v>746</v>
      </c>
      <c r="AA182" t="s">
        <v>746</v>
      </c>
      <c r="AB182" t="s">
        <v>746</v>
      </c>
      <c r="AC182" t="s">
        <v>746</v>
      </c>
      <c r="AD182" t="s">
        <v>746</v>
      </c>
      <c r="AE182" t="s">
        <v>746</v>
      </c>
      <c r="AF182" t="s">
        <v>746</v>
      </c>
      <c r="AG182" t="s">
        <v>746</v>
      </c>
      <c r="AH182" t="s">
        <v>746</v>
      </c>
      <c r="AI182" t="s">
        <v>746</v>
      </c>
      <c r="AJ182" t="s">
        <v>746</v>
      </c>
      <c r="AK182" t="s">
        <v>746</v>
      </c>
      <c r="AL182" t="s">
        <v>746</v>
      </c>
      <c r="AM182" t="s">
        <v>746</v>
      </c>
      <c r="AN182" t="s">
        <v>746</v>
      </c>
      <c r="AO182" t="s">
        <v>746</v>
      </c>
      <c r="AP182" t="s">
        <v>746</v>
      </c>
      <c r="AQ182" t="s">
        <v>746</v>
      </c>
      <c r="AR182" t="s">
        <v>746</v>
      </c>
      <c r="AS182" t="s">
        <v>746</v>
      </c>
      <c r="AT182" t="s">
        <v>746</v>
      </c>
      <c r="AU182" t="s">
        <v>746</v>
      </c>
      <c r="AV182" s="205" t="e">
        <f t="shared" si="2"/>
        <v>#DIV/0!</v>
      </c>
    </row>
    <row r="183" spans="1:48" x14ac:dyDescent="0.25">
      <c r="A183" t="s">
        <v>792</v>
      </c>
      <c r="B183">
        <v>17.2</v>
      </c>
      <c r="C183">
        <v>17.5</v>
      </c>
      <c r="D183">
        <v>7.2</v>
      </c>
      <c r="E183">
        <v>5.5</v>
      </c>
      <c r="F183">
        <v>2.7</v>
      </c>
      <c r="G183">
        <v>2.1</v>
      </c>
      <c r="H183">
        <v>1.2</v>
      </c>
      <c r="I183">
        <v>2.9</v>
      </c>
      <c r="J183">
        <v>0.3</v>
      </c>
      <c r="K183">
        <v>2.6</v>
      </c>
      <c r="L183">
        <v>7.2</v>
      </c>
      <c r="M183">
        <v>5.9</v>
      </c>
      <c r="N183">
        <v>3.8</v>
      </c>
      <c r="O183">
        <v>4.3</v>
      </c>
      <c r="P183">
        <v>0.4</v>
      </c>
      <c r="Q183">
        <v>2.4</v>
      </c>
      <c r="R183">
        <v>4.4000000000000004</v>
      </c>
      <c r="S183">
        <v>0.5</v>
      </c>
      <c r="T183">
        <v>2.1</v>
      </c>
      <c r="U183">
        <v>1</v>
      </c>
      <c r="V183">
        <v>0.2</v>
      </c>
      <c r="W183">
        <v>1.9</v>
      </c>
      <c r="X183">
        <v>0.7</v>
      </c>
      <c r="Y183">
        <v>0.1</v>
      </c>
      <c r="Z183">
        <v>2.9</v>
      </c>
      <c r="AA183">
        <v>3.4</v>
      </c>
      <c r="AB183">
        <v>3</v>
      </c>
      <c r="AC183">
        <v>7</v>
      </c>
      <c r="AD183">
        <v>10.1</v>
      </c>
      <c r="AE183">
        <v>0.4</v>
      </c>
      <c r="AF183">
        <v>0.8</v>
      </c>
      <c r="AG183">
        <v>3.2</v>
      </c>
      <c r="AH183">
        <v>2.6</v>
      </c>
      <c r="AI183">
        <v>0.8</v>
      </c>
      <c r="AJ183">
        <v>0.2</v>
      </c>
      <c r="AK183">
        <v>-1.7</v>
      </c>
      <c r="AL183">
        <v>-0.2</v>
      </c>
      <c r="AM183">
        <v>2.2000000000000002</v>
      </c>
      <c r="AN183">
        <v>2.2999999999999998</v>
      </c>
      <c r="AO183">
        <v>0.9</v>
      </c>
      <c r="AP183">
        <v>-0.6</v>
      </c>
      <c r="AQ183">
        <v>1.6</v>
      </c>
      <c r="AR183">
        <v>5.7</v>
      </c>
      <c r="AS183">
        <v>4.5999999999999996</v>
      </c>
      <c r="AT183">
        <v>3.6</v>
      </c>
      <c r="AU183">
        <v>0.9</v>
      </c>
      <c r="AV183" s="205">
        <f t="shared" si="2"/>
        <v>3.28</v>
      </c>
    </row>
    <row r="184" spans="1:48" x14ac:dyDescent="0.25">
      <c r="A184" t="s">
        <v>793</v>
      </c>
      <c r="B184" t="s">
        <v>746</v>
      </c>
      <c r="C184" t="s">
        <v>746</v>
      </c>
      <c r="D184" t="s">
        <v>746</v>
      </c>
      <c r="E184" t="s">
        <v>746</v>
      </c>
      <c r="F184" t="s">
        <v>746</v>
      </c>
      <c r="G184" t="s">
        <v>746</v>
      </c>
      <c r="H184" t="s">
        <v>746</v>
      </c>
      <c r="I184" t="s">
        <v>746</v>
      </c>
      <c r="J184" t="s">
        <v>746</v>
      </c>
      <c r="K184" t="s">
        <v>746</v>
      </c>
      <c r="L184" t="s">
        <v>746</v>
      </c>
      <c r="M184" t="s">
        <v>746</v>
      </c>
      <c r="N184" t="s">
        <v>746</v>
      </c>
      <c r="O184" t="s">
        <v>746</v>
      </c>
      <c r="P184" t="s">
        <v>746</v>
      </c>
      <c r="Q184" t="s">
        <v>746</v>
      </c>
      <c r="R184" t="s">
        <v>746</v>
      </c>
      <c r="S184" t="s">
        <v>746</v>
      </c>
      <c r="T184" t="s">
        <v>746</v>
      </c>
      <c r="U184" t="s">
        <v>746</v>
      </c>
      <c r="V184" t="s">
        <v>746</v>
      </c>
      <c r="W184" t="s">
        <v>746</v>
      </c>
      <c r="X184" t="s">
        <v>746</v>
      </c>
      <c r="Y184" t="s">
        <v>746</v>
      </c>
      <c r="Z184" t="s">
        <v>746</v>
      </c>
      <c r="AA184" t="s">
        <v>746</v>
      </c>
      <c r="AB184" t="s">
        <v>746</v>
      </c>
      <c r="AC184" t="s">
        <v>746</v>
      </c>
      <c r="AD184" t="s">
        <v>746</v>
      </c>
      <c r="AE184" t="s">
        <v>746</v>
      </c>
      <c r="AF184" t="s">
        <v>746</v>
      </c>
      <c r="AG184" t="s">
        <v>746</v>
      </c>
      <c r="AH184" t="s">
        <v>746</v>
      </c>
      <c r="AI184" t="s">
        <v>746</v>
      </c>
      <c r="AJ184" t="s">
        <v>746</v>
      </c>
      <c r="AK184" t="s">
        <v>746</v>
      </c>
      <c r="AL184" t="s">
        <v>746</v>
      </c>
      <c r="AM184" t="s">
        <v>746</v>
      </c>
      <c r="AN184" t="s">
        <v>746</v>
      </c>
      <c r="AO184" t="s">
        <v>746</v>
      </c>
      <c r="AP184" t="s">
        <v>746</v>
      </c>
      <c r="AQ184" t="s">
        <v>746</v>
      </c>
      <c r="AR184" t="s">
        <v>746</v>
      </c>
      <c r="AS184" t="s">
        <v>746</v>
      </c>
      <c r="AT184" t="s">
        <v>746</v>
      </c>
      <c r="AU184" t="s">
        <v>746</v>
      </c>
      <c r="AV184" s="205" t="e">
        <f t="shared" si="2"/>
        <v>#DIV/0!</v>
      </c>
    </row>
    <row r="185" spans="1:48" x14ac:dyDescent="0.25">
      <c r="A185" t="s">
        <v>177</v>
      </c>
      <c r="B185">
        <v>33</v>
      </c>
      <c r="C185">
        <v>20.5</v>
      </c>
      <c r="D185">
        <v>18.3</v>
      </c>
      <c r="E185">
        <v>16.5</v>
      </c>
      <c r="F185">
        <v>11.9</v>
      </c>
      <c r="G185">
        <v>9.1</v>
      </c>
      <c r="H185">
        <v>2.7</v>
      </c>
      <c r="I185">
        <v>11.2</v>
      </c>
      <c r="J185">
        <v>3.2</v>
      </c>
      <c r="K185">
        <v>12.3</v>
      </c>
      <c r="L185">
        <v>8.5</v>
      </c>
      <c r="M185">
        <v>-1.8</v>
      </c>
      <c r="N185">
        <v>9</v>
      </c>
      <c r="O185">
        <v>1.7</v>
      </c>
      <c r="P185">
        <v>12.1</v>
      </c>
      <c r="Q185">
        <v>-2.9</v>
      </c>
      <c r="R185">
        <v>5.4</v>
      </c>
      <c r="S185">
        <v>6.9</v>
      </c>
      <c r="T185">
        <v>5.4</v>
      </c>
      <c r="U185">
        <v>0.4</v>
      </c>
      <c r="V185">
        <v>-0.2</v>
      </c>
      <c r="W185">
        <v>1.9</v>
      </c>
      <c r="X185">
        <v>7.4</v>
      </c>
      <c r="Y185">
        <v>4.4000000000000004</v>
      </c>
      <c r="Z185">
        <v>7.8</v>
      </c>
      <c r="AA185">
        <v>7.8</v>
      </c>
      <c r="AB185">
        <v>3.2</v>
      </c>
      <c r="AC185">
        <v>4.5</v>
      </c>
      <c r="AD185">
        <v>6.3</v>
      </c>
      <c r="AE185">
        <v>14.6</v>
      </c>
      <c r="AF185">
        <v>-0.2</v>
      </c>
      <c r="AG185">
        <v>2.9</v>
      </c>
      <c r="AH185">
        <v>6.2</v>
      </c>
      <c r="AI185">
        <v>-0.2</v>
      </c>
      <c r="AJ185">
        <v>-1.2</v>
      </c>
      <c r="AK185">
        <v>1.9</v>
      </c>
      <c r="AL185">
        <v>0.1</v>
      </c>
      <c r="AM185">
        <v>1.3</v>
      </c>
      <c r="AN185">
        <v>3.7</v>
      </c>
      <c r="AO185">
        <v>2.2000000000000002</v>
      </c>
      <c r="AP185">
        <v>1.5</v>
      </c>
      <c r="AQ185">
        <v>-3</v>
      </c>
      <c r="AR185">
        <v>8.6999999999999993</v>
      </c>
      <c r="AS185">
        <v>12</v>
      </c>
      <c r="AT185">
        <v>3.6</v>
      </c>
      <c r="AU185">
        <v>1.9</v>
      </c>
      <c r="AV185" s="205">
        <f t="shared" si="2"/>
        <v>4.6399999999999997</v>
      </c>
    </row>
    <row r="186" spans="1:48" x14ac:dyDescent="0.25">
      <c r="A186" t="s">
        <v>178</v>
      </c>
      <c r="B186" t="s">
        <v>746</v>
      </c>
      <c r="C186" t="s">
        <v>746</v>
      </c>
      <c r="D186" t="s">
        <v>746</v>
      </c>
      <c r="E186" t="s">
        <v>746</v>
      </c>
      <c r="F186" t="s">
        <v>746</v>
      </c>
      <c r="G186" t="s">
        <v>746</v>
      </c>
      <c r="H186" t="s">
        <v>746</v>
      </c>
      <c r="I186" t="s">
        <v>746</v>
      </c>
      <c r="J186" t="s">
        <v>746</v>
      </c>
      <c r="K186" t="s">
        <v>746</v>
      </c>
      <c r="L186" t="s">
        <v>746</v>
      </c>
      <c r="M186" t="s">
        <v>746</v>
      </c>
      <c r="N186" t="s">
        <v>746</v>
      </c>
      <c r="O186" t="s">
        <v>746</v>
      </c>
      <c r="P186" t="s">
        <v>746</v>
      </c>
      <c r="Q186" t="s">
        <v>746</v>
      </c>
      <c r="R186" t="s">
        <v>746</v>
      </c>
      <c r="S186" t="s">
        <v>746</v>
      </c>
      <c r="T186" t="s">
        <v>746</v>
      </c>
      <c r="U186" t="s">
        <v>746</v>
      </c>
      <c r="V186" t="s">
        <v>746</v>
      </c>
      <c r="W186" t="s">
        <v>746</v>
      </c>
      <c r="X186" t="s">
        <v>746</v>
      </c>
      <c r="Y186">
        <v>1.3</v>
      </c>
      <c r="Z186">
        <v>1.4</v>
      </c>
      <c r="AA186">
        <v>1.7</v>
      </c>
      <c r="AB186">
        <v>2.1</v>
      </c>
      <c r="AC186">
        <v>2.5</v>
      </c>
      <c r="AD186">
        <v>4.0999999999999996</v>
      </c>
      <c r="AE186">
        <v>2.4</v>
      </c>
      <c r="AF186">
        <v>2.4</v>
      </c>
      <c r="AG186">
        <v>2.2000000000000002</v>
      </c>
      <c r="AH186">
        <v>2.8</v>
      </c>
      <c r="AI186">
        <v>1.6</v>
      </c>
      <c r="AJ186">
        <v>1.1000000000000001</v>
      </c>
      <c r="AK186">
        <v>0.1</v>
      </c>
      <c r="AL186">
        <v>0.6</v>
      </c>
      <c r="AM186">
        <v>1</v>
      </c>
      <c r="AN186">
        <v>1.2</v>
      </c>
      <c r="AO186">
        <v>0.5</v>
      </c>
      <c r="AP186">
        <v>-0.1</v>
      </c>
      <c r="AQ186">
        <v>1.6</v>
      </c>
      <c r="AR186">
        <v>5.3</v>
      </c>
      <c r="AS186">
        <v>5.9</v>
      </c>
      <c r="AT186">
        <v>1.2</v>
      </c>
      <c r="AU186">
        <v>2.2999999999999998</v>
      </c>
      <c r="AV186" s="205">
        <f t="shared" si="2"/>
        <v>3.2600000000000002</v>
      </c>
    </row>
    <row r="187" spans="1:48" x14ac:dyDescent="0.25">
      <c r="A187" t="s">
        <v>799</v>
      </c>
      <c r="B187">
        <v>0.2</v>
      </c>
      <c r="C187">
        <v>11.5</v>
      </c>
      <c r="D187">
        <v>0.4</v>
      </c>
      <c r="E187">
        <v>7</v>
      </c>
      <c r="F187">
        <v>3.2</v>
      </c>
      <c r="G187">
        <v>0.1</v>
      </c>
      <c r="H187">
        <v>13.9</v>
      </c>
      <c r="I187">
        <v>25</v>
      </c>
      <c r="J187">
        <v>44.3</v>
      </c>
      <c r="K187">
        <v>42.9</v>
      </c>
      <c r="L187">
        <v>42.2</v>
      </c>
      <c r="M187">
        <v>46.5</v>
      </c>
      <c r="N187">
        <v>33.700000000000003</v>
      </c>
      <c r="O187">
        <v>25.5</v>
      </c>
      <c r="P187">
        <v>51.2</v>
      </c>
      <c r="Q187">
        <v>36.799999999999997</v>
      </c>
      <c r="R187">
        <v>42</v>
      </c>
      <c r="S187">
        <v>69</v>
      </c>
      <c r="T187">
        <v>42.1</v>
      </c>
      <c r="U187">
        <v>11</v>
      </c>
      <c r="V187">
        <v>11</v>
      </c>
      <c r="W187">
        <v>9.1999999999999993</v>
      </c>
      <c r="X187">
        <v>10.1</v>
      </c>
      <c r="Y187">
        <v>9.8000000000000007</v>
      </c>
      <c r="Z187">
        <v>13.3</v>
      </c>
      <c r="AA187">
        <v>17.2</v>
      </c>
      <c r="AB187">
        <v>23.1</v>
      </c>
      <c r="AC187">
        <v>18.600000000000001</v>
      </c>
      <c r="AD187">
        <v>32</v>
      </c>
      <c r="AE187">
        <v>17</v>
      </c>
      <c r="AF187">
        <v>13.3</v>
      </c>
      <c r="AG187">
        <v>14.3</v>
      </c>
      <c r="AH187">
        <v>10.6</v>
      </c>
      <c r="AI187">
        <v>8.1</v>
      </c>
      <c r="AJ187">
        <v>7</v>
      </c>
      <c r="AK187">
        <v>6.1</v>
      </c>
      <c r="AL187">
        <v>5.4</v>
      </c>
      <c r="AM187">
        <v>5.7</v>
      </c>
      <c r="AN187">
        <v>7.9</v>
      </c>
      <c r="AO187">
        <v>7.7</v>
      </c>
      <c r="AP187">
        <v>9.8000000000000007</v>
      </c>
      <c r="AQ187">
        <v>8.1</v>
      </c>
      <c r="AR187">
        <v>18.100000000000001</v>
      </c>
      <c r="AS187">
        <v>21.1</v>
      </c>
      <c r="AT187">
        <v>14.4</v>
      </c>
      <c r="AU187">
        <v>0.9</v>
      </c>
      <c r="AV187" s="205">
        <f t="shared" si="2"/>
        <v>12.52</v>
      </c>
    </row>
    <row r="188" spans="1:48" x14ac:dyDescent="0.25">
      <c r="A188" t="s">
        <v>180</v>
      </c>
      <c r="B188">
        <v>4.4000000000000004</v>
      </c>
      <c r="C188">
        <v>3.6</v>
      </c>
      <c r="D188">
        <v>1.9</v>
      </c>
      <c r="E188">
        <v>0.6</v>
      </c>
      <c r="F188">
        <v>-0.7</v>
      </c>
      <c r="G188">
        <v>-2.2999999999999998</v>
      </c>
      <c r="H188">
        <v>-3.1</v>
      </c>
      <c r="I188">
        <v>-2.4</v>
      </c>
      <c r="J188">
        <v>-0.4</v>
      </c>
      <c r="K188">
        <v>1.2</v>
      </c>
      <c r="L188">
        <v>-1.1000000000000001</v>
      </c>
      <c r="M188">
        <v>3.9</v>
      </c>
      <c r="N188">
        <v>-1</v>
      </c>
      <c r="O188">
        <v>1.2</v>
      </c>
      <c r="P188">
        <v>1.4</v>
      </c>
      <c r="Q188">
        <v>5.0999999999999996</v>
      </c>
      <c r="R188">
        <v>0.3</v>
      </c>
      <c r="S188">
        <v>-0.2</v>
      </c>
      <c r="T188">
        <v>-0.4</v>
      </c>
      <c r="U188">
        <v>-2.1</v>
      </c>
      <c r="V188">
        <v>-1</v>
      </c>
      <c r="W188">
        <v>-1.1000000000000001</v>
      </c>
      <c r="X188">
        <v>0.1</v>
      </c>
      <c r="Y188">
        <v>0.5</v>
      </c>
      <c r="Z188">
        <v>0.3</v>
      </c>
      <c r="AA188">
        <v>0.6</v>
      </c>
      <c r="AB188">
        <v>1.9</v>
      </c>
      <c r="AC188">
        <v>5</v>
      </c>
      <c r="AD188">
        <v>6.1</v>
      </c>
      <c r="AE188">
        <v>4.3</v>
      </c>
      <c r="AF188">
        <v>3.7</v>
      </c>
      <c r="AG188">
        <v>3.7</v>
      </c>
      <c r="AH188">
        <v>2.9</v>
      </c>
      <c r="AI188">
        <v>3.1</v>
      </c>
      <c r="AJ188">
        <v>1.8</v>
      </c>
      <c r="AK188">
        <v>1.2</v>
      </c>
      <c r="AL188">
        <v>2.9</v>
      </c>
      <c r="AM188">
        <v>-0.9</v>
      </c>
      <c r="AN188">
        <v>2.5</v>
      </c>
      <c r="AO188">
        <v>-2</v>
      </c>
      <c r="AP188">
        <v>3.2</v>
      </c>
      <c r="AQ188">
        <v>3.1</v>
      </c>
      <c r="AR188">
        <v>2.5</v>
      </c>
      <c r="AS188">
        <v>2.5</v>
      </c>
      <c r="AT188">
        <v>1.5</v>
      </c>
      <c r="AU188">
        <v>2</v>
      </c>
      <c r="AV188" s="205">
        <f t="shared" si="2"/>
        <v>2.3199999999999998</v>
      </c>
    </row>
    <row r="189" spans="1:48" x14ac:dyDescent="0.25">
      <c r="A189" t="s">
        <v>181</v>
      </c>
      <c r="B189">
        <v>8.8000000000000007</v>
      </c>
      <c r="C189">
        <v>5.8</v>
      </c>
      <c r="D189">
        <v>17.399999999999999</v>
      </c>
      <c r="E189">
        <v>11.7</v>
      </c>
      <c r="F189">
        <v>11.7</v>
      </c>
      <c r="G189">
        <v>13</v>
      </c>
      <c r="H189">
        <v>6.1</v>
      </c>
      <c r="I189">
        <v>-4.0999999999999996</v>
      </c>
      <c r="J189">
        <v>-1.8</v>
      </c>
      <c r="K189">
        <v>0.4</v>
      </c>
      <c r="L189">
        <v>0.3</v>
      </c>
      <c r="M189">
        <v>-1.8</v>
      </c>
      <c r="N189">
        <v>0</v>
      </c>
      <c r="O189">
        <v>-0.7</v>
      </c>
      <c r="P189">
        <v>32.1</v>
      </c>
      <c r="Q189">
        <v>8.1</v>
      </c>
      <c r="R189">
        <v>2.8</v>
      </c>
      <c r="S189">
        <v>1.8</v>
      </c>
      <c r="T189">
        <v>1</v>
      </c>
      <c r="U189">
        <v>0.8</v>
      </c>
      <c r="V189">
        <v>0.8</v>
      </c>
      <c r="W189">
        <v>3.1</v>
      </c>
      <c r="X189">
        <v>2.4</v>
      </c>
      <c r="Y189">
        <v>0</v>
      </c>
      <c r="Z189">
        <v>0</v>
      </c>
      <c r="AA189">
        <v>1.6</v>
      </c>
      <c r="AB189">
        <v>2.2000000000000002</v>
      </c>
      <c r="AC189">
        <v>5.5</v>
      </c>
      <c r="AD189">
        <v>6.2</v>
      </c>
      <c r="AE189">
        <v>-1</v>
      </c>
      <c r="AF189">
        <v>0</v>
      </c>
      <c r="AG189">
        <v>3.4</v>
      </c>
      <c r="AH189">
        <v>1.4</v>
      </c>
      <c r="AI189">
        <v>0.7</v>
      </c>
      <c r="AJ189">
        <v>-1.1000000000000001</v>
      </c>
      <c r="AK189">
        <v>0.1</v>
      </c>
      <c r="AL189">
        <v>0.8</v>
      </c>
      <c r="AM189">
        <v>2.2000000000000002</v>
      </c>
      <c r="AN189">
        <v>0.5</v>
      </c>
      <c r="AO189">
        <v>1</v>
      </c>
      <c r="AP189">
        <v>2.5</v>
      </c>
      <c r="AQ189">
        <v>2.2000000000000002</v>
      </c>
      <c r="AR189">
        <v>9.6999999999999993</v>
      </c>
      <c r="AS189">
        <v>5.9</v>
      </c>
      <c r="AT189">
        <v>0.8</v>
      </c>
      <c r="AU189">
        <v>1.4</v>
      </c>
      <c r="AV189" s="205">
        <f t="shared" si="2"/>
        <v>3.9999999999999991</v>
      </c>
    </row>
    <row r="190" spans="1:48" x14ac:dyDescent="0.25">
      <c r="A190" t="s">
        <v>182</v>
      </c>
      <c r="B190" t="s">
        <v>746</v>
      </c>
      <c r="C190" t="s">
        <v>746</v>
      </c>
      <c r="D190" t="s">
        <v>746</v>
      </c>
      <c r="E190" t="s">
        <v>746</v>
      </c>
      <c r="F190" t="s">
        <v>746</v>
      </c>
      <c r="G190" t="s">
        <v>746</v>
      </c>
      <c r="H190" t="s">
        <v>746</v>
      </c>
      <c r="I190" t="s">
        <v>746</v>
      </c>
      <c r="J190" t="s">
        <v>746</v>
      </c>
      <c r="K190" t="s">
        <v>746</v>
      </c>
      <c r="L190" t="s">
        <v>746</v>
      </c>
      <c r="M190" t="s">
        <v>746</v>
      </c>
      <c r="N190" t="s">
        <v>746</v>
      </c>
      <c r="O190" t="s">
        <v>746</v>
      </c>
      <c r="P190" t="s">
        <v>746</v>
      </c>
      <c r="Q190" t="s">
        <v>746</v>
      </c>
      <c r="R190" t="s">
        <v>746</v>
      </c>
      <c r="S190" t="s">
        <v>746</v>
      </c>
      <c r="T190">
        <v>30</v>
      </c>
      <c r="U190">
        <v>41.1</v>
      </c>
      <c r="V190">
        <v>70</v>
      </c>
      <c r="W190">
        <v>80.7</v>
      </c>
      <c r="X190">
        <v>8.9</v>
      </c>
      <c r="Y190">
        <v>2.9</v>
      </c>
      <c r="Z190">
        <v>10.6</v>
      </c>
      <c r="AA190">
        <v>16.3</v>
      </c>
      <c r="AB190">
        <v>10.7</v>
      </c>
      <c r="AC190">
        <v>5.9</v>
      </c>
      <c r="AD190">
        <v>12.4</v>
      </c>
      <c r="AE190">
        <v>8.1</v>
      </c>
      <c r="AF190">
        <v>6.1</v>
      </c>
      <c r="AG190">
        <v>11.1</v>
      </c>
      <c r="AH190">
        <v>7.3</v>
      </c>
      <c r="AI190">
        <v>7.7</v>
      </c>
      <c r="AJ190">
        <v>2.2000000000000002</v>
      </c>
      <c r="AK190">
        <v>1.4</v>
      </c>
      <c r="AL190">
        <v>1.1000000000000001</v>
      </c>
      <c r="AM190">
        <v>3.2</v>
      </c>
      <c r="AN190">
        <v>2</v>
      </c>
      <c r="AO190">
        <v>1.9</v>
      </c>
      <c r="AP190">
        <v>1.5</v>
      </c>
      <c r="AQ190">
        <v>4.0999999999999996</v>
      </c>
      <c r="AR190">
        <v>12</v>
      </c>
      <c r="AS190">
        <v>12.4</v>
      </c>
      <c r="AT190">
        <v>4.7</v>
      </c>
      <c r="AU190">
        <v>3.9</v>
      </c>
      <c r="AV190" s="205">
        <f t="shared" si="2"/>
        <v>7.42</v>
      </c>
    </row>
    <row r="191" spans="1:48" x14ac:dyDescent="0.25">
      <c r="A191" t="s">
        <v>183</v>
      </c>
      <c r="B191">
        <v>13.5</v>
      </c>
      <c r="C191">
        <v>10.5</v>
      </c>
      <c r="D191">
        <v>-0.9</v>
      </c>
      <c r="E191">
        <v>6.6</v>
      </c>
      <c r="F191">
        <v>1.2</v>
      </c>
      <c r="G191">
        <v>0.6</v>
      </c>
      <c r="H191">
        <v>2.4</v>
      </c>
      <c r="I191">
        <v>2.2000000000000002</v>
      </c>
      <c r="J191">
        <v>0.5</v>
      </c>
      <c r="K191">
        <v>3.3</v>
      </c>
      <c r="L191">
        <v>4</v>
      </c>
      <c r="M191">
        <v>2</v>
      </c>
      <c r="N191">
        <v>2</v>
      </c>
      <c r="O191">
        <v>-0.3</v>
      </c>
      <c r="P191">
        <v>2.2000000000000002</v>
      </c>
      <c r="Q191">
        <v>0.5</v>
      </c>
      <c r="R191">
        <v>-2.1</v>
      </c>
      <c r="S191">
        <v>1.8</v>
      </c>
      <c r="T191">
        <v>2.7</v>
      </c>
      <c r="U191">
        <v>6.3</v>
      </c>
      <c r="V191">
        <v>6.3</v>
      </c>
      <c r="W191">
        <v>6</v>
      </c>
      <c r="X191">
        <v>0.2</v>
      </c>
      <c r="Y191">
        <v>3.3</v>
      </c>
      <c r="Z191">
        <v>3.9</v>
      </c>
      <c r="AA191">
        <v>0.6</v>
      </c>
      <c r="AB191">
        <v>-1.9</v>
      </c>
      <c r="AC191">
        <v>5.3</v>
      </c>
      <c r="AD191">
        <v>37</v>
      </c>
      <c r="AE191">
        <v>31.8</v>
      </c>
      <c r="AF191">
        <v>-2.4</v>
      </c>
      <c r="AG191">
        <v>2.6</v>
      </c>
      <c r="AH191">
        <v>7.1</v>
      </c>
      <c r="AI191">
        <v>4.3</v>
      </c>
      <c r="AJ191">
        <v>1.4</v>
      </c>
      <c r="AK191">
        <v>4</v>
      </c>
      <c r="AL191">
        <v>-1</v>
      </c>
      <c r="AM191">
        <v>2.9</v>
      </c>
      <c r="AN191">
        <v>3.7</v>
      </c>
      <c r="AO191">
        <v>1.8</v>
      </c>
      <c r="AP191">
        <v>1.2</v>
      </c>
      <c r="AQ191">
        <v>9.8000000000000007</v>
      </c>
      <c r="AR191">
        <v>2.6</v>
      </c>
      <c r="AS191">
        <v>-1</v>
      </c>
      <c r="AT191">
        <v>0.3</v>
      </c>
      <c r="AU191">
        <v>0.3</v>
      </c>
      <c r="AV191" s="205">
        <f t="shared" si="2"/>
        <v>2.4000000000000004</v>
      </c>
    </row>
    <row r="192" spans="1:48" x14ac:dyDescent="0.25">
      <c r="A192" t="s">
        <v>184</v>
      </c>
      <c r="B192">
        <v>12.9</v>
      </c>
      <c r="C192">
        <v>23.4</v>
      </c>
      <c r="D192">
        <v>26.9</v>
      </c>
      <c r="E192">
        <v>68.5</v>
      </c>
      <c r="F192">
        <v>66.599999999999994</v>
      </c>
      <c r="G192">
        <v>76.599999999999994</v>
      </c>
      <c r="H192">
        <v>80.900000000000006</v>
      </c>
      <c r="I192">
        <v>178.7</v>
      </c>
      <c r="J192">
        <v>34.299999999999997</v>
      </c>
      <c r="K192">
        <v>60.8</v>
      </c>
      <c r="L192">
        <v>110.9</v>
      </c>
      <c r="M192">
        <v>102.7</v>
      </c>
      <c r="N192">
        <v>65.5</v>
      </c>
      <c r="O192">
        <v>22.2</v>
      </c>
      <c r="P192">
        <v>24.2</v>
      </c>
      <c r="Q192">
        <v>26</v>
      </c>
      <c r="R192">
        <v>23.1</v>
      </c>
      <c r="S192">
        <v>14.6</v>
      </c>
      <c r="T192">
        <v>36</v>
      </c>
      <c r="U192">
        <v>34.1</v>
      </c>
      <c r="V192">
        <v>-0.9</v>
      </c>
      <c r="W192">
        <v>2.6</v>
      </c>
      <c r="X192">
        <v>0.1</v>
      </c>
      <c r="Y192">
        <v>4</v>
      </c>
      <c r="Z192">
        <v>12.9</v>
      </c>
      <c r="AA192">
        <v>13.7</v>
      </c>
      <c r="AB192">
        <v>10.5</v>
      </c>
      <c r="AC192">
        <v>17</v>
      </c>
      <c r="AD192">
        <v>8.1999999999999993</v>
      </c>
      <c r="AE192">
        <v>7.5</v>
      </c>
      <c r="AF192">
        <v>7.2</v>
      </c>
      <c r="AG192">
        <v>6.8</v>
      </c>
      <c r="AH192">
        <v>6.6</v>
      </c>
      <c r="AI192">
        <v>5.5</v>
      </c>
      <c r="AJ192">
        <v>4.5999999999999996</v>
      </c>
      <c r="AK192">
        <v>6.7</v>
      </c>
      <c r="AL192">
        <v>10.9</v>
      </c>
      <c r="AM192">
        <v>18.2</v>
      </c>
      <c r="AN192">
        <v>16</v>
      </c>
      <c r="AO192">
        <v>14.8</v>
      </c>
      <c r="AP192">
        <v>13.4</v>
      </c>
      <c r="AQ192">
        <v>11.9</v>
      </c>
      <c r="AR192">
        <v>27.2</v>
      </c>
      <c r="AS192">
        <v>47.7</v>
      </c>
      <c r="AT192">
        <v>28.4</v>
      </c>
      <c r="AU192">
        <v>7.6</v>
      </c>
      <c r="AV192" s="205">
        <f t="shared" si="2"/>
        <v>24.560000000000002</v>
      </c>
    </row>
    <row r="193" spans="1:48" x14ac:dyDescent="0.25">
      <c r="A193" t="s">
        <v>185</v>
      </c>
      <c r="B193">
        <v>8.5</v>
      </c>
      <c r="C193">
        <v>8.1999999999999993</v>
      </c>
      <c r="D193">
        <v>3.9</v>
      </c>
      <c r="E193">
        <v>1</v>
      </c>
      <c r="F193">
        <v>2.6</v>
      </c>
      <c r="G193">
        <v>0.5</v>
      </c>
      <c r="H193">
        <v>-1.4</v>
      </c>
      <c r="I193">
        <v>0.5</v>
      </c>
      <c r="J193">
        <v>1.5</v>
      </c>
      <c r="K193">
        <v>2.2999999999999998</v>
      </c>
      <c r="L193">
        <v>3.4</v>
      </c>
      <c r="M193">
        <v>3.4</v>
      </c>
      <c r="N193">
        <v>2.2000000000000002</v>
      </c>
      <c r="O193">
        <v>2.2999999999999998</v>
      </c>
      <c r="P193">
        <v>3.1</v>
      </c>
      <c r="Q193">
        <v>1.7</v>
      </c>
      <c r="R193">
        <v>1.4</v>
      </c>
      <c r="S193">
        <v>2</v>
      </c>
      <c r="T193">
        <v>-0.3</v>
      </c>
      <c r="U193">
        <v>0</v>
      </c>
      <c r="V193">
        <v>1.3</v>
      </c>
      <c r="W193">
        <v>1</v>
      </c>
      <c r="X193">
        <v>-0.4</v>
      </c>
      <c r="Y193">
        <v>0.5</v>
      </c>
      <c r="Z193">
        <v>1.7</v>
      </c>
      <c r="AA193">
        <v>0.5</v>
      </c>
      <c r="AB193">
        <v>1</v>
      </c>
      <c r="AC193">
        <v>2.1</v>
      </c>
      <c r="AD193">
        <v>6.6</v>
      </c>
      <c r="AE193">
        <v>0.6</v>
      </c>
      <c r="AF193">
        <v>2.8</v>
      </c>
      <c r="AG193">
        <v>5.3</v>
      </c>
      <c r="AH193">
        <v>4.5999999999999996</v>
      </c>
      <c r="AI193">
        <v>2.4</v>
      </c>
      <c r="AJ193">
        <v>1</v>
      </c>
      <c r="AK193">
        <v>-0.5</v>
      </c>
      <c r="AL193">
        <v>-0.5</v>
      </c>
      <c r="AM193">
        <v>0.6</v>
      </c>
      <c r="AN193">
        <v>0.4</v>
      </c>
      <c r="AO193">
        <v>0.6</v>
      </c>
      <c r="AP193">
        <v>-0.2</v>
      </c>
      <c r="AQ193">
        <v>2.2999999999999998</v>
      </c>
      <c r="AR193">
        <v>6.1</v>
      </c>
      <c r="AS193">
        <v>4.8</v>
      </c>
      <c r="AT193">
        <v>2.4</v>
      </c>
      <c r="AU193">
        <v>0.9</v>
      </c>
      <c r="AV193" s="205">
        <f t="shared" si="2"/>
        <v>3.3</v>
      </c>
    </row>
    <row r="194" spans="1:48" x14ac:dyDescent="0.25">
      <c r="A194" t="s">
        <v>794</v>
      </c>
      <c r="B194" t="s">
        <v>746</v>
      </c>
      <c r="C194" t="s">
        <v>746</v>
      </c>
      <c r="D194" t="s">
        <v>746</v>
      </c>
      <c r="E194" t="s">
        <v>746</v>
      </c>
      <c r="F194" t="s">
        <v>746</v>
      </c>
      <c r="G194" t="s">
        <v>746</v>
      </c>
      <c r="H194" t="s">
        <v>746</v>
      </c>
      <c r="I194" t="s">
        <v>746</v>
      </c>
      <c r="J194" t="s">
        <v>746</v>
      </c>
      <c r="K194" t="s">
        <v>746</v>
      </c>
      <c r="L194" t="s">
        <v>746</v>
      </c>
      <c r="M194" t="s">
        <v>746</v>
      </c>
      <c r="N194" t="s">
        <v>746</v>
      </c>
      <c r="O194" t="s">
        <v>746</v>
      </c>
      <c r="P194" t="s">
        <v>746</v>
      </c>
      <c r="Q194" t="s">
        <v>746</v>
      </c>
      <c r="R194" t="s">
        <v>746</v>
      </c>
      <c r="S194" t="s">
        <v>746</v>
      </c>
      <c r="T194" t="s">
        <v>746</v>
      </c>
      <c r="U194" t="s">
        <v>746</v>
      </c>
      <c r="V194" t="s">
        <v>746</v>
      </c>
      <c r="W194" t="s">
        <v>746</v>
      </c>
      <c r="X194" t="s">
        <v>746</v>
      </c>
      <c r="Y194" t="s">
        <v>746</v>
      </c>
      <c r="Z194" t="s">
        <v>746</v>
      </c>
      <c r="AA194" t="s">
        <v>746</v>
      </c>
      <c r="AB194" t="s">
        <v>746</v>
      </c>
      <c r="AC194" t="s">
        <v>746</v>
      </c>
      <c r="AD194" t="s">
        <v>746</v>
      </c>
      <c r="AE194" t="s">
        <v>746</v>
      </c>
      <c r="AF194" t="s">
        <v>746</v>
      </c>
      <c r="AG194" t="s">
        <v>746</v>
      </c>
      <c r="AH194" t="s">
        <v>746</v>
      </c>
      <c r="AI194" t="s">
        <v>746</v>
      </c>
      <c r="AJ194" t="s">
        <v>746</v>
      </c>
      <c r="AK194" t="s">
        <v>746</v>
      </c>
      <c r="AL194" t="s">
        <v>746</v>
      </c>
      <c r="AM194" t="s">
        <v>746</v>
      </c>
      <c r="AN194" t="s">
        <v>746</v>
      </c>
      <c r="AO194" t="s">
        <v>746</v>
      </c>
      <c r="AP194" t="s">
        <v>746</v>
      </c>
      <c r="AQ194" t="s">
        <v>746</v>
      </c>
      <c r="AR194" t="s">
        <v>746</v>
      </c>
      <c r="AS194" t="s">
        <v>746</v>
      </c>
      <c r="AT194" t="s">
        <v>746</v>
      </c>
      <c r="AU194" t="s">
        <v>746</v>
      </c>
      <c r="AV194" s="205" t="e">
        <f t="shared" ref="AV194:AV239" si="3">AVERAGE(AQ194:AU194)</f>
        <v>#DIV/0!</v>
      </c>
    </row>
    <row r="195" spans="1:48" x14ac:dyDescent="0.25">
      <c r="A195" t="s">
        <v>186</v>
      </c>
      <c r="B195" t="s">
        <v>746</v>
      </c>
      <c r="C195" t="s">
        <v>746</v>
      </c>
      <c r="D195" t="s">
        <v>746</v>
      </c>
      <c r="E195" t="s">
        <v>746</v>
      </c>
      <c r="F195" t="s">
        <v>746</v>
      </c>
      <c r="G195" t="s">
        <v>746</v>
      </c>
      <c r="H195" t="s">
        <v>746</v>
      </c>
      <c r="I195" t="s">
        <v>746</v>
      </c>
      <c r="J195" t="s">
        <v>746</v>
      </c>
      <c r="K195" t="s">
        <v>746</v>
      </c>
      <c r="L195" t="s">
        <v>746</v>
      </c>
      <c r="M195" t="s">
        <v>746</v>
      </c>
      <c r="N195" t="s">
        <v>746</v>
      </c>
      <c r="O195" t="s">
        <v>746</v>
      </c>
      <c r="P195">
        <v>13.5</v>
      </c>
      <c r="Q195">
        <v>11</v>
      </c>
      <c r="R195">
        <v>4.8</v>
      </c>
      <c r="S195">
        <v>6</v>
      </c>
      <c r="T195">
        <v>6.7</v>
      </c>
      <c r="U195">
        <v>10.5</v>
      </c>
      <c r="V195">
        <v>12.2</v>
      </c>
      <c r="W195">
        <v>7.1</v>
      </c>
      <c r="X195">
        <v>3.5</v>
      </c>
      <c r="Y195">
        <v>8.4</v>
      </c>
      <c r="Z195">
        <v>7.5</v>
      </c>
      <c r="AA195">
        <v>2.8</v>
      </c>
      <c r="AB195">
        <v>4.3</v>
      </c>
      <c r="AC195">
        <v>1.9</v>
      </c>
      <c r="AD195">
        <v>3.9</v>
      </c>
      <c r="AE195">
        <v>0.9</v>
      </c>
      <c r="AF195">
        <v>0.7</v>
      </c>
      <c r="AG195">
        <v>4.0999999999999996</v>
      </c>
      <c r="AH195">
        <v>3.7</v>
      </c>
      <c r="AI195">
        <v>1.5</v>
      </c>
      <c r="AJ195">
        <v>-0.1</v>
      </c>
      <c r="AK195">
        <v>-0.3</v>
      </c>
      <c r="AL195">
        <v>-0.5</v>
      </c>
      <c r="AM195">
        <v>1.4</v>
      </c>
      <c r="AN195">
        <v>2.5</v>
      </c>
      <c r="AO195">
        <v>2.8</v>
      </c>
      <c r="AP195">
        <v>2</v>
      </c>
      <c r="AQ195">
        <v>2.8</v>
      </c>
      <c r="AR195">
        <v>12.1</v>
      </c>
      <c r="AS195">
        <v>11</v>
      </c>
      <c r="AT195">
        <v>3.1</v>
      </c>
      <c r="AU195">
        <v>4.2</v>
      </c>
      <c r="AV195" s="205">
        <f t="shared" si="3"/>
        <v>6.6400000000000006</v>
      </c>
    </row>
    <row r="196" spans="1:48" x14ac:dyDescent="0.25">
      <c r="A196" t="s">
        <v>187</v>
      </c>
      <c r="B196" t="s">
        <v>746</v>
      </c>
      <c r="C196" t="s">
        <v>746</v>
      </c>
      <c r="D196" t="s">
        <v>746</v>
      </c>
      <c r="E196" t="s">
        <v>746</v>
      </c>
      <c r="F196" t="s">
        <v>746</v>
      </c>
      <c r="G196" t="s">
        <v>746</v>
      </c>
      <c r="H196" t="s">
        <v>746</v>
      </c>
      <c r="I196" t="s">
        <v>746</v>
      </c>
      <c r="J196" t="s">
        <v>746</v>
      </c>
      <c r="K196" t="s">
        <v>746</v>
      </c>
      <c r="L196" t="s">
        <v>746</v>
      </c>
      <c r="M196" t="s">
        <v>746</v>
      </c>
      <c r="N196" t="s">
        <v>746</v>
      </c>
      <c r="O196">
        <v>31.9</v>
      </c>
      <c r="P196">
        <v>20.9</v>
      </c>
      <c r="Q196">
        <v>13.6</v>
      </c>
      <c r="R196">
        <v>9.9</v>
      </c>
      <c r="S196">
        <v>8.3000000000000007</v>
      </c>
      <c r="T196">
        <v>7.9</v>
      </c>
      <c r="U196">
        <v>6.1</v>
      </c>
      <c r="V196">
        <v>9</v>
      </c>
      <c r="W196">
        <v>8.6</v>
      </c>
      <c r="X196">
        <v>7.5</v>
      </c>
      <c r="Y196">
        <v>5.6</v>
      </c>
      <c r="Z196">
        <v>3.7</v>
      </c>
      <c r="AA196">
        <v>2.4</v>
      </c>
      <c r="AB196">
        <v>2.5</v>
      </c>
      <c r="AC196">
        <v>3.8</v>
      </c>
      <c r="AD196">
        <v>5.5</v>
      </c>
      <c r="AE196">
        <v>0.9</v>
      </c>
      <c r="AF196">
        <v>2.1</v>
      </c>
      <c r="AG196">
        <v>2.1</v>
      </c>
      <c r="AH196">
        <v>2.8</v>
      </c>
      <c r="AI196">
        <v>1.9</v>
      </c>
      <c r="AJ196">
        <v>0.4</v>
      </c>
      <c r="AK196">
        <v>-0.8</v>
      </c>
      <c r="AL196">
        <v>-0.2</v>
      </c>
      <c r="AM196">
        <v>1.6</v>
      </c>
      <c r="AN196">
        <v>1.9</v>
      </c>
      <c r="AO196">
        <v>1.7</v>
      </c>
      <c r="AP196">
        <v>-0.3</v>
      </c>
      <c r="AQ196">
        <v>2</v>
      </c>
      <c r="AR196">
        <v>9.3000000000000007</v>
      </c>
      <c r="AS196">
        <v>7.2</v>
      </c>
      <c r="AT196">
        <v>2</v>
      </c>
      <c r="AU196">
        <v>2.5</v>
      </c>
      <c r="AV196" s="205">
        <f t="shared" si="3"/>
        <v>4.5999999999999996</v>
      </c>
    </row>
    <row r="197" spans="1:48" x14ac:dyDescent="0.25">
      <c r="A197" t="s">
        <v>188</v>
      </c>
      <c r="B197">
        <v>8.1999999999999993</v>
      </c>
      <c r="C197">
        <v>13.1</v>
      </c>
      <c r="D197">
        <v>13</v>
      </c>
      <c r="E197">
        <v>7</v>
      </c>
      <c r="F197">
        <v>10.9</v>
      </c>
      <c r="G197">
        <v>9.4</v>
      </c>
      <c r="H197">
        <v>13.1</v>
      </c>
      <c r="I197">
        <v>11.5</v>
      </c>
      <c r="J197">
        <v>16.8</v>
      </c>
      <c r="K197">
        <v>14.9</v>
      </c>
      <c r="L197">
        <v>8.6999999999999993</v>
      </c>
      <c r="M197">
        <v>15</v>
      </c>
      <c r="N197">
        <v>10.8</v>
      </c>
      <c r="O197">
        <v>9.1999999999999993</v>
      </c>
      <c r="P197">
        <v>13.3</v>
      </c>
      <c r="Q197">
        <v>9.6</v>
      </c>
      <c r="R197">
        <v>11.8</v>
      </c>
      <c r="S197">
        <v>8.1</v>
      </c>
      <c r="T197">
        <v>12.4</v>
      </c>
      <c r="U197">
        <v>8</v>
      </c>
      <c r="V197">
        <v>6.9</v>
      </c>
      <c r="W197">
        <v>7.6</v>
      </c>
      <c r="X197">
        <v>9.4</v>
      </c>
      <c r="Y197">
        <v>10.1</v>
      </c>
      <c r="Z197">
        <v>6.9</v>
      </c>
      <c r="AA197">
        <v>7.5</v>
      </c>
      <c r="AB197">
        <v>11.2</v>
      </c>
      <c r="AC197">
        <v>7.7</v>
      </c>
      <c r="AD197">
        <v>17.3</v>
      </c>
      <c r="AE197">
        <v>7.2</v>
      </c>
      <c r="AF197">
        <v>0.9</v>
      </c>
      <c r="AG197">
        <v>7.4</v>
      </c>
      <c r="AH197">
        <v>5.9</v>
      </c>
      <c r="AI197">
        <v>5.2</v>
      </c>
      <c r="AJ197">
        <v>5.3</v>
      </c>
      <c r="AK197">
        <v>-0.6</v>
      </c>
      <c r="AL197">
        <v>0.5</v>
      </c>
      <c r="AM197">
        <v>0.5</v>
      </c>
      <c r="AN197">
        <v>3.6</v>
      </c>
      <c r="AO197">
        <v>2.2000000000000002</v>
      </c>
      <c r="AP197">
        <v>2.9</v>
      </c>
      <c r="AQ197">
        <v>0.2</v>
      </c>
      <c r="AR197">
        <v>5.4</v>
      </c>
      <c r="AS197">
        <v>5.0999999999999996</v>
      </c>
      <c r="AT197">
        <v>4.2</v>
      </c>
      <c r="AU197">
        <v>3.4</v>
      </c>
      <c r="AV197" s="205">
        <f t="shared" si="3"/>
        <v>3.6599999999999993</v>
      </c>
    </row>
    <row r="198" spans="1:48" x14ac:dyDescent="0.25">
      <c r="A198" t="s">
        <v>795</v>
      </c>
      <c r="B198" t="s">
        <v>746</v>
      </c>
      <c r="C198" t="s">
        <v>746</v>
      </c>
      <c r="D198" t="s">
        <v>746</v>
      </c>
      <c r="E198" t="s">
        <v>746</v>
      </c>
      <c r="F198" t="s">
        <v>746</v>
      </c>
      <c r="G198" t="s">
        <v>746</v>
      </c>
      <c r="H198" t="s">
        <v>746</v>
      </c>
      <c r="I198" t="s">
        <v>746</v>
      </c>
      <c r="J198" t="s">
        <v>746</v>
      </c>
      <c r="K198" t="s">
        <v>746</v>
      </c>
      <c r="L198" t="s">
        <v>746</v>
      </c>
      <c r="M198" t="s">
        <v>746</v>
      </c>
      <c r="N198" t="s">
        <v>746</v>
      </c>
      <c r="O198" t="s">
        <v>746</v>
      </c>
      <c r="P198" t="s">
        <v>746</v>
      </c>
      <c r="Q198" t="s">
        <v>746</v>
      </c>
      <c r="R198" t="s">
        <v>746</v>
      </c>
      <c r="S198" t="s">
        <v>746</v>
      </c>
      <c r="T198" t="s">
        <v>746</v>
      </c>
      <c r="U198" t="s">
        <v>746</v>
      </c>
      <c r="V198" t="s">
        <v>746</v>
      </c>
      <c r="W198" t="s">
        <v>746</v>
      </c>
      <c r="X198" t="s">
        <v>746</v>
      </c>
      <c r="Y198" t="s">
        <v>746</v>
      </c>
      <c r="Z198" t="s">
        <v>746</v>
      </c>
      <c r="AA198" t="s">
        <v>746</v>
      </c>
      <c r="AB198" t="s">
        <v>746</v>
      </c>
      <c r="AC198" t="s">
        <v>746</v>
      </c>
      <c r="AD198" t="s">
        <v>746</v>
      </c>
      <c r="AE198" t="s">
        <v>746</v>
      </c>
      <c r="AF198" t="s">
        <v>746</v>
      </c>
      <c r="AG198" t="s">
        <v>746</v>
      </c>
      <c r="AH198" t="s">
        <v>746</v>
      </c>
      <c r="AI198">
        <v>2.8</v>
      </c>
      <c r="AJ198">
        <v>1.3</v>
      </c>
      <c r="AK198">
        <v>0.9</v>
      </c>
      <c r="AL198">
        <v>0</v>
      </c>
      <c r="AM198">
        <v>4</v>
      </c>
      <c r="AN198">
        <v>4.3</v>
      </c>
      <c r="AO198">
        <v>4.7</v>
      </c>
      <c r="AP198">
        <v>4.0999999999999996</v>
      </c>
      <c r="AQ198">
        <v>4.5999999999999996</v>
      </c>
      <c r="AR198">
        <v>6.8</v>
      </c>
      <c r="AS198">
        <v>6.2</v>
      </c>
      <c r="AT198">
        <v>5.5</v>
      </c>
      <c r="AU198">
        <v>3.7</v>
      </c>
      <c r="AV198" s="205">
        <f t="shared" si="3"/>
        <v>5.3599999999999994</v>
      </c>
    </row>
    <row r="199" spans="1:48" x14ac:dyDescent="0.25">
      <c r="A199" t="s">
        <v>190</v>
      </c>
      <c r="B199">
        <v>14.2</v>
      </c>
      <c r="C199">
        <v>15.9</v>
      </c>
      <c r="D199">
        <v>14</v>
      </c>
      <c r="E199">
        <v>12.7</v>
      </c>
      <c r="F199">
        <v>11.3</v>
      </c>
      <c r="G199">
        <v>16.5</v>
      </c>
      <c r="H199">
        <v>18.2</v>
      </c>
      <c r="I199">
        <v>16.399999999999999</v>
      </c>
      <c r="J199">
        <v>12.6</v>
      </c>
      <c r="K199">
        <v>14.8</v>
      </c>
      <c r="L199">
        <v>14.4</v>
      </c>
      <c r="M199">
        <v>15.1</v>
      </c>
      <c r="N199">
        <v>14</v>
      </c>
      <c r="O199">
        <v>9.6</v>
      </c>
      <c r="P199">
        <v>8.9</v>
      </c>
      <c r="Q199">
        <v>8.8000000000000007</v>
      </c>
      <c r="R199">
        <v>7.4</v>
      </c>
      <c r="S199">
        <v>8.6</v>
      </c>
      <c r="T199">
        <v>7</v>
      </c>
      <c r="U199">
        <v>5.0999999999999996</v>
      </c>
      <c r="V199">
        <v>5.3</v>
      </c>
      <c r="W199">
        <v>5.7</v>
      </c>
      <c r="X199">
        <v>9.1</v>
      </c>
      <c r="Y199">
        <v>5.9</v>
      </c>
      <c r="Z199">
        <v>1.4</v>
      </c>
      <c r="AA199">
        <v>3.4</v>
      </c>
      <c r="AB199">
        <v>4.7</v>
      </c>
      <c r="AC199">
        <v>7.1</v>
      </c>
      <c r="AD199">
        <v>10.9</v>
      </c>
      <c r="AE199">
        <v>7.2</v>
      </c>
      <c r="AF199">
        <v>4.2</v>
      </c>
      <c r="AG199">
        <v>5</v>
      </c>
      <c r="AH199">
        <v>5.7</v>
      </c>
      <c r="AI199">
        <v>5.7</v>
      </c>
      <c r="AJ199">
        <v>6.1</v>
      </c>
      <c r="AK199">
        <v>4.5999999999999996</v>
      </c>
      <c r="AL199">
        <v>6.3</v>
      </c>
      <c r="AM199">
        <v>5.3</v>
      </c>
      <c r="AN199">
        <v>4.5999999999999996</v>
      </c>
      <c r="AO199">
        <v>4.0999999999999996</v>
      </c>
      <c r="AP199">
        <v>3.3</v>
      </c>
      <c r="AQ199">
        <v>4.5999999999999996</v>
      </c>
      <c r="AR199">
        <v>6.9</v>
      </c>
      <c r="AS199">
        <v>5.9</v>
      </c>
      <c r="AT199">
        <v>4.4000000000000004</v>
      </c>
      <c r="AU199">
        <v>3.2</v>
      </c>
      <c r="AV199" s="205">
        <f t="shared" si="3"/>
        <v>4.9999999999999991</v>
      </c>
    </row>
    <row r="200" spans="1:48" x14ac:dyDescent="0.25">
      <c r="A200" t="s">
        <v>796</v>
      </c>
      <c r="B200" t="s">
        <v>746</v>
      </c>
      <c r="C200" t="s">
        <v>746</v>
      </c>
      <c r="D200" t="s">
        <v>746</v>
      </c>
      <c r="E200" t="s">
        <v>746</v>
      </c>
      <c r="F200" t="s">
        <v>746</v>
      </c>
      <c r="G200" t="s">
        <v>746</v>
      </c>
      <c r="H200" t="s">
        <v>746</v>
      </c>
      <c r="I200" t="s">
        <v>746</v>
      </c>
      <c r="J200" t="s">
        <v>746</v>
      </c>
      <c r="K200" t="s">
        <v>746</v>
      </c>
      <c r="L200" t="s">
        <v>746</v>
      </c>
      <c r="M200" t="s">
        <v>746</v>
      </c>
      <c r="N200" t="s">
        <v>746</v>
      </c>
      <c r="O200" t="s">
        <v>746</v>
      </c>
      <c r="P200" t="s">
        <v>746</v>
      </c>
      <c r="Q200" t="s">
        <v>746</v>
      </c>
      <c r="R200" t="s">
        <v>746</v>
      </c>
      <c r="S200" t="s">
        <v>746</v>
      </c>
      <c r="T200" t="s">
        <v>746</v>
      </c>
      <c r="U200" t="s">
        <v>746</v>
      </c>
      <c r="V200" t="s">
        <v>746</v>
      </c>
      <c r="W200" t="s">
        <v>746</v>
      </c>
      <c r="X200" t="s">
        <v>746</v>
      </c>
      <c r="Y200" t="s">
        <v>746</v>
      </c>
      <c r="Z200" t="s">
        <v>746</v>
      </c>
      <c r="AA200" t="s">
        <v>746</v>
      </c>
      <c r="AB200" t="s">
        <v>746</v>
      </c>
      <c r="AC200" t="s">
        <v>746</v>
      </c>
      <c r="AD200" t="s">
        <v>746</v>
      </c>
      <c r="AE200" t="s">
        <v>746</v>
      </c>
      <c r="AF200" t="s">
        <v>746</v>
      </c>
      <c r="AG200" t="s">
        <v>746</v>
      </c>
      <c r="AH200">
        <v>42.4</v>
      </c>
      <c r="AI200">
        <v>-2.7</v>
      </c>
      <c r="AJ200">
        <v>4.3</v>
      </c>
      <c r="AK200">
        <v>53</v>
      </c>
      <c r="AL200">
        <v>346.1</v>
      </c>
      <c r="AM200">
        <v>213</v>
      </c>
      <c r="AN200">
        <v>83.4</v>
      </c>
      <c r="AO200">
        <v>49.3</v>
      </c>
      <c r="AP200">
        <v>24</v>
      </c>
      <c r="AQ200">
        <v>30.2</v>
      </c>
      <c r="AR200">
        <v>-3.2</v>
      </c>
      <c r="AS200">
        <v>39.700000000000003</v>
      </c>
      <c r="AT200">
        <v>99.8</v>
      </c>
      <c r="AU200">
        <v>97.6</v>
      </c>
      <c r="AV200" s="205">
        <f t="shared" si="3"/>
        <v>52.820000000000007</v>
      </c>
    </row>
    <row r="201" spans="1:48" x14ac:dyDescent="0.25">
      <c r="A201" t="s">
        <v>192</v>
      </c>
      <c r="B201">
        <v>15.6</v>
      </c>
      <c r="C201">
        <v>14.5</v>
      </c>
      <c r="D201">
        <v>14.4</v>
      </c>
      <c r="E201">
        <v>12.2</v>
      </c>
      <c r="F201">
        <v>11.3</v>
      </c>
      <c r="G201">
        <v>8.8000000000000007</v>
      </c>
      <c r="H201">
        <v>8.8000000000000007</v>
      </c>
      <c r="I201">
        <v>5.2</v>
      </c>
      <c r="J201">
        <v>4.8</v>
      </c>
      <c r="K201">
        <v>6.8</v>
      </c>
      <c r="L201">
        <v>6.7</v>
      </c>
      <c r="M201">
        <v>5.9</v>
      </c>
      <c r="N201">
        <v>7.1</v>
      </c>
      <c r="O201">
        <v>4.5999999999999996</v>
      </c>
      <c r="P201">
        <v>4.7</v>
      </c>
      <c r="Q201">
        <v>4.7</v>
      </c>
      <c r="R201">
        <v>3.6</v>
      </c>
      <c r="S201">
        <v>1.9</v>
      </c>
      <c r="T201">
        <v>1.8</v>
      </c>
      <c r="U201">
        <v>2.2000000000000002</v>
      </c>
      <c r="V201">
        <v>3.5</v>
      </c>
      <c r="W201">
        <v>2.8</v>
      </c>
      <c r="X201">
        <v>3.6</v>
      </c>
      <c r="Y201">
        <v>3.1</v>
      </c>
      <c r="Z201">
        <v>3.1</v>
      </c>
      <c r="AA201">
        <v>3.4</v>
      </c>
      <c r="AB201">
        <v>3.6</v>
      </c>
      <c r="AC201">
        <v>2.8</v>
      </c>
      <c r="AD201">
        <v>4.0999999999999996</v>
      </c>
      <c r="AE201">
        <v>-0.2</v>
      </c>
      <c r="AF201">
        <v>2</v>
      </c>
      <c r="AG201">
        <v>3.1</v>
      </c>
      <c r="AH201">
        <v>2.4</v>
      </c>
      <c r="AI201">
        <v>1.5</v>
      </c>
      <c r="AJ201">
        <v>-0.2</v>
      </c>
      <c r="AK201">
        <v>-0.6</v>
      </c>
      <c r="AL201">
        <v>-0.3</v>
      </c>
      <c r="AM201">
        <v>2</v>
      </c>
      <c r="AN201">
        <v>1.7</v>
      </c>
      <c r="AO201">
        <v>0.8</v>
      </c>
      <c r="AP201">
        <v>-0.3</v>
      </c>
      <c r="AQ201">
        <v>3</v>
      </c>
      <c r="AR201">
        <v>8.3000000000000007</v>
      </c>
      <c r="AS201">
        <v>3.4</v>
      </c>
      <c r="AT201">
        <v>2.9</v>
      </c>
      <c r="AU201">
        <v>2.7</v>
      </c>
      <c r="AV201" s="205">
        <f t="shared" si="3"/>
        <v>4.0600000000000005</v>
      </c>
    </row>
    <row r="202" spans="1:48" x14ac:dyDescent="0.25">
      <c r="A202" t="s">
        <v>193</v>
      </c>
      <c r="B202">
        <v>26.1</v>
      </c>
      <c r="C202">
        <v>18</v>
      </c>
      <c r="D202">
        <v>10.8</v>
      </c>
      <c r="E202">
        <v>14</v>
      </c>
      <c r="F202">
        <v>16.600000000000001</v>
      </c>
      <c r="G202">
        <v>1.5</v>
      </c>
      <c r="H202">
        <v>8</v>
      </c>
      <c r="I202">
        <v>7.7</v>
      </c>
      <c r="J202">
        <v>14</v>
      </c>
      <c r="K202">
        <v>11.6</v>
      </c>
      <c r="L202">
        <v>21.5</v>
      </c>
      <c r="M202">
        <v>12.2</v>
      </c>
      <c r="N202">
        <v>11.4</v>
      </c>
      <c r="O202">
        <v>11.7</v>
      </c>
      <c r="P202">
        <v>8.4</v>
      </c>
      <c r="Q202">
        <v>7.7</v>
      </c>
      <c r="R202">
        <v>15.9</v>
      </c>
      <c r="S202">
        <v>9.6</v>
      </c>
      <c r="T202">
        <v>9.4</v>
      </c>
      <c r="U202">
        <v>4.7</v>
      </c>
      <c r="V202">
        <v>6.2</v>
      </c>
      <c r="W202">
        <v>14.2</v>
      </c>
      <c r="X202">
        <v>9.6</v>
      </c>
      <c r="Y202">
        <v>9</v>
      </c>
      <c r="Z202">
        <v>9</v>
      </c>
      <c r="AA202">
        <v>11</v>
      </c>
      <c r="AB202">
        <v>9.9</v>
      </c>
      <c r="AC202">
        <v>15.9</v>
      </c>
      <c r="AD202">
        <v>22.4</v>
      </c>
      <c r="AE202">
        <v>3.5</v>
      </c>
      <c r="AF202">
        <v>6.2</v>
      </c>
      <c r="AG202">
        <v>6.7</v>
      </c>
      <c r="AH202">
        <v>7.5</v>
      </c>
      <c r="AI202">
        <v>6.9</v>
      </c>
      <c r="AJ202">
        <v>2.8</v>
      </c>
      <c r="AK202">
        <v>2.2000000000000002</v>
      </c>
      <c r="AL202">
        <v>4</v>
      </c>
      <c r="AM202">
        <v>6.6</v>
      </c>
      <c r="AN202">
        <v>4.3</v>
      </c>
      <c r="AO202">
        <v>4.3</v>
      </c>
      <c r="AP202">
        <v>4.5999999999999996</v>
      </c>
      <c r="AQ202">
        <v>6</v>
      </c>
      <c r="AR202">
        <v>45.2</v>
      </c>
      <c r="AS202">
        <v>17.399999999999999</v>
      </c>
      <c r="AT202">
        <v>1.2</v>
      </c>
      <c r="AU202" s="200">
        <v>1.2</v>
      </c>
      <c r="AV202" s="205">
        <f t="shared" si="3"/>
        <v>14.2</v>
      </c>
    </row>
    <row r="203" spans="1:48" x14ac:dyDescent="0.25">
      <c r="A203" t="s">
        <v>197</v>
      </c>
      <c r="B203">
        <v>26.5</v>
      </c>
      <c r="C203">
        <v>24</v>
      </c>
      <c r="D203">
        <v>26.6</v>
      </c>
      <c r="E203">
        <v>30.6</v>
      </c>
      <c r="F203">
        <v>33.700000000000003</v>
      </c>
      <c r="G203">
        <v>45.6</v>
      </c>
      <c r="H203">
        <v>60</v>
      </c>
      <c r="I203">
        <v>26.5</v>
      </c>
      <c r="J203">
        <v>62.9</v>
      </c>
      <c r="K203">
        <v>65.3</v>
      </c>
      <c r="L203">
        <v>-0.9</v>
      </c>
      <c r="M203">
        <v>123.6</v>
      </c>
      <c r="N203">
        <v>117.6</v>
      </c>
      <c r="O203">
        <v>101.3</v>
      </c>
      <c r="P203">
        <v>115.5</v>
      </c>
      <c r="Q203">
        <v>68.400000000000006</v>
      </c>
      <c r="R203">
        <v>86.8</v>
      </c>
      <c r="S203">
        <v>47.2</v>
      </c>
      <c r="T203">
        <v>24.6</v>
      </c>
      <c r="U203">
        <v>17.2</v>
      </c>
      <c r="V203">
        <v>7.1</v>
      </c>
      <c r="W203">
        <v>1.9</v>
      </c>
      <c r="X203">
        <v>22.2</v>
      </c>
      <c r="Y203">
        <v>6.5</v>
      </c>
      <c r="Z203">
        <v>9.6999999999999993</v>
      </c>
      <c r="AA203">
        <v>8.5</v>
      </c>
      <c r="AB203">
        <v>7.2</v>
      </c>
      <c r="AC203">
        <v>14.8</v>
      </c>
      <c r="AD203">
        <v>14.3</v>
      </c>
      <c r="AE203">
        <v>11.3</v>
      </c>
      <c r="AF203">
        <v>13</v>
      </c>
      <c r="AG203">
        <v>18.100000000000001</v>
      </c>
      <c r="AH203">
        <v>35.6</v>
      </c>
      <c r="AI203">
        <v>36.5</v>
      </c>
      <c r="AJ203">
        <v>36.9</v>
      </c>
      <c r="AK203">
        <v>16.899999999999999</v>
      </c>
      <c r="AL203">
        <v>17.8</v>
      </c>
      <c r="AM203">
        <v>32.4</v>
      </c>
      <c r="AN203">
        <v>63.3</v>
      </c>
      <c r="AO203">
        <v>51</v>
      </c>
      <c r="AP203">
        <v>163.30000000000001</v>
      </c>
      <c r="AQ203">
        <v>359.1</v>
      </c>
      <c r="AR203">
        <v>138.80000000000001</v>
      </c>
      <c r="AS203">
        <v>77.2</v>
      </c>
      <c r="AT203">
        <v>185.7</v>
      </c>
      <c r="AU203">
        <v>100.2</v>
      </c>
      <c r="AV203" s="205">
        <f t="shared" si="3"/>
        <v>172.2</v>
      </c>
    </row>
    <row r="204" spans="1:48" x14ac:dyDescent="0.25">
      <c r="A204" t="s">
        <v>198</v>
      </c>
      <c r="B204">
        <v>14.2</v>
      </c>
      <c r="C204">
        <v>8.6999999999999993</v>
      </c>
      <c r="D204">
        <v>7.1</v>
      </c>
      <c r="E204">
        <v>4.4000000000000004</v>
      </c>
      <c r="F204">
        <v>3.7</v>
      </c>
      <c r="G204">
        <v>10.9</v>
      </c>
      <c r="H204">
        <v>18.7</v>
      </c>
      <c r="I204">
        <v>53.4</v>
      </c>
      <c r="J204">
        <v>7.3</v>
      </c>
      <c r="K204">
        <v>0.8</v>
      </c>
      <c r="L204">
        <v>21.8</v>
      </c>
      <c r="M204">
        <v>10.5</v>
      </c>
      <c r="N204">
        <v>21.3</v>
      </c>
      <c r="O204">
        <v>79.3</v>
      </c>
      <c r="P204">
        <v>142.80000000000001</v>
      </c>
      <c r="Q204">
        <v>24.2</v>
      </c>
      <c r="R204">
        <v>2.8</v>
      </c>
      <c r="S204">
        <v>6.1</v>
      </c>
      <c r="T204">
        <v>11.2</v>
      </c>
      <c r="U204">
        <v>60.5</v>
      </c>
      <c r="V204">
        <v>29.6</v>
      </c>
      <c r="W204">
        <v>34.4</v>
      </c>
      <c r="X204">
        <v>15.5</v>
      </c>
      <c r="Y204">
        <v>23</v>
      </c>
      <c r="Z204">
        <v>9.1</v>
      </c>
      <c r="AA204">
        <v>14</v>
      </c>
      <c r="AB204">
        <v>11.3</v>
      </c>
      <c r="AC204">
        <v>6.4</v>
      </c>
      <c r="AD204">
        <v>14.7</v>
      </c>
      <c r="AE204">
        <v>-0.3</v>
      </c>
      <c r="AF204">
        <v>6.9</v>
      </c>
      <c r="AG204">
        <v>17.7</v>
      </c>
      <c r="AH204">
        <v>5</v>
      </c>
      <c r="AI204">
        <v>1.9</v>
      </c>
      <c r="AJ204">
        <v>3.4</v>
      </c>
      <c r="AK204">
        <v>6.9</v>
      </c>
      <c r="AL204">
        <v>55.5</v>
      </c>
      <c r="AM204">
        <v>22</v>
      </c>
      <c r="AN204">
        <v>6.9</v>
      </c>
      <c r="AO204">
        <v>4.4000000000000004</v>
      </c>
      <c r="AP204">
        <v>34.9</v>
      </c>
      <c r="AQ204">
        <v>59.1</v>
      </c>
      <c r="AR204">
        <v>52.4</v>
      </c>
      <c r="AS204">
        <v>51.6</v>
      </c>
      <c r="AT204">
        <v>16.2</v>
      </c>
      <c r="AU204">
        <v>9.1999999999999993</v>
      </c>
      <c r="AV204" s="205">
        <f t="shared" si="3"/>
        <v>37.699999999999996</v>
      </c>
    </row>
    <row r="205" spans="1:48" x14ac:dyDescent="0.25">
      <c r="A205" t="s">
        <v>797</v>
      </c>
      <c r="B205" t="s">
        <v>746</v>
      </c>
      <c r="C205" t="s">
        <v>746</v>
      </c>
      <c r="D205" t="s">
        <v>746</v>
      </c>
      <c r="E205" t="s">
        <v>746</v>
      </c>
      <c r="F205" t="s">
        <v>746</v>
      </c>
      <c r="G205" t="s">
        <v>746</v>
      </c>
      <c r="H205" t="s">
        <v>746</v>
      </c>
      <c r="I205" t="s">
        <v>746</v>
      </c>
      <c r="J205" t="s">
        <v>746</v>
      </c>
      <c r="K205" t="s">
        <v>746</v>
      </c>
      <c r="L205" t="s">
        <v>746</v>
      </c>
      <c r="M205" t="s">
        <v>746</v>
      </c>
      <c r="N205" t="s">
        <v>746</v>
      </c>
      <c r="O205" t="s">
        <v>746</v>
      </c>
      <c r="P205" t="s">
        <v>746</v>
      </c>
      <c r="Q205" t="s">
        <v>746</v>
      </c>
      <c r="R205" t="s">
        <v>746</v>
      </c>
      <c r="S205" t="s">
        <v>746</v>
      </c>
      <c r="T205" t="s">
        <v>746</v>
      </c>
      <c r="U205" t="s">
        <v>746</v>
      </c>
      <c r="V205" t="s">
        <v>746</v>
      </c>
      <c r="W205" t="s">
        <v>746</v>
      </c>
      <c r="X205" t="s">
        <v>746</v>
      </c>
      <c r="Y205" t="s">
        <v>746</v>
      </c>
      <c r="Z205" t="s">
        <v>746</v>
      </c>
      <c r="AA205" t="s">
        <v>746</v>
      </c>
      <c r="AB205" t="s">
        <v>746</v>
      </c>
      <c r="AC205" t="s">
        <v>746</v>
      </c>
      <c r="AD205" t="s">
        <v>746</v>
      </c>
      <c r="AE205" t="s">
        <v>746</v>
      </c>
      <c r="AF205" t="s">
        <v>746</v>
      </c>
      <c r="AG205" t="s">
        <v>746</v>
      </c>
      <c r="AH205" t="s">
        <v>746</v>
      </c>
      <c r="AI205" t="s">
        <v>746</v>
      </c>
      <c r="AJ205" t="s">
        <v>746</v>
      </c>
      <c r="AK205" t="s">
        <v>746</v>
      </c>
      <c r="AL205" t="s">
        <v>746</v>
      </c>
      <c r="AM205" t="s">
        <v>746</v>
      </c>
      <c r="AN205" t="s">
        <v>746</v>
      </c>
      <c r="AO205" t="s">
        <v>746</v>
      </c>
      <c r="AP205" t="s">
        <v>746</v>
      </c>
      <c r="AQ205" t="s">
        <v>746</v>
      </c>
      <c r="AR205" t="s">
        <v>746</v>
      </c>
      <c r="AS205" t="s">
        <v>746</v>
      </c>
      <c r="AT205" t="s">
        <v>746</v>
      </c>
      <c r="AU205" t="s">
        <v>746</v>
      </c>
      <c r="AV205" s="205" t="e">
        <f t="shared" si="3"/>
        <v>#DIV/0!</v>
      </c>
    </row>
    <row r="206" spans="1:48" x14ac:dyDescent="0.25">
      <c r="A206" t="s">
        <v>199</v>
      </c>
      <c r="B206">
        <v>17.399999999999999</v>
      </c>
      <c r="C206">
        <v>12.1</v>
      </c>
      <c r="D206">
        <v>8.6</v>
      </c>
      <c r="E206">
        <v>8.9</v>
      </c>
      <c r="F206">
        <v>8</v>
      </c>
      <c r="G206">
        <v>7.4</v>
      </c>
      <c r="H206">
        <v>4.2</v>
      </c>
      <c r="I206">
        <v>4.2</v>
      </c>
      <c r="J206">
        <v>5.8</v>
      </c>
      <c r="K206">
        <v>6.4</v>
      </c>
      <c r="L206">
        <v>10.5</v>
      </c>
      <c r="M206">
        <v>8.8000000000000007</v>
      </c>
      <c r="N206">
        <v>1.4</v>
      </c>
      <c r="O206">
        <v>4.7</v>
      </c>
      <c r="P206">
        <v>2.9</v>
      </c>
      <c r="Q206">
        <v>2.5</v>
      </c>
      <c r="R206">
        <v>1</v>
      </c>
      <c r="S206">
        <v>1.8</v>
      </c>
      <c r="T206">
        <v>1</v>
      </c>
      <c r="U206">
        <v>0.6</v>
      </c>
      <c r="V206">
        <v>1.3</v>
      </c>
      <c r="W206">
        <v>2.7</v>
      </c>
      <c r="X206">
        <v>1.9</v>
      </c>
      <c r="Y206">
        <v>2.2999999999999998</v>
      </c>
      <c r="Z206">
        <v>1</v>
      </c>
      <c r="AA206">
        <v>0.8</v>
      </c>
      <c r="AB206">
        <v>1.5</v>
      </c>
      <c r="AC206">
        <v>1.7</v>
      </c>
      <c r="AD206">
        <v>3.3</v>
      </c>
      <c r="AE206">
        <v>1.9</v>
      </c>
      <c r="AF206">
        <v>1.9</v>
      </c>
      <c r="AG206">
        <v>1.4</v>
      </c>
      <c r="AH206">
        <v>0.9</v>
      </c>
      <c r="AI206">
        <v>0.4</v>
      </c>
      <c r="AJ206">
        <v>0.2</v>
      </c>
      <c r="AK206">
        <v>0.7</v>
      </c>
      <c r="AL206">
        <v>1.1000000000000001</v>
      </c>
      <c r="AM206">
        <v>1.9</v>
      </c>
      <c r="AN206">
        <v>2</v>
      </c>
      <c r="AO206">
        <v>1.7</v>
      </c>
      <c r="AP206">
        <v>0.7</v>
      </c>
      <c r="AQ206">
        <v>2.7</v>
      </c>
      <c r="AR206">
        <v>8.1</v>
      </c>
      <c r="AS206">
        <v>5.9</v>
      </c>
      <c r="AT206">
        <v>2</v>
      </c>
      <c r="AU206">
        <v>2.6</v>
      </c>
      <c r="AV206" s="205">
        <f t="shared" si="3"/>
        <v>4.2600000000000007</v>
      </c>
    </row>
    <row r="207" spans="1:48" x14ac:dyDescent="0.25">
      <c r="A207" t="s">
        <v>200</v>
      </c>
      <c r="B207">
        <v>4</v>
      </c>
      <c r="C207">
        <v>6.5</v>
      </c>
      <c r="D207">
        <v>5.7</v>
      </c>
      <c r="E207">
        <v>3</v>
      </c>
      <c r="F207">
        <v>2.9</v>
      </c>
      <c r="G207">
        <v>3.4</v>
      </c>
      <c r="H207">
        <v>0.7</v>
      </c>
      <c r="I207">
        <v>1.4</v>
      </c>
      <c r="J207">
        <v>1.9</v>
      </c>
      <c r="K207">
        <v>3.2</v>
      </c>
      <c r="L207">
        <v>5.4</v>
      </c>
      <c r="M207">
        <v>5.9</v>
      </c>
      <c r="N207">
        <v>4</v>
      </c>
      <c r="O207">
        <v>3.3</v>
      </c>
      <c r="P207">
        <v>0.9</v>
      </c>
      <c r="Q207">
        <v>1.8</v>
      </c>
      <c r="R207">
        <v>0.8</v>
      </c>
      <c r="S207">
        <v>0.5</v>
      </c>
      <c r="T207">
        <v>0</v>
      </c>
      <c r="U207">
        <v>0.8</v>
      </c>
      <c r="V207">
        <v>1.6</v>
      </c>
      <c r="W207">
        <v>1</v>
      </c>
      <c r="X207">
        <v>0.6</v>
      </c>
      <c r="Y207">
        <v>0.6</v>
      </c>
      <c r="Z207">
        <v>0.8</v>
      </c>
      <c r="AA207">
        <v>1.2</v>
      </c>
      <c r="AB207">
        <v>1.1000000000000001</v>
      </c>
      <c r="AC207">
        <v>0.7</v>
      </c>
      <c r="AD207">
        <v>2.4</v>
      </c>
      <c r="AE207">
        <v>-0.5</v>
      </c>
      <c r="AF207">
        <v>0.7</v>
      </c>
      <c r="AG207">
        <v>0.2</v>
      </c>
      <c r="AH207">
        <v>-0.7</v>
      </c>
      <c r="AI207">
        <v>-0.2</v>
      </c>
      <c r="AJ207">
        <v>0</v>
      </c>
      <c r="AK207">
        <v>-1.1000000000000001</v>
      </c>
      <c r="AL207">
        <v>-0.4</v>
      </c>
      <c r="AM207">
        <v>0.5</v>
      </c>
      <c r="AN207">
        <v>0.9</v>
      </c>
      <c r="AO207">
        <v>0.4</v>
      </c>
      <c r="AP207">
        <v>-0.7</v>
      </c>
      <c r="AQ207">
        <v>0.6</v>
      </c>
      <c r="AR207">
        <v>2.8</v>
      </c>
      <c r="AS207">
        <v>2.1</v>
      </c>
      <c r="AT207">
        <v>1.1000000000000001</v>
      </c>
      <c r="AU207">
        <v>0.2</v>
      </c>
      <c r="AV207" s="205">
        <f t="shared" si="3"/>
        <v>1.3599999999999999</v>
      </c>
    </row>
    <row r="208" spans="1:48" x14ac:dyDescent="0.25">
      <c r="A208" t="s">
        <v>798</v>
      </c>
      <c r="B208">
        <v>19.3</v>
      </c>
      <c r="C208">
        <v>18.399999999999999</v>
      </c>
      <c r="D208">
        <v>14.3</v>
      </c>
      <c r="E208">
        <v>6</v>
      </c>
      <c r="F208">
        <v>9.5</v>
      </c>
      <c r="G208">
        <v>16.8</v>
      </c>
      <c r="H208">
        <v>36.200000000000003</v>
      </c>
      <c r="I208">
        <v>71.400000000000006</v>
      </c>
      <c r="J208">
        <v>30</v>
      </c>
      <c r="K208">
        <v>15.4</v>
      </c>
      <c r="L208">
        <v>11.1</v>
      </c>
      <c r="M208">
        <v>9</v>
      </c>
      <c r="N208">
        <v>11.1</v>
      </c>
      <c r="O208">
        <v>13.2</v>
      </c>
      <c r="P208">
        <v>15.3</v>
      </c>
      <c r="Q208">
        <v>7.7</v>
      </c>
      <c r="R208">
        <v>8.9</v>
      </c>
      <c r="S208">
        <v>1.9</v>
      </c>
      <c r="T208">
        <v>-1</v>
      </c>
      <c r="U208">
        <v>-3.7</v>
      </c>
      <c r="V208">
        <v>-3.9</v>
      </c>
      <c r="W208">
        <v>3.4</v>
      </c>
      <c r="X208">
        <v>-0.5</v>
      </c>
      <c r="Y208">
        <v>5.8</v>
      </c>
      <c r="Z208">
        <v>4.4000000000000004</v>
      </c>
      <c r="AA208">
        <v>7.2</v>
      </c>
      <c r="AB208">
        <v>10.4</v>
      </c>
      <c r="AC208">
        <v>4.7</v>
      </c>
      <c r="AD208">
        <v>15.2</v>
      </c>
      <c r="AE208">
        <v>2.8</v>
      </c>
      <c r="AF208">
        <v>4.4000000000000004</v>
      </c>
      <c r="AG208" t="s">
        <v>746</v>
      </c>
      <c r="AH208" t="s">
        <v>746</v>
      </c>
      <c r="AI208" t="s">
        <v>746</v>
      </c>
      <c r="AJ208" t="s">
        <v>746</v>
      </c>
      <c r="AK208" t="s">
        <v>746</v>
      </c>
      <c r="AL208" t="s">
        <v>746</v>
      </c>
      <c r="AM208" t="s">
        <v>746</v>
      </c>
      <c r="AN208" t="s">
        <v>746</v>
      </c>
      <c r="AO208" t="s">
        <v>746</v>
      </c>
      <c r="AP208" t="s">
        <v>746</v>
      </c>
      <c r="AQ208" t="s">
        <v>746</v>
      </c>
      <c r="AR208" t="s">
        <v>746</v>
      </c>
      <c r="AS208" t="s">
        <v>746</v>
      </c>
      <c r="AT208" t="s">
        <v>746</v>
      </c>
      <c r="AU208" t="s">
        <v>746</v>
      </c>
      <c r="AV208" s="205" t="e">
        <f t="shared" si="3"/>
        <v>#DIV/0!</v>
      </c>
    </row>
    <row r="209" spans="1:48" x14ac:dyDescent="0.25">
      <c r="A209" t="s">
        <v>800</v>
      </c>
      <c r="B209">
        <v>19</v>
      </c>
      <c r="C209">
        <v>10.9</v>
      </c>
      <c r="D209">
        <v>3</v>
      </c>
      <c r="E209">
        <v>1.4</v>
      </c>
      <c r="F209">
        <v>0</v>
      </c>
      <c r="G209">
        <v>-0.2</v>
      </c>
      <c r="H209">
        <v>0.7</v>
      </c>
      <c r="I209">
        <v>0.5</v>
      </c>
      <c r="J209">
        <v>1.3</v>
      </c>
      <c r="K209">
        <v>4.4000000000000004</v>
      </c>
      <c r="L209">
        <v>4.0999999999999996</v>
      </c>
      <c r="M209">
        <v>3.6</v>
      </c>
      <c r="N209">
        <v>4.5</v>
      </c>
      <c r="O209">
        <v>2.9</v>
      </c>
      <c r="P209">
        <v>4.0999999999999996</v>
      </c>
      <c r="Q209">
        <v>3.7</v>
      </c>
      <c r="R209">
        <v>3.1</v>
      </c>
      <c r="S209">
        <v>0.9</v>
      </c>
      <c r="T209">
        <v>1.7</v>
      </c>
      <c r="U209">
        <v>0.2</v>
      </c>
      <c r="V209">
        <v>1.2</v>
      </c>
      <c r="W209">
        <v>0</v>
      </c>
      <c r="X209">
        <v>-0.2</v>
      </c>
      <c r="Y209">
        <v>-0.3</v>
      </c>
      <c r="Z209">
        <v>1.6</v>
      </c>
      <c r="AA209">
        <v>2.2999999999999998</v>
      </c>
      <c r="AB209">
        <v>0.6</v>
      </c>
      <c r="AC209">
        <v>1.8</v>
      </c>
      <c r="AD209">
        <v>3.5</v>
      </c>
      <c r="AE209">
        <v>-0.9</v>
      </c>
      <c r="AF209">
        <v>1</v>
      </c>
      <c r="AG209">
        <v>1.4</v>
      </c>
      <c r="AH209">
        <v>1.9</v>
      </c>
      <c r="AI209">
        <v>0.8</v>
      </c>
      <c r="AJ209">
        <v>1.2</v>
      </c>
      <c r="AK209">
        <v>-0.3</v>
      </c>
      <c r="AL209">
        <v>1.4</v>
      </c>
      <c r="AM209">
        <v>0.6</v>
      </c>
      <c r="AN209">
        <v>1.4</v>
      </c>
      <c r="AO209">
        <v>0.6</v>
      </c>
      <c r="AP209">
        <v>-0.2</v>
      </c>
      <c r="AQ209">
        <v>2</v>
      </c>
      <c r="AR209">
        <v>2.9</v>
      </c>
      <c r="AS209">
        <v>2.5</v>
      </c>
      <c r="AT209">
        <v>2.2000000000000002</v>
      </c>
      <c r="AU209">
        <v>1.7</v>
      </c>
      <c r="AV209" s="205">
        <f t="shared" si="3"/>
        <v>2.2600000000000002</v>
      </c>
    </row>
    <row r="210" spans="1:48" x14ac:dyDescent="0.25">
      <c r="A210" t="s">
        <v>203</v>
      </c>
      <c r="B210" t="s">
        <v>746</v>
      </c>
      <c r="C210" t="s">
        <v>746</v>
      </c>
      <c r="D210" t="s">
        <v>746</v>
      </c>
      <c r="E210" t="s">
        <v>746</v>
      </c>
      <c r="F210" t="s">
        <v>746</v>
      </c>
      <c r="G210" t="s">
        <v>746</v>
      </c>
      <c r="H210" t="s">
        <v>746</v>
      </c>
      <c r="I210" t="s">
        <v>746</v>
      </c>
      <c r="J210" t="s">
        <v>746</v>
      </c>
      <c r="K210" t="s">
        <v>746</v>
      </c>
      <c r="L210" t="s">
        <v>746</v>
      </c>
      <c r="M210" t="s">
        <v>746</v>
      </c>
      <c r="N210" t="s">
        <v>746</v>
      </c>
      <c r="O210">
        <v>2600.6999999999998</v>
      </c>
      <c r="P210">
        <v>350.4</v>
      </c>
      <c r="Q210">
        <v>612.5</v>
      </c>
      <c r="R210">
        <v>418.5</v>
      </c>
      <c r="S210">
        <v>88</v>
      </c>
      <c r="T210">
        <v>43.2</v>
      </c>
      <c r="U210">
        <v>27.5</v>
      </c>
      <c r="V210">
        <v>32.9</v>
      </c>
      <c r="W210">
        <v>38.6</v>
      </c>
      <c r="X210">
        <v>12.2</v>
      </c>
      <c r="Y210">
        <v>16.399999999999999</v>
      </c>
      <c r="Z210">
        <v>7.2</v>
      </c>
      <c r="AA210">
        <v>7.3</v>
      </c>
      <c r="AB210">
        <v>10</v>
      </c>
      <c r="AC210">
        <v>13.2</v>
      </c>
      <c r="AD210">
        <v>20.399999999999999</v>
      </c>
      <c r="AE210">
        <v>6.4</v>
      </c>
      <c r="AF210">
        <v>6.5</v>
      </c>
      <c r="AG210">
        <v>12.4</v>
      </c>
      <c r="AH210">
        <v>5.8</v>
      </c>
      <c r="AI210">
        <v>5</v>
      </c>
      <c r="AJ210">
        <v>6.1</v>
      </c>
      <c r="AK210">
        <v>5.8</v>
      </c>
      <c r="AL210">
        <v>5.9</v>
      </c>
      <c r="AM210">
        <v>7.3</v>
      </c>
      <c r="AN210">
        <v>3.8</v>
      </c>
      <c r="AO210">
        <v>7.8</v>
      </c>
      <c r="AP210">
        <v>8.6</v>
      </c>
      <c r="AQ210">
        <v>9</v>
      </c>
      <c r="AR210">
        <v>6.6</v>
      </c>
      <c r="AS210">
        <v>3.7</v>
      </c>
      <c r="AT210">
        <v>3.5</v>
      </c>
      <c r="AU210">
        <v>3.4</v>
      </c>
      <c r="AV210" s="205">
        <f t="shared" si="3"/>
        <v>5.24</v>
      </c>
    </row>
    <row r="211" spans="1:48" x14ac:dyDescent="0.25">
      <c r="A211" t="s">
        <v>684</v>
      </c>
      <c r="B211">
        <v>30.2</v>
      </c>
      <c r="C211">
        <v>25.7</v>
      </c>
      <c r="D211">
        <v>28.9</v>
      </c>
      <c r="E211">
        <v>27.1</v>
      </c>
      <c r="F211">
        <v>36.1</v>
      </c>
      <c r="G211">
        <v>33.299999999999997</v>
      </c>
      <c r="H211">
        <v>32.4</v>
      </c>
      <c r="I211">
        <v>29.9</v>
      </c>
      <c r="J211">
        <v>31.2</v>
      </c>
      <c r="K211">
        <v>25.8</v>
      </c>
      <c r="L211">
        <v>36.4</v>
      </c>
      <c r="M211">
        <v>25.2</v>
      </c>
      <c r="N211">
        <v>20.7</v>
      </c>
      <c r="O211">
        <v>26.1</v>
      </c>
      <c r="P211">
        <v>37.9</v>
      </c>
      <c r="Q211">
        <v>26.8</v>
      </c>
      <c r="R211">
        <v>21</v>
      </c>
      <c r="S211">
        <v>16.100000000000001</v>
      </c>
      <c r="T211">
        <v>12.8</v>
      </c>
      <c r="U211">
        <v>7.9</v>
      </c>
      <c r="V211">
        <v>6</v>
      </c>
      <c r="W211">
        <v>5.0999999999999996</v>
      </c>
      <c r="X211">
        <v>4.5999999999999996</v>
      </c>
      <c r="Y211">
        <v>4.4000000000000004</v>
      </c>
      <c r="Z211">
        <v>4.0999999999999996</v>
      </c>
      <c r="AA211">
        <v>4.4000000000000004</v>
      </c>
      <c r="AB211">
        <v>7.3</v>
      </c>
      <c r="AC211">
        <v>7</v>
      </c>
      <c r="AD211">
        <v>10.3</v>
      </c>
      <c r="AE211">
        <v>12.1</v>
      </c>
      <c r="AF211">
        <v>7.2</v>
      </c>
      <c r="AG211">
        <v>12.7</v>
      </c>
      <c r="AH211">
        <v>16</v>
      </c>
      <c r="AI211">
        <v>7.9</v>
      </c>
      <c r="AJ211">
        <v>6.1</v>
      </c>
      <c r="AK211">
        <v>5.6</v>
      </c>
      <c r="AL211">
        <v>5.2</v>
      </c>
      <c r="AM211">
        <v>5.3</v>
      </c>
      <c r="AN211">
        <v>3.5</v>
      </c>
      <c r="AO211">
        <v>3.4</v>
      </c>
      <c r="AP211">
        <v>3.3</v>
      </c>
      <c r="AQ211">
        <v>3.7</v>
      </c>
      <c r="AR211">
        <v>4.4000000000000004</v>
      </c>
      <c r="AS211">
        <v>3.8</v>
      </c>
      <c r="AT211">
        <v>3.1</v>
      </c>
      <c r="AU211">
        <v>3.3</v>
      </c>
      <c r="AV211" s="205">
        <f t="shared" si="3"/>
        <v>3.66</v>
      </c>
    </row>
    <row r="212" spans="1:48" x14ac:dyDescent="0.25">
      <c r="A212" t="s">
        <v>204</v>
      </c>
      <c r="B212">
        <v>19.7</v>
      </c>
      <c r="C212">
        <v>12.7</v>
      </c>
      <c r="D212">
        <v>5.3</v>
      </c>
      <c r="E212">
        <v>3.9</v>
      </c>
      <c r="F212">
        <v>0.9</v>
      </c>
      <c r="G212">
        <v>2.2999999999999998</v>
      </c>
      <c r="H212">
        <v>1.8</v>
      </c>
      <c r="I212">
        <v>2.6</v>
      </c>
      <c r="J212">
        <v>3.8</v>
      </c>
      <c r="K212">
        <v>5.5</v>
      </c>
      <c r="L212">
        <v>5.8</v>
      </c>
      <c r="M212">
        <v>5.8</v>
      </c>
      <c r="N212">
        <v>4</v>
      </c>
      <c r="O212">
        <v>3.4</v>
      </c>
      <c r="P212">
        <v>5.0999999999999996</v>
      </c>
      <c r="Q212">
        <v>5.8</v>
      </c>
      <c r="R212">
        <v>5.8</v>
      </c>
      <c r="S212">
        <v>5.6</v>
      </c>
      <c r="T212">
        <v>8</v>
      </c>
      <c r="U212">
        <v>0.2</v>
      </c>
      <c r="V212">
        <v>1.7</v>
      </c>
      <c r="W212">
        <v>1.6</v>
      </c>
      <c r="X212">
        <v>0.7</v>
      </c>
      <c r="Y212">
        <v>1.8</v>
      </c>
      <c r="Z212">
        <v>2.8</v>
      </c>
      <c r="AA212">
        <v>4.5</v>
      </c>
      <c r="AB212">
        <v>4.7</v>
      </c>
      <c r="AC212">
        <v>2.2000000000000002</v>
      </c>
      <c r="AD212">
        <v>5.5</v>
      </c>
      <c r="AE212">
        <v>-0.9</v>
      </c>
      <c r="AF212">
        <v>3.3</v>
      </c>
      <c r="AG212">
        <v>3.8</v>
      </c>
      <c r="AH212">
        <v>3</v>
      </c>
      <c r="AI212">
        <v>2.2000000000000002</v>
      </c>
      <c r="AJ212">
        <v>1.9</v>
      </c>
      <c r="AK212">
        <v>-0.9</v>
      </c>
      <c r="AL212">
        <v>0.2</v>
      </c>
      <c r="AM212">
        <v>0.7</v>
      </c>
      <c r="AN212">
        <v>1.1000000000000001</v>
      </c>
      <c r="AO212">
        <v>0.7</v>
      </c>
      <c r="AP212">
        <v>-0.8</v>
      </c>
      <c r="AQ212">
        <v>1.2</v>
      </c>
      <c r="AR212">
        <v>6.1</v>
      </c>
      <c r="AS212">
        <v>1.2</v>
      </c>
      <c r="AT212">
        <v>0.4</v>
      </c>
      <c r="AU212">
        <v>-0.1</v>
      </c>
      <c r="AV212" s="205">
        <f t="shared" si="3"/>
        <v>1.7600000000000002</v>
      </c>
    </row>
    <row r="213" spans="1:48" x14ac:dyDescent="0.25">
      <c r="A213" t="s">
        <v>205</v>
      </c>
      <c r="B213" t="s">
        <v>746</v>
      </c>
      <c r="C213" t="s">
        <v>746</v>
      </c>
      <c r="D213" t="s">
        <v>746</v>
      </c>
      <c r="E213" t="s">
        <v>746</v>
      </c>
      <c r="F213" t="s">
        <v>746</v>
      </c>
      <c r="G213" t="s">
        <v>746</v>
      </c>
      <c r="H213" t="s">
        <v>746</v>
      </c>
      <c r="I213" t="s">
        <v>746</v>
      </c>
      <c r="J213" t="s">
        <v>746</v>
      </c>
      <c r="K213" t="s">
        <v>746</v>
      </c>
      <c r="L213" t="s">
        <v>746</v>
      </c>
      <c r="M213" t="s">
        <v>746</v>
      </c>
      <c r="N213" t="s">
        <v>746</v>
      </c>
      <c r="O213" t="s">
        <v>746</v>
      </c>
      <c r="P213" t="s">
        <v>746</v>
      </c>
      <c r="Q213" t="s">
        <v>746</v>
      </c>
      <c r="R213" t="s">
        <v>746</v>
      </c>
      <c r="S213" t="s">
        <v>746</v>
      </c>
      <c r="T213" t="s">
        <v>746</v>
      </c>
      <c r="U213" t="s">
        <v>746</v>
      </c>
      <c r="V213" t="s">
        <v>746</v>
      </c>
      <c r="W213">
        <v>3.6</v>
      </c>
      <c r="X213">
        <v>4.0999999999999996</v>
      </c>
      <c r="Y213">
        <v>8</v>
      </c>
      <c r="Z213">
        <v>2.2000000000000002</v>
      </c>
      <c r="AA213">
        <v>1.6</v>
      </c>
      <c r="AB213">
        <v>5.2</v>
      </c>
      <c r="AC213">
        <v>8.6</v>
      </c>
      <c r="AD213">
        <v>7.4</v>
      </c>
      <c r="AE213">
        <v>-0.2</v>
      </c>
      <c r="AF213">
        <v>5.2</v>
      </c>
      <c r="AG213">
        <v>13.2</v>
      </c>
      <c r="AH213">
        <v>10.9</v>
      </c>
      <c r="AI213">
        <v>9.5</v>
      </c>
      <c r="AJ213">
        <v>0.8</v>
      </c>
      <c r="AK213">
        <v>0.6</v>
      </c>
      <c r="AL213">
        <v>-1.5</v>
      </c>
      <c r="AM213">
        <v>0.5</v>
      </c>
      <c r="AN213">
        <v>2.2999999999999998</v>
      </c>
      <c r="AO213">
        <v>0.9</v>
      </c>
      <c r="AP213">
        <v>0.5</v>
      </c>
      <c r="AQ213">
        <v>3.8</v>
      </c>
      <c r="AR213">
        <v>7</v>
      </c>
      <c r="AS213">
        <v>8.4</v>
      </c>
      <c r="AT213">
        <v>2.1</v>
      </c>
      <c r="AU213">
        <v>0.5</v>
      </c>
      <c r="AV213" s="205">
        <f t="shared" si="3"/>
        <v>4.3600000000000012</v>
      </c>
    </row>
    <row r="214" spans="1:48" x14ac:dyDescent="0.25">
      <c r="A214" t="s">
        <v>206</v>
      </c>
      <c r="B214">
        <v>12.3</v>
      </c>
      <c r="C214">
        <v>19.7</v>
      </c>
      <c r="D214">
        <v>11.1</v>
      </c>
      <c r="E214">
        <v>9.4</v>
      </c>
      <c r="F214">
        <v>-3.5</v>
      </c>
      <c r="G214">
        <v>-1.8</v>
      </c>
      <c r="H214">
        <v>4.0999999999999996</v>
      </c>
      <c r="I214">
        <v>0.1</v>
      </c>
      <c r="J214">
        <v>-0.2</v>
      </c>
      <c r="K214">
        <v>-1</v>
      </c>
      <c r="L214">
        <v>1.1000000000000001</v>
      </c>
      <c r="M214">
        <v>0.2</v>
      </c>
      <c r="N214">
        <v>1.6</v>
      </c>
      <c r="O214">
        <v>-0.1</v>
      </c>
      <c r="P214">
        <v>35.299999999999997</v>
      </c>
      <c r="Q214">
        <v>15.8</v>
      </c>
      <c r="R214">
        <v>4.5999999999999996</v>
      </c>
      <c r="S214">
        <v>5.3</v>
      </c>
      <c r="T214">
        <v>1</v>
      </c>
      <c r="U214">
        <v>-0.1</v>
      </c>
      <c r="V214">
        <v>1.9</v>
      </c>
      <c r="W214">
        <v>3.9</v>
      </c>
      <c r="X214">
        <v>3.1</v>
      </c>
      <c r="Y214">
        <v>-0.9</v>
      </c>
      <c r="Z214">
        <v>0.4</v>
      </c>
      <c r="AA214">
        <v>6.8</v>
      </c>
      <c r="AB214">
        <v>2.2000000000000002</v>
      </c>
      <c r="AC214">
        <v>0.9</v>
      </c>
      <c r="AD214">
        <v>8.6999999999999993</v>
      </c>
      <c r="AE214">
        <v>1.9</v>
      </c>
      <c r="AF214">
        <v>3.2</v>
      </c>
      <c r="AG214">
        <v>3.6</v>
      </c>
      <c r="AH214">
        <v>2.6</v>
      </c>
      <c r="AI214">
        <v>1.8</v>
      </c>
      <c r="AJ214">
        <v>0.2</v>
      </c>
      <c r="AK214">
        <v>1.8</v>
      </c>
      <c r="AL214">
        <v>0.9</v>
      </c>
      <c r="AM214">
        <v>-0.2</v>
      </c>
      <c r="AN214">
        <v>0.9</v>
      </c>
      <c r="AO214">
        <v>0.7</v>
      </c>
      <c r="AP214">
        <v>1.8</v>
      </c>
      <c r="AQ214">
        <v>4.5</v>
      </c>
      <c r="AR214">
        <v>7.6</v>
      </c>
      <c r="AS214">
        <v>5.3</v>
      </c>
      <c r="AT214">
        <v>2.9</v>
      </c>
      <c r="AU214">
        <v>0.4</v>
      </c>
      <c r="AV214" s="205">
        <f t="shared" si="3"/>
        <v>4.1399999999999988</v>
      </c>
    </row>
    <row r="215" spans="1:48" x14ac:dyDescent="0.25">
      <c r="A215" t="s">
        <v>801</v>
      </c>
      <c r="B215" t="s">
        <v>746</v>
      </c>
      <c r="C215" t="s">
        <v>746</v>
      </c>
      <c r="D215" t="s">
        <v>746</v>
      </c>
      <c r="E215" t="s">
        <v>746</v>
      </c>
      <c r="F215" t="s">
        <v>746</v>
      </c>
      <c r="G215" t="s">
        <v>746</v>
      </c>
      <c r="H215" t="s">
        <v>746</v>
      </c>
      <c r="I215" t="s">
        <v>746</v>
      </c>
      <c r="J215" t="s">
        <v>746</v>
      </c>
      <c r="K215" t="s">
        <v>746</v>
      </c>
      <c r="L215" t="s">
        <v>746</v>
      </c>
      <c r="M215" t="s">
        <v>746</v>
      </c>
      <c r="N215" t="s">
        <v>746</v>
      </c>
      <c r="O215" t="s">
        <v>746</v>
      </c>
      <c r="P215" t="s">
        <v>746</v>
      </c>
      <c r="Q215" t="s">
        <v>746</v>
      </c>
      <c r="R215" t="s">
        <v>746</v>
      </c>
      <c r="S215" t="s">
        <v>746</v>
      </c>
      <c r="T215" t="s">
        <v>746</v>
      </c>
      <c r="U215" t="s">
        <v>746</v>
      </c>
      <c r="V215" t="s">
        <v>746</v>
      </c>
      <c r="W215" t="s">
        <v>746</v>
      </c>
      <c r="X215" t="s">
        <v>746</v>
      </c>
      <c r="Y215" t="s">
        <v>746</v>
      </c>
      <c r="Z215" t="s">
        <v>746</v>
      </c>
      <c r="AA215" t="s">
        <v>746</v>
      </c>
      <c r="AB215" t="s">
        <v>746</v>
      </c>
      <c r="AC215" t="s">
        <v>746</v>
      </c>
      <c r="AD215" t="s">
        <v>746</v>
      </c>
      <c r="AE215" t="s">
        <v>746</v>
      </c>
      <c r="AF215" t="s">
        <v>746</v>
      </c>
      <c r="AG215" t="s">
        <v>746</v>
      </c>
      <c r="AH215" t="s">
        <v>746</v>
      </c>
      <c r="AI215" t="s">
        <v>746</v>
      </c>
      <c r="AJ215" t="s">
        <v>746</v>
      </c>
      <c r="AK215" t="s">
        <v>746</v>
      </c>
      <c r="AL215" t="s">
        <v>746</v>
      </c>
      <c r="AM215" t="s">
        <v>746</v>
      </c>
      <c r="AN215" t="s">
        <v>746</v>
      </c>
      <c r="AO215" t="s">
        <v>746</v>
      </c>
      <c r="AP215" t="s">
        <v>746</v>
      </c>
      <c r="AQ215" t="s">
        <v>746</v>
      </c>
      <c r="AR215" t="s">
        <v>746</v>
      </c>
      <c r="AS215" t="s">
        <v>746</v>
      </c>
      <c r="AT215" t="s">
        <v>746</v>
      </c>
      <c r="AU215" t="s">
        <v>746</v>
      </c>
      <c r="AV215" s="205" t="e">
        <f t="shared" si="3"/>
        <v>#DIV/0!</v>
      </c>
    </row>
    <row r="216" spans="1:48" x14ac:dyDescent="0.25">
      <c r="A216" t="s">
        <v>207</v>
      </c>
      <c r="B216">
        <v>-7.3</v>
      </c>
      <c r="C216">
        <v>14.9</v>
      </c>
      <c r="D216">
        <v>10.9</v>
      </c>
      <c r="E216">
        <v>9.6999999999999993</v>
      </c>
      <c r="F216">
        <v>7.9</v>
      </c>
      <c r="G216">
        <v>5.2</v>
      </c>
      <c r="H216">
        <v>29.9</v>
      </c>
      <c r="I216">
        <v>7.7</v>
      </c>
      <c r="J216">
        <v>10.3</v>
      </c>
      <c r="K216">
        <v>4</v>
      </c>
      <c r="L216">
        <v>5.6</v>
      </c>
      <c r="M216">
        <v>13.9</v>
      </c>
      <c r="N216">
        <v>8.6</v>
      </c>
      <c r="O216">
        <v>1.8</v>
      </c>
      <c r="P216">
        <v>3.9</v>
      </c>
      <c r="Q216">
        <v>-0.5</v>
      </c>
      <c r="R216">
        <v>2.7</v>
      </c>
      <c r="S216">
        <v>0.6</v>
      </c>
      <c r="T216">
        <v>2.9</v>
      </c>
      <c r="U216">
        <v>3.9</v>
      </c>
      <c r="V216">
        <v>4.9000000000000004</v>
      </c>
      <c r="W216">
        <v>7.3</v>
      </c>
      <c r="X216">
        <v>10</v>
      </c>
      <c r="Y216">
        <v>10.7</v>
      </c>
      <c r="Z216">
        <v>11.8</v>
      </c>
      <c r="AA216">
        <v>10</v>
      </c>
      <c r="AB216">
        <v>7.2</v>
      </c>
      <c r="AC216">
        <v>5</v>
      </c>
      <c r="AD216">
        <v>9.6</v>
      </c>
      <c r="AE216">
        <v>5.5</v>
      </c>
      <c r="AF216">
        <v>1.7</v>
      </c>
      <c r="AG216">
        <v>6</v>
      </c>
      <c r="AH216">
        <v>3.3</v>
      </c>
      <c r="AI216">
        <v>0.7</v>
      </c>
      <c r="AJ216">
        <v>2.2999999999999998</v>
      </c>
      <c r="AK216">
        <v>0.1</v>
      </c>
      <c r="AL216">
        <v>-0.6</v>
      </c>
      <c r="AM216">
        <v>7.2</v>
      </c>
      <c r="AN216">
        <v>6.1</v>
      </c>
      <c r="AO216">
        <v>4.0999999999999996</v>
      </c>
      <c r="AP216">
        <v>0.2</v>
      </c>
      <c r="AQ216">
        <v>0.6</v>
      </c>
      <c r="AR216">
        <v>6.5</v>
      </c>
      <c r="AS216">
        <v>12.6</v>
      </c>
      <c r="AT216">
        <v>8</v>
      </c>
      <c r="AU216">
        <v>3.2</v>
      </c>
      <c r="AV216" s="205">
        <f t="shared" si="3"/>
        <v>6.18</v>
      </c>
    </row>
    <row r="217" spans="1:48" x14ac:dyDescent="0.25">
      <c r="A217" t="s">
        <v>208</v>
      </c>
      <c r="B217">
        <v>17.5</v>
      </c>
      <c r="C217">
        <v>14.3</v>
      </c>
      <c r="D217">
        <v>11.6</v>
      </c>
      <c r="E217">
        <v>15.2</v>
      </c>
      <c r="F217">
        <v>13.3</v>
      </c>
      <c r="G217">
        <v>7.6</v>
      </c>
      <c r="H217">
        <v>7.7</v>
      </c>
      <c r="I217">
        <v>10.8</v>
      </c>
      <c r="J217">
        <v>7.8</v>
      </c>
      <c r="K217">
        <v>11.4</v>
      </c>
      <c r="L217">
        <v>11.1</v>
      </c>
      <c r="M217">
        <v>3.8</v>
      </c>
      <c r="N217">
        <v>6.5</v>
      </c>
      <c r="O217">
        <v>10.8</v>
      </c>
      <c r="P217">
        <v>8.8000000000000007</v>
      </c>
      <c r="Q217">
        <v>5.3</v>
      </c>
      <c r="R217">
        <v>3.3</v>
      </c>
      <c r="S217">
        <v>3.7</v>
      </c>
      <c r="T217">
        <v>5.6</v>
      </c>
      <c r="U217">
        <v>3.4</v>
      </c>
      <c r="V217">
        <v>3.5</v>
      </c>
      <c r="W217">
        <v>5.6</v>
      </c>
      <c r="X217">
        <v>4.0999999999999996</v>
      </c>
      <c r="Y217">
        <v>3.8</v>
      </c>
      <c r="Z217">
        <v>3.8</v>
      </c>
      <c r="AA217">
        <v>6.9</v>
      </c>
      <c r="AB217">
        <v>8.3000000000000007</v>
      </c>
      <c r="AC217">
        <v>7.9</v>
      </c>
      <c r="AD217">
        <v>12</v>
      </c>
      <c r="AE217">
        <v>7</v>
      </c>
      <c r="AF217">
        <v>10.5</v>
      </c>
      <c r="AG217">
        <v>5.0999999999999996</v>
      </c>
      <c r="AH217">
        <v>9.3000000000000007</v>
      </c>
      <c r="AI217">
        <v>5.2</v>
      </c>
      <c r="AJ217">
        <v>5.7</v>
      </c>
      <c r="AK217">
        <v>4.7</v>
      </c>
      <c r="AL217">
        <v>3.1</v>
      </c>
      <c r="AM217">
        <v>1.9</v>
      </c>
      <c r="AN217">
        <v>1</v>
      </c>
      <c r="AO217">
        <v>1</v>
      </c>
      <c r="AP217">
        <v>0.6</v>
      </c>
      <c r="AQ217">
        <v>2.1</v>
      </c>
      <c r="AR217">
        <v>5.8</v>
      </c>
      <c r="AS217">
        <v>4.5999999999999996</v>
      </c>
      <c r="AT217">
        <v>0.5</v>
      </c>
      <c r="AU217">
        <v>1</v>
      </c>
      <c r="AV217" s="205">
        <f t="shared" si="3"/>
        <v>2.8</v>
      </c>
    </row>
    <row r="218" spans="1:48" x14ac:dyDescent="0.25">
      <c r="A218" t="s">
        <v>209</v>
      </c>
      <c r="B218">
        <v>10</v>
      </c>
      <c r="C218">
        <v>8.9</v>
      </c>
      <c r="D218">
        <v>13.7</v>
      </c>
      <c r="E218">
        <v>9</v>
      </c>
      <c r="F218">
        <v>8.6</v>
      </c>
      <c r="G218">
        <v>7.6</v>
      </c>
      <c r="H218">
        <v>6.2</v>
      </c>
      <c r="I218">
        <v>8.1999999999999993</v>
      </c>
      <c r="J218">
        <v>7.2</v>
      </c>
      <c r="K218">
        <v>7.7</v>
      </c>
      <c r="L218">
        <v>6.5</v>
      </c>
      <c r="M218">
        <v>7.7</v>
      </c>
      <c r="N218">
        <v>5.5</v>
      </c>
      <c r="O218">
        <v>4</v>
      </c>
      <c r="P218">
        <v>5.4</v>
      </c>
      <c r="Q218">
        <v>6.2</v>
      </c>
      <c r="R218">
        <v>3.7</v>
      </c>
      <c r="S218">
        <v>3.6</v>
      </c>
      <c r="T218">
        <v>3.1</v>
      </c>
      <c r="U218">
        <v>2.8</v>
      </c>
      <c r="V218">
        <v>2.8</v>
      </c>
      <c r="W218">
        <v>1.9</v>
      </c>
      <c r="X218">
        <v>2.7</v>
      </c>
      <c r="Y218">
        <v>2.7</v>
      </c>
      <c r="Z218">
        <v>3.7</v>
      </c>
      <c r="AA218">
        <v>1.9</v>
      </c>
      <c r="AB218">
        <v>4.0999999999999996</v>
      </c>
      <c r="AC218">
        <v>3.4</v>
      </c>
      <c r="AD218">
        <v>4.9000000000000004</v>
      </c>
      <c r="AE218">
        <v>3.5</v>
      </c>
      <c r="AF218">
        <v>4.4000000000000004</v>
      </c>
      <c r="AG218">
        <v>3.2</v>
      </c>
      <c r="AH218">
        <v>4.5999999999999996</v>
      </c>
      <c r="AI218">
        <v>5.4</v>
      </c>
      <c r="AJ218">
        <v>4.5999999999999996</v>
      </c>
      <c r="AK218">
        <v>4.4000000000000004</v>
      </c>
      <c r="AL218">
        <v>3.6</v>
      </c>
      <c r="AM218">
        <v>5.3</v>
      </c>
      <c r="AN218">
        <v>7.3</v>
      </c>
      <c r="AO218">
        <v>6.7</v>
      </c>
      <c r="AP218">
        <v>5.6</v>
      </c>
      <c r="AQ218">
        <v>5.7</v>
      </c>
      <c r="AR218">
        <v>8.3000000000000007</v>
      </c>
      <c r="AS218">
        <v>9.3000000000000007</v>
      </c>
      <c r="AT218">
        <v>7</v>
      </c>
      <c r="AU218">
        <v>5.3</v>
      </c>
      <c r="AV218" s="205">
        <f t="shared" si="3"/>
        <v>7.12</v>
      </c>
    </row>
    <row r="219" spans="1:48" x14ac:dyDescent="0.25">
      <c r="A219" t="s">
        <v>803</v>
      </c>
      <c r="B219">
        <v>110.6</v>
      </c>
      <c r="C219">
        <v>36.4</v>
      </c>
      <c r="D219">
        <v>31.1</v>
      </c>
      <c r="E219">
        <v>31.3</v>
      </c>
      <c r="F219">
        <v>48.4</v>
      </c>
      <c r="G219">
        <v>44.5</v>
      </c>
      <c r="H219">
        <v>34.6</v>
      </c>
      <c r="I219">
        <v>39</v>
      </c>
      <c r="J219">
        <v>73.2</v>
      </c>
      <c r="K219">
        <v>63.2</v>
      </c>
      <c r="L219">
        <v>60.4</v>
      </c>
      <c r="M219">
        <v>66</v>
      </c>
      <c r="N219">
        <v>70.099999999999994</v>
      </c>
      <c r="O219">
        <v>66.099999999999994</v>
      </c>
      <c r="P219">
        <v>104.5</v>
      </c>
      <c r="Q219">
        <v>89.6</v>
      </c>
      <c r="R219">
        <v>80.2</v>
      </c>
      <c r="S219">
        <v>85.7</v>
      </c>
      <c r="T219">
        <v>84.7</v>
      </c>
      <c r="U219">
        <v>64.900000000000006</v>
      </c>
      <c r="V219">
        <v>55</v>
      </c>
      <c r="W219">
        <v>54.2</v>
      </c>
      <c r="X219">
        <v>45.1</v>
      </c>
      <c r="Y219">
        <v>25.3</v>
      </c>
      <c r="Z219">
        <v>8.6</v>
      </c>
      <c r="AA219">
        <v>8.1</v>
      </c>
      <c r="AB219">
        <v>9.6</v>
      </c>
      <c r="AC219">
        <v>8.8000000000000007</v>
      </c>
      <c r="AD219">
        <v>10.4</v>
      </c>
      <c r="AE219">
        <v>6.2</v>
      </c>
      <c r="AF219">
        <v>8.6</v>
      </c>
      <c r="AG219">
        <v>6.5</v>
      </c>
      <c r="AH219">
        <v>8.9</v>
      </c>
      <c r="AI219">
        <v>7.5</v>
      </c>
      <c r="AJ219">
        <v>8.9</v>
      </c>
      <c r="AK219">
        <v>7.7</v>
      </c>
      <c r="AL219">
        <v>7.8</v>
      </c>
      <c r="AM219">
        <v>11.2</v>
      </c>
      <c r="AN219">
        <v>16.3</v>
      </c>
      <c r="AO219">
        <v>15.2</v>
      </c>
      <c r="AP219">
        <v>12.3</v>
      </c>
      <c r="AQ219">
        <v>19.600000000000001</v>
      </c>
      <c r="AR219">
        <v>72.3</v>
      </c>
      <c r="AS219">
        <v>53.9</v>
      </c>
      <c r="AT219">
        <v>58.5</v>
      </c>
      <c r="AU219">
        <v>34.9</v>
      </c>
      <c r="AV219" s="205">
        <f t="shared" si="3"/>
        <v>47.84</v>
      </c>
    </row>
    <row r="220" spans="1:48" x14ac:dyDescent="0.25">
      <c r="A220" t="s">
        <v>211</v>
      </c>
      <c r="B220" t="s">
        <v>746</v>
      </c>
      <c r="C220" t="s">
        <v>746</v>
      </c>
      <c r="D220" t="s">
        <v>746</v>
      </c>
      <c r="E220" t="s">
        <v>746</v>
      </c>
      <c r="F220" t="s">
        <v>746</v>
      </c>
      <c r="G220" t="s">
        <v>746</v>
      </c>
      <c r="H220" t="s">
        <v>746</v>
      </c>
      <c r="I220" t="s">
        <v>746</v>
      </c>
      <c r="J220" t="s">
        <v>746</v>
      </c>
      <c r="K220" t="s">
        <v>746</v>
      </c>
      <c r="L220" t="s">
        <v>746</v>
      </c>
      <c r="M220" t="s">
        <v>746</v>
      </c>
      <c r="N220" t="s">
        <v>746</v>
      </c>
      <c r="O220">
        <v>3102.4</v>
      </c>
      <c r="P220">
        <v>1748.3</v>
      </c>
      <c r="Q220">
        <v>1005.3</v>
      </c>
      <c r="R220">
        <v>992.4</v>
      </c>
      <c r="S220">
        <v>83.7</v>
      </c>
      <c r="T220">
        <v>16.8</v>
      </c>
      <c r="U220">
        <v>23.5</v>
      </c>
      <c r="V220">
        <v>8</v>
      </c>
      <c r="W220">
        <v>11.6</v>
      </c>
      <c r="X220">
        <v>8.8000000000000007</v>
      </c>
      <c r="Y220">
        <v>5.6</v>
      </c>
      <c r="Z220">
        <v>5.9</v>
      </c>
      <c r="AA220">
        <v>10.7</v>
      </c>
      <c r="AB220">
        <v>8.1999999999999993</v>
      </c>
      <c r="AC220">
        <v>6.3</v>
      </c>
      <c r="AD220">
        <v>14.5</v>
      </c>
      <c r="AE220">
        <v>-2.7</v>
      </c>
      <c r="AF220">
        <v>4.4000000000000004</v>
      </c>
      <c r="AG220">
        <v>5.3</v>
      </c>
      <c r="AH220">
        <v>5.3</v>
      </c>
      <c r="AI220">
        <v>6.8</v>
      </c>
      <c r="AJ220">
        <v>6</v>
      </c>
      <c r="AK220">
        <v>7.4</v>
      </c>
      <c r="AL220">
        <v>3.6</v>
      </c>
      <c r="AM220">
        <v>8</v>
      </c>
      <c r="AN220">
        <v>13.3</v>
      </c>
      <c r="AO220">
        <v>5.0999999999999996</v>
      </c>
      <c r="AP220">
        <v>6.1</v>
      </c>
      <c r="AQ220">
        <v>19.5</v>
      </c>
      <c r="AR220">
        <v>11.2</v>
      </c>
      <c r="AS220">
        <v>-1.6</v>
      </c>
      <c r="AT220">
        <v>4.5999999999999996</v>
      </c>
      <c r="AU220">
        <v>2.7</v>
      </c>
      <c r="AV220" s="205">
        <f t="shared" si="3"/>
        <v>7.2799999999999994</v>
      </c>
    </row>
    <row r="221" spans="1:48" x14ac:dyDescent="0.25">
      <c r="A221" t="s">
        <v>802</v>
      </c>
      <c r="B221" t="s">
        <v>746</v>
      </c>
      <c r="C221" t="s">
        <v>746</v>
      </c>
      <c r="D221" t="s">
        <v>746</v>
      </c>
      <c r="E221" t="s">
        <v>746</v>
      </c>
      <c r="F221" t="s">
        <v>746</v>
      </c>
      <c r="G221" t="s">
        <v>746</v>
      </c>
      <c r="H221" t="s">
        <v>746</v>
      </c>
      <c r="I221" t="s">
        <v>746</v>
      </c>
      <c r="J221" t="s">
        <v>746</v>
      </c>
      <c r="K221" t="s">
        <v>746</v>
      </c>
      <c r="L221" t="s">
        <v>746</v>
      </c>
      <c r="M221" t="s">
        <v>746</v>
      </c>
      <c r="N221" t="s">
        <v>746</v>
      </c>
      <c r="O221" t="s">
        <v>746</v>
      </c>
      <c r="P221" t="s">
        <v>746</v>
      </c>
      <c r="Q221" t="s">
        <v>746</v>
      </c>
      <c r="R221" t="s">
        <v>746</v>
      </c>
      <c r="S221" t="s">
        <v>746</v>
      </c>
      <c r="T221" t="s">
        <v>746</v>
      </c>
      <c r="U221" t="s">
        <v>746</v>
      </c>
      <c r="V221" t="s">
        <v>746</v>
      </c>
      <c r="W221" t="s">
        <v>746</v>
      </c>
      <c r="X221" t="s">
        <v>746</v>
      </c>
      <c r="Y221" t="s">
        <v>746</v>
      </c>
      <c r="Z221" t="s">
        <v>746</v>
      </c>
      <c r="AA221" t="s">
        <v>746</v>
      </c>
      <c r="AB221" t="s">
        <v>746</v>
      </c>
      <c r="AC221" t="s">
        <v>746</v>
      </c>
      <c r="AD221" t="s">
        <v>746</v>
      </c>
      <c r="AE221" t="s">
        <v>746</v>
      </c>
      <c r="AF221" t="s">
        <v>746</v>
      </c>
      <c r="AG221" t="s">
        <v>746</v>
      </c>
      <c r="AH221" t="s">
        <v>746</v>
      </c>
      <c r="AI221" t="s">
        <v>746</v>
      </c>
      <c r="AJ221" t="s">
        <v>746</v>
      </c>
      <c r="AK221" t="s">
        <v>746</v>
      </c>
      <c r="AL221" t="s">
        <v>746</v>
      </c>
      <c r="AM221" t="s">
        <v>746</v>
      </c>
      <c r="AN221" t="s">
        <v>746</v>
      </c>
      <c r="AO221" t="s">
        <v>746</v>
      </c>
      <c r="AP221" t="s">
        <v>746</v>
      </c>
      <c r="AQ221" t="s">
        <v>746</v>
      </c>
      <c r="AR221" t="s">
        <v>746</v>
      </c>
      <c r="AS221" t="s">
        <v>746</v>
      </c>
      <c r="AT221" t="s">
        <v>746</v>
      </c>
      <c r="AU221" t="s">
        <v>746</v>
      </c>
      <c r="AV221" s="205" t="e">
        <f t="shared" si="3"/>
        <v>#DIV/0!</v>
      </c>
    </row>
    <row r="222" spans="1:48" x14ac:dyDescent="0.25">
      <c r="A222" t="s">
        <v>212</v>
      </c>
      <c r="B222" t="s">
        <v>746</v>
      </c>
      <c r="C222" t="s">
        <v>746</v>
      </c>
      <c r="D222" t="s">
        <v>746</v>
      </c>
      <c r="E222" t="s">
        <v>746</v>
      </c>
      <c r="F222" t="s">
        <v>746</v>
      </c>
      <c r="G222" t="s">
        <v>746</v>
      </c>
      <c r="H222" t="s">
        <v>746</v>
      </c>
      <c r="I222" t="s">
        <v>746</v>
      </c>
      <c r="J222" t="s">
        <v>746</v>
      </c>
      <c r="K222" t="s">
        <v>746</v>
      </c>
      <c r="L222" t="s">
        <v>746</v>
      </c>
      <c r="M222" t="s">
        <v>746</v>
      </c>
      <c r="N222" t="s">
        <v>746</v>
      </c>
      <c r="O222" t="s">
        <v>746</v>
      </c>
      <c r="P222" t="s">
        <v>746</v>
      </c>
      <c r="Q222" t="s">
        <v>746</v>
      </c>
      <c r="R222" t="s">
        <v>746</v>
      </c>
      <c r="S222" t="s">
        <v>746</v>
      </c>
      <c r="T222" t="s">
        <v>746</v>
      </c>
      <c r="U222" t="s">
        <v>746</v>
      </c>
      <c r="V222" t="s">
        <v>746</v>
      </c>
      <c r="W222">
        <v>1.5</v>
      </c>
      <c r="X222">
        <v>5.0999999999999996</v>
      </c>
      <c r="Y222">
        <v>2.9</v>
      </c>
      <c r="Z222">
        <v>2.4</v>
      </c>
      <c r="AA222">
        <v>3.2</v>
      </c>
      <c r="AB222">
        <v>4.2</v>
      </c>
      <c r="AC222">
        <v>2.2999999999999998</v>
      </c>
      <c r="AD222">
        <v>10.4</v>
      </c>
      <c r="AE222">
        <v>-0.3</v>
      </c>
      <c r="AF222">
        <v>-1.9</v>
      </c>
      <c r="AG222">
        <v>0.5</v>
      </c>
      <c r="AH222">
        <v>1.4</v>
      </c>
      <c r="AI222">
        <v>2</v>
      </c>
      <c r="AJ222">
        <v>1.1000000000000001</v>
      </c>
      <c r="AK222">
        <v>3.1</v>
      </c>
      <c r="AL222">
        <v>3.5</v>
      </c>
      <c r="AM222">
        <v>4.0999999999999996</v>
      </c>
      <c r="AN222">
        <v>2.2000000000000002</v>
      </c>
      <c r="AO222">
        <v>3.5</v>
      </c>
      <c r="AP222">
        <v>1.6</v>
      </c>
      <c r="AQ222">
        <v>6.7</v>
      </c>
      <c r="AR222">
        <v>12.2</v>
      </c>
      <c r="AS222">
        <v>7.2</v>
      </c>
      <c r="AT222">
        <v>1.2</v>
      </c>
      <c r="AU222">
        <v>2</v>
      </c>
      <c r="AV222" s="205">
        <f t="shared" si="3"/>
        <v>5.8599999999999994</v>
      </c>
    </row>
    <row r="223" spans="1:48" x14ac:dyDescent="0.25">
      <c r="A223" t="s">
        <v>213</v>
      </c>
      <c r="B223">
        <v>99.2</v>
      </c>
      <c r="C223">
        <v>100</v>
      </c>
      <c r="D223">
        <v>100</v>
      </c>
      <c r="E223">
        <v>150</v>
      </c>
      <c r="F223">
        <v>16.7</v>
      </c>
      <c r="G223">
        <v>100</v>
      </c>
      <c r="H223">
        <v>143.80000000000001</v>
      </c>
      <c r="I223">
        <v>215.4</v>
      </c>
      <c r="J223">
        <v>166.7</v>
      </c>
      <c r="K223">
        <v>130.80000000000001</v>
      </c>
      <c r="L223">
        <v>45.4</v>
      </c>
      <c r="M223">
        <v>20.8</v>
      </c>
      <c r="N223">
        <v>42.2</v>
      </c>
      <c r="O223">
        <v>30</v>
      </c>
      <c r="P223">
        <v>5.8</v>
      </c>
      <c r="Q223">
        <v>6.8</v>
      </c>
      <c r="R223">
        <v>7.5</v>
      </c>
      <c r="S223">
        <v>7.7</v>
      </c>
      <c r="T223">
        <v>5.8</v>
      </c>
      <c r="U223">
        <v>5.8</v>
      </c>
      <c r="V223">
        <v>3.4</v>
      </c>
      <c r="W223">
        <v>1.9</v>
      </c>
      <c r="X223">
        <v>-0.3</v>
      </c>
      <c r="Y223">
        <v>8.6999999999999993</v>
      </c>
      <c r="Z223">
        <v>3.7</v>
      </c>
      <c r="AA223">
        <v>8.6</v>
      </c>
      <c r="AB223">
        <v>7.2</v>
      </c>
      <c r="AC223">
        <v>6.1</v>
      </c>
      <c r="AD223">
        <v>12</v>
      </c>
      <c r="AE223">
        <v>13</v>
      </c>
      <c r="AF223">
        <v>4</v>
      </c>
      <c r="AG223">
        <v>18.7</v>
      </c>
      <c r="AH223">
        <v>14</v>
      </c>
      <c r="AI223">
        <v>5.5</v>
      </c>
      <c r="AJ223">
        <v>4.3</v>
      </c>
      <c r="AK223">
        <v>3.7</v>
      </c>
      <c r="AL223">
        <v>5.2</v>
      </c>
      <c r="AM223">
        <v>5.6</v>
      </c>
      <c r="AN223">
        <v>2.5</v>
      </c>
      <c r="AO223">
        <v>2.1</v>
      </c>
      <c r="AP223">
        <v>2.8</v>
      </c>
      <c r="AQ223">
        <v>2.2000000000000002</v>
      </c>
      <c r="AR223">
        <v>7.2</v>
      </c>
      <c r="AS223">
        <v>5.4</v>
      </c>
      <c r="AT223">
        <v>3.3</v>
      </c>
      <c r="AU223">
        <v>3.6</v>
      </c>
      <c r="AV223" s="205">
        <f t="shared" si="3"/>
        <v>4.3400000000000007</v>
      </c>
    </row>
    <row r="224" spans="1:48" x14ac:dyDescent="0.25">
      <c r="A224" t="s">
        <v>214</v>
      </c>
      <c r="B224" t="s">
        <v>746</v>
      </c>
      <c r="C224" t="s">
        <v>746</v>
      </c>
      <c r="D224" t="s">
        <v>746</v>
      </c>
      <c r="E224" t="s">
        <v>746</v>
      </c>
      <c r="F224" t="s">
        <v>746</v>
      </c>
      <c r="G224" t="s">
        <v>746</v>
      </c>
      <c r="H224" t="s">
        <v>746</v>
      </c>
      <c r="I224" t="s">
        <v>746</v>
      </c>
      <c r="J224" t="s">
        <v>746</v>
      </c>
      <c r="K224" t="s">
        <v>746</v>
      </c>
      <c r="L224" t="s">
        <v>746</v>
      </c>
      <c r="M224" t="s">
        <v>746</v>
      </c>
      <c r="N224">
        <v>1210</v>
      </c>
      <c r="O224">
        <v>4734.8999999999996</v>
      </c>
      <c r="P224">
        <v>891.2</v>
      </c>
      <c r="Q224">
        <v>376.7</v>
      </c>
      <c r="R224">
        <v>80.2</v>
      </c>
      <c r="S224">
        <v>15.9</v>
      </c>
      <c r="T224">
        <v>10.6</v>
      </c>
      <c r="U224">
        <v>22.7</v>
      </c>
      <c r="V224">
        <v>28.2</v>
      </c>
      <c r="W224">
        <v>12</v>
      </c>
      <c r="X224">
        <v>0.8</v>
      </c>
      <c r="Y224">
        <v>5.2</v>
      </c>
      <c r="Z224">
        <v>9</v>
      </c>
      <c r="AA224">
        <v>13.5</v>
      </c>
      <c r="AB224">
        <v>9.1</v>
      </c>
      <c r="AC224">
        <v>12.8</v>
      </c>
      <c r="AD224">
        <v>25.2</v>
      </c>
      <c r="AE224">
        <v>15.9</v>
      </c>
      <c r="AF224">
        <v>9.4</v>
      </c>
      <c r="AG224">
        <v>8</v>
      </c>
      <c r="AH224">
        <v>0.6</v>
      </c>
      <c r="AI224">
        <v>-0.3</v>
      </c>
      <c r="AJ224">
        <v>12.1</v>
      </c>
      <c r="AK224">
        <v>48.7</v>
      </c>
      <c r="AL224">
        <v>13.9</v>
      </c>
      <c r="AM224">
        <v>14.4</v>
      </c>
      <c r="AN224">
        <v>10.9</v>
      </c>
      <c r="AO224">
        <v>7.9</v>
      </c>
      <c r="AP224">
        <v>2.7</v>
      </c>
      <c r="AQ224">
        <v>9.4</v>
      </c>
      <c r="AR224">
        <v>20.2</v>
      </c>
      <c r="AS224">
        <v>12.9</v>
      </c>
      <c r="AT224">
        <v>6.5</v>
      </c>
      <c r="AU224">
        <v>12.7</v>
      </c>
      <c r="AV224" s="205">
        <f t="shared" si="3"/>
        <v>12.34</v>
      </c>
    </row>
    <row r="225" spans="1:48" x14ac:dyDescent="0.25">
      <c r="A225" t="s">
        <v>215</v>
      </c>
      <c r="B225">
        <v>10.1</v>
      </c>
      <c r="C225">
        <v>7.9</v>
      </c>
      <c r="D225">
        <v>7.1</v>
      </c>
      <c r="E225">
        <v>1.3</v>
      </c>
      <c r="F225">
        <v>2.4</v>
      </c>
      <c r="G225">
        <v>3.5</v>
      </c>
      <c r="H225">
        <v>5.4</v>
      </c>
      <c r="I225">
        <v>5.5</v>
      </c>
      <c r="J225">
        <v>5</v>
      </c>
      <c r="K225">
        <v>2.8</v>
      </c>
      <c r="L225">
        <v>0.6</v>
      </c>
      <c r="M225">
        <v>3.4</v>
      </c>
      <c r="N225">
        <v>6.4</v>
      </c>
      <c r="O225">
        <v>5.3</v>
      </c>
      <c r="P225">
        <v>5.7</v>
      </c>
      <c r="Q225">
        <v>4.3</v>
      </c>
      <c r="R225">
        <v>3</v>
      </c>
      <c r="S225">
        <v>3</v>
      </c>
      <c r="T225">
        <v>2</v>
      </c>
      <c r="U225">
        <v>2.1</v>
      </c>
      <c r="V225">
        <v>1.3</v>
      </c>
      <c r="W225">
        <v>2.8</v>
      </c>
      <c r="X225">
        <v>2.9</v>
      </c>
      <c r="Y225">
        <v>3.1</v>
      </c>
      <c r="Z225">
        <v>5</v>
      </c>
      <c r="AA225">
        <v>6.2</v>
      </c>
      <c r="AB225">
        <v>9.3000000000000007</v>
      </c>
      <c r="AC225">
        <v>11.1</v>
      </c>
      <c r="AD225">
        <v>12.3</v>
      </c>
      <c r="AE225">
        <v>-4.7</v>
      </c>
      <c r="AF225">
        <v>0.9</v>
      </c>
      <c r="AG225">
        <v>0.9</v>
      </c>
      <c r="AH225">
        <v>0.7</v>
      </c>
      <c r="AI225">
        <v>1.1000000000000001</v>
      </c>
      <c r="AJ225">
        <v>2.2999999999999998</v>
      </c>
      <c r="AK225">
        <v>4.0999999999999996</v>
      </c>
      <c r="AL225">
        <v>1.6</v>
      </c>
      <c r="AM225">
        <v>2</v>
      </c>
      <c r="AN225">
        <v>3.1</v>
      </c>
      <c r="AO225">
        <v>-1.9</v>
      </c>
      <c r="AP225">
        <v>-2.1</v>
      </c>
      <c r="AQ225">
        <v>-0.1</v>
      </c>
      <c r="AR225">
        <v>4.8</v>
      </c>
      <c r="AS225">
        <v>1.6</v>
      </c>
      <c r="AT225">
        <v>1.7</v>
      </c>
      <c r="AU225">
        <v>1.3</v>
      </c>
      <c r="AV225" s="205">
        <f t="shared" si="3"/>
        <v>1.86</v>
      </c>
    </row>
    <row r="226" spans="1:48" x14ac:dyDescent="0.25">
      <c r="A226" t="s">
        <v>216</v>
      </c>
      <c r="B226">
        <v>16.8</v>
      </c>
      <c r="C226">
        <v>12.2</v>
      </c>
      <c r="D226">
        <v>8.5</v>
      </c>
      <c r="E226">
        <v>5.2</v>
      </c>
      <c r="F226">
        <v>4.4000000000000004</v>
      </c>
      <c r="G226">
        <v>5.2</v>
      </c>
      <c r="H226">
        <v>3.6</v>
      </c>
      <c r="I226">
        <v>4.0999999999999996</v>
      </c>
      <c r="J226">
        <v>4.5999999999999996</v>
      </c>
      <c r="K226">
        <v>5.2</v>
      </c>
      <c r="L226">
        <v>7</v>
      </c>
      <c r="M226">
        <v>7.5</v>
      </c>
      <c r="N226">
        <v>4.2</v>
      </c>
      <c r="O226">
        <v>2.5</v>
      </c>
      <c r="P226">
        <v>2</v>
      </c>
      <c r="Q226">
        <v>2.6</v>
      </c>
      <c r="R226">
        <v>2.4</v>
      </c>
      <c r="S226">
        <v>1.8</v>
      </c>
      <c r="T226">
        <v>1.6</v>
      </c>
      <c r="U226">
        <v>1.3</v>
      </c>
      <c r="V226">
        <v>0.8</v>
      </c>
      <c r="W226">
        <v>1.2</v>
      </c>
      <c r="X226">
        <v>1.3</v>
      </c>
      <c r="Y226">
        <v>1.4</v>
      </c>
      <c r="Z226">
        <v>1.3</v>
      </c>
      <c r="AA226">
        <v>2.1</v>
      </c>
      <c r="AB226">
        <v>2.2999999999999998</v>
      </c>
      <c r="AC226">
        <v>2.2999999999999998</v>
      </c>
      <c r="AD226">
        <v>3.6</v>
      </c>
      <c r="AE226">
        <v>2.2000000000000002</v>
      </c>
      <c r="AF226">
        <v>3.3</v>
      </c>
      <c r="AG226">
        <v>4.5</v>
      </c>
      <c r="AH226">
        <v>2.8</v>
      </c>
      <c r="AI226">
        <v>2.6</v>
      </c>
      <c r="AJ226">
        <v>1.5</v>
      </c>
      <c r="AK226">
        <v>0</v>
      </c>
      <c r="AL226">
        <v>0.7</v>
      </c>
      <c r="AM226">
        <v>2.7</v>
      </c>
      <c r="AN226">
        <v>2.5</v>
      </c>
      <c r="AO226">
        <v>1.8</v>
      </c>
      <c r="AP226">
        <v>0.9</v>
      </c>
      <c r="AQ226">
        <v>2.6</v>
      </c>
      <c r="AR226">
        <v>9.1</v>
      </c>
      <c r="AS226">
        <v>7.3</v>
      </c>
      <c r="AT226">
        <v>2.5</v>
      </c>
      <c r="AU226">
        <v>3.4</v>
      </c>
      <c r="AV226" s="205">
        <f t="shared" si="3"/>
        <v>4.9799999999999995</v>
      </c>
    </row>
    <row r="227" spans="1:48" x14ac:dyDescent="0.25">
      <c r="A227" t="s">
        <v>217</v>
      </c>
      <c r="B227">
        <v>13.5</v>
      </c>
      <c r="C227">
        <v>10.4</v>
      </c>
      <c r="D227">
        <v>6.2</v>
      </c>
      <c r="E227">
        <v>3.2</v>
      </c>
      <c r="F227">
        <v>4.4000000000000004</v>
      </c>
      <c r="G227">
        <v>3.5</v>
      </c>
      <c r="H227">
        <v>1.9</v>
      </c>
      <c r="I227">
        <v>3.6</v>
      </c>
      <c r="J227">
        <v>4.0999999999999996</v>
      </c>
      <c r="K227">
        <v>4.8</v>
      </c>
      <c r="L227">
        <v>5.4</v>
      </c>
      <c r="M227">
        <v>4.2</v>
      </c>
      <c r="N227">
        <v>3</v>
      </c>
      <c r="O227">
        <v>3</v>
      </c>
      <c r="P227">
        <v>2.6</v>
      </c>
      <c r="Q227">
        <v>2.8</v>
      </c>
      <c r="R227">
        <v>2.9</v>
      </c>
      <c r="S227">
        <v>2.2999999999999998</v>
      </c>
      <c r="T227">
        <v>1.5</v>
      </c>
      <c r="U227">
        <v>2.2000000000000002</v>
      </c>
      <c r="V227">
        <v>3.4</v>
      </c>
      <c r="W227">
        <v>2.8</v>
      </c>
      <c r="X227">
        <v>1.6</v>
      </c>
      <c r="Y227">
        <v>2.2999999999999998</v>
      </c>
      <c r="Z227">
        <v>2.7</v>
      </c>
      <c r="AA227">
        <v>3.4</v>
      </c>
      <c r="AB227">
        <v>3.2</v>
      </c>
      <c r="AC227">
        <v>2.9</v>
      </c>
      <c r="AD227">
        <v>3.8</v>
      </c>
      <c r="AE227">
        <v>-0.3</v>
      </c>
      <c r="AF227">
        <v>1.6</v>
      </c>
      <c r="AG227">
        <v>3.1</v>
      </c>
      <c r="AH227">
        <v>2.1</v>
      </c>
      <c r="AI227">
        <v>1.5</v>
      </c>
      <c r="AJ227">
        <v>1.6</v>
      </c>
      <c r="AK227">
        <v>0.1</v>
      </c>
      <c r="AL227">
        <v>1.3</v>
      </c>
      <c r="AM227">
        <v>2.1</v>
      </c>
      <c r="AN227">
        <v>2.4</v>
      </c>
      <c r="AO227">
        <v>1.8</v>
      </c>
      <c r="AP227">
        <v>1.3</v>
      </c>
      <c r="AQ227">
        <v>4.7</v>
      </c>
      <c r="AR227">
        <v>8</v>
      </c>
      <c r="AS227">
        <v>4.0999999999999996</v>
      </c>
      <c r="AT227">
        <v>3</v>
      </c>
      <c r="AU227">
        <v>2.7</v>
      </c>
      <c r="AV227" s="205">
        <f t="shared" si="3"/>
        <v>4.4999999999999991</v>
      </c>
    </row>
    <row r="228" spans="1:48" x14ac:dyDescent="0.25">
      <c r="A228" t="s">
        <v>804</v>
      </c>
      <c r="B228" t="s">
        <v>746</v>
      </c>
      <c r="C228" t="s">
        <v>746</v>
      </c>
      <c r="D228" t="s">
        <v>746</v>
      </c>
      <c r="E228" t="s">
        <v>746</v>
      </c>
      <c r="F228" t="s">
        <v>746</v>
      </c>
      <c r="G228" t="s">
        <v>746</v>
      </c>
      <c r="H228" t="s">
        <v>746</v>
      </c>
      <c r="I228" t="s">
        <v>746</v>
      </c>
      <c r="J228" t="s">
        <v>746</v>
      </c>
      <c r="K228" t="s">
        <v>746</v>
      </c>
      <c r="L228" t="s">
        <v>746</v>
      </c>
      <c r="M228" t="s">
        <v>746</v>
      </c>
      <c r="N228" t="s">
        <v>746</v>
      </c>
      <c r="O228" t="s">
        <v>746</v>
      </c>
      <c r="P228" t="s">
        <v>746</v>
      </c>
      <c r="Q228" t="s">
        <v>746</v>
      </c>
      <c r="R228" t="s">
        <v>746</v>
      </c>
      <c r="S228" t="s">
        <v>746</v>
      </c>
      <c r="T228" t="s">
        <v>746</v>
      </c>
      <c r="U228" t="s">
        <v>746</v>
      </c>
      <c r="V228" t="s">
        <v>746</v>
      </c>
      <c r="W228" t="s">
        <v>746</v>
      </c>
      <c r="X228" t="s">
        <v>746</v>
      </c>
      <c r="Y228" t="s">
        <v>746</v>
      </c>
      <c r="Z228" t="s">
        <v>746</v>
      </c>
      <c r="AA228" t="s">
        <v>746</v>
      </c>
      <c r="AB228" t="s">
        <v>746</v>
      </c>
      <c r="AC228" t="s">
        <v>746</v>
      </c>
      <c r="AD228" t="s">
        <v>746</v>
      </c>
      <c r="AE228" t="s">
        <v>746</v>
      </c>
      <c r="AF228" t="s">
        <v>746</v>
      </c>
      <c r="AG228" t="s">
        <v>746</v>
      </c>
      <c r="AH228" t="s">
        <v>746</v>
      </c>
      <c r="AI228" t="s">
        <v>746</v>
      </c>
      <c r="AJ228" t="s">
        <v>746</v>
      </c>
      <c r="AK228" t="s">
        <v>746</v>
      </c>
      <c r="AL228" t="s">
        <v>746</v>
      </c>
      <c r="AM228" t="s">
        <v>746</v>
      </c>
      <c r="AN228" t="s">
        <v>746</v>
      </c>
      <c r="AO228" t="s">
        <v>746</v>
      </c>
      <c r="AP228" t="s">
        <v>746</v>
      </c>
      <c r="AQ228" t="s">
        <v>746</v>
      </c>
      <c r="AR228" t="s">
        <v>746</v>
      </c>
      <c r="AS228" t="s">
        <v>746</v>
      </c>
      <c r="AT228" t="s">
        <v>746</v>
      </c>
      <c r="AU228" t="s">
        <v>746</v>
      </c>
      <c r="AV228" s="205" t="e">
        <f t="shared" si="3"/>
        <v>#DIV/0!</v>
      </c>
    </row>
    <row r="229" spans="1:48" x14ac:dyDescent="0.25">
      <c r="A229" t="s">
        <v>218</v>
      </c>
      <c r="B229">
        <v>63.5</v>
      </c>
      <c r="C229">
        <v>34</v>
      </c>
      <c r="D229">
        <v>19</v>
      </c>
      <c r="E229">
        <v>49.2</v>
      </c>
      <c r="F229">
        <v>55.3</v>
      </c>
      <c r="G229">
        <v>72.2</v>
      </c>
      <c r="H229">
        <v>76.400000000000006</v>
      </c>
      <c r="I229">
        <v>63.6</v>
      </c>
      <c r="J229">
        <v>62.2</v>
      </c>
      <c r="K229">
        <v>80.400000000000006</v>
      </c>
      <c r="L229">
        <v>112.5</v>
      </c>
      <c r="M229">
        <v>102</v>
      </c>
      <c r="N229">
        <v>68.5</v>
      </c>
      <c r="O229">
        <v>54.1</v>
      </c>
      <c r="P229">
        <v>44.7</v>
      </c>
      <c r="Q229">
        <v>42.2</v>
      </c>
      <c r="R229">
        <v>28.3</v>
      </c>
      <c r="S229">
        <v>19.8</v>
      </c>
      <c r="T229">
        <v>10.8</v>
      </c>
      <c r="U229">
        <v>5.7</v>
      </c>
      <c r="V229">
        <v>4.8</v>
      </c>
      <c r="W229">
        <v>4.4000000000000004</v>
      </c>
      <c r="X229">
        <v>14</v>
      </c>
      <c r="Y229">
        <v>19.399999999999999</v>
      </c>
      <c r="Z229">
        <v>9.1999999999999993</v>
      </c>
      <c r="AA229">
        <v>4.7</v>
      </c>
      <c r="AB229">
        <v>6.4</v>
      </c>
      <c r="AC229">
        <v>8.1</v>
      </c>
      <c r="AD229">
        <v>7.9</v>
      </c>
      <c r="AE229">
        <v>7.1</v>
      </c>
      <c r="AF229">
        <v>6.7</v>
      </c>
      <c r="AG229">
        <v>8.1</v>
      </c>
      <c r="AH229">
        <v>8.1</v>
      </c>
      <c r="AI229">
        <v>8.6</v>
      </c>
      <c r="AJ229">
        <v>8.9</v>
      </c>
      <c r="AK229">
        <v>8.6999999999999993</v>
      </c>
      <c r="AL229">
        <v>9.6</v>
      </c>
      <c r="AM229">
        <v>6.2</v>
      </c>
      <c r="AN229">
        <v>7.6</v>
      </c>
      <c r="AO229">
        <v>7.9</v>
      </c>
      <c r="AP229">
        <v>9.8000000000000007</v>
      </c>
      <c r="AQ229">
        <v>7.7</v>
      </c>
      <c r="AR229">
        <v>9.1</v>
      </c>
      <c r="AS229">
        <v>5.9</v>
      </c>
      <c r="AT229">
        <v>4.8</v>
      </c>
      <c r="AU229">
        <v>4.7</v>
      </c>
      <c r="AV229" s="205">
        <f t="shared" si="3"/>
        <v>6.44</v>
      </c>
    </row>
    <row r="230" spans="1:48" x14ac:dyDescent="0.25">
      <c r="A230" t="s">
        <v>219</v>
      </c>
      <c r="B230" t="s">
        <v>746</v>
      </c>
      <c r="C230" t="s">
        <v>746</v>
      </c>
      <c r="D230" t="s">
        <v>746</v>
      </c>
      <c r="E230" t="s">
        <v>746</v>
      </c>
      <c r="F230" t="s">
        <v>746</v>
      </c>
      <c r="G230" t="s">
        <v>746</v>
      </c>
      <c r="H230" t="s">
        <v>746</v>
      </c>
      <c r="I230" t="s">
        <v>746</v>
      </c>
      <c r="J230" t="s">
        <v>746</v>
      </c>
      <c r="K230" t="s">
        <v>746</v>
      </c>
      <c r="L230" t="s">
        <v>746</v>
      </c>
      <c r="M230" t="s">
        <v>746</v>
      </c>
      <c r="N230">
        <v>645.1</v>
      </c>
      <c r="O230">
        <v>534.20000000000005</v>
      </c>
      <c r="P230">
        <v>1568.3</v>
      </c>
      <c r="Q230">
        <v>304.60000000000002</v>
      </c>
      <c r="R230">
        <v>54</v>
      </c>
      <c r="S230">
        <v>70.900000000000006</v>
      </c>
      <c r="T230">
        <v>29</v>
      </c>
      <c r="U230">
        <v>29.1</v>
      </c>
      <c r="V230">
        <v>25</v>
      </c>
      <c r="W230">
        <v>27.3</v>
      </c>
      <c r="X230">
        <v>27.3</v>
      </c>
      <c r="Y230">
        <v>12.5</v>
      </c>
      <c r="Z230">
        <v>7.3</v>
      </c>
      <c r="AA230">
        <v>10.7</v>
      </c>
      <c r="AB230">
        <v>13.1</v>
      </c>
      <c r="AC230">
        <v>11.2</v>
      </c>
      <c r="AD230">
        <v>13.1</v>
      </c>
      <c r="AE230">
        <v>12.3</v>
      </c>
      <c r="AF230">
        <v>12.3</v>
      </c>
      <c r="AG230">
        <v>12.4</v>
      </c>
      <c r="AH230">
        <v>11.9</v>
      </c>
      <c r="AI230">
        <v>11.7</v>
      </c>
      <c r="AJ230">
        <v>9.1</v>
      </c>
      <c r="AK230">
        <v>8.5</v>
      </c>
      <c r="AL230">
        <v>8.8000000000000007</v>
      </c>
      <c r="AM230">
        <v>13.9</v>
      </c>
      <c r="AN230">
        <v>17.5</v>
      </c>
      <c r="AO230">
        <v>14.5</v>
      </c>
      <c r="AP230">
        <v>12.9</v>
      </c>
      <c r="AQ230">
        <v>10.8</v>
      </c>
      <c r="AR230">
        <v>11.4</v>
      </c>
      <c r="AS230">
        <v>10</v>
      </c>
      <c r="AT230">
        <v>9.6</v>
      </c>
      <c r="AU230">
        <v>8.8000000000000007</v>
      </c>
      <c r="AV230" s="205">
        <f t="shared" si="3"/>
        <v>10.120000000000001</v>
      </c>
    </row>
    <row r="231" spans="1:48" x14ac:dyDescent="0.25">
      <c r="A231" t="s">
        <v>220</v>
      </c>
      <c r="B231">
        <v>11.2</v>
      </c>
      <c r="C231">
        <v>26.8</v>
      </c>
      <c r="D231">
        <v>6.7</v>
      </c>
      <c r="E231">
        <v>1.7</v>
      </c>
      <c r="F231">
        <v>5.5</v>
      </c>
      <c r="G231">
        <v>1.1000000000000001</v>
      </c>
      <c r="H231">
        <v>4.8</v>
      </c>
      <c r="I231">
        <v>16</v>
      </c>
      <c r="J231">
        <v>8.8000000000000007</v>
      </c>
      <c r="K231">
        <v>7.7</v>
      </c>
      <c r="L231">
        <v>4.8</v>
      </c>
      <c r="M231">
        <v>6.5</v>
      </c>
      <c r="N231">
        <v>4.0999999999999996</v>
      </c>
      <c r="O231">
        <v>3.6</v>
      </c>
      <c r="P231">
        <v>2.2999999999999998</v>
      </c>
      <c r="Q231">
        <v>2.2000000000000002</v>
      </c>
      <c r="R231">
        <v>0.9</v>
      </c>
      <c r="S231">
        <v>2.8</v>
      </c>
      <c r="T231">
        <v>3.6</v>
      </c>
      <c r="U231">
        <v>2</v>
      </c>
      <c r="V231">
        <v>2.5</v>
      </c>
      <c r="W231">
        <v>3.6</v>
      </c>
      <c r="X231">
        <v>2</v>
      </c>
      <c r="Y231">
        <v>3</v>
      </c>
      <c r="Z231">
        <v>1.4</v>
      </c>
      <c r="AA231">
        <v>1.2</v>
      </c>
      <c r="AB231">
        <v>2</v>
      </c>
      <c r="AC231">
        <v>3.9</v>
      </c>
      <c r="AD231">
        <v>4.8</v>
      </c>
      <c r="AE231">
        <v>4.3</v>
      </c>
      <c r="AF231">
        <v>2.8</v>
      </c>
      <c r="AG231">
        <v>0.9</v>
      </c>
      <c r="AH231">
        <v>1.3</v>
      </c>
      <c r="AI231">
        <v>1.5</v>
      </c>
      <c r="AJ231">
        <v>0.8</v>
      </c>
      <c r="AK231">
        <v>2.5</v>
      </c>
      <c r="AL231">
        <v>0.8</v>
      </c>
      <c r="AM231">
        <v>3.1</v>
      </c>
      <c r="AN231">
        <v>2.4</v>
      </c>
      <c r="AO231">
        <v>2.7</v>
      </c>
      <c r="AP231">
        <v>5.3</v>
      </c>
      <c r="AQ231">
        <v>2.2999999999999998</v>
      </c>
      <c r="AR231">
        <v>6.7</v>
      </c>
      <c r="AS231">
        <v>11.2</v>
      </c>
      <c r="AT231">
        <v>1.1000000000000001</v>
      </c>
      <c r="AU231">
        <v>1.7</v>
      </c>
      <c r="AV231" s="205">
        <f t="shared" si="3"/>
        <v>4.5999999999999996</v>
      </c>
    </row>
    <row r="232" spans="1:48" x14ac:dyDescent="0.25">
      <c r="A232" t="s">
        <v>805</v>
      </c>
      <c r="B232">
        <v>21.4</v>
      </c>
      <c r="C232">
        <v>16.2</v>
      </c>
      <c r="D232">
        <v>9.6</v>
      </c>
      <c r="E232">
        <v>6.2</v>
      </c>
      <c r="F232">
        <v>12.2</v>
      </c>
      <c r="G232">
        <v>11.4</v>
      </c>
      <c r="H232">
        <v>11.5</v>
      </c>
      <c r="I232">
        <v>28.1</v>
      </c>
      <c r="J232">
        <v>29.5</v>
      </c>
      <c r="K232">
        <v>84.5</v>
      </c>
      <c r="L232">
        <v>40.700000000000003</v>
      </c>
      <c r="M232">
        <v>34.200000000000003</v>
      </c>
      <c r="N232">
        <v>31.4</v>
      </c>
      <c r="O232">
        <v>38.1</v>
      </c>
      <c r="P232">
        <v>60.8</v>
      </c>
      <c r="Q232">
        <v>59.9</v>
      </c>
      <c r="R232">
        <v>99.9</v>
      </c>
      <c r="S232">
        <v>50</v>
      </c>
      <c r="T232">
        <v>35.799999999999997</v>
      </c>
      <c r="U232">
        <v>23.6</v>
      </c>
      <c r="V232">
        <v>16.2</v>
      </c>
      <c r="W232">
        <v>12.5</v>
      </c>
      <c r="X232">
        <v>22.4</v>
      </c>
      <c r="Y232">
        <v>31.1</v>
      </c>
      <c r="Z232">
        <v>21.7</v>
      </c>
      <c r="AA232">
        <v>16</v>
      </c>
      <c r="AB232">
        <v>13.7</v>
      </c>
      <c r="AC232">
        <v>18.7</v>
      </c>
      <c r="AD232">
        <v>31.4</v>
      </c>
      <c r="AE232">
        <v>26</v>
      </c>
      <c r="AF232">
        <v>28.2</v>
      </c>
      <c r="AG232">
        <v>26.1</v>
      </c>
      <c r="AH232">
        <v>21.1</v>
      </c>
      <c r="AI232">
        <v>40.6</v>
      </c>
      <c r="AJ232">
        <v>62.2</v>
      </c>
      <c r="AK232">
        <v>121.7</v>
      </c>
      <c r="AL232">
        <v>254.9</v>
      </c>
      <c r="AM232">
        <v>438.1</v>
      </c>
      <c r="AN232">
        <v>65374.1</v>
      </c>
      <c r="AO232">
        <v>19906</v>
      </c>
      <c r="AP232">
        <v>2355.1</v>
      </c>
      <c r="AQ232">
        <v>1588.5</v>
      </c>
      <c r="AR232">
        <v>186.5</v>
      </c>
      <c r="AS232">
        <v>337.5</v>
      </c>
      <c r="AT232">
        <v>49.4</v>
      </c>
      <c r="AU232">
        <v>252</v>
      </c>
      <c r="AV232" s="205">
        <f t="shared" si="3"/>
        <v>482.78000000000003</v>
      </c>
    </row>
    <row r="233" spans="1:48" x14ac:dyDescent="0.25">
      <c r="A233" t="s">
        <v>806</v>
      </c>
      <c r="B233">
        <v>25.2</v>
      </c>
      <c r="C233">
        <v>69.599999999999994</v>
      </c>
      <c r="D233">
        <v>95.4</v>
      </c>
      <c r="E233">
        <v>49.5</v>
      </c>
      <c r="F233">
        <v>64.900000000000006</v>
      </c>
      <c r="G233">
        <v>91.6</v>
      </c>
      <c r="H233">
        <v>453.5</v>
      </c>
      <c r="I233">
        <v>360.4</v>
      </c>
      <c r="J233">
        <v>374.4</v>
      </c>
      <c r="K233">
        <v>95.8</v>
      </c>
      <c r="L233">
        <v>36</v>
      </c>
      <c r="M233">
        <v>81.8</v>
      </c>
      <c r="N233">
        <v>37.700000000000003</v>
      </c>
      <c r="O233">
        <v>8.4</v>
      </c>
      <c r="P233">
        <v>10.4</v>
      </c>
      <c r="Q233">
        <v>16.899999999999999</v>
      </c>
      <c r="R233">
        <v>5.6</v>
      </c>
      <c r="S233">
        <v>3.1</v>
      </c>
      <c r="T233">
        <v>7.2</v>
      </c>
      <c r="U233">
        <v>4.0999999999999996</v>
      </c>
      <c r="V233">
        <v>-1.8</v>
      </c>
      <c r="W233">
        <v>-0.3</v>
      </c>
      <c r="X233">
        <v>4.0999999999999996</v>
      </c>
      <c r="Y233">
        <v>3.3</v>
      </c>
      <c r="Z233">
        <v>7.9</v>
      </c>
      <c r="AA233">
        <v>8.4</v>
      </c>
      <c r="AB233">
        <v>7.5</v>
      </c>
      <c r="AC233">
        <v>8.3000000000000007</v>
      </c>
      <c r="AD233">
        <v>23.1</v>
      </c>
      <c r="AE233">
        <v>6.7</v>
      </c>
      <c r="AF233">
        <v>10.5</v>
      </c>
      <c r="AG233">
        <v>18.7</v>
      </c>
      <c r="AH233">
        <v>9.1</v>
      </c>
      <c r="AI233">
        <v>6.6</v>
      </c>
      <c r="AJ233">
        <v>4.0999999999999996</v>
      </c>
      <c r="AK233">
        <v>0.6</v>
      </c>
      <c r="AL233">
        <v>2.7</v>
      </c>
      <c r="AM233">
        <v>3.5</v>
      </c>
      <c r="AN233">
        <v>3.5</v>
      </c>
      <c r="AO233">
        <v>2.8</v>
      </c>
      <c r="AP233">
        <v>3.2</v>
      </c>
      <c r="AQ233">
        <v>1.8</v>
      </c>
      <c r="AR233">
        <v>3.2</v>
      </c>
      <c r="AS233">
        <v>3.3</v>
      </c>
      <c r="AT233">
        <v>3.6</v>
      </c>
      <c r="AU233">
        <v>3.3</v>
      </c>
      <c r="AV233" s="205">
        <f t="shared" si="3"/>
        <v>3.04</v>
      </c>
    </row>
    <row r="234" spans="1:48" x14ac:dyDescent="0.25">
      <c r="A234" t="s">
        <v>807</v>
      </c>
      <c r="B234" t="s">
        <v>746</v>
      </c>
      <c r="C234" t="s">
        <v>746</v>
      </c>
      <c r="D234" t="s">
        <v>746</v>
      </c>
      <c r="E234" t="s">
        <v>746</v>
      </c>
      <c r="F234" t="s">
        <v>746</v>
      </c>
      <c r="G234" t="s">
        <v>746</v>
      </c>
      <c r="H234" t="s">
        <v>746</v>
      </c>
      <c r="I234" t="s">
        <v>746</v>
      </c>
      <c r="J234" t="s">
        <v>746</v>
      </c>
      <c r="K234" t="s">
        <v>746</v>
      </c>
      <c r="L234" t="s">
        <v>746</v>
      </c>
      <c r="M234" t="s">
        <v>746</v>
      </c>
      <c r="N234" t="s">
        <v>746</v>
      </c>
      <c r="O234" t="s">
        <v>746</v>
      </c>
      <c r="P234" t="s">
        <v>746</v>
      </c>
      <c r="Q234" t="s">
        <v>746</v>
      </c>
      <c r="R234" t="s">
        <v>746</v>
      </c>
      <c r="S234" t="s">
        <v>746</v>
      </c>
      <c r="T234" t="s">
        <v>746</v>
      </c>
      <c r="U234" t="s">
        <v>746</v>
      </c>
      <c r="V234" t="s">
        <v>746</v>
      </c>
      <c r="W234" t="s">
        <v>746</v>
      </c>
      <c r="X234" t="s">
        <v>746</v>
      </c>
      <c r="Y234" t="s">
        <v>746</v>
      </c>
      <c r="Z234" t="s">
        <v>746</v>
      </c>
      <c r="AA234" t="s">
        <v>746</v>
      </c>
      <c r="AB234" t="s">
        <v>746</v>
      </c>
      <c r="AC234" t="s">
        <v>746</v>
      </c>
      <c r="AD234" t="s">
        <v>746</v>
      </c>
      <c r="AE234" t="s">
        <v>746</v>
      </c>
      <c r="AF234" t="s">
        <v>746</v>
      </c>
      <c r="AG234" t="s">
        <v>746</v>
      </c>
      <c r="AH234" t="s">
        <v>746</v>
      </c>
      <c r="AI234" t="s">
        <v>746</v>
      </c>
      <c r="AJ234" t="s">
        <v>746</v>
      </c>
      <c r="AK234" t="s">
        <v>746</v>
      </c>
      <c r="AL234" t="s">
        <v>746</v>
      </c>
      <c r="AM234" t="s">
        <v>746</v>
      </c>
      <c r="AN234" t="s">
        <v>746</v>
      </c>
      <c r="AO234" t="s">
        <v>746</v>
      </c>
      <c r="AP234" t="s">
        <v>746</v>
      </c>
      <c r="AQ234" t="s">
        <v>746</v>
      </c>
      <c r="AR234" t="s">
        <v>746</v>
      </c>
      <c r="AS234" t="s">
        <v>746</v>
      </c>
      <c r="AT234" t="s">
        <v>746</v>
      </c>
      <c r="AU234" t="s">
        <v>746</v>
      </c>
      <c r="AV234" s="205" t="e">
        <f t="shared" si="3"/>
        <v>#DIV/0!</v>
      </c>
    </row>
    <row r="235" spans="1:48" x14ac:dyDescent="0.25">
      <c r="A235" t="s">
        <v>673</v>
      </c>
      <c r="B235" t="s">
        <v>746</v>
      </c>
      <c r="C235" t="s">
        <v>746</v>
      </c>
      <c r="D235" t="s">
        <v>746</v>
      </c>
      <c r="E235" t="s">
        <v>746</v>
      </c>
      <c r="F235" t="s">
        <v>746</v>
      </c>
      <c r="G235" t="s">
        <v>746</v>
      </c>
      <c r="H235" t="s">
        <v>746</v>
      </c>
      <c r="I235" t="s">
        <v>746</v>
      </c>
      <c r="J235" t="s">
        <v>746</v>
      </c>
      <c r="K235" t="s">
        <v>746</v>
      </c>
      <c r="L235" t="s">
        <v>746</v>
      </c>
      <c r="M235" t="s">
        <v>746</v>
      </c>
      <c r="N235" t="s">
        <v>746</v>
      </c>
      <c r="O235" t="s">
        <v>746</v>
      </c>
      <c r="P235" t="s">
        <v>746</v>
      </c>
      <c r="Q235" t="s">
        <v>746</v>
      </c>
      <c r="R235" t="s">
        <v>746</v>
      </c>
      <c r="S235">
        <v>7.6</v>
      </c>
      <c r="T235">
        <v>5.6</v>
      </c>
      <c r="U235">
        <v>5.5</v>
      </c>
      <c r="V235">
        <v>2.8</v>
      </c>
      <c r="W235">
        <v>1.2</v>
      </c>
      <c r="X235">
        <v>5.7</v>
      </c>
      <c r="Y235">
        <v>4.4000000000000004</v>
      </c>
      <c r="Z235">
        <v>3</v>
      </c>
      <c r="AA235">
        <v>5.3</v>
      </c>
      <c r="AB235">
        <v>3.8</v>
      </c>
      <c r="AC235">
        <v>1.9</v>
      </c>
      <c r="AD235">
        <v>9.9</v>
      </c>
      <c r="AE235">
        <v>2.8</v>
      </c>
      <c r="AF235">
        <v>3.8</v>
      </c>
      <c r="AG235">
        <v>2.9</v>
      </c>
      <c r="AH235">
        <v>2.8</v>
      </c>
      <c r="AI235">
        <v>1.7</v>
      </c>
      <c r="AJ235">
        <v>1.7</v>
      </c>
      <c r="AK235">
        <v>1.4</v>
      </c>
      <c r="AL235">
        <v>-0.2</v>
      </c>
      <c r="AM235">
        <v>0.2</v>
      </c>
      <c r="AN235">
        <v>-0.2</v>
      </c>
      <c r="AO235">
        <v>1.6</v>
      </c>
      <c r="AP235">
        <v>-0.7</v>
      </c>
      <c r="AQ235">
        <v>1.2</v>
      </c>
      <c r="AR235">
        <v>3.7</v>
      </c>
      <c r="AS235">
        <v>5.9</v>
      </c>
      <c r="AT235">
        <v>53.7</v>
      </c>
      <c r="AU235">
        <v>10.5</v>
      </c>
      <c r="AV235" s="205">
        <f t="shared" si="3"/>
        <v>15</v>
      </c>
    </row>
    <row r="236" spans="1:48" x14ac:dyDescent="0.25">
      <c r="A236" t="s">
        <v>808</v>
      </c>
      <c r="B236" t="s">
        <v>746</v>
      </c>
      <c r="C236" t="s">
        <v>746</v>
      </c>
      <c r="D236" t="s">
        <v>746</v>
      </c>
      <c r="E236" t="s">
        <v>746</v>
      </c>
      <c r="F236" t="s">
        <v>746</v>
      </c>
      <c r="G236" t="s">
        <v>746</v>
      </c>
      <c r="H236" t="s">
        <v>746</v>
      </c>
      <c r="I236" t="s">
        <v>746</v>
      </c>
      <c r="J236" t="s">
        <v>746</v>
      </c>
      <c r="K236" t="s">
        <v>746</v>
      </c>
      <c r="L236" t="s">
        <v>746</v>
      </c>
      <c r="M236" t="s">
        <v>746</v>
      </c>
      <c r="N236" t="s">
        <v>746</v>
      </c>
      <c r="O236" t="s">
        <v>746</v>
      </c>
      <c r="P236" t="s">
        <v>746</v>
      </c>
      <c r="Q236" t="s">
        <v>746</v>
      </c>
      <c r="R236" t="s">
        <v>746</v>
      </c>
      <c r="S236" t="s">
        <v>746</v>
      </c>
      <c r="T236" t="s">
        <v>746</v>
      </c>
      <c r="U236" t="s">
        <v>746</v>
      </c>
      <c r="V236" t="s">
        <v>746</v>
      </c>
      <c r="W236" t="s">
        <v>746</v>
      </c>
      <c r="X236" t="s">
        <v>746</v>
      </c>
      <c r="Y236" t="s">
        <v>746</v>
      </c>
      <c r="Z236" t="s">
        <v>746</v>
      </c>
      <c r="AA236" t="s">
        <v>746</v>
      </c>
      <c r="AB236" t="s">
        <v>746</v>
      </c>
      <c r="AC236" t="s">
        <v>746</v>
      </c>
      <c r="AD236" t="s">
        <v>746</v>
      </c>
      <c r="AE236" t="s">
        <v>746</v>
      </c>
      <c r="AF236" t="s">
        <v>746</v>
      </c>
      <c r="AG236" t="s">
        <v>746</v>
      </c>
      <c r="AH236" t="s">
        <v>746</v>
      </c>
      <c r="AI236" t="s">
        <v>746</v>
      </c>
      <c r="AJ236" t="s">
        <v>746</v>
      </c>
      <c r="AK236" t="s">
        <v>746</v>
      </c>
      <c r="AL236" t="s">
        <v>746</v>
      </c>
      <c r="AM236" t="s">
        <v>746</v>
      </c>
      <c r="AN236" t="s">
        <v>746</v>
      </c>
      <c r="AO236" t="s">
        <v>746</v>
      </c>
      <c r="AP236" t="s">
        <v>746</v>
      </c>
      <c r="AQ236" t="s">
        <v>746</v>
      </c>
      <c r="AR236" t="s">
        <v>746</v>
      </c>
      <c r="AS236" t="s">
        <v>746</v>
      </c>
      <c r="AT236" t="s">
        <v>746</v>
      </c>
      <c r="AU236" t="s">
        <v>746</v>
      </c>
      <c r="AV236" s="205" t="e">
        <f t="shared" si="3"/>
        <v>#DIV/0!</v>
      </c>
    </row>
    <row r="237" spans="1:48" x14ac:dyDescent="0.25">
      <c r="A237" t="s">
        <v>809</v>
      </c>
      <c r="B237" t="s">
        <v>746</v>
      </c>
      <c r="C237" t="s">
        <v>746</v>
      </c>
      <c r="D237" t="s">
        <v>746</v>
      </c>
      <c r="E237" t="s">
        <v>746</v>
      </c>
      <c r="F237" t="s">
        <v>746</v>
      </c>
      <c r="G237" t="s">
        <v>746</v>
      </c>
      <c r="H237" t="s">
        <v>746</v>
      </c>
      <c r="I237" t="s">
        <v>746</v>
      </c>
      <c r="J237" t="s">
        <v>746</v>
      </c>
      <c r="K237" t="s">
        <v>746</v>
      </c>
      <c r="L237" t="s">
        <v>746</v>
      </c>
      <c r="M237" t="s">
        <v>746</v>
      </c>
      <c r="N237" t="s">
        <v>746</v>
      </c>
      <c r="O237" t="s">
        <v>746</v>
      </c>
      <c r="P237" t="s">
        <v>746</v>
      </c>
      <c r="Q237" t="s">
        <v>746</v>
      </c>
      <c r="R237" t="s">
        <v>746</v>
      </c>
      <c r="S237" t="s">
        <v>746</v>
      </c>
      <c r="T237" t="s">
        <v>746</v>
      </c>
      <c r="U237" t="s">
        <v>746</v>
      </c>
      <c r="V237" t="s">
        <v>746</v>
      </c>
      <c r="W237" t="s">
        <v>746</v>
      </c>
      <c r="X237" t="s">
        <v>746</v>
      </c>
      <c r="Y237" t="s">
        <v>746</v>
      </c>
      <c r="Z237" t="s">
        <v>746</v>
      </c>
      <c r="AA237" t="s">
        <v>746</v>
      </c>
      <c r="AB237" t="s">
        <v>746</v>
      </c>
      <c r="AC237" t="s">
        <v>746</v>
      </c>
      <c r="AD237" t="s">
        <v>746</v>
      </c>
      <c r="AE237" t="s">
        <v>746</v>
      </c>
      <c r="AF237" t="s">
        <v>746</v>
      </c>
      <c r="AG237" t="s">
        <v>746</v>
      </c>
      <c r="AH237" t="s">
        <v>746</v>
      </c>
      <c r="AI237" t="s">
        <v>746</v>
      </c>
      <c r="AJ237" t="s">
        <v>746</v>
      </c>
      <c r="AK237">
        <v>22</v>
      </c>
      <c r="AL237">
        <v>21.3</v>
      </c>
      <c r="AM237">
        <v>30.4</v>
      </c>
      <c r="AN237">
        <v>33.6</v>
      </c>
      <c r="AO237">
        <v>22.6</v>
      </c>
      <c r="AP237">
        <v>30.5</v>
      </c>
      <c r="AQ237">
        <v>59.8</v>
      </c>
      <c r="AR237">
        <v>36.4</v>
      </c>
      <c r="AS237">
        <v>17.600000000000001</v>
      </c>
      <c r="AT237">
        <v>26.6</v>
      </c>
      <c r="AU237">
        <v>21.4</v>
      </c>
      <c r="AV237" s="205">
        <f t="shared" si="3"/>
        <v>32.36</v>
      </c>
    </row>
    <row r="238" spans="1:48" x14ac:dyDescent="0.25">
      <c r="A238" t="s">
        <v>224</v>
      </c>
      <c r="B238">
        <v>11.7</v>
      </c>
      <c r="C238">
        <v>14</v>
      </c>
      <c r="D238">
        <v>12.5</v>
      </c>
      <c r="E238">
        <v>19.7</v>
      </c>
      <c r="F238">
        <v>20</v>
      </c>
      <c r="G238">
        <v>37.4</v>
      </c>
      <c r="H238">
        <v>48</v>
      </c>
      <c r="I238">
        <v>43</v>
      </c>
      <c r="J238">
        <v>45.8</v>
      </c>
      <c r="K238">
        <v>113.2</v>
      </c>
      <c r="L238">
        <v>93.9</v>
      </c>
      <c r="M238">
        <v>85.3</v>
      </c>
      <c r="N238">
        <v>146.69999999999999</v>
      </c>
      <c r="O238">
        <v>158.4</v>
      </c>
      <c r="P238">
        <v>46.1</v>
      </c>
      <c r="Q238">
        <v>31.5</v>
      </c>
      <c r="R238">
        <v>38.6</v>
      </c>
      <c r="S238">
        <v>21.4</v>
      </c>
      <c r="T238">
        <v>22.7</v>
      </c>
      <c r="U238">
        <v>23.9</v>
      </c>
      <c r="V238">
        <v>24.1</v>
      </c>
      <c r="W238">
        <v>21.4</v>
      </c>
      <c r="X238">
        <v>22.2</v>
      </c>
      <c r="Y238">
        <v>21.4</v>
      </c>
      <c r="Z238">
        <v>18</v>
      </c>
      <c r="AA238">
        <v>18.3</v>
      </c>
      <c r="AB238">
        <v>9</v>
      </c>
      <c r="AC238">
        <v>10.7</v>
      </c>
      <c r="AD238">
        <v>12.4</v>
      </c>
      <c r="AE238">
        <v>13.4</v>
      </c>
      <c r="AF238">
        <v>8.5</v>
      </c>
      <c r="AG238">
        <v>8.6999999999999993</v>
      </c>
      <c r="AH238">
        <v>6.6</v>
      </c>
      <c r="AI238">
        <v>7</v>
      </c>
      <c r="AJ238">
        <v>7.8</v>
      </c>
      <c r="AK238">
        <v>10.1</v>
      </c>
      <c r="AL238">
        <v>17.899999999999999</v>
      </c>
      <c r="AM238">
        <v>6.6</v>
      </c>
      <c r="AN238">
        <v>7.5</v>
      </c>
      <c r="AO238">
        <v>9.1999999999999993</v>
      </c>
      <c r="AP238">
        <v>15.7</v>
      </c>
      <c r="AQ238">
        <v>22</v>
      </c>
      <c r="AR238">
        <v>11</v>
      </c>
      <c r="AS238">
        <v>10.9</v>
      </c>
      <c r="AT238">
        <v>15</v>
      </c>
      <c r="AU238">
        <v>13.9</v>
      </c>
      <c r="AV238" s="205">
        <f t="shared" si="3"/>
        <v>14.559999999999999</v>
      </c>
    </row>
    <row r="239" spans="1:48" x14ac:dyDescent="0.25">
      <c r="A239" t="s">
        <v>225</v>
      </c>
      <c r="B239" t="s">
        <v>746</v>
      </c>
      <c r="C239" t="s">
        <v>746</v>
      </c>
      <c r="D239" t="s">
        <v>746</v>
      </c>
      <c r="E239" t="s">
        <v>746</v>
      </c>
      <c r="F239" t="s">
        <v>746</v>
      </c>
      <c r="G239" t="s">
        <v>746</v>
      </c>
      <c r="H239" t="s">
        <v>746</v>
      </c>
      <c r="I239" t="s">
        <v>746</v>
      </c>
      <c r="J239" t="s">
        <v>746</v>
      </c>
      <c r="K239" t="s">
        <v>746</v>
      </c>
      <c r="L239" t="s">
        <v>746</v>
      </c>
      <c r="M239" t="s">
        <v>746</v>
      </c>
      <c r="N239" t="s">
        <v>746</v>
      </c>
      <c r="O239" t="s">
        <v>746</v>
      </c>
      <c r="P239" t="s">
        <v>746</v>
      </c>
      <c r="Q239" t="s">
        <v>746</v>
      </c>
      <c r="R239" t="s">
        <v>746</v>
      </c>
      <c r="S239" t="s">
        <v>746</v>
      </c>
      <c r="T239" t="s">
        <v>746</v>
      </c>
      <c r="U239" t="s">
        <v>746</v>
      </c>
      <c r="V239" t="s">
        <v>746</v>
      </c>
      <c r="W239" t="s">
        <v>746</v>
      </c>
      <c r="X239" t="s">
        <v>746</v>
      </c>
      <c r="Y239" t="s">
        <v>746</v>
      </c>
      <c r="Z239" t="s">
        <v>746</v>
      </c>
      <c r="AA239" t="s">
        <v>746</v>
      </c>
      <c r="AB239" t="s">
        <v>746</v>
      </c>
      <c r="AC239" t="s">
        <v>746</v>
      </c>
      <c r="AD239" t="s">
        <v>746</v>
      </c>
      <c r="AE239">
        <v>6.2</v>
      </c>
      <c r="AF239">
        <v>3</v>
      </c>
      <c r="AG239">
        <v>3.5</v>
      </c>
      <c r="AH239">
        <v>3.7</v>
      </c>
      <c r="AI239">
        <v>1.6</v>
      </c>
      <c r="AJ239">
        <v>-0.2</v>
      </c>
      <c r="AK239">
        <v>-2.4</v>
      </c>
      <c r="AL239">
        <v>-1.6</v>
      </c>
      <c r="AM239">
        <v>0.9</v>
      </c>
      <c r="AN239">
        <v>10.6</v>
      </c>
      <c r="AO239">
        <v>255.3</v>
      </c>
      <c r="AP239">
        <v>557.20000000000005</v>
      </c>
      <c r="AQ239">
        <v>98.5</v>
      </c>
      <c r="AR239">
        <v>193.4</v>
      </c>
      <c r="AS239">
        <v>667.4</v>
      </c>
      <c r="AT239">
        <v>736.1</v>
      </c>
      <c r="AU239">
        <v>81.400000000000006</v>
      </c>
      <c r="AV239" s="205">
        <f t="shared" si="3"/>
        <v>355.36</v>
      </c>
    </row>
  </sheetData>
  <autoFilter ref="A1:AV1" xr:uid="{E7D1DAFA-4771-4C85-9F45-87121FB8AD79}">
    <sortState ref="A2:AV239">
      <sortCondition ref="A1"/>
    </sortState>
  </autoFilter>
  <conditionalFormatting sqref="B1:AP1048576">
    <cfRule type="colorScale" priority="2">
      <colorScale>
        <cfvo type="min"/>
        <cfvo type="percentile" val="50"/>
        <cfvo type="max"/>
        <color rgb="FF63BE7B"/>
        <color rgb="FFFFEB84"/>
        <color rgb="FFF8696B"/>
      </colorScale>
    </cfRule>
  </conditionalFormatting>
  <conditionalFormatting sqref="AV2:AV239">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3E1D7-2F53-4543-B9F4-ABED8897ECEF}">
  <dimension ref="A1:BR248"/>
  <sheetViews>
    <sheetView workbookViewId="0">
      <pane xSplit="1" topLeftCell="BG1" activePane="topRight" state="frozen"/>
      <selection activeCell="A145" sqref="A145"/>
      <selection pane="topRight" activeCell="BT34" sqref="BT34"/>
    </sheetView>
  </sheetViews>
  <sheetFormatPr baseColWidth="10" defaultRowHeight="15" x14ac:dyDescent="0.25"/>
  <cols>
    <col min="1" max="1" width="38.140625" customWidth="1"/>
    <col min="2" max="2" width="15.5703125" customWidth="1"/>
    <col min="3" max="3" width="19.28515625" customWidth="1"/>
    <col min="4" max="64" width="0.7109375" customWidth="1"/>
    <col min="70" max="256" width="9.140625" customWidth="1"/>
    <col min="257" max="257" width="38.140625" customWidth="1"/>
    <col min="258" max="258" width="15.5703125" customWidth="1"/>
    <col min="259" max="259" width="19.28515625" customWidth="1"/>
    <col min="260" max="320" width="0.7109375" customWidth="1"/>
    <col min="326" max="512" width="9.140625" customWidth="1"/>
    <col min="513" max="513" width="38.140625" customWidth="1"/>
    <col min="514" max="514" width="15.5703125" customWidth="1"/>
    <col min="515" max="515" width="19.28515625" customWidth="1"/>
    <col min="516" max="576" width="0.7109375" customWidth="1"/>
    <col min="582" max="768" width="9.140625" customWidth="1"/>
    <col min="769" max="769" width="38.140625" customWidth="1"/>
    <col min="770" max="770" width="15.5703125" customWidth="1"/>
    <col min="771" max="771" width="19.28515625" customWidth="1"/>
    <col min="772" max="832" width="0.7109375" customWidth="1"/>
    <col min="838" max="1024" width="9.140625" customWidth="1"/>
    <col min="1025" max="1025" width="38.140625" customWidth="1"/>
    <col min="1026" max="1026" width="15.5703125" customWidth="1"/>
    <col min="1027" max="1027" width="19.28515625" customWidth="1"/>
    <col min="1028" max="1088" width="0.7109375" customWidth="1"/>
    <col min="1094" max="1280" width="9.140625" customWidth="1"/>
    <col min="1281" max="1281" width="38.140625" customWidth="1"/>
    <col min="1282" max="1282" width="15.5703125" customWidth="1"/>
    <col min="1283" max="1283" width="19.28515625" customWidth="1"/>
    <col min="1284" max="1344" width="0.7109375" customWidth="1"/>
    <col min="1350" max="1536" width="9.140625" customWidth="1"/>
    <col min="1537" max="1537" width="38.140625" customWidth="1"/>
    <col min="1538" max="1538" width="15.5703125" customWidth="1"/>
    <col min="1539" max="1539" width="19.28515625" customWidth="1"/>
    <col min="1540" max="1600" width="0.7109375" customWidth="1"/>
    <col min="1606" max="1792" width="9.140625" customWidth="1"/>
    <col min="1793" max="1793" width="38.140625" customWidth="1"/>
    <col min="1794" max="1794" width="15.5703125" customWidth="1"/>
    <col min="1795" max="1795" width="19.28515625" customWidth="1"/>
    <col min="1796" max="1856" width="0.7109375" customWidth="1"/>
    <col min="1862" max="2048" width="9.140625" customWidth="1"/>
    <col min="2049" max="2049" width="38.140625" customWidth="1"/>
    <col min="2050" max="2050" width="15.5703125" customWidth="1"/>
    <col min="2051" max="2051" width="19.28515625" customWidth="1"/>
    <col min="2052" max="2112" width="0.7109375" customWidth="1"/>
    <col min="2118" max="2304" width="9.140625" customWidth="1"/>
    <col min="2305" max="2305" width="38.140625" customWidth="1"/>
    <col min="2306" max="2306" width="15.5703125" customWidth="1"/>
    <col min="2307" max="2307" width="19.28515625" customWidth="1"/>
    <col min="2308" max="2368" width="0.7109375" customWidth="1"/>
    <col min="2374" max="2560" width="9.140625" customWidth="1"/>
    <col min="2561" max="2561" width="38.140625" customWidth="1"/>
    <col min="2562" max="2562" width="15.5703125" customWidth="1"/>
    <col min="2563" max="2563" width="19.28515625" customWidth="1"/>
    <col min="2564" max="2624" width="0.7109375" customWidth="1"/>
    <col min="2630" max="2816" width="9.140625" customWidth="1"/>
    <col min="2817" max="2817" width="38.140625" customWidth="1"/>
    <col min="2818" max="2818" width="15.5703125" customWidth="1"/>
    <col min="2819" max="2819" width="19.28515625" customWidth="1"/>
    <col min="2820" max="2880" width="0.7109375" customWidth="1"/>
    <col min="2886" max="3072" width="9.140625" customWidth="1"/>
    <col min="3073" max="3073" width="38.140625" customWidth="1"/>
    <col min="3074" max="3074" width="15.5703125" customWidth="1"/>
    <col min="3075" max="3075" width="19.28515625" customWidth="1"/>
    <col min="3076" max="3136" width="0.7109375" customWidth="1"/>
    <col min="3142" max="3328" width="9.140625" customWidth="1"/>
    <col min="3329" max="3329" width="38.140625" customWidth="1"/>
    <col min="3330" max="3330" width="15.5703125" customWidth="1"/>
    <col min="3331" max="3331" width="19.28515625" customWidth="1"/>
    <col min="3332" max="3392" width="0.7109375" customWidth="1"/>
    <col min="3398" max="3584" width="9.140625" customWidth="1"/>
    <col min="3585" max="3585" width="38.140625" customWidth="1"/>
    <col min="3586" max="3586" width="15.5703125" customWidth="1"/>
    <col min="3587" max="3587" width="19.28515625" customWidth="1"/>
    <col min="3588" max="3648" width="0.7109375" customWidth="1"/>
    <col min="3654" max="3840" width="9.140625" customWidth="1"/>
    <col min="3841" max="3841" width="38.140625" customWidth="1"/>
    <col min="3842" max="3842" width="15.5703125" customWidth="1"/>
    <col min="3843" max="3843" width="19.28515625" customWidth="1"/>
    <col min="3844" max="3904" width="0.7109375" customWidth="1"/>
    <col min="3910" max="4096" width="9.140625" customWidth="1"/>
    <col min="4097" max="4097" width="38.140625" customWidth="1"/>
    <col min="4098" max="4098" width="15.5703125" customWidth="1"/>
    <col min="4099" max="4099" width="19.28515625" customWidth="1"/>
    <col min="4100" max="4160" width="0.7109375" customWidth="1"/>
    <col min="4166" max="4352" width="9.140625" customWidth="1"/>
    <col min="4353" max="4353" width="38.140625" customWidth="1"/>
    <col min="4354" max="4354" width="15.5703125" customWidth="1"/>
    <col min="4355" max="4355" width="19.28515625" customWidth="1"/>
    <col min="4356" max="4416" width="0.7109375" customWidth="1"/>
    <col min="4422" max="4608" width="9.140625" customWidth="1"/>
    <col min="4609" max="4609" width="38.140625" customWidth="1"/>
    <col min="4610" max="4610" width="15.5703125" customWidth="1"/>
    <col min="4611" max="4611" width="19.28515625" customWidth="1"/>
    <col min="4612" max="4672" width="0.7109375" customWidth="1"/>
    <col min="4678" max="4864" width="9.140625" customWidth="1"/>
    <col min="4865" max="4865" width="38.140625" customWidth="1"/>
    <col min="4866" max="4866" width="15.5703125" customWidth="1"/>
    <col min="4867" max="4867" width="19.28515625" customWidth="1"/>
    <col min="4868" max="4928" width="0.7109375" customWidth="1"/>
    <col min="4934" max="5120" width="9.140625" customWidth="1"/>
    <col min="5121" max="5121" width="38.140625" customWidth="1"/>
    <col min="5122" max="5122" width="15.5703125" customWidth="1"/>
    <col min="5123" max="5123" width="19.28515625" customWidth="1"/>
    <col min="5124" max="5184" width="0.7109375" customWidth="1"/>
    <col min="5190" max="5376" width="9.140625" customWidth="1"/>
    <col min="5377" max="5377" width="38.140625" customWidth="1"/>
    <col min="5378" max="5378" width="15.5703125" customWidth="1"/>
    <col min="5379" max="5379" width="19.28515625" customWidth="1"/>
    <col min="5380" max="5440" width="0.7109375" customWidth="1"/>
    <col min="5446" max="5632" width="9.140625" customWidth="1"/>
    <col min="5633" max="5633" width="38.140625" customWidth="1"/>
    <col min="5634" max="5634" width="15.5703125" customWidth="1"/>
    <col min="5635" max="5635" width="19.28515625" customWidth="1"/>
    <col min="5636" max="5696" width="0.7109375" customWidth="1"/>
    <col min="5702" max="5888" width="9.140625" customWidth="1"/>
    <col min="5889" max="5889" width="38.140625" customWidth="1"/>
    <col min="5890" max="5890" width="15.5703125" customWidth="1"/>
    <col min="5891" max="5891" width="19.28515625" customWidth="1"/>
    <col min="5892" max="5952" width="0.7109375" customWidth="1"/>
    <col min="5958" max="6144" width="9.140625" customWidth="1"/>
    <col min="6145" max="6145" width="38.140625" customWidth="1"/>
    <col min="6146" max="6146" width="15.5703125" customWidth="1"/>
    <col min="6147" max="6147" width="19.28515625" customWidth="1"/>
    <col min="6148" max="6208" width="0.7109375" customWidth="1"/>
    <col min="6214" max="6400" width="9.140625" customWidth="1"/>
    <col min="6401" max="6401" width="38.140625" customWidth="1"/>
    <col min="6402" max="6402" width="15.5703125" customWidth="1"/>
    <col min="6403" max="6403" width="19.28515625" customWidth="1"/>
    <col min="6404" max="6464" width="0.7109375" customWidth="1"/>
    <col min="6470" max="6656" width="9.140625" customWidth="1"/>
    <col min="6657" max="6657" width="38.140625" customWidth="1"/>
    <col min="6658" max="6658" width="15.5703125" customWidth="1"/>
    <col min="6659" max="6659" width="19.28515625" customWidth="1"/>
    <col min="6660" max="6720" width="0.7109375" customWidth="1"/>
    <col min="6726" max="6912" width="9.140625" customWidth="1"/>
    <col min="6913" max="6913" width="38.140625" customWidth="1"/>
    <col min="6914" max="6914" width="15.5703125" customWidth="1"/>
    <col min="6915" max="6915" width="19.28515625" customWidth="1"/>
    <col min="6916" max="6976" width="0.7109375" customWidth="1"/>
    <col min="6982" max="7168" width="9.140625" customWidth="1"/>
    <col min="7169" max="7169" width="38.140625" customWidth="1"/>
    <col min="7170" max="7170" width="15.5703125" customWidth="1"/>
    <col min="7171" max="7171" width="19.28515625" customWidth="1"/>
    <col min="7172" max="7232" width="0.7109375" customWidth="1"/>
    <col min="7238" max="7424" width="9.140625" customWidth="1"/>
    <col min="7425" max="7425" width="38.140625" customWidth="1"/>
    <col min="7426" max="7426" width="15.5703125" customWidth="1"/>
    <col min="7427" max="7427" width="19.28515625" customWidth="1"/>
    <col min="7428" max="7488" width="0.7109375" customWidth="1"/>
    <col min="7494" max="7680" width="9.140625" customWidth="1"/>
    <col min="7681" max="7681" width="38.140625" customWidth="1"/>
    <col min="7682" max="7682" width="15.5703125" customWidth="1"/>
    <col min="7683" max="7683" width="19.28515625" customWidth="1"/>
    <col min="7684" max="7744" width="0.7109375" customWidth="1"/>
    <col min="7750" max="7936" width="9.140625" customWidth="1"/>
    <col min="7937" max="7937" width="38.140625" customWidth="1"/>
    <col min="7938" max="7938" width="15.5703125" customWidth="1"/>
    <col min="7939" max="7939" width="19.28515625" customWidth="1"/>
    <col min="7940" max="8000" width="0.7109375" customWidth="1"/>
    <col min="8006" max="8192" width="9.140625" customWidth="1"/>
    <col min="8193" max="8193" width="38.140625" customWidth="1"/>
    <col min="8194" max="8194" width="15.5703125" customWidth="1"/>
    <col min="8195" max="8195" width="19.28515625" customWidth="1"/>
    <col min="8196" max="8256" width="0.7109375" customWidth="1"/>
    <col min="8262" max="8448" width="9.140625" customWidth="1"/>
    <col min="8449" max="8449" width="38.140625" customWidth="1"/>
    <col min="8450" max="8450" width="15.5703125" customWidth="1"/>
    <col min="8451" max="8451" width="19.28515625" customWidth="1"/>
    <col min="8452" max="8512" width="0.7109375" customWidth="1"/>
    <col min="8518" max="8704" width="9.140625" customWidth="1"/>
    <col min="8705" max="8705" width="38.140625" customWidth="1"/>
    <col min="8706" max="8706" width="15.5703125" customWidth="1"/>
    <col min="8707" max="8707" width="19.28515625" customWidth="1"/>
    <col min="8708" max="8768" width="0.7109375" customWidth="1"/>
    <col min="8774" max="8960" width="9.140625" customWidth="1"/>
    <col min="8961" max="8961" width="38.140625" customWidth="1"/>
    <col min="8962" max="8962" width="15.5703125" customWidth="1"/>
    <col min="8963" max="8963" width="19.28515625" customWidth="1"/>
    <col min="8964" max="9024" width="0.7109375" customWidth="1"/>
    <col min="9030" max="9216" width="9.140625" customWidth="1"/>
    <col min="9217" max="9217" width="38.140625" customWidth="1"/>
    <col min="9218" max="9218" width="15.5703125" customWidth="1"/>
    <col min="9219" max="9219" width="19.28515625" customWidth="1"/>
    <col min="9220" max="9280" width="0.7109375" customWidth="1"/>
    <col min="9286" max="9472" width="9.140625" customWidth="1"/>
    <col min="9473" max="9473" width="38.140625" customWidth="1"/>
    <col min="9474" max="9474" width="15.5703125" customWidth="1"/>
    <col min="9475" max="9475" width="19.28515625" customWidth="1"/>
    <col min="9476" max="9536" width="0.7109375" customWidth="1"/>
    <col min="9542" max="9728" width="9.140625" customWidth="1"/>
    <col min="9729" max="9729" width="38.140625" customWidth="1"/>
    <col min="9730" max="9730" width="15.5703125" customWidth="1"/>
    <col min="9731" max="9731" width="19.28515625" customWidth="1"/>
    <col min="9732" max="9792" width="0.7109375" customWidth="1"/>
    <col min="9798" max="9984" width="9.140625" customWidth="1"/>
    <col min="9985" max="9985" width="38.140625" customWidth="1"/>
    <col min="9986" max="9986" width="15.5703125" customWidth="1"/>
    <col min="9987" max="9987" width="19.28515625" customWidth="1"/>
    <col min="9988" max="10048" width="0.7109375" customWidth="1"/>
    <col min="10054" max="10240" width="9.140625" customWidth="1"/>
    <col min="10241" max="10241" width="38.140625" customWidth="1"/>
    <col min="10242" max="10242" width="15.5703125" customWidth="1"/>
    <col min="10243" max="10243" width="19.28515625" customWidth="1"/>
    <col min="10244" max="10304" width="0.7109375" customWidth="1"/>
    <col min="10310" max="10496" width="9.140625" customWidth="1"/>
    <col min="10497" max="10497" width="38.140625" customWidth="1"/>
    <col min="10498" max="10498" width="15.5703125" customWidth="1"/>
    <col min="10499" max="10499" width="19.28515625" customWidth="1"/>
    <col min="10500" max="10560" width="0.7109375" customWidth="1"/>
    <col min="10566" max="10752" width="9.140625" customWidth="1"/>
    <col min="10753" max="10753" width="38.140625" customWidth="1"/>
    <col min="10754" max="10754" width="15.5703125" customWidth="1"/>
    <col min="10755" max="10755" width="19.28515625" customWidth="1"/>
    <col min="10756" max="10816" width="0.7109375" customWidth="1"/>
    <col min="10822" max="11008" width="9.140625" customWidth="1"/>
    <col min="11009" max="11009" width="38.140625" customWidth="1"/>
    <col min="11010" max="11010" width="15.5703125" customWidth="1"/>
    <col min="11011" max="11011" width="19.28515625" customWidth="1"/>
    <col min="11012" max="11072" width="0.7109375" customWidth="1"/>
    <col min="11078" max="11264" width="9.140625" customWidth="1"/>
    <col min="11265" max="11265" width="38.140625" customWidth="1"/>
    <col min="11266" max="11266" width="15.5703125" customWidth="1"/>
    <col min="11267" max="11267" width="19.28515625" customWidth="1"/>
    <col min="11268" max="11328" width="0.7109375" customWidth="1"/>
    <col min="11334" max="11520" width="9.140625" customWidth="1"/>
    <col min="11521" max="11521" width="38.140625" customWidth="1"/>
    <col min="11522" max="11522" width="15.5703125" customWidth="1"/>
    <col min="11523" max="11523" width="19.28515625" customWidth="1"/>
    <col min="11524" max="11584" width="0.7109375" customWidth="1"/>
    <col min="11590" max="11776" width="9.140625" customWidth="1"/>
    <col min="11777" max="11777" width="38.140625" customWidth="1"/>
    <col min="11778" max="11778" width="15.5703125" customWidth="1"/>
    <col min="11779" max="11779" width="19.28515625" customWidth="1"/>
    <col min="11780" max="11840" width="0.7109375" customWidth="1"/>
    <col min="11846" max="12032" width="9.140625" customWidth="1"/>
    <col min="12033" max="12033" width="38.140625" customWidth="1"/>
    <col min="12034" max="12034" width="15.5703125" customWidth="1"/>
    <col min="12035" max="12035" width="19.28515625" customWidth="1"/>
    <col min="12036" max="12096" width="0.7109375" customWidth="1"/>
    <col min="12102" max="12288" width="9.140625" customWidth="1"/>
    <col min="12289" max="12289" width="38.140625" customWidth="1"/>
    <col min="12290" max="12290" width="15.5703125" customWidth="1"/>
    <col min="12291" max="12291" width="19.28515625" customWidth="1"/>
    <col min="12292" max="12352" width="0.7109375" customWidth="1"/>
    <col min="12358" max="12544" width="9.140625" customWidth="1"/>
    <col min="12545" max="12545" width="38.140625" customWidth="1"/>
    <col min="12546" max="12546" width="15.5703125" customWidth="1"/>
    <col min="12547" max="12547" width="19.28515625" customWidth="1"/>
    <col min="12548" max="12608" width="0.7109375" customWidth="1"/>
    <col min="12614" max="12800" width="9.140625" customWidth="1"/>
    <col min="12801" max="12801" width="38.140625" customWidth="1"/>
    <col min="12802" max="12802" width="15.5703125" customWidth="1"/>
    <col min="12803" max="12803" width="19.28515625" customWidth="1"/>
    <col min="12804" max="12864" width="0.7109375" customWidth="1"/>
    <col min="12870" max="13056" width="9.140625" customWidth="1"/>
    <col min="13057" max="13057" width="38.140625" customWidth="1"/>
    <col min="13058" max="13058" width="15.5703125" customWidth="1"/>
    <col min="13059" max="13059" width="19.28515625" customWidth="1"/>
    <col min="13060" max="13120" width="0.7109375" customWidth="1"/>
    <col min="13126" max="13312" width="9.140625" customWidth="1"/>
    <col min="13313" max="13313" width="38.140625" customWidth="1"/>
    <col min="13314" max="13314" width="15.5703125" customWidth="1"/>
    <col min="13315" max="13315" width="19.28515625" customWidth="1"/>
    <col min="13316" max="13376" width="0.7109375" customWidth="1"/>
    <col min="13382" max="13568" width="9.140625" customWidth="1"/>
    <col min="13569" max="13569" width="38.140625" customWidth="1"/>
    <col min="13570" max="13570" width="15.5703125" customWidth="1"/>
    <col min="13571" max="13571" width="19.28515625" customWidth="1"/>
    <col min="13572" max="13632" width="0.7109375" customWidth="1"/>
    <col min="13638" max="13824" width="9.140625" customWidth="1"/>
    <col min="13825" max="13825" width="38.140625" customWidth="1"/>
    <col min="13826" max="13826" width="15.5703125" customWidth="1"/>
    <col min="13827" max="13827" width="19.28515625" customWidth="1"/>
    <col min="13828" max="13888" width="0.7109375" customWidth="1"/>
    <col min="13894" max="14080" width="9.140625" customWidth="1"/>
    <col min="14081" max="14081" width="38.140625" customWidth="1"/>
    <col min="14082" max="14082" width="15.5703125" customWidth="1"/>
    <col min="14083" max="14083" width="19.28515625" customWidth="1"/>
    <col min="14084" max="14144" width="0.7109375" customWidth="1"/>
    <col min="14150" max="14336" width="9.140625" customWidth="1"/>
    <col min="14337" max="14337" width="38.140625" customWidth="1"/>
    <col min="14338" max="14338" width="15.5703125" customWidth="1"/>
    <col min="14339" max="14339" width="19.28515625" customWidth="1"/>
    <col min="14340" max="14400" width="0.7109375" customWidth="1"/>
    <col min="14406" max="14592" width="9.140625" customWidth="1"/>
    <col min="14593" max="14593" width="38.140625" customWidth="1"/>
    <col min="14594" max="14594" width="15.5703125" customWidth="1"/>
    <col min="14595" max="14595" width="19.28515625" customWidth="1"/>
    <col min="14596" max="14656" width="0.7109375" customWidth="1"/>
    <col min="14662" max="14848" width="9.140625" customWidth="1"/>
    <col min="14849" max="14849" width="38.140625" customWidth="1"/>
    <col min="14850" max="14850" width="15.5703125" customWidth="1"/>
    <col min="14851" max="14851" width="19.28515625" customWidth="1"/>
    <col min="14852" max="14912" width="0.7109375" customWidth="1"/>
    <col min="14918" max="15104" width="9.140625" customWidth="1"/>
    <col min="15105" max="15105" width="38.140625" customWidth="1"/>
    <col min="15106" max="15106" width="15.5703125" customWidth="1"/>
    <col min="15107" max="15107" width="19.28515625" customWidth="1"/>
    <col min="15108" max="15168" width="0.7109375" customWidth="1"/>
    <col min="15174" max="15360" width="9.140625" customWidth="1"/>
    <col min="15361" max="15361" width="38.140625" customWidth="1"/>
    <col min="15362" max="15362" width="15.5703125" customWidth="1"/>
    <col min="15363" max="15363" width="19.28515625" customWidth="1"/>
    <col min="15364" max="15424" width="0.7109375" customWidth="1"/>
    <col min="15430" max="15616" width="9.140625" customWidth="1"/>
    <col min="15617" max="15617" width="38.140625" customWidth="1"/>
    <col min="15618" max="15618" width="15.5703125" customWidth="1"/>
    <col min="15619" max="15619" width="19.28515625" customWidth="1"/>
    <col min="15620" max="15680" width="0.7109375" customWidth="1"/>
    <col min="15686" max="15872" width="9.140625" customWidth="1"/>
    <col min="15873" max="15873" width="38.140625" customWidth="1"/>
    <col min="15874" max="15874" width="15.5703125" customWidth="1"/>
    <col min="15875" max="15875" width="19.28515625" customWidth="1"/>
    <col min="15876" max="15936" width="0.7109375" customWidth="1"/>
    <col min="15942" max="16128" width="9.140625" customWidth="1"/>
    <col min="16129" max="16129" width="38.140625" customWidth="1"/>
    <col min="16130" max="16130" width="15.5703125" customWidth="1"/>
    <col min="16131" max="16131" width="19.28515625" customWidth="1"/>
    <col min="16132" max="16192" width="0.7109375" customWidth="1"/>
    <col min="16198" max="16384" width="9.140625" customWidth="1"/>
  </cols>
  <sheetData>
    <row r="1" spans="1:70" s="201" customFormat="1" ht="43.5" customHeight="1" x14ac:dyDescent="0.25">
      <c r="A1" s="201" t="s">
        <v>364</v>
      </c>
      <c r="B1" s="201" t="s">
        <v>365</v>
      </c>
      <c r="C1" s="201" t="s">
        <v>366</v>
      </c>
      <c r="D1" s="201" t="s">
        <v>367</v>
      </c>
      <c r="E1" s="201" t="s">
        <v>368</v>
      </c>
      <c r="F1" s="201" t="s">
        <v>369</v>
      </c>
      <c r="G1" s="201" t="s">
        <v>370</v>
      </c>
      <c r="H1" s="201" t="s">
        <v>371</v>
      </c>
      <c r="I1" s="201" t="s">
        <v>372</v>
      </c>
      <c r="J1" s="201" t="s">
        <v>373</v>
      </c>
      <c r="K1" s="201" t="s">
        <v>374</v>
      </c>
      <c r="L1" s="201" t="s">
        <v>375</v>
      </c>
      <c r="M1" s="201" t="s">
        <v>376</v>
      </c>
      <c r="N1" s="201" t="s">
        <v>377</v>
      </c>
      <c r="O1" s="201" t="s">
        <v>378</v>
      </c>
      <c r="P1" s="201" t="s">
        <v>379</v>
      </c>
      <c r="Q1" s="201" t="s">
        <v>380</v>
      </c>
      <c r="R1" s="201" t="s">
        <v>381</v>
      </c>
      <c r="S1" s="201" t="s">
        <v>382</v>
      </c>
      <c r="T1" s="201" t="s">
        <v>383</v>
      </c>
      <c r="U1" s="201" t="s">
        <v>384</v>
      </c>
      <c r="V1" s="201" t="s">
        <v>385</v>
      </c>
      <c r="W1" s="201" t="s">
        <v>386</v>
      </c>
      <c r="X1" s="201" t="s">
        <v>387</v>
      </c>
      <c r="Y1" s="201" t="s">
        <v>388</v>
      </c>
      <c r="Z1" s="201" t="s">
        <v>389</v>
      </c>
      <c r="AA1" s="201" t="s">
        <v>390</v>
      </c>
      <c r="AB1" s="201" t="s">
        <v>391</v>
      </c>
      <c r="AC1" s="201" t="s">
        <v>392</v>
      </c>
      <c r="AD1" s="201" t="s">
        <v>393</v>
      </c>
      <c r="AE1" s="201" t="s">
        <v>394</v>
      </c>
      <c r="AF1" s="201" t="s">
        <v>395</v>
      </c>
      <c r="AG1" s="201" t="s">
        <v>396</v>
      </c>
      <c r="AH1" s="201" t="s">
        <v>397</v>
      </c>
      <c r="AI1" s="201" t="s">
        <v>398</v>
      </c>
      <c r="AJ1" s="201" t="s">
        <v>399</v>
      </c>
      <c r="AK1" s="201" t="s">
        <v>400</v>
      </c>
      <c r="AL1" s="201" t="s">
        <v>401</v>
      </c>
      <c r="AM1" s="201" t="s">
        <v>402</v>
      </c>
      <c r="AN1" s="201" t="s">
        <v>403</v>
      </c>
      <c r="AO1" s="201" t="s">
        <v>404</v>
      </c>
      <c r="AP1" s="201" t="s">
        <v>405</v>
      </c>
      <c r="AQ1" s="201" t="s">
        <v>406</v>
      </c>
      <c r="AR1" s="201" t="s">
        <v>407</v>
      </c>
      <c r="AS1" s="201" t="s">
        <v>408</v>
      </c>
      <c r="AT1" s="201" t="s">
        <v>409</v>
      </c>
      <c r="AU1" s="201" t="s">
        <v>410</v>
      </c>
      <c r="AV1" s="201" t="s">
        <v>411</v>
      </c>
      <c r="AW1" s="201" t="s">
        <v>412</v>
      </c>
      <c r="AX1" s="201" t="s">
        <v>413</v>
      </c>
      <c r="AY1" s="201" t="s">
        <v>414</v>
      </c>
      <c r="AZ1" s="201" t="s">
        <v>415</v>
      </c>
      <c r="BA1" s="201" t="s">
        <v>416</v>
      </c>
      <c r="BB1" s="201" t="s">
        <v>417</v>
      </c>
      <c r="BC1" s="201" t="s">
        <v>418</v>
      </c>
      <c r="BD1" s="201" t="s">
        <v>419</v>
      </c>
      <c r="BE1" s="201" t="s">
        <v>420</v>
      </c>
      <c r="BF1" s="201" t="s">
        <v>421</v>
      </c>
      <c r="BG1" s="201" t="s">
        <v>422</v>
      </c>
      <c r="BH1" s="201" t="s">
        <v>423</v>
      </c>
      <c r="BI1" s="201" t="s">
        <v>424</v>
      </c>
      <c r="BJ1" s="201" t="s">
        <v>425</v>
      </c>
      <c r="BK1" s="201" t="s">
        <v>426</v>
      </c>
      <c r="BL1" s="201" t="s">
        <v>427</v>
      </c>
      <c r="BM1" s="201" t="s">
        <v>428</v>
      </c>
      <c r="BN1" s="201" t="s">
        <v>429</v>
      </c>
      <c r="BO1" s="201" t="s">
        <v>430</v>
      </c>
      <c r="BP1" s="201" t="s">
        <v>431</v>
      </c>
      <c r="BQ1" s="201" t="s">
        <v>432</v>
      </c>
      <c r="BR1" s="201" t="s">
        <v>730</v>
      </c>
    </row>
    <row r="2" spans="1:70" x14ac:dyDescent="0.25">
      <c r="A2" t="s">
        <v>12</v>
      </c>
      <c r="B2" t="s">
        <v>716</v>
      </c>
      <c r="C2" t="s">
        <v>434</v>
      </c>
      <c r="AR2">
        <v>1617.8264749496911</v>
      </c>
      <c r="AS2">
        <v>1454.1107819555884</v>
      </c>
      <c r="AT2">
        <v>1774.3087428734113</v>
      </c>
      <c r="AU2">
        <v>1815.928199795861</v>
      </c>
      <c r="AV2">
        <v>1776.9182071218747</v>
      </c>
      <c r="AW2">
        <v>1908.1147823458732</v>
      </c>
      <c r="AX2">
        <v>1929.7238970937194</v>
      </c>
      <c r="AY2">
        <v>2155.3530678441339</v>
      </c>
      <c r="AZ2">
        <v>2191.5043555906163</v>
      </c>
      <c r="BA2">
        <v>2565.0220858409912</v>
      </c>
      <c r="BB2">
        <v>2848.5860611149537</v>
      </c>
      <c r="BC2">
        <v>2757.0525874772529</v>
      </c>
      <c r="BD2">
        <v>2985.3191445284492</v>
      </c>
      <c r="BE2">
        <v>3046.5799311712831</v>
      </c>
      <c r="BF2">
        <v>3017.9425442469606</v>
      </c>
      <c r="BG2">
        <v>2967.6920671530033</v>
      </c>
      <c r="BH2">
        <v>2958.7853992307951</v>
      </c>
      <c r="BI2">
        <v>2952.998915989087</v>
      </c>
      <c r="BJ2">
        <v>2902.3921128554607</v>
      </c>
      <c r="BK2">
        <v>2927.2451435353018</v>
      </c>
      <c r="BL2">
        <v>2769.68574507111</v>
      </c>
      <c r="BM2">
        <v>2144.1665700281878</v>
      </c>
      <c r="BN2">
        <v>1981.7101681056113</v>
      </c>
      <c r="BO2">
        <v>1983.8126199290873</v>
      </c>
      <c r="BP2">
        <v>1964.4522889545608</v>
      </c>
      <c r="BQ2" s="200">
        <v>1964.4522889545608</v>
      </c>
      <c r="BR2">
        <f t="shared" ref="BR2:BR49" si="0">(((BQ2/BM2)^(1/4))-1)*100</f>
        <v>-2.1646639188739991</v>
      </c>
    </row>
    <row r="3" spans="1:70" x14ac:dyDescent="0.25">
      <c r="A3" t="s">
        <v>676</v>
      </c>
      <c r="B3" t="s">
        <v>677</v>
      </c>
      <c r="C3" t="s">
        <v>434</v>
      </c>
      <c r="AH3">
        <v>3520.0192328318085</v>
      </c>
      <c r="AI3">
        <v>3425.1364295057456</v>
      </c>
      <c r="AJ3">
        <v>3252.3168880755402</v>
      </c>
      <c r="AK3">
        <v>3127.8777140920301</v>
      </c>
      <c r="AL3">
        <v>3099.4301651243127</v>
      </c>
      <c r="AM3">
        <v>3155.0448277142091</v>
      </c>
      <c r="AN3">
        <v>3247.125123751016</v>
      </c>
      <c r="AO3">
        <v>3291.6166582364021</v>
      </c>
      <c r="AP3">
        <v>3269.4577945928872</v>
      </c>
      <c r="AQ3">
        <v>3268.3652511281662</v>
      </c>
      <c r="AR3">
        <v>3282.3489061080495</v>
      </c>
      <c r="AS3">
        <v>3313.8928826102101</v>
      </c>
      <c r="AT3">
        <v>3350.6938388555172</v>
      </c>
      <c r="AU3">
        <v>3357.7839158886295</v>
      </c>
      <c r="AV3">
        <v>3457.6887206604174</v>
      </c>
      <c r="AW3">
        <v>3578.2129789742885</v>
      </c>
      <c r="AX3">
        <v>3718.693485234051</v>
      </c>
      <c r="AY3">
        <v>3867.5087882853754</v>
      </c>
      <c r="AZ3">
        <v>3935.0229175096188</v>
      </c>
      <c r="BA3">
        <v>3870.961865607348</v>
      </c>
      <c r="BB3">
        <v>3978.1295714874523</v>
      </c>
      <c r="BC3">
        <v>4033.1873236212155</v>
      </c>
      <c r="BD3">
        <v>4051.445711353424</v>
      </c>
      <c r="BE3">
        <v>4126.3353954784834</v>
      </c>
      <c r="BF3">
        <v>4186.2485112933937</v>
      </c>
      <c r="BG3">
        <v>4207.363578634071</v>
      </c>
      <c r="BH3">
        <v>4210.9356950327692</v>
      </c>
      <c r="BI3">
        <v>4223.1880503423963</v>
      </c>
      <c r="BJ3">
        <v>4229.839633744421</v>
      </c>
      <c r="BK3">
        <v>4200.5310440009443</v>
      </c>
      <c r="BL3">
        <v>3978.1335015188683</v>
      </c>
      <c r="BM3">
        <v>4049.9695130399332</v>
      </c>
      <c r="BN3">
        <v>4098.1261922156391</v>
      </c>
      <c r="BO3">
        <v>4076.2248979662922</v>
      </c>
      <c r="BP3">
        <v>4099.889812174928</v>
      </c>
      <c r="BQ3">
        <v>4164.6791772342467</v>
      </c>
      <c r="BR3">
        <f t="shared" si="0"/>
        <v>0.70069070330449623</v>
      </c>
    </row>
    <row r="4" spans="1:70" x14ac:dyDescent="0.25">
      <c r="A4" t="s">
        <v>649</v>
      </c>
      <c r="B4" t="s">
        <v>650</v>
      </c>
      <c r="C4" t="s">
        <v>434</v>
      </c>
      <c r="AH4">
        <v>4165.7263625206788</v>
      </c>
      <c r="AI4">
        <v>4101.3788889437692</v>
      </c>
      <c r="AJ4">
        <v>4090.0194174088615</v>
      </c>
      <c r="AK4">
        <v>3928.3123310837932</v>
      </c>
      <c r="AL4">
        <v>3812.2754133601011</v>
      </c>
      <c r="AM4">
        <v>3774.1044951175613</v>
      </c>
      <c r="AN4">
        <v>3841.150017657058</v>
      </c>
      <c r="AO4">
        <v>3894.8426114683293</v>
      </c>
      <c r="AP4">
        <v>3922.4342238424993</v>
      </c>
      <c r="AQ4">
        <v>3874.2113176442585</v>
      </c>
      <c r="AR4">
        <v>3915.4348495822064</v>
      </c>
      <c r="AS4">
        <v>4010.5626021226985</v>
      </c>
      <c r="AT4">
        <v>4299.8497509723184</v>
      </c>
      <c r="AU4">
        <v>4423.5704127006238</v>
      </c>
      <c r="AV4">
        <v>4648.6062801594499</v>
      </c>
      <c r="AW4">
        <v>4782.4421399744106</v>
      </c>
      <c r="AX4">
        <v>4899.6571363930561</v>
      </c>
      <c r="AY4">
        <v>5023.698822546562</v>
      </c>
      <c r="AZ4">
        <v>5188.6710137178397</v>
      </c>
      <c r="BA4">
        <v>5362.1536063345011</v>
      </c>
      <c r="BB4">
        <v>5582.4309439513236</v>
      </c>
      <c r="BC4">
        <v>5698.3894998921378</v>
      </c>
      <c r="BD4">
        <v>5823.4189463110315</v>
      </c>
      <c r="BE4">
        <v>6009.6518605461888</v>
      </c>
      <c r="BF4">
        <v>6183.2411621730398</v>
      </c>
      <c r="BG4">
        <v>6194.434494048508</v>
      </c>
      <c r="BH4">
        <v>6034.8269888668583</v>
      </c>
      <c r="BI4">
        <v>6009.5161136980078</v>
      </c>
      <c r="BJ4">
        <v>6026.5275717283566</v>
      </c>
      <c r="BK4">
        <v>6070.28476944465</v>
      </c>
      <c r="BL4">
        <v>5698.7667016172445</v>
      </c>
      <c r="BM4">
        <v>5702.1348863047806</v>
      </c>
      <c r="BN4">
        <v>5818.4832235783815</v>
      </c>
      <c r="BO4">
        <v>5886.796635941254</v>
      </c>
      <c r="BP4">
        <v>6009.0846624049536</v>
      </c>
      <c r="BQ4">
        <v>6139.5872937993454</v>
      </c>
      <c r="BR4">
        <f t="shared" si="0"/>
        <v>1.8651016803931775</v>
      </c>
    </row>
    <row r="5" spans="1:70" x14ac:dyDescent="0.25">
      <c r="A5" t="s">
        <v>15</v>
      </c>
      <c r="B5" t="s">
        <v>539</v>
      </c>
      <c r="C5" t="s">
        <v>434</v>
      </c>
      <c r="AH5">
        <v>5560.8339349098969</v>
      </c>
      <c r="AI5">
        <v>4027.8888071479082</v>
      </c>
      <c r="AJ5">
        <v>3761.13980833495</v>
      </c>
      <c r="AK5">
        <v>4145.9025053052474</v>
      </c>
      <c r="AL5">
        <v>4517.7800786267735</v>
      </c>
      <c r="AM5">
        <v>5151.3759621104691</v>
      </c>
      <c r="AN5">
        <v>5563.7700778897497</v>
      </c>
      <c r="AO5">
        <v>4942.9835001800602</v>
      </c>
      <c r="AP5">
        <v>5387.5458874597707</v>
      </c>
      <c r="AQ5">
        <v>6085.9833970670106</v>
      </c>
      <c r="AR5">
        <v>6581.9890924284919</v>
      </c>
      <c r="AS5">
        <v>7232.9605544966407</v>
      </c>
      <c r="AT5">
        <v>7590.4585237778074</v>
      </c>
      <c r="AU5">
        <v>8025.2480324801973</v>
      </c>
      <c r="AV5">
        <v>8483.2588154927907</v>
      </c>
      <c r="AW5">
        <v>8964.2808221949635</v>
      </c>
      <c r="AX5">
        <v>9563.989541545272</v>
      </c>
      <c r="AY5">
        <v>10262.924235902594</v>
      </c>
      <c r="AZ5">
        <v>11056.305917338083</v>
      </c>
      <c r="BA5">
        <v>11430.574631065543</v>
      </c>
      <c r="BB5">
        <v>11829.004236963085</v>
      </c>
      <c r="BC5">
        <v>12153.06365917855</v>
      </c>
      <c r="BD5">
        <v>12463.518369846022</v>
      </c>
      <c r="BE5">
        <v>12873.429818407336</v>
      </c>
      <c r="BF5">
        <v>13366.504094814461</v>
      </c>
      <c r="BG5">
        <v>13876.761629659793</v>
      </c>
      <c r="BH5">
        <v>14643.428561471615</v>
      </c>
      <c r="BI5">
        <v>15359.397457702478</v>
      </c>
      <c r="BJ5">
        <v>16170.923432528702</v>
      </c>
      <c r="BK5">
        <v>16761.123017868162</v>
      </c>
      <c r="BL5">
        <v>16457.718974499061</v>
      </c>
      <c r="BM5">
        <v>18212.794718287976</v>
      </c>
      <c r="BN5">
        <v>19388.792727935066</v>
      </c>
      <c r="BO5">
        <v>20501.64707267415</v>
      </c>
      <c r="BP5">
        <v>21640.983577327141</v>
      </c>
      <c r="BQ5">
        <v>22724.293819494895</v>
      </c>
      <c r="BR5">
        <f t="shared" si="0"/>
        <v>5.6886744128781253</v>
      </c>
    </row>
    <row r="6" spans="1:70" x14ac:dyDescent="0.25">
      <c r="A6" t="s">
        <v>18</v>
      </c>
      <c r="B6" t="s">
        <v>584</v>
      </c>
      <c r="C6" t="s">
        <v>434</v>
      </c>
      <c r="AH6">
        <v>11728.545728679102</v>
      </c>
      <c r="AI6">
        <v>11314.864735120389</v>
      </c>
      <c r="AJ6">
        <v>11241.415417375749</v>
      </c>
      <c r="AK6">
        <v>10743.706353410422</v>
      </c>
      <c r="AL6">
        <v>10414.034824140726</v>
      </c>
      <c r="AM6">
        <v>10588.443369575391</v>
      </c>
      <c r="AN6">
        <v>10808.878866694136</v>
      </c>
      <c r="AO6">
        <v>10725.967349336785</v>
      </c>
      <c r="AP6">
        <v>11094.88753685847</v>
      </c>
      <c r="AQ6">
        <v>11292.037299716452</v>
      </c>
      <c r="AR6">
        <v>11558.220469382988</v>
      </c>
      <c r="AS6">
        <v>11742.594676122464</v>
      </c>
      <c r="AT6">
        <v>12213.126353124608</v>
      </c>
      <c r="AU6">
        <v>12835.181441333079</v>
      </c>
      <c r="AV6">
        <v>13226.765048116456</v>
      </c>
      <c r="AW6">
        <v>13738.495644436049</v>
      </c>
      <c r="AX6">
        <v>13920.69405537009</v>
      </c>
      <c r="AY6">
        <v>14114.674519268336</v>
      </c>
      <c r="AZ6">
        <v>14206.776714703889</v>
      </c>
      <c r="BA6">
        <v>14104.428172139978</v>
      </c>
      <c r="BB6">
        <v>14496.421131299618</v>
      </c>
      <c r="BC6">
        <v>14641.964093568453</v>
      </c>
      <c r="BD6">
        <v>14697.539613385314</v>
      </c>
      <c r="BE6">
        <v>14778.191425723275</v>
      </c>
      <c r="BF6">
        <v>15073.762940356462</v>
      </c>
      <c r="BG6">
        <v>15239.517145646907</v>
      </c>
      <c r="BH6">
        <v>15511.685876809384</v>
      </c>
      <c r="BI6">
        <v>15427.664189471308</v>
      </c>
      <c r="BJ6">
        <v>15343.426122243411</v>
      </c>
      <c r="BK6">
        <v>15199.198996563926</v>
      </c>
      <c r="BL6">
        <v>14194.155747961899</v>
      </c>
      <c r="BM6">
        <v>14496.865469729873</v>
      </c>
      <c r="BN6">
        <v>14782.200297024719</v>
      </c>
      <c r="BO6">
        <v>15159.324237341518</v>
      </c>
      <c r="BP6">
        <v>15501.919700396595</v>
      </c>
      <c r="BQ6">
        <v>15882.713883632765</v>
      </c>
      <c r="BR6">
        <f t="shared" si="0"/>
        <v>2.3087199442510364</v>
      </c>
    </row>
    <row r="7" spans="1:70" x14ac:dyDescent="0.25">
      <c r="A7" t="s">
        <v>20</v>
      </c>
      <c r="B7" t="s">
        <v>449</v>
      </c>
      <c r="C7" t="s">
        <v>434</v>
      </c>
      <c r="AH7">
        <v>50036.300775756106</v>
      </c>
      <c r="AI7">
        <v>47624.966857354171</v>
      </c>
      <c r="AJ7">
        <v>45246.533071009981</v>
      </c>
      <c r="AK7">
        <v>42605.659583245062</v>
      </c>
      <c r="AL7">
        <v>42716.365635399976</v>
      </c>
      <c r="AM7">
        <v>44375.024723815928</v>
      </c>
      <c r="AN7">
        <v>46386.091202248528</v>
      </c>
      <c r="AO7">
        <v>50032.352912512819</v>
      </c>
      <c r="AP7">
        <v>51092.222235221823</v>
      </c>
      <c r="AQ7">
        <v>52921.04526098456</v>
      </c>
      <c r="AR7">
        <v>54809.144167942301</v>
      </c>
      <c r="AS7">
        <v>59109.013680637792</v>
      </c>
      <c r="AT7">
        <v>61188.637085147428</v>
      </c>
      <c r="AU7">
        <v>63656.195833218422</v>
      </c>
      <c r="AV7">
        <v>64353.485811353072</v>
      </c>
      <c r="AW7">
        <v>65114.805366302127</v>
      </c>
      <c r="AX7">
        <v>66390.293726491</v>
      </c>
      <c r="AY7">
        <v>65534.116855517117</v>
      </c>
      <c r="AZ7">
        <v>60691.605153063676</v>
      </c>
      <c r="BA7">
        <v>57203.970888373129</v>
      </c>
      <c r="BB7">
        <v>58285.057775698071</v>
      </c>
      <c r="BC7">
        <v>60470.46623770443</v>
      </c>
      <c r="BD7">
        <v>58172.132392947424</v>
      </c>
      <c r="BE7">
        <v>57332.158561136552</v>
      </c>
      <c r="BF7">
        <v>59929.244467050114</v>
      </c>
      <c r="BG7">
        <v>62105.154238967487</v>
      </c>
      <c r="BH7">
        <v>64402.809236946756</v>
      </c>
      <c r="BI7">
        <v>63239.65777119108</v>
      </c>
      <c r="BJ7">
        <v>63048.598557283374</v>
      </c>
      <c r="BK7">
        <v>63215.899791912983</v>
      </c>
      <c r="BL7">
        <v>55488.490299109508</v>
      </c>
      <c r="BM7">
        <v>59332.202910012718</v>
      </c>
      <c r="BN7">
        <v>63913.38350791049</v>
      </c>
      <c r="BO7">
        <v>64631.29639092712</v>
      </c>
      <c r="BP7">
        <v>66232.744419559778</v>
      </c>
      <c r="BQ7">
        <v>67993.052417888248</v>
      </c>
      <c r="BR7">
        <f t="shared" si="0"/>
        <v>3.46501291151049</v>
      </c>
    </row>
    <row r="8" spans="1:70" x14ac:dyDescent="0.25">
      <c r="A8" t="s">
        <v>22</v>
      </c>
      <c r="B8" t="s">
        <v>630</v>
      </c>
      <c r="C8" t="s">
        <v>434</v>
      </c>
      <c r="AH8">
        <v>8366.4127162634886</v>
      </c>
      <c r="AI8">
        <v>8170.2493936211868</v>
      </c>
      <c r="AJ8">
        <v>7445.4383670814814</v>
      </c>
      <c r="AK8">
        <v>5481.7638679219435</v>
      </c>
      <c r="AL8">
        <v>5377.990349679294</v>
      </c>
      <c r="AM8">
        <v>5981.5325756990123</v>
      </c>
      <c r="AN8">
        <v>6565.8647936191801</v>
      </c>
      <c r="AO8">
        <v>6808.3362810610906</v>
      </c>
      <c r="AP8">
        <v>6893.1226528950228</v>
      </c>
      <c r="AQ8">
        <v>6815.1753060321225</v>
      </c>
      <c r="AR8">
        <v>6794.5302107209691</v>
      </c>
      <c r="AS8">
        <v>6846.7926954397835</v>
      </c>
      <c r="AT8">
        <v>7521.735987549112</v>
      </c>
      <c r="AU8">
        <v>7516.8139149131857</v>
      </c>
      <c r="AV8">
        <v>8079.5261332826649</v>
      </c>
      <c r="AW8">
        <v>8892.9210609915372</v>
      </c>
      <c r="AX8">
        <v>9586.1754212382475</v>
      </c>
      <c r="AY8">
        <v>10434.708722444504</v>
      </c>
      <c r="AZ8">
        <v>11131.631014538891</v>
      </c>
      <c r="BA8">
        <v>10930.253120120469</v>
      </c>
      <c r="BB8">
        <v>11074.07238139837</v>
      </c>
      <c r="BC8">
        <v>11034.591968781438</v>
      </c>
      <c r="BD8">
        <v>11516.813324658757</v>
      </c>
      <c r="BE8">
        <v>11622.978345524025</v>
      </c>
      <c r="BF8">
        <v>11718.428683237551</v>
      </c>
      <c r="BG8">
        <v>11389.760954948071</v>
      </c>
      <c r="BH8">
        <v>10963.996788717306</v>
      </c>
      <c r="BI8">
        <v>10565.167648360717</v>
      </c>
      <c r="BJ8">
        <v>10154.838922800502</v>
      </c>
      <c r="BK8">
        <v>9712.9794492726905</v>
      </c>
      <c r="BL8">
        <v>8904.9490058016781</v>
      </c>
      <c r="BM8">
        <v>8720.1876874212339</v>
      </c>
      <c r="BN8">
        <v>8750.9936303229897</v>
      </c>
      <c r="BO8">
        <v>8597.5387878755373</v>
      </c>
      <c r="BP8">
        <v>8752.7974709833034</v>
      </c>
      <c r="BQ8">
        <v>8760.1908196315071</v>
      </c>
      <c r="BR8">
        <f t="shared" si="0"/>
        <v>0.11448864571823592</v>
      </c>
    </row>
    <row r="9" spans="1:70" x14ac:dyDescent="0.25">
      <c r="A9" t="s">
        <v>25</v>
      </c>
      <c r="B9" t="s">
        <v>516</v>
      </c>
      <c r="C9" t="s">
        <v>434</v>
      </c>
      <c r="AH9">
        <v>21074.576436089959</v>
      </c>
      <c r="AI9">
        <v>21424.291187146133</v>
      </c>
      <c r="AJ9">
        <v>21330.273191852746</v>
      </c>
      <c r="AK9">
        <v>22051.437320426114</v>
      </c>
      <c r="AL9">
        <v>23081.663912352851</v>
      </c>
      <c r="AM9">
        <v>21639.602064085422</v>
      </c>
      <c r="AN9">
        <v>22597.314506816034</v>
      </c>
      <c r="AO9">
        <v>23350.309386516947</v>
      </c>
      <c r="AP9">
        <v>23996.114404136653</v>
      </c>
      <c r="AQ9">
        <v>24462.203402241175</v>
      </c>
      <c r="AR9">
        <v>25547.612027367861</v>
      </c>
      <c r="AS9">
        <v>24014.775459351065</v>
      </c>
      <c r="AT9">
        <v>23958.163814207066</v>
      </c>
      <c r="AU9">
        <v>25136.001691807014</v>
      </c>
      <c r="AV9">
        <v>26303.617904660525</v>
      </c>
      <c r="AW9">
        <v>27692.634871178019</v>
      </c>
      <c r="AX9">
        <v>30827.34167549156</v>
      </c>
      <c r="AY9">
        <v>33245.267860676548</v>
      </c>
      <c r="AZ9">
        <v>32756.306783975328</v>
      </c>
      <c r="BA9">
        <v>28405.690092952347</v>
      </c>
      <c r="BB9">
        <v>25826.608638323509</v>
      </c>
      <c r="BC9">
        <v>25023.917448817858</v>
      </c>
      <c r="BD9">
        <v>25592.906612173494</v>
      </c>
      <c r="BE9">
        <v>25206.845828533904</v>
      </c>
      <c r="BF9">
        <v>25557.524912471552</v>
      </c>
      <c r="BG9">
        <v>25734.151644417117</v>
      </c>
      <c r="BH9">
        <v>26627.714538940043</v>
      </c>
      <c r="BI9">
        <v>27199.195240226181</v>
      </c>
      <c r="BJ9">
        <v>28878.606767547084</v>
      </c>
      <c r="BK9">
        <v>29651.864152670511</v>
      </c>
      <c r="BL9">
        <v>23930.671499511478</v>
      </c>
      <c r="BM9">
        <v>25745.495806774616</v>
      </c>
      <c r="BN9">
        <v>27785.557231683841</v>
      </c>
      <c r="BO9">
        <v>28712.397049219224</v>
      </c>
      <c r="BP9">
        <v>29298.647416472661</v>
      </c>
      <c r="BQ9">
        <v>30620.307555385883</v>
      </c>
      <c r="BR9">
        <f t="shared" si="0"/>
        <v>4.4304314207019857</v>
      </c>
    </row>
    <row r="10" spans="1:70" x14ac:dyDescent="0.25">
      <c r="A10" t="s">
        <v>577</v>
      </c>
      <c r="B10" t="s">
        <v>578</v>
      </c>
      <c r="C10" t="s">
        <v>434</v>
      </c>
      <c r="AH10">
        <v>11355.171840721674</v>
      </c>
      <c r="AI10">
        <v>10925.480316473375</v>
      </c>
      <c r="AJ10">
        <v>11328.283175152907</v>
      </c>
      <c r="AK10">
        <v>11373.875611000212</v>
      </c>
      <c r="AL10">
        <v>11407.579945978157</v>
      </c>
      <c r="AM10">
        <v>11439.965235048003</v>
      </c>
      <c r="AN10">
        <v>11727.917690966251</v>
      </c>
      <c r="AO10">
        <v>12060.416271089895</v>
      </c>
      <c r="AP10">
        <v>12414.080897191789</v>
      </c>
      <c r="AQ10">
        <v>12498.044876100639</v>
      </c>
      <c r="AR10">
        <v>12951.148835791906</v>
      </c>
      <c r="AS10">
        <v>12942.280123320576</v>
      </c>
      <c r="AT10">
        <v>12809.538664640488</v>
      </c>
      <c r="AU10">
        <v>12908.178574686603</v>
      </c>
      <c r="AV10">
        <v>13743.601113609478</v>
      </c>
      <c r="AW10">
        <v>14138.38733538538</v>
      </c>
      <c r="AX10">
        <v>14630.407986356367</v>
      </c>
      <c r="AY10">
        <v>14935.564710651826</v>
      </c>
      <c r="AZ10">
        <v>15396.831898978213</v>
      </c>
      <c r="BA10">
        <v>15212.251906191463</v>
      </c>
      <c r="BB10">
        <v>15618.615472911955</v>
      </c>
      <c r="BC10">
        <v>15945.182369833266</v>
      </c>
      <c r="BD10">
        <v>16186.273940386078</v>
      </c>
      <c r="BE10">
        <v>16119.456489604432</v>
      </c>
      <c r="BF10">
        <v>16172.635117180329</v>
      </c>
      <c r="BG10">
        <v>16397.490878097877</v>
      </c>
      <c r="BH10">
        <v>16632.4297723251</v>
      </c>
      <c r="BI10">
        <v>16568.802168470651</v>
      </c>
      <c r="BJ10">
        <v>16749.89776888891</v>
      </c>
      <c r="BK10">
        <v>16808.651930358006</v>
      </c>
      <c r="BL10">
        <v>15768.041051682809</v>
      </c>
      <c r="BM10">
        <v>16194.23044016741</v>
      </c>
      <c r="BN10">
        <v>16933.16859578418</v>
      </c>
      <c r="BO10">
        <v>16830.75948546594</v>
      </c>
      <c r="BP10">
        <v>16802.429296674687</v>
      </c>
      <c r="BQ10">
        <v>17050.849848889178</v>
      </c>
      <c r="BR10">
        <f t="shared" si="0"/>
        <v>1.2969639020586898</v>
      </c>
    </row>
    <row r="11" spans="1:70" x14ac:dyDescent="0.25">
      <c r="A11" t="s">
        <v>27</v>
      </c>
      <c r="B11" t="s">
        <v>521</v>
      </c>
      <c r="C11" t="s">
        <v>434</v>
      </c>
      <c r="AH11">
        <v>17007.284431719072</v>
      </c>
      <c r="AI11">
        <v>18295.609199681156</v>
      </c>
      <c r="AJ11">
        <v>19476.284060647678</v>
      </c>
      <c r="AK11">
        <v>20791.34514795036</v>
      </c>
      <c r="AL11">
        <v>21711.842788090962</v>
      </c>
      <c r="AM11">
        <v>20819.499947990291</v>
      </c>
      <c r="AN11">
        <v>21695.59495153715</v>
      </c>
      <c r="AO11">
        <v>23172.158339834234</v>
      </c>
      <c r="AP11">
        <v>23783.101718544862</v>
      </c>
      <c r="AQ11">
        <v>22714.511130270141</v>
      </c>
      <c r="AR11">
        <v>22281.381429995752</v>
      </c>
      <c r="AS11">
        <v>21066.458129043251</v>
      </c>
      <c r="AT11">
        <v>18571.702047127419</v>
      </c>
      <c r="AU11">
        <v>20005.138511346464</v>
      </c>
      <c r="AV11">
        <v>21591.449396516982</v>
      </c>
      <c r="AW11">
        <v>23262.407579281578</v>
      </c>
      <c r="AX11">
        <v>24877.249392229551</v>
      </c>
      <c r="AY11">
        <v>26850.664593277073</v>
      </c>
      <c r="AZ11">
        <v>27658.485344683126</v>
      </c>
      <c r="BA11">
        <v>25747.197680999467</v>
      </c>
      <c r="BB11">
        <v>28056.257021234182</v>
      </c>
      <c r="BC11">
        <v>29425.759387608403</v>
      </c>
      <c r="BD11">
        <v>28825.966686536078</v>
      </c>
      <c r="BE11">
        <v>29227.660181843734</v>
      </c>
      <c r="BF11">
        <v>28200.815257131831</v>
      </c>
      <c r="BG11">
        <v>28669.206133679614</v>
      </c>
      <c r="BH11">
        <v>27802.105720149757</v>
      </c>
      <c r="BI11">
        <v>28334.904184742005</v>
      </c>
      <c r="BJ11">
        <v>27367.115094107976</v>
      </c>
      <c r="BK11">
        <v>26629.552941950053</v>
      </c>
      <c r="BL11">
        <v>23877.093140485536</v>
      </c>
      <c r="BM11">
        <v>26300.274261175044</v>
      </c>
      <c r="BN11">
        <v>27825.027349256699</v>
      </c>
      <c r="BO11">
        <v>27230.396849668192</v>
      </c>
      <c r="BP11">
        <v>26771.965765057081</v>
      </c>
      <c r="BQ11">
        <v>27846.598459723915</v>
      </c>
      <c r="BR11">
        <f t="shared" si="0"/>
        <v>1.4385350878502789</v>
      </c>
    </row>
    <row r="12" spans="1:70" x14ac:dyDescent="0.25">
      <c r="A12" t="s">
        <v>28</v>
      </c>
      <c r="B12" t="s">
        <v>553</v>
      </c>
      <c r="C12" t="s">
        <v>434</v>
      </c>
      <c r="AH12">
        <v>6137.6004578676057</v>
      </c>
      <c r="AI12">
        <v>5326.7528555823565</v>
      </c>
      <c r="AJ12">
        <v>3136.7242826052616</v>
      </c>
      <c r="AK12">
        <v>2958.8803718564682</v>
      </c>
      <c r="AL12">
        <v>3200.8964946856859</v>
      </c>
      <c r="AM12">
        <v>3480.7559365250982</v>
      </c>
      <c r="AN12">
        <v>3717.3357652276222</v>
      </c>
      <c r="AO12">
        <v>3879.1793800967826</v>
      </c>
      <c r="AP12">
        <v>4211.5127677879682</v>
      </c>
      <c r="AQ12">
        <v>4406.9670671861786</v>
      </c>
      <c r="AR12">
        <v>4589.0082503997692</v>
      </c>
      <c r="AS12">
        <v>5044.1164782646783</v>
      </c>
      <c r="AT12">
        <v>5731.3534660921268</v>
      </c>
      <c r="AU12">
        <v>6569.2602344063134</v>
      </c>
      <c r="AV12">
        <v>7299.4000185886553</v>
      </c>
      <c r="AW12">
        <v>8362.9008403711923</v>
      </c>
      <c r="AX12">
        <v>9525.2314677977847</v>
      </c>
      <c r="AY12">
        <v>10898.84837956342</v>
      </c>
      <c r="AZ12">
        <v>11727.482127294899</v>
      </c>
      <c r="BA12">
        <v>10143.235079686714</v>
      </c>
      <c r="BB12">
        <v>10438.564190416904</v>
      </c>
      <c r="BC12">
        <v>10990.177099035007</v>
      </c>
      <c r="BD12">
        <v>11796.274117799436</v>
      </c>
      <c r="BE12">
        <v>12194.018952384286</v>
      </c>
      <c r="BF12">
        <v>12667.375733024917</v>
      </c>
      <c r="BG12">
        <v>13112.760090291533</v>
      </c>
      <c r="BH12">
        <v>13192.994073173128</v>
      </c>
      <c r="BI12">
        <v>14243.874900379489</v>
      </c>
      <c r="BJ12">
        <v>15037.045242071204</v>
      </c>
      <c r="BK12">
        <v>16215.360796509412</v>
      </c>
      <c r="BL12">
        <v>15052.93597911361</v>
      </c>
      <c r="BM12">
        <v>15921.705281964018</v>
      </c>
      <c r="BN12">
        <v>17886.178387716784</v>
      </c>
      <c r="BO12">
        <v>19402.751091557839</v>
      </c>
      <c r="BP12">
        <v>20078.784898484384</v>
      </c>
      <c r="BQ12">
        <v>21153.478328571015</v>
      </c>
      <c r="BR12">
        <f t="shared" si="0"/>
        <v>7.361371871695277</v>
      </c>
    </row>
    <row r="13" spans="1:70" x14ac:dyDescent="0.25">
      <c r="A13" t="s">
        <v>31</v>
      </c>
      <c r="B13" t="s">
        <v>459</v>
      </c>
      <c r="C13" t="s">
        <v>434</v>
      </c>
      <c r="AH13">
        <v>36267.74105922343</v>
      </c>
      <c r="AI13">
        <v>35670.667863730916</v>
      </c>
      <c r="AJ13">
        <v>35426.284828900752</v>
      </c>
      <c r="AK13">
        <v>36533.146828345096</v>
      </c>
      <c r="AL13">
        <v>37622.65247729385</v>
      </c>
      <c r="AM13">
        <v>38653.336677865736</v>
      </c>
      <c r="AN13">
        <v>39663.161772816798</v>
      </c>
      <c r="AO13">
        <v>40773.56605165184</v>
      </c>
      <c r="AP13">
        <v>42257.171812239467</v>
      </c>
      <c r="AQ13">
        <v>43899.073794405012</v>
      </c>
      <c r="AR13">
        <v>45099.07520970836</v>
      </c>
      <c r="AS13">
        <v>45428.20008375794</v>
      </c>
      <c r="AT13">
        <v>46688.394776063258</v>
      </c>
      <c r="AU13">
        <v>47581.228534587943</v>
      </c>
      <c r="AV13">
        <v>49061.276150392485</v>
      </c>
      <c r="AW13">
        <v>49997.066495394109</v>
      </c>
      <c r="AX13">
        <v>50693.724864979835</v>
      </c>
      <c r="AY13">
        <v>51663.240395388064</v>
      </c>
      <c r="AZ13">
        <v>52473.381916077255</v>
      </c>
      <c r="BA13">
        <v>52407.911537858439</v>
      </c>
      <c r="BB13">
        <v>52739.268155613303</v>
      </c>
      <c r="BC13">
        <v>53257.047323760315</v>
      </c>
      <c r="BD13">
        <v>54403.883690243303</v>
      </c>
      <c r="BE13">
        <v>54895.005258898425</v>
      </c>
      <c r="BF13">
        <v>55489.068844146044</v>
      </c>
      <c r="BG13">
        <v>55879.995881710274</v>
      </c>
      <c r="BH13">
        <v>56529.951824687028</v>
      </c>
      <c r="BI13">
        <v>56881.856985910388</v>
      </c>
      <c r="BJ13">
        <v>57647.845506810496</v>
      </c>
      <c r="BK13">
        <v>58048.618842083139</v>
      </c>
      <c r="BL13">
        <v>57260.465053010841</v>
      </c>
      <c r="BM13">
        <v>58327.414684232484</v>
      </c>
      <c r="BN13">
        <v>60029.13291907325</v>
      </c>
      <c r="BO13">
        <v>60684.959620488291</v>
      </c>
      <c r="BP13">
        <v>60309.583177233944</v>
      </c>
      <c r="BQ13">
        <v>60194.063354796119</v>
      </c>
      <c r="BR13">
        <f t="shared" si="0"/>
        <v>0.79064709949374645</v>
      </c>
    </row>
    <row r="14" spans="1:70" x14ac:dyDescent="0.25">
      <c r="A14" t="s">
        <v>32</v>
      </c>
      <c r="B14" t="s">
        <v>450</v>
      </c>
      <c r="C14" t="s">
        <v>434</v>
      </c>
      <c r="AH14">
        <v>43258.114409578462</v>
      </c>
      <c r="AI14">
        <v>44302.3593080223</v>
      </c>
      <c r="AJ14">
        <v>44734.791115767912</v>
      </c>
      <c r="AK14">
        <v>44601.144227451805</v>
      </c>
      <c r="AL14">
        <v>45497.074754295951</v>
      </c>
      <c r="AM14">
        <v>46639.466742161334</v>
      </c>
      <c r="AN14">
        <v>47608.564296295517</v>
      </c>
      <c r="AO14">
        <v>48575.090714406986</v>
      </c>
      <c r="AP14">
        <v>50216.628228410482</v>
      </c>
      <c r="AQ14">
        <v>52004.459782805985</v>
      </c>
      <c r="AR14">
        <v>53534.266989425858</v>
      </c>
      <c r="AS14">
        <v>54032.075746659029</v>
      </c>
      <c r="AT14">
        <v>54565.00042274817</v>
      </c>
      <c r="AU14">
        <v>54919.710191151265</v>
      </c>
      <c r="AV14">
        <v>55980.153166562159</v>
      </c>
      <c r="AW14">
        <v>56890.199618420389</v>
      </c>
      <c r="AX14">
        <v>58460.155050416332</v>
      </c>
      <c r="AY14">
        <v>60470.825141587018</v>
      </c>
      <c r="AZ14">
        <v>61157.901497419072</v>
      </c>
      <c r="BA14">
        <v>58810.359682869639</v>
      </c>
      <c r="BB14">
        <v>59730.467390305283</v>
      </c>
      <c r="BC14">
        <v>61272.172466289885</v>
      </c>
      <c r="BD14">
        <v>61376.634593042756</v>
      </c>
      <c r="BE14">
        <v>60862.9693673785</v>
      </c>
      <c r="BF14">
        <v>60845.574398071061</v>
      </c>
      <c r="BG14">
        <v>60951.603727366179</v>
      </c>
      <c r="BH14">
        <v>61572.625740240415</v>
      </c>
      <c r="BI14">
        <v>62535.810571134461</v>
      </c>
      <c r="BJ14">
        <v>63777.936215747599</v>
      </c>
      <c r="BK14">
        <v>64609.283639689456</v>
      </c>
      <c r="BL14">
        <v>60276.330769732624</v>
      </c>
      <c r="BM14">
        <v>62968.853877018628</v>
      </c>
      <c r="BN14">
        <v>65694.459150146766</v>
      </c>
      <c r="BO14">
        <v>64536.207630754703</v>
      </c>
      <c r="BP14">
        <v>63787.989174946197</v>
      </c>
      <c r="BQ14">
        <v>63970.400853485931</v>
      </c>
      <c r="BR14">
        <f t="shared" si="0"/>
        <v>0.39528591395736612</v>
      </c>
    </row>
    <row r="15" spans="1:70" x14ac:dyDescent="0.25">
      <c r="A15" t="s">
        <v>33</v>
      </c>
      <c r="B15" t="s">
        <v>541</v>
      </c>
      <c r="C15" t="s">
        <v>434</v>
      </c>
      <c r="AH15">
        <v>10776.067701808586</v>
      </c>
      <c r="AI15">
        <v>10559.211936152706</v>
      </c>
      <c r="AJ15">
        <v>8050.2162419519354</v>
      </c>
      <c r="AK15">
        <v>6097.4862231683392</v>
      </c>
      <c r="AL15">
        <v>4830.6994028762556</v>
      </c>
      <c r="AM15">
        <v>4211.7211434963565</v>
      </c>
      <c r="AN15">
        <v>4223.5229711304028</v>
      </c>
      <c r="AO15">
        <v>4425.5882352872022</v>
      </c>
      <c r="AP15">
        <v>4822.1601856451989</v>
      </c>
      <c r="AQ15">
        <v>5133.7481203256921</v>
      </c>
      <c r="AR15">
        <v>5656.9298937868698</v>
      </c>
      <c r="AS15">
        <v>6168.9851205974892</v>
      </c>
      <c r="AT15">
        <v>6701.0817444420672</v>
      </c>
      <c r="AU15">
        <v>7329.4060181894329</v>
      </c>
      <c r="AV15">
        <v>7937.8594791001997</v>
      </c>
      <c r="AW15">
        <v>10054.100338940087</v>
      </c>
      <c r="AX15">
        <v>13371.658521453441</v>
      </c>
      <c r="AY15">
        <v>16587.365724022806</v>
      </c>
      <c r="AZ15">
        <v>17963.020812683837</v>
      </c>
      <c r="BA15">
        <v>19242.390007723116</v>
      </c>
      <c r="BB15">
        <v>19925.390066213746</v>
      </c>
      <c r="BC15">
        <v>19358.077810034483</v>
      </c>
      <c r="BD15">
        <v>19523.373716135644</v>
      </c>
      <c r="BE15">
        <v>20398.646225034896</v>
      </c>
      <c r="BF15">
        <v>20709.201611232042</v>
      </c>
      <c r="BG15">
        <v>20678.753957237481</v>
      </c>
      <c r="BH15">
        <v>19822.410594394129</v>
      </c>
      <c r="BI15">
        <v>19659.00485627677</v>
      </c>
      <c r="BJ15">
        <v>19781.850905843694</v>
      </c>
      <c r="BK15">
        <v>20101.491875147043</v>
      </c>
      <c r="BL15">
        <v>19126.096851125993</v>
      </c>
      <c r="BM15">
        <v>20111.375695210878</v>
      </c>
      <c r="BN15">
        <v>21051.24422916121</v>
      </c>
      <c r="BO15">
        <v>21310.738691502233</v>
      </c>
      <c r="BP15">
        <v>22090.529802692923</v>
      </c>
      <c r="BQ15">
        <v>22314.216895733265</v>
      </c>
      <c r="BR15">
        <f t="shared" si="0"/>
        <v>2.6325141489451864</v>
      </c>
    </row>
    <row r="16" spans="1:70" x14ac:dyDescent="0.25">
      <c r="A16" t="s">
        <v>34</v>
      </c>
      <c r="B16" t="s">
        <v>717</v>
      </c>
      <c r="C16" t="s">
        <v>434</v>
      </c>
      <c r="AH16">
        <v>33072.159612538169</v>
      </c>
      <c r="AI16">
        <v>31148.905262282537</v>
      </c>
      <c r="AJ16">
        <v>29412.880498591858</v>
      </c>
      <c r="AK16">
        <v>28955.351058902088</v>
      </c>
      <c r="AL16">
        <v>29346.360483707926</v>
      </c>
      <c r="AM16">
        <v>30128.193555724622</v>
      </c>
      <c r="AN16">
        <v>30907.820803575636</v>
      </c>
      <c r="AO16">
        <v>30839.024795249072</v>
      </c>
      <c r="AP16">
        <v>31836.526490133128</v>
      </c>
      <c r="AQ16">
        <v>33657.804588873965</v>
      </c>
      <c r="AR16">
        <v>34597.162114527404</v>
      </c>
      <c r="AS16">
        <v>35072.365899046068</v>
      </c>
      <c r="AT16">
        <v>35610.67864256465</v>
      </c>
      <c r="AU16">
        <v>34740.763553538069</v>
      </c>
      <c r="AV16">
        <v>34617.805113745868</v>
      </c>
      <c r="AW16">
        <v>35365.466398021883</v>
      </c>
      <c r="AX16">
        <v>35789.132213189841</v>
      </c>
      <c r="AY16">
        <v>35797.118972072967</v>
      </c>
      <c r="AZ16">
        <v>34498.035139917316</v>
      </c>
      <c r="BA16">
        <v>32630.263065978994</v>
      </c>
      <c r="BB16">
        <v>32711.459245938306</v>
      </c>
      <c r="BC16">
        <v>32535.662513913521</v>
      </c>
      <c r="BD16">
        <v>33667.554709891061</v>
      </c>
      <c r="BE16">
        <v>32402.916350310807</v>
      </c>
      <c r="BF16">
        <v>32712.635666481085</v>
      </c>
      <c r="BG16">
        <v>32777.584941074165</v>
      </c>
      <c r="BH16">
        <v>32172.336515297575</v>
      </c>
      <c r="BI16">
        <v>33050.035012861117</v>
      </c>
      <c r="BJ16">
        <v>33650.216435093527</v>
      </c>
      <c r="BK16">
        <v>33202.490210506847</v>
      </c>
      <c r="BL16">
        <v>26452.695760929029</v>
      </c>
      <c r="BM16">
        <v>31064.682216619418</v>
      </c>
      <c r="BN16">
        <v>34342.928531656922</v>
      </c>
      <c r="BO16">
        <v>35221.26969323129</v>
      </c>
      <c r="BP16">
        <v>36244.050012324442</v>
      </c>
      <c r="BQ16" s="200">
        <v>36244.050012324442</v>
      </c>
      <c r="BR16">
        <f t="shared" si="0"/>
        <v>3.9303647417504584</v>
      </c>
    </row>
    <row r="17" spans="1:70" x14ac:dyDescent="0.25">
      <c r="A17" t="s">
        <v>36</v>
      </c>
      <c r="B17" t="s">
        <v>456</v>
      </c>
      <c r="C17" t="s">
        <v>434</v>
      </c>
      <c r="AH17">
        <v>41856.544507719984</v>
      </c>
      <c r="AI17">
        <v>47644.02347168819</v>
      </c>
      <c r="AJ17">
        <v>49511.94740196268</v>
      </c>
      <c r="AK17">
        <v>54433.137508497093</v>
      </c>
      <c r="AL17">
        <v>52886.578902732908</v>
      </c>
      <c r="AM17">
        <v>53537.682894817699</v>
      </c>
      <c r="AN17">
        <v>54289.438039030938</v>
      </c>
      <c r="AO17">
        <v>54512.855105688846</v>
      </c>
      <c r="AP17">
        <v>55638.693586068366</v>
      </c>
      <c r="AQ17">
        <v>56522.226189982255</v>
      </c>
      <c r="AR17">
        <v>57968.995608213481</v>
      </c>
      <c r="AS17">
        <v>57280.698670749356</v>
      </c>
      <c r="AT17">
        <v>55096.65715507789</v>
      </c>
      <c r="AU17">
        <v>54431.876355965782</v>
      </c>
      <c r="AV17">
        <v>54045.092888858017</v>
      </c>
      <c r="AW17">
        <v>53478.266241550315</v>
      </c>
      <c r="AX17">
        <v>52691.932336685102</v>
      </c>
      <c r="AY17">
        <v>52731.792167261825</v>
      </c>
      <c r="AZ17">
        <v>52765.389945554591</v>
      </c>
      <c r="BA17">
        <v>50665.75074892195</v>
      </c>
      <c r="BB17">
        <v>50704.847967981921</v>
      </c>
      <c r="BC17">
        <v>53132.328416261102</v>
      </c>
      <c r="BD17">
        <v>54516.840659478738</v>
      </c>
      <c r="BE17">
        <v>55376.40051478942</v>
      </c>
      <c r="BF17">
        <v>55065.818947212945</v>
      </c>
      <c r="BG17">
        <v>54149.913152472058</v>
      </c>
      <c r="BH17">
        <v>54107.075223642321</v>
      </c>
      <c r="BI17">
        <v>53859.774958960057</v>
      </c>
      <c r="BJ17">
        <v>54893.072441136785</v>
      </c>
      <c r="BK17">
        <v>56749.962837061219</v>
      </c>
      <c r="BL17">
        <v>53814.245259235817</v>
      </c>
      <c r="BM17">
        <v>54954.675789553228</v>
      </c>
      <c r="BN17">
        <v>57572.997981017965</v>
      </c>
      <c r="BO17">
        <v>57819.905183124225</v>
      </c>
      <c r="BP17">
        <v>59060.181836318312</v>
      </c>
      <c r="BQ17">
        <v>60669.630779577237</v>
      </c>
      <c r="BR17">
        <f t="shared" si="0"/>
        <v>2.5042035321767075</v>
      </c>
    </row>
    <row r="18" spans="1:70" x14ac:dyDescent="0.25">
      <c r="A18" t="s">
        <v>37</v>
      </c>
      <c r="B18" t="s">
        <v>631</v>
      </c>
      <c r="C18" t="s">
        <v>434</v>
      </c>
      <c r="AH18">
        <v>2069.7823010067218</v>
      </c>
      <c r="AI18">
        <v>2101.3836603565805</v>
      </c>
      <c r="AJ18">
        <v>2174.3823286694314</v>
      </c>
      <c r="AK18">
        <v>2234.8101219224959</v>
      </c>
      <c r="AL18">
        <v>2279.0943530294389</v>
      </c>
      <c r="AM18">
        <v>2351.7038794690307</v>
      </c>
      <c r="AN18">
        <v>2413.5429820150471</v>
      </c>
      <c r="AO18">
        <v>2475.5957460248887</v>
      </c>
      <c r="AP18">
        <v>2555.0611921828227</v>
      </c>
      <c r="AQ18">
        <v>2624.0655379763793</v>
      </c>
      <c r="AR18">
        <v>2712.935122157251</v>
      </c>
      <c r="AS18">
        <v>2803.5547195094632</v>
      </c>
      <c r="AT18">
        <v>2866.4345432871542</v>
      </c>
      <c r="AU18">
        <v>2958.9150311563326</v>
      </c>
      <c r="AV18">
        <v>3071.8377876461095</v>
      </c>
      <c r="AW18">
        <v>3231.6137069289107</v>
      </c>
      <c r="AX18">
        <v>3407.4273502159035</v>
      </c>
      <c r="AY18">
        <v>3608.915438193992</v>
      </c>
      <c r="AZ18">
        <v>3787.9382761855027</v>
      </c>
      <c r="BA18">
        <v>3942.1363120720339</v>
      </c>
      <c r="BB18">
        <v>4125.4639016320161</v>
      </c>
      <c r="BC18">
        <v>4352.4264335932503</v>
      </c>
      <c r="BD18">
        <v>4592.048409198117</v>
      </c>
      <c r="BE18">
        <v>4822.7262137826592</v>
      </c>
      <c r="BF18">
        <v>5068.6396567274114</v>
      </c>
      <c r="BG18">
        <v>5352.7113329956564</v>
      </c>
      <c r="BH18">
        <v>5682.5355349430629</v>
      </c>
      <c r="BI18">
        <v>6005.7071878104834</v>
      </c>
      <c r="BJ18">
        <v>6392.5933402409055</v>
      </c>
      <c r="BK18">
        <v>6838.3261160824331</v>
      </c>
      <c r="BL18">
        <v>7015.1979279705611</v>
      </c>
      <c r="BM18">
        <v>7441.0691396125412</v>
      </c>
      <c r="BN18">
        <v>7888.1638909830435</v>
      </c>
      <c r="BO18">
        <v>8242.3979897724221</v>
      </c>
      <c r="BP18">
        <v>8486.7849566051682</v>
      </c>
      <c r="BQ18">
        <v>8676.7557622508011</v>
      </c>
      <c r="BR18">
        <f t="shared" si="0"/>
        <v>3.9155422684284957</v>
      </c>
    </row>
    <row r="19" spans="1:70" x14ac:dyDescent="0.25">
      <c r="A19" t="s">
        <v>38</v>
      </c>
      <c r="B19" t="s">
        <v>542</v>
      </c>
      <c r="C19" t="s">
        <v>434</v>
      </c>
      <c r="AH19">
        <v>19195.887116003796</v>
      </c>
      <c r="AI19">
        <v>18391.007404006639</v>
      </c>
      <c r="AJ19">
        <v>17284.519656105487</v>
      </c>
      <c r="AK19">
        <v>17370.873486642166</v>
      </c>
      <c r="AL19">
        <v>17679.998554717644</v>
      </c>
      <c r="AM19">
        <v>18007.233772555646</v>
      </c>
      <c r="AN19">
        <v>18705.797631467674</v>
      </c>
      <c r="AO19">
        <v>19584.407596401623</v>
      </c>
      <c r="AP19">
        <v>20311.199276816016</v>
      </c>
      <c r="AQ19">
        <v>20372.883934870479</v>
      </c>
      <c r="AR19">
        <v>21315.768430057109</v>
      </c>
      <c r="AS19">
        <v>20782.843245370084</v>
      </c>
      <c r="AT19">
        <v>20809.856721894135</v>
      </c>
      <c r="AU19">
        <v>21132.3281963019</v>
      </c>
      <c r="AV19">
        <v>21308.605256958705</v>
      </c>
      <c r="AW19">
        <v>22035.385958103529</v>
      </c>
      <c r="AX19">
        <v>23260.864543881071</v>
      </c>
      <c r="AY19">
        <v>23631.943388529919</v>
      </c>
      <c r="AZ19">
        <v>23657.290065044606</v>
      </c>
      <c r="BA19">
        <v>22354.840480039897</v>
      </c>
      <c r="BB19">
        <v>20464.793965877583</v>
      </c>
      <c r="BC19">
        <v>20383.253091768656</v>
      </c>
      <c r="BD19">
        <v>19743.578270949954</v>
      </c>
      <c r="BE19">
        <v>19730.346974051787</v>
      </c>
      <c r="BF19">
        <v>19840.830617964399</v>
      </c>
      <c r="BG19">
        <v>19642.232250021865</v>
      </c>
      <c r="BH19">
        <v>19877.112008396831</v>
      </c>
      <c r="BI19">
        <v>19966.320240515426</v>
      </c>
      <c r="BJ19">
        <v>19877.675956923464</v>
      </c>
      <c r="BK19">
        <v>19890.455714094041</v>
      </c>
      <c r="BL19">
        <v>16399.702011140482</v>
      </c>
      <c r="BM19">
        <v>17686.746938628879</v>
      </c>
      <c r="BN19">
        <v>20494.534383693612</v>
      </c>
      <c r="BO19">
        <v>20865.015543714722</v>
      </c>
      <c r="BP19">
        <v>21557.527635038492</v>
      </c>
      <c r="BQ19">
        <v>22127.36049797184</v>
      </c>
      <c r="BR19">
        <f t="shared" si="0"/>
        <v>5.7597492255344385</v>
      </c>
    </row>
    <row r="20" spans="1:70" x14ac:dyDescent="0.25">
      <c r="A20" t="s">
        <v>39</v>
      </c>
      <c r="B20" t="s">
        <v>517</v>
      </c>
      <c r="C20" t="s">
        <v>434</v>
      </c>
      <c r="AH20">
        <v>12351.635711006484</v>
      </c>
      <c r="AI20">
        <v>12197.787788763389</v>
      </c>
      <c r="AJ20">
        <v>11002.601762613624</v>
      </c>
      <c r="AK20">
        <v>10143.984011844455</v>
      </c>
      <c r="AL20">
        <v>8967.7307297183143</v>
      </c>
      <c r="AM20">
        <v>8061.196041126087</v>
      </c>
      <c r="AN20">
        <v>8314.8565668502542</v>
      </c>
      <c r="AO20">
        <v>9301.3271751986667</v>
      </c>
      <c r="AP20">
        <v>10128.156046956263</v>
      </c>
      <c r="AQ20">
        <v>10519.748914544223</v>
      </c>
      <c r="AR20">
        <v>11182.454833939342</v>
      </c>
      <c r="AS20">
        <v>11771.087200386057</v>
      </c>
      <c r="AT20">
        <v>12443.93225759393</v>
      </c>
      <c r="AU20">
        <v>13413.926550485376</v>
      </c>
      <c r="AV20">
        <v>15052.11821609467</v>
      </c>
      <c r="AW20">
        <v>16579.873168383387</v>
      </c>
      <c r="AX20">
        <v>18349.871906063359</v>
      </c>
      <c r="AY20">
        <v>20019.611167672832</v>
      </c>
      <c r="AZ20">
        <v>22137.94729283149</v>
      </c>
      <c r="BA20">
        <v>22236.838769113579</v>
      </c>
      <c r="BB20">
        <v>24012.613304021306</v>
      </c>
      <c r="BC20">
        <v>25404.756608241158</v>
      </c>
      <c r="BD20">
        <v>25879.131940070107</v>
      </c>
      <c r="BE20">
        <v>26147.625358464516</v>
      </c>
      <c r="BF20">
        <v>26564.434724654748</v>
      </c>
      <c r="BG20">
        <v>25513.213295831654</v>
      </c>
      <c r="BH20">
        <v>24846.830152935861</v>
      </c>
      <c r="BI20">
        <v>25503.980984520666</v>
      </c>
      <c r="BJ20">
        <v>26363.46297785364</v>
      </c>
      <c r="BK20">
        <v>26798.820639807636</v>
      </c>
      <c r="BL20">
        <v>26731.495386992214</v>
      </c>
      <c r="BM20">
        <v>27611.180113515707</v>
      </c>
      <c r="BN20">
        <v>26537.508308167438</v>
      </c>
      <c r="BO20">
        <v>27782.438013996729</v>
      </c>
      <c r="BP20">
        <v>29135.946513923205</v>
      </c>
      <c r="BQ20">
        <v>29666.211571911696</v>
      </c>
      <c r="BR20">
        <f t="shared" si="0"/>
        <v>1.8109008410417404</v>
      </c>
    </row>
    <row r="21" spans="1:70" x14ac:dyDescent="0.25">
      <c r="A21" t="s">
        <v>40</v>
      </c>
      <c r="B21" t="s">
        <v>452</v>
      </c>
      <c r="C21" t="s">
        <v>434</v>
      </c>
      <c r="AH21">
        <v>41640.058357213398</v>
      </c>
      <c r="AI21">
        <v>42246.076049685129</v>
      </c>
      <c r="AJ21">
        <v>42719.048613424675</v>
      </c>
      <c r="AK21">
        <v>42143.196061205141</v>
      </c>
      <c r="AL21">
        <v>43369.275944430992</v>
      </c>
      <c r="AM21">
        <v>44310.627868827614</v>
      </c>
      <c r="AN21">
        <v>44808.52435803516</v>
      </c>
      <c r="AO21">
        <v>46396.002128399465</v>
      </c>
      <c r="AP21">
        <v>47205.309852735452</v>
      </c>
      <c r="AQ21">
        <v>48765.766857199756</v>
      </c>
      <c r="AR21">
        <v>50455.733892067394</v>
      </c>
      <c r="AS21">
        <v>50835.396991606329</v>
      </c>
      <c r="AT21">
        <v>51471.853255093425</v>
      </c>
      <c r="AU21">
        <v>51788.843964197462</v>
      </c>
      <c r="AV21">
        <v>53406.691862520282</v>
      </c>
      <c r="AW21">
        <v>54346.893421928813</v>
      </c>
      <c r="AX21">
        <v>55367.622746790927</v>
      </c>
      <c r="AY21">
        <v>56983.461217006377</v>
      </c>
      <c r="AZ21">
        <v>56787.736625741607</v>
      </c>
      <c r="BA21">
        <v>55258.707101966829</v>
      </c>
      <c r="BB21">
        <v>56240.20309362415</v>
      </c>
      <c r="BC21">
        <v>56585.302500067955</v>
      </c>
      <c r="BD21">
        <v>56356.825129213728</v>
      </c>
      <c r="BE21">
        <v>56263.175267967039</v>
      </c>
      <c r="BF21">
        <v>57002.909218520646</v>
      </c>
      <c r="BG21">
        <v>57509.024572870432</v>
      </c>
      <c r="BH21">
        <v>57901.497690315045</v>
      </c>
      <c r="BI21">
        <v>58529.330295753665</v>
      </c>
      <c r="BJ21">
        <v>59357.689688439612</v>
      </c>
      <c r="BK21">
        <v>60479.976995546858</v>
      </c>
      <c r="BL21">
        <v>57333.542413792406</v>
      </c>
      <c r="BM21">
        <v>60669.213774653363</v>
      </c>
      <c r="BN21">
        <v>62602.927046976532</v>
      </c>
      <c r="BO21">
        <v>63042.009987630867</v>
      </c>
      <c r="BP21">
        <v>63311.276691717831</v>
      </c>
      <c r="BQ21">
        <v>63488.421762252314</v>
      </c>
      <c r="BR21">
        <f t="shared" si="0"/>
        <v>1.1420009063493941</v>
      </c>
    </row>
    <row r="22" spans="1:70" x14ac:dyDescent="0.25">
      <c r="A22" t="s">
        <v>41</v>
      </c>
      <c r="B22" t="s">
        <v>603</v>
      </c>
      <c r="C22" t="s">
        <v>434</v>
      </c>
      <c r="AH22">
        <v>8251.6176253947069</v>
      </c>
      <c r="AI22">
        <v>9028.0734383756171</v>
      </c>
      <c r="AJ22">
        <v>9967.7777928355281</v>
      </c>
      <c r="AK22">
        <v>10366.859059880671</v>
      </c>
      <c r="AL22">
        <v>10146.399675520264</v>
      </c>
      <c r="AM22">
        <v>9967.8468808864254</v>
      </c>
      <c r="AN22">
        <v>9782.6441602965133</v>
      </c>
      <c r="AO22">
        <v>9862.2663454687554</v>
      </c>
      <c r="AP22">
        <v>9894.599197850257</v>
      </c>
      <c r="AQ22">
        <v>10460.634610279532</v>
      </c>
      <c r="AR22">
        <v>11363.686878161496</v>
      </c>
      <c r="AS22">
        <v>11567.026572060797</v>
      </c>
      <c r="AT22">
        <v>11828.186574406711</v>
      </c>
      <c r="AU22">
        <v>12589.26793782061</v>
      </c>
      <c r="AV22">
        <v>12807.165877438443</v>
      </c>
      <c r="AW22">
        <v>12714.969739083102</v>
      </c>
      <c r="AX22">
        <v>12912.530023377432</v>
      </c>
      <c r="AY22">
        <v>12973.206721474606</v>
      </c>
      <c r="AZ22">
        <v>12415.681130046434</v>
      </c>
      <c r="BA22">
        <v>12033.909681658757</v>
      </c>
      <c r="BB22">
        <v>11913.663595906051</v>
      </c>
      <c r="BC22">
        <v>11641.771737570321</v>
      </c>
      <c r="BD22">
        <v>11843.415340421185</v>
      </c>
      <c r="BE22">
        <v>12064.797259405961</v>
      </c>
      <c r="BF22">
        <v>12272.295789544632</v>
      </c>
      <c r="BG22">
        <v>12348.794497831106</v>
      </c>
      <c r="BH22">
        <v>12063.060037409297</v>
      </c>
      <c r="BI22">
        <v>11572.300793146118</v>
      </c>
      <c r="BJ22">
        <v>11451.897941387726</v>
      </c>
      <c r="BK22">
        <v>11765.974866117622</v>
      </c>
      <c r="BL22">
        <v>10045.140416374554</v>
      </c>
      <c r="BM22">
        <v>11716.326781865551</v>
      </c>
      <c r="BN22">
        <v>12565.364582957618</v>
      </c>
      <c r="BO22">
        <v>12371.008654534773</v>
      </c>
      <c r="BP22">
        <v>12621.408196189694</v>
      </c>
      <c r="BQ22">
        <v>12788.842371382603</v>
      </c>
      <c r="BR22">
        <f t="shared" si="0"/>
        <v>2.2138953772597114</v>
      </c>
    </row>
    <row r="23" spans="1:70" x14ac:dyDescent="0.25">
      <c r="A23" t="s">
        <v>43</v>
      </c>
      <c r="B23" t="s">
        <v>678</v>
      </c>
      <c r="C23" t="s">
        <v>434</v>
      </c>
      <c r="AH23">
        <v>2207.0679642835671</v>
      </c>
      <c r="AI23">
        <v>2230.4605466453722</v>
      </c>
      <c r="AJ23">
        <v>2226.5666600662548</v>
      </c>
      <c r="AK23">
        <v>2254.2456542889263</v>
      </c>
      <c r="AL23">
        <v>2215.3661682193801</v>
      </c>
      <c r="AM23">
        <v>2300.1412210745898</v>
      </c>
      <c r="AN23">
        <v>2337.6303077127873</v>
      </c>
      <c r="AO23">
        <v>2399.7859312735582</v>
      </c>
      <c r="AP23">
        <v>2419.1001433854794</v>
      </c>
      <c r="AQ23">
        <v>2470.6850440054895</v>
      </c>
      <c r="AR23">
        <v>2536.168858670967</v>
      </c>
      <c r="AS23">
        <v>2591.0648522028791</v>
      </c>
      <c r="AT23">
        <v>2630.1806102962714</v>
      </c>
      <c r="AU23">
        <v>2639.0437011464146</v>
      </c>
      <c r="AV23">
        <v>2672.8440435715747</v>
      </c>
      <c r="AW23">
        <v>2632.4725145432849</v>
      </c>
      <c r="AX23">
        <v>2652.218419671588</v>
      </c>
      <c r="AY23">
        <v>2729.1374139035174</v>
      </c>
      <c r="AZ23">
        <v>2777.6197403176543</v>
      </c>
      <c r="BA23">
        <v>2758.0724315064831</v>
      </c>
      <c r="BB23">
        <v>2733.5739964115078</v>
      </c>
      <c r="BC23">
        <v>2732.0124964795677</v>
      </c>
      <c r="BD23">
        <v>2779.7264808532018</v>
      </c>
      <c r="BE23">
        <v>2893.046701535196</v>
      </c>
      <c r="BF23">
        <v>2987.382363261529</v>
      </c>
      <c r="BG23">
        <v>2952.0021833870519</v>
      </c>
      <c r="BH23">
        <v>2962.6638157226457</v>
      </c>
      <c r="BI23">
        <v>3041.7792998498926</v>
      </c>
      <c r="BJ23">
        <v>3155.4510650627021</v>
      </c>
      <c r="BK23">
        <v>3281.1047005146465</v>
      </c>
      <c r="BL23">
        <v>3317.8597222556973</v>
      </c>
      <c r="BM23">
        <v>3464.2886286745002</v>
      </c>
      <c r="BN23">
        <v>3588.3251993814706</v>
      </c>
      <c r="BO23">
        <v>3721.2125481480793</v>
      </c>
      <c r="BP23">
        <v>3901.3258849439226</v>
      </c>
      <c r="BQ23">
        <v>4116.2151559487957</v>
      </c>
      <c r="BR23">
        <f t="shared" si="0"/>
        <v>4.4049283767174652</v>
      </c>
    </row>
    <row r="24" spans="1:70" x14ac:dyDescent="0.25">
      <c r="A24" t="s">
        <v>44</v>
      </c>
      <c r="B24" t="s">
        <v>580</v>
      </c>
      <c r="C24" t="s">
        <v>434</v>
      </c>
      <c r="AH24">
        <v>3411.3837599175977</v>
      </c>
      <c r="AI24">
        <v>3338.0094182659864</v>
      </c>
      <c r="AJ24">
        <v>3624.5978150013643</v>
      </c>
      <c r="AK24">
        <v>3850.5512874209958</v>
      </c>
      <c r="AL24">
        <v>4042.4941776924893</v>
      </c>
      <c r="AM24">
        <v>4379.8704666777821</v>
      </c>
      <c r="AN24">
        <v>4616.9197919843946</v>
      </c>
      <c r="AO24">
        <v>4778.705117317324</v>
      </c>
      <c r="AP24">
        <v>4965.8764603168138</v>
      </c>
      <c r="AQ24">
        <v>5241.3666379073684</v>
      </c>
      <c r="AR24">
        <v>5287.5743472168415</v>
      </c>
      <c r="AS24">
        <v>5545.6305511083965</v>
      </c>
      <c r="AT24">
        <v>5991.2549757177476</v>
      </c>
      <c r="AU24">
        <v>6323.5411950972966</v>
      </c>
      <c r="AV24">
        <v>6517.9968329021558</v>
      </c>
      <c r="AW24">
        <v>6850.8044160933368</v>
      </c>
      <c r="AX24">
        <v>7140.8560914837635</v>
      </c>
      <c r="AY24">
        <v>8195.0707447791174</v>
      </c>
      <c r="AZ24">
        <v>8470.034716228547</v>
      </c>
      <c r="BA24">
        <v>9019.1186127239744</v>
      </c>
      <c r="BB24">
        <v>9985.2845548365458</v>
      </c>
      <c r="BC24">
        <v>10714.686566370952</v>
      </c>
      <c r="BD24">
        <v>11143.944535458771</v>
      </c>
      <c r="BE24">
        <v>11212.479426698001</v>
      </c>
      <c r="BF24">
        <v>11744.518912482503</v>
      </c>
      <c r="BG24">
        <v>12400.298323739074</v>
      </c>
      <c r="BH24">
        <v>13320.975903688246</v>
      </c>
      <c r="BI24">
        <v>13482.342528035764</v>
      </c>
      <c r="BJ24">
        <v>13854.85439771577</v>
      </c>
      <c r="BK24">
        <v>14555.188404584535</v>
      </c>
      <c r="BL24">
        <v>12979.936948582394</v>
      </c>
      <c r="BM24">
        <v>13458.812666742977</v>
      </c>
      <c r="BN24">
        <v>14061.31202745876</v>
      </c>
      <c r="BO24">
        <v>14610.295909783661</v>
      </c>
      <c r="BP24">
        <v>15603.887129846908</v>
      </c>
      <c r="BQ24">
        <v>16743.870385457481</v>
      </c>
      <c r="BR24">
        <f t="shared" si="0"/>
        <v>5.6117590741583623</v>
      </c>
    </row>
    <row r="25" spans="1:70" x14ac:dyDescent="0.25">
      <c r="A25" t="s">
        <v>45</v>
      </c>
      <c r="B25" t="s">
        <v>611</v>
      </c>
      <c r="C25" t="s">
        <v>434</v>
      </c>
      <c r="AH25">
        <v>6247.1044661540291</v>
      </c>
      <c r="AI25">
        <v>6440.4857142831779</v>
      </c>
      <c r="AJ25">
        <v>6414.3286682543639</v>
      </c>
      <c r="AK25">
        <v>6556.8164055144935</v>
      </c>
      <c r="AL25">
        <v>6731.2848750159501</v>
      </c>
      <c r="AM25">
        <v>6914.3418961430434</v>
      </c>
      <c r="AN25">
        <v>7083.6131331082979</v>
      </c>
      <c r="AO25">
        <v>7301.5093586149578</v>
      </c>
      <c r="AP25">
        <v>7534.5165636960537</v>
      </c>
      <c r="AQ25">
        <v>7435.7254428694887</v>
      </c>
      <c r="AR25">
        <v>7492.4338168090981</v>
      </c>
      <c r="AS25">
        <v>7491.1525776557128</v>
      </c>
      <c r="AT25">
        <v>7550.0155464509171</v>
      </c>
      <c r="AU25">
        <v>7625.9051591889238</v>
      </c>
      <c r="AV25">
        <v>7811.5968409393554</v>
      </c>
      <c r="AW25">
        <v>8020.6356883479293</v>
      </c>
      <c r="AX25">
        <v>8263.3189685369143</v>
      </c>
      <c r="AY25">
        <v>8493.9484821265269</v>
      </c>
      <c r="AZ25">
        <v>8865.2724661668308</v>
      </c>
      <c r="BA25">
        <v>9011.5562987354715</v>
      </c>
      <c r="BB25">
        <v>9230.3980801465968</v>
      </c>
      <c r="BC25">
        <v>9554.4450251299968</v>
      </c>
      <c r="BD25">
        <v>9884.4616359464508</v>
      </c>
      <c r="BE25">
        <v>10391.383375691714</v>
      </c>
      <c r="BF25">
        <v>10790.847288752781</v>
      </c>
      <c r="BG25">
        <v>11144.641572064051</v>
      </c>
      <c r="BH25">
        <v>11448.021803219963</v>
      </c>
      <c r="BI25">
        <v>11755.255619588523</v>
      </c>
      <c r="BJ25">
        <v>11920.313507964513</v>
      </c>
      <c r="BK25">
        <v>11930.915914591844</v>
      </c>
      <c r="BL25">
        <v>10285.659075022226</v>
      </c>
      <c r="BM25">
        <v>11202.440983670711</v>
      </c>
      <c r="BN25">
        <v>11487.714879919436</v>
      </c>
      <c r="BO25">
        <v>11616.157559515917</v>
      </c>
      <c r="BP25">
        <v>11329.151806153595</v>
      </c>
      <c r="BQ25">
        <v>11000.534522072765</v>
      </c>
      <c r="BR25">
        <f t="shared" si="0"/>
        <v>-0.45366369811179474</v>
      </c>
    </row>
    <row r="26" spans="1:70" x14ac:dyDescent="0.25">
      <c r="A26" t="s">
        <v>46</v>
      </c>
      <c r="B26" t="s">
        <v>552</v>
      </c>
      <c r="C26" t="s">
        <v>434</v>
      </c>
      <c r="AH26">
        <v>2413.9382292852611</v>
      </c>
      <c r="AI26">
        <v>2183.5260494253912</v>
      </c>
      <c r="AJ26">
        <v>2150.9107408336563</v>
      </c>
      <c r="AK26">
        <v>2281.8898360366161</v>
      </c>
      <c r="AL26">
        <v>2657.8029524097296</v>
      </c>
      <c r="AM26">
        <v>3090.3782358146209</v>
      </c>
      <c r="AN26">
        <v>4568.9826588268743</v>
      </c>
      <c r="AO26">
        <v>6020.9602373254311</v>
      </c>
      <c r="AP26">
        <v>6899.2970585081948</v>
      </c>
      <c r="AQ26">
        <v>7481.303989359275</v>
      </c>
      <c r="AR26">
        <v>7830.5018609252029</v>
      </c>
      <c r="AS26">
        <v>7982.5188539099008</v>
      </c>
      <c r="AT26">
        <v>8366.6915560484449</v>
      </c>
      <c r="AU26">
        <v>8709.9567157819711</v>
      </c>
      <c r="AV26">
        <v>9344.8301588719314</v>
      </c>
      <c r="AW26">
        <v>9814.4696410253109</v>
      </c>
      <c r="AX26">
        <v>10430.411995184653</v>
      </c>
      <c r="AY26">
        <v>11178.681483239227</v>
      </c>
      <c r="AZ26">
        <v>11983.719963213804</v>
      </c>
      <c r="BA26">
        <v>11826.650135138296</v>
      </c>
      <c r="BB26">
        <v>12142.861695816844</v>
      </c>
      <c r="BC26">
        <v>12487.649056603703</v>
      </c>
      <c r="BD26">
        <v>12626.926323775278</v>
      </c>
      <c r="BE26">
        <v>13135.717505345423</v>
      </c>
      <c r="BF26">
        <v>13458.852576408011</v>
      </c>
      <c r="BG26">
        <v>14220.090003803703</v>
      </c>
      <c r="BH26">
        <v>14873.641110787948</v>
      </c>
      <c r="BI26">
        <v>15554.658743076558</v>
      </c>
      <c r="BJ26">
        <v>16348.999714535274</v>
      </c>
      <c r="BK26">
        <v>17029.297198034339</v>
      </c>
      <c r="BL26">
        <v>16747.035391869464</v>
      </c>
      <c r="BM26">
        <v>18286.661497717454</v>
      </c>
      <c r="BN26">
        <v>19298.117076437047</v>
      </c>
      <c r="BO26">
        <v>19804.918146563479</v>
      </c>
      <c r="BP26">
        <v>20578.499544681647</v>
      </c>
      <c r="BQ26">
        <v>21178.22600594972</v>
      </c>
      <c r="BR26">
        <f t="shared" si="0"/>
        <v>3.7382191305201706</v>
      </c>
    </row>
    <row r="27" spans="1:70" x14ac:dyDescent="0.25">
      <c r="A27" t="s">
        <v>47</v>
      </c>
      <c r="B27" t="s">
        <v>572</v>
      </c>
      <c r="C27" t="s">
        <v>434</v>
      </c>
      <c r="AH27">
        <v>10520.918397840476</v>
      </c>
      <c r="AI27">
        <v>11001.801358812752</v>
      </c>
      <c r="AJ27">
        <v>11008.681021418441</v>
      </c>
      <c r="AK27">
        <v>10902.951277494647</v>
      </c>
      <c r="AL27">
        <v>10989.670055105687</v>
      </c>
      <c r="AM27">
        <v>11457.6994362472</v>
      </c>
      <c r="AN27">
        <v>11832.938778237889</v>
      </c>
      <c r="AO27">
        <v>12526.352236393004</v>
      </c>
      <c r="AP27">
        <v>12306.250477232959</v>
      </c>
      <c r="AQ27">
        <v>13207.447346512021</v>
      </c>
      <c r="AR27">
        <v>13185.817151427798</v>
      </c>
      <c r="AS27">
        <v>12949.640310465547</v>
      </c>
      <c r="AT27">
        <v>13479.696071992312</v>
      </c>
      <c r="AU27">
        <v>13857.258826473719</v>
      </c>
      <c r="AV27">
        <v>13984.841511264107</v>
      </c>
      <c r="AW27">
        <v>14361.957632775902</v>
      </c>
      <c r="AX27">
        <v>15275.582881111661</v>
      </c>
      <c r="AY27">
        <v>15850.234349623091</v>
      </c>
      <c r="AZ27">
        <v>16040.315323609782</v>
      </c>
      <c r="BA27">
        <v>13489.950916829643</v>
      </c>
      <c r="BB27">
        <v>14545.019807442652</v>
      </c>
      <c r="BC27">
        <v>15236.718884352216</v>
      </c>
      <c r="BD27">
        <v>14957.618914293178</v>
      </c>
      <c r="BE27">
        <v>16369.425297145397</v>
      </c>
      <c r="BF27">
        <v>17052.192410536059</v>
      </c>
      <c r="BG27">
        <v>15994.96430421008</v>
      </c>
      <c r="BH27">
        <v>16905.588740873049</v>
      </c>
      <c r="BI27">
        <v>17352.895845145355</v>
      </c>
      <c r="BJ27">
        <v>17825.018569213007</v>
      </c>
      <c r="BK27">
        <v>18106.01054711243</v>
      </c>
      <c r="BL27">
        <v>16289.391358264542</v>
      </c>
      <c r="BM27">
        <v>17960.625444743728</v>
      </c>
      <c r="BN27">
        <v>18647.373458883187</v>
      </c>
      <c r="BO27">
        <v>18932.480271233406</v>
      </c>
      <c r="BP27">
        <v>18107.614452913022</v>
      </c>
      <c r="BQ27">
        <v>17687.204240793395</v>
      </c>
      <c r="BR27">
        <f t="shared" si="0"/>
        <v>-0.38277635373589192</v>
      </c>
    </row>
    <row r="28" spans="1:70" x14ac:dyDescent="0.25">
      <c r="A28" t="s">
        <v>48</v>
      </c>
      <c r="B28" t="s">
        <v>558</v>
      </c>
      <c r="C28" t="s">
        <v>434</v>
      </c>
      <c r="AH28">
        <v>12633.288456059732</v>
      </c>
      <c r="AI28">
        <v>12546.560500555945</v>
      </c>
      <c r="AJ28">
        <v>12271.978847872668</v>
      </c>
      <c r="AK28">
        <v>12669.428720974918</v>
      </c>
      <c r="AL28">
        <v>13202.930801188071</v>
      </c>
      <c r="AM28">
        <v>13550.439373584315</v>
      </c>
      <c r="AN28">
        <v>13641.629599596126</v>
      </c>
      <c r="AO28">
        <v>13896.624990107168</v>
      </c>
      <c r="AP28">
        <v>13737.702643355595</v>
      </c>
      <c r="AQ28">
        <v>13602.413706787391</v>
      </c>
      <c r="AR28">
        <v>14005.347187423129</v>
      </c>
      <c r="AS28">
        <v>14016.13137722363</v>
      </c>
      <c r="AT28">
        <v>14265.904877029177</v>
      </c>
      <c r="AU28">
        <v>14259.366408932197</v>
      </c>
      <c r="AV28">
        <v>14911.260960859201</v>
      </c>
      <c r="AW28">
        <v>15221.013828154135</v>
      </c>
      <c r="AX28">
        <v>15657.479571698281</v>
      </c>
      <c r="AY28">
        <v>16440.583740031969</v>
      </c>
      <c r="AZ28">
        <v>17113.367982264288</v>
      </c>
      <c r="BA28">
        <v>16939.440781032754</v>
      </c>
      <c r="BB28">
        <v>18062.158110365919</v>
      </c>
      <c r="BC28">
        <v>18627.81045293967</v>
      </c>
      <c r="BD28">
        <v>18832.219552707473</v>
      </c>
      <c r="BE28">
        <v>19241.505981572554</v>
      </c>
      <c r="BF28">
        <v>19183.172744636024</v>
      </c>
      <c r="BG28">
        <v>18357.069061799099</v>
      </c>
      <c r="BH28">
        <v>17620.927243413644</v>
      </c>
      <c r="BI28">
        <v>17724.479957778422</v>
      </c>
      <c r="BJ28">
        <v>17917.749212335882</v>
      </c>
      <c r="BK28">
        <v>18018.620915151791</v>
      </c>
      <c r="BL28">
        <v>17327.515724946628</v>
      </c>
      <c r="BM28">
        <v>18075.706004906784</v>
      </c>
      <c r="BN28">
        <v>18554.046182856619</v>
      </c>
      <c r="BO28">
        <v>19079.812213402769</v>
      </c>
      <c r="BP28">
        <v>19652.365499171046</v>
      </c>
      <c r="BQ28">
        <v>20024.696825690251</v>
      </c>
      <c r="BR28">
        <f t="shared" si="0"/>
        <v>2.5929859657997323</v>
      </c>
    </row>
    <row r="29" spans="1:70" x14ac:dyDescent="0.25">
      <c r="A29" t="s">
        <v>50</v>
      </c>
      <c r="B29" t="s">
        <v>442</v>
      </c>
      <c r="C29" t="s">
        <v>434</v>
      </c>
      <c r="AH29">
        <v>118163.68336994039</v>
      </c>
      <c r="AI29">
        <v>118220.68359533043</v>
      </c>
      <c r="AJ29">
        <v>111457.22088351946</v>
      </c>
      <c r="AK29">
        <v>107899.1363392393</v>
      </c>
      <c r="AL29">
        <v>106239.23269433777</v>
      </c>
      <c r="AM29">
        <v>105043.85309768315</v>
      </c>
      <c r="AN29">
        <v>102522.12541812111</v>
      </c>
      <c r="AO29">
        <v>106503.42027079624</v>
      </c>
      <c r="AP29">
        <v>97171.637255103095</v>
      </c>
      <c r="AQ29">
        <v>99083.320528242213</v>
      </c>
      <c r="AR29">
        <v>100323.43991852818</v>
      </c>
      <c r="AS29">
        <v>99680.762677753693</v>
      </c>
      <c r="AT29">
        <v>101571.5837846658</v>
      </c>
      <c r="AU29">
        <v>103226.91444698596</v>
      </c>
      <c r="AV29">
        <v>101497.75479865522</v>
      </c>
      <c r="AW29">
        <v>99795.685085452613</v>
      </c>
      <c r="AX29">
        <v>102248.5103005666</v>
      </c>
      <c r="AY29">
        <v>96752.620409188487</v>
      </c>
      <c r="AZ29">
        <v>91275.500091918162</v>
      </c>
      <c r="BA29">
        <v>87875.82835460444</v>
      </c>
      <c r="BB29">
        <v>88586.513368392407</v>
      </c>
      <c r="BC29">
        <v>90279.663404212348</v>
      </c>
      <c r="BD29">
        <v>89718.463604998193</v>
      </c>
      <c r="BE29">
        <v>86606.65189101985</v>
      </c>
      <c r="BF29">
        <v>83310.615181953312</v>
      </c>
      <c r="BG29">
        <v>81910.188295949265</v>
      </c>
      <c r="BH29">
        <v>78880.622850176762</v>
      </c>
      <c r="BI29">
        <v>78966.864314234583</v>
      </c>
      <c r="BJ29">
        <v>78099.05078025609</v>
      </c>
      <c r="BK29">
        <v>80228.1598170527</v>
      </c>
      <c r="BL29">
        <v>80280.898064067675</v>
      </c>
      <c r="BM29">
        <v>78248.797127611004</v>
      </c>
      <c r="BN29">
        <v>76357.829114996028</v>
      </c>
      <c r="BO29">
        <v>76616.701488498089</v>
      </c>
      <c r="BP29">
        <v>79071.733380144506</v>
      </c>
      <c r="BQ29">
        <v>78985.12202695095</v>
      </c>
      <c r="BR29">
        <f t="shared" si="0"/>
        <v>0.23442556873756182</v>
      </c>
    </row>
    <row r="30" spans="1:70" x14ac:dyDescent="0.25">
      <c r="A30" t="s">
        <v>51</v>
      </c>
      <c r="B30" t="s">
        <v>508</v>
      </c>
      <c r="C30" t="s">
        <v>434</v>
      </c>
      <c r="AH30">
        <v>14954.134660738071</v>
      </c>
      <c r="AI30">
        <v>13827.479792949152</v>
      </c>
      <c r="AJ30">
        <v>12960.322127661719</v>
      </c>
      <c r="AK30">
        <v>12870.738648683337</v>
      </c>
      <c r="AL30">
        <v>13149.307694416386</v>
      </c>
      <c r="AM30">
        <v>13591.343108321385</v>
      </c>
      <c r="AN30">
        <v>14372.771511442525</v>
      </c>
      <c r="AO30">
        <v>12419.379773805622</v>
      </c>
      <c r="AP30">
        <v>12976.267002678531</v>
      </c>
      <c r="AQ30">
        <v>11953.598360731821</v>
      </c>
      <c r="AR30">
        <v>12563.836228525337</v>
      </c>
      <c r="AS30">
        <v>13306.504455395894</v>
      </c>
      <c r="AT30">
        <v>14397.001318191964</v>
      </c>
      <c r="AU30">
        <v>15271.483948906109</v>
      </c>
      <c r="AV30">
        <v>16388.960014584092</v>
      </c>
      <c r="AW30">
        <v>17678.033971229295</v>
      </c>
      <c r="AX30">
        <v>19024.543813812972</v>
      </c>
      <c r="AY30">
        <v>20440.252594150141</v>
      </c>
      <c r="AZ30">
        <v>21845.954719526995</v>
      </c>
      <c r="BA30">
        <v>21251.216864680217</v>
      </c>
      <c r="BB30">
        <v>21724.286345759629</v>
      </c>
      <c r="BC30">
        <v>22321.033168818998</v>
      </c>
      <c r="BD30">
        <v>22618.810427891858</v>
      </c>
      <c r="BE30">
        <v>22954.396399855032</v>
      </c>
      <c r="BF30">
        <v>23455.483001927692</v>
      </c>
      <c r="BG30">
        <v>24562.648880928973</v>
      </c>
      <c r="BH30">
        <v>25636.744390347849</v>
      </c>
      <c r="BI30">
        <v>26691.758001901977</v>
      </c>
      <c r="BJ30">
        <v>27690.893655004991</v>
      </c>
      <c r="BK30">
        <v>29149.921509976022</v>
      </c>
      <c r="BL30">
        <v>28521.206248259619</v>
      </c>
      <c r="BM30">
        <v>30958.983023833225</v>
      </c>
      <c r="BN30">
        <v>32433.658756962646</v>
      </c>
      <c r="BO30">
        <v>33073.680309345327</v>
      </c>
      <c r="BP30">
        <v>34221.38669403625</v>
      </c>
      <c r="BQ30">
        <v>35325.531788347434</v>
      </c>
      <c r="BR30">
        <f t="shared" si="0"/>
        <v>3.3535755054302285</v>
      </c>
    </row>
    <row r="31" spans="1:70" x14ac:dyDescent="0.25">
      <c r="A31" t="s">
        <v>52</v>
      </c>
      <c r="B31" t="s">
        <v>701</v>
      </c>
      <c r="C31" t="s">
        <v>434</v>
      </c>
      <c r="AH31">
        <v>1107.855904549655</v>
      </c>
      <c r="AI31">
        <v>1178.0770463906254</v>
      </c>
      <c r="AJ31">
        <v>1152.0447609509613</v>
      </c>
      <c r="AK31">
        <v>1162.6492345335103</v>
      </c>
      <c r="AL31">
        <v>1148.6072137039541</v>
      </c>
      <c r="AM31">
        <v>1183.5286100808369</v>
      </c>
      <c r="AN31">
        <v>1280.6960853388855</v>
      </c>
      <c r="AO31">
        <v>1326.9423082996295</v>
      </c>
      <c r="AP31">
        <v>1385.0931067909478</v>
      </c>
      <c r="AQ31">
        <v>1444.5669017041432</v>
      </c>
      <c r="AR31">
        <v>1428.5740061709628</v>
      </c>
      <c r="AS31">
        <v>1477.2849184652491</v>
      </c>
      <c r="AT31">
        <v>1494.6780126958279</v>
      </c>
      <c r="AU31">
        <v>1561.8331018491481</v>
      </c>
      <c r="AV31">
        <v>1581.2562093329386</v>
      </c>
      <c r="AW31">
        <v>1664.9954318002267</v>
      </c>
      <c r="AX31">
        <v>1714.7603490450902</v>
      </c>
      <c r="AY31">
        <v>1731.9304633507736</v>
      </c>
      <c r="AZ31">
        <v>1779.3271091157114</v>
      </c>
      <c r="BA31">
        <v>1779.3230562797253</v>
      </c>
      <c r="BB31">
        <v>1873.9714623082796</v>
      </c>
      <c r="BC31">
        <v>1939.8665998940589</v>
      </c>
      <c r="BD31">
        <v>2003.6646118745</v>
      </c>
      <c r="BE31">
        <v>2057.0639319852953</v>
      </c>
      <c r="BF31">
        <v>2083.1984469830372</v>
      </c>
      <c r="BG31">
        <v>2101.7026619202743</v>
      </c>
      <c r="BH31">
        <v>2162.7257897781392</v>
      </c>
      <c r="BI31">
        <v>2232.2878149094431</v>
      </c>
      <c r="BJ31">
        <v>2316.3943207904454</v>
      </c>
      <c r="BK31">
        <v>2391.5362684448355</v>
      </c>
      <c r="BL31">
        <v>2380.9317182657392</v>
      </c>
      <c r="BM31">
        <v>2486.4309314776174</v>
      </c>
      <c r="BN31">
        <v>2469.199569412594</v>
      </c>
      <c r="BO31">
        <v>2486.2066981287094</v>
      </c>
      <c r="BP31">
        <v>2548.5024770250375</v>
      </c>
      <c r="BQ31">
        <v>2624.8285827080326</v>
      </c>
      <c r="BR31">
        <f t="shared" si="0"/>
        <v>1.3633923379413604</v>
      </c>
    </row>
    <row r="32" spans="1:70" x14ac:dyDescent="0.25">
      <c r="A32" t="s">
        <v>53</v>
      </c>
      <c r="B32" t="s">
        <v>715</v>
      </c>
      <c r="C32" t="s">
        <v>434</v>
      </c>
      <c r="AH32">
        <v>1455.8262250944524</v>
      </c>
      <c r="AI32">
        <v>1497.2690141826802</v>
      </c>
      <c r="AJ32">
        <v>1472.4931730789108</v>
      </c>
      <c r="AK32">
        <v>1424.7660080418657</v>
      </c>
      <c r="AL32">
        <v>1361.322133208032</v>
      </c>
      <c r="AM32">
        <v>1180.6748872414641</v>
      </c>
      <c r="AN32">
        <v>1085.4711621530196</v>
      </c>
      <c r="AO32">
        <v>1068.2938259012599</v>
      </c>
      <c r="AP32">
        <v>1097.8645176134801</v>
      </c>
      <c r="AQ32">
        <v>1061.0441145984216</v>
      </c>
      <c r="AR32">
        <v>1030.3223470661576</v>
      </c>
      <c r="AS32">
        <v>1025.4837492926281</v>
      </c>
      <c r="AT32">
        <v>1041.2971914087514</v>
      </c>
      <c r="AU32">
        <v>996.56943390838512</v>
      </c>
      <c r="AV32">
        <v>1006.5124178327895</v>
      </c>
      <c r="AW32">
        <v>978.54196084649993</v>
      </c>
      <c r="AX32">
        <v>995.02781369896127</v>
      </c>
      <c r="AY32">
        <v>991.93141131906862</v>
      </c>
      <c r="AZ32">
        <v>998.5650555019846</v>
      </c>
      <c r="BA32">
        <v>985.184772509514</v>
      </c>
      <c r="BB32">
        <v>988.01867871630168</v>
      </c>
      <c r="BC32">
        <v>991.65988166687237</v>
      </c>
      <c r="BD32">
        <v>999.22006816315888</v>
      </c>
      <c r="BE32">
        <v>1011.4313130313388</v>
      </c>
      <c r="BF32">
        <v>1019.1760739866687</v>
      </c>
      <c r="BG32">
        <v>992.2858055202895</v>
      </c>
      <c r="BH32">
        <v>1006.5590738599913</v>
      </c>
      <c r="BI32">
        <v>1020.8498275718991</v>
      </c>
      <c r="BJ32">
        <v>1043.4055843403587</v>
      </c>
      <c r="BK32">
        <v>1054.7259273489824</v>
      </c>
      <c r="BL32">
        <v>1027.6289627674355</v>
      </c>
      <c r="BM32">
        <v>1032.3827408199938</v>
      </c>
      <c r="BN32">
        <v>1028.1113464017922</v>
      </c>
      <c r="BO32">
        <v>1033.0093734177578</v>
      </c>
      <c r="BP32">
        <v>1048.05557098193</v>
      </c>
      <c r="BQ32">
        <v>1066.5129924058615</v>
      </c>
      <c r="BR32">
        <f t="shared" si="0"/>
        <v>0.81643908241089136</v>
      </c>
    </row>
    <row r="33" spans="1:70" x14ac:dyDescent="0.25">
      <c r="A33" t="s">
        <v>54</v>
      </c>
      <c r="B33" t="s">
        <v>616</v>
      </c>
      <c r="C33" t="s">
        <v>434</v>
      </c>
      <c r="AH33">
        <v>1848.7586523557445</v>
      </c>
      <c r="AI33">
        <v>1830.0759965621085</v>
      </c>
      <c r="AJ33">
        <v>1984.6806299883467</v>
      </c>
      <c r="AK33">
        <v>2111.6214081474827</v>
      </c>
      <c r="AL33">
        <v>2465.9939315016995</v>
      </c>
      <c r="AM33">
        <v>2763.3973337185666</v>
      </c>
      <c r="AN33">
        <v>3022.8882521158462</v>
      </c>
      <c r="AO33">
        <v>3302.9740337535982</v>
      </c>
      <c r="AP33">
        <v>3657.3811899377583</v>
      </c>
      <c r="AQ33">
        <v>4006.4796471879899</v>
      </c>
      <c r="AR33">
        <v>4510.13573659758</v>
      </c>
      <c r="AS33">
        <v>4540.9073178051813</v>
      </c>
      <c r="AT33">
        <v>4710.241049122802</v>
      </c>
      <c r="AU33">
        <v>4841.2653987149979</v>
      </c>
      <c r="AV33">
        <v>5268.3031248570833</v>
      </c>
      <c r="AW33">
        <v>5565.7695120806902</v>
      </c>
      <c r="AX33">
        <v>5941.3821809151132</v>
      </c>
      <c r="AY33">
        <v>6767.4067738034664</v>
      </c>
      <c r="AZ33">
        <v>7169.1394415536706</v>
      </c>
      <c r="BA33">
        <v>6994.5740991365001</v>
      </c>
      <c r="BB33">
        <v>7072.1215020734162</v>
      </c>
      <c r="BC33">
        <v>7325.7844183469151</v>
      </c>
      <c r="BD33">
        <v>7397.8222070247439</v>
      </c>
      <c r="BE33">
        <v>7440.662426501136</v>
      </c>
      <c r="BF33">
        <v>7491.0219822824283</v>
      </c>
      <c r="BG33">
        <v>7560.1364920246879</v>
      </c>
      <c r="BH33">
        <v>7881.303362277843</v>
      </c>
      <c r="BI33">
        <v>8234.5600031245922</v>
      </c>
      <c r="BJ33">
        <v>8531.1296164654905</v>
      </c>
      <c r="BK33">
        <v>9111.6299317326939</v>
      </c>
      <c r="BL33">
        <v>7207.8685396204819</v>
      </c>
      <c r="BM33">
        <v>7685.419213936686</v>
      </c>
      <c r="BN33">
        <v>8850.1066918811957</v>
      </c>
      <c r="BO33">
        <v>9228.4604533113961</v>
      </c>
      <c r="BP33">
        <v>9825.5341009361928</v>
      </c>
      <c r="BQ33">
        <v>10395.741504401234</v>
      </c>
      <c r="BR33">
        <f t="shared" si="0"/>
        <v>7.844245790758575</v>
      </c>
    </row>
    <row r="34" spans="1:70" x14ac:dyDescent="0.25">
      <c r="A34" t="s">
        <v>55</v>
      </c>
      <c r="B34" t="s">
        <v>641</v>
      </c>
      <c r="C34" t="s">
        <v>434</v>
      </c>
      <c r="AH34">
        <v>2646.0979883668701</v>
      </c>
      <c r="AI34">
        <v>2731.3797372031386</v>
      </c>
      <c r="AJ34">
        <v>2769.4882552664958</v>
      </c>
      <c r="AK34">
        <v>2714.5915005988354</v>
      </c>
      <c r="AL34">
        <v>1650.3910000181609</v>
      </c>
      <c r="AM34">
        <v>1672.7392851413633</v>
      </c>
      <c r="AN34">
        <v>1643.0157905831381</v>
      </c>
      <c r="AO34">
        <v>1595.1713065693527</v>
      </c>
      <c r="AP34">
        <v>1602.3837120893086</v>
      </c>
      <c r="AQ34">
        <v>1775.4123980204342</v>
      </c>
      <c r="AR34">
        <v>1922.0317909259154</v>
      </c>
      <c r="AS34">
        <v>2032.0809202237269</v>
      </c>
      <c r="AT34">
        <v>2126.3415046898658</v>
      </c>
      <c r="AU34">
        <v>2309.8393148278769</v>
      </c>
      <c r="AV34">
        <v>2491.309300038381</v>
      </c>
      <c r="AW34">
        <v>2781.8902889525511</v>
      </c>
      <c r="AX34">
        <v>3041.1047122015279</v>
      </c>
      <c r="AY34">
        <v>3308.1574724654361</v>
      </c>
      <c r="AZ34">
        <v>3501.9257021931958</v>
      </c>
      <c r="BA34">
        <v>3587.6088958836249</v>
      </c>
      <c r="BB34">
        <v>3711.5375058015729</v>
      </c>
      <c r="BC34">
        <v>3921.9791156330812</v>
      </c>
      <c r="BD34">
        <v>4159.1635412344649</v>
      </c>
      <c r="BE34">
        <v>4419.3988680185976</v>
      </c>
      <c r="BF34">
        <v>4702.7306182320663</v>
      </c>
      <c r="BG34">
        <v>4968.5727669914304</v>
      </c>
      <c r="BH34">
        <v>5283.7296494377852</v>
      </c>
      <c r="BI34">
        <v>5632.0312562934223</v>
      </c>
      <c r="BJ34">
        <v>6050.590882622052</v>
      </c>
      <c r="BK34">
        <v>6448.8845595280509</v>
      </c>
      <c r="BL34">
        <v>6128.7824378333489</v>
      </c>
      <c r="BM34">
        <v>6225.5326547474051</v>
      </c>
      <c r="BN34">
        <v>6458.3681488083985</v>
      </c>
      <c r="BO34">
        <v>6695.2919476372263</v>
      </c>
      <c r="BP34">
        <v>7011.581469037028</v>
      </c>
      <c r="BQ34">
        <v>7300.080782506343</v>
      </c>
      <c r="BR34">
        <f t="shared" si="0"/>
        <v>4.060950305644484</v>
      </c>
    </row>
    <row r="35" spans="1:70" x14ac:dyDescent="0.25">
      <c r="A35" t="s">
        <v>56</v>
      </c>
      <c r="B35" t="s">
        <v>666</v>
      </c>
      <c r="C35" t="s">
        <v>434</v>
      </c>
      <c r="AH35">
        <v>4517.6188777961816</v>
      </c>
      <c r="AI35">
        <v>4220.6529738708414</v>
      </c>
      <c r="AJ35">
        <v>3974.2775950119635</v>
      </c>
      <c r="AK35">
        <v>3556.3185442459217</v>
      </c>
      <c r="AL35">
        <v>3522.7488528574927</v>
      </c>
      <c r="AM35">
        <v>3526.5436751033913</v>
      </c>
      <c r="AN35">
        <v>3577.5920413787067</v>
      </c>
      <c r="AO35">
        <v>3641.7075046327745</v>
      </c>
      <c r="AP35">
        <v>3714.1321260423597</v>
      </c>
      <c r="AQ35">
        <v>3780.0621728219071</v>
      </c>
      <c r="AR35">
        <v>3822.9442535892576</v>
      </c>
      <c r="AS35">
        <v>3884.8730481271423</v>
      </c>
      <c r="AT35">
        <v>3951.4193623213218</v>
      </c>
      <c r="AU35">
        <v>4054.7813324651656</v>
      </c>
      <c r="AV35">
        <v>4222.9663868988546</v>
      </c>
      <c r="AW35">
        <v>4199.7227096936185</v>
      </c>
      <c r="AX35">
        <v>4241.5174472282069</v>
      </c>
      <c r="AY35">
        <v>4302.6192630846981</v>
      </c>
      <c r="AZ35">
        <v>4300.2664035246416</v>
      </c>
      <c r="BA35">
        <v>4286.5771816615597</v>
      </c>
      <c r="BB35">
        <v>4286.5830294737807</v>
      </c>
      <c r="BC35">
        <v>4307.8519555852718</v>
      </c>
      <c r="BD35">
        <v>4382.1112079735485</v>
      </c>
      <c r="BE35">
        <v>4473.5723189643395</v>
      </c>
      <c r="BF35">
        <v>4588.4864949902994</v>
      </c>
      <c r="BG35">
        <v>4698.6667784358669</v>
      </c>
      <c r="BH35">
        <v>4767.1318614895335</v>
      </c>
      <c r="BI35">
        <v>4797.9754418554367</v>
      </c>
      <c r="BJ35">
        <v>4851.4800394996064</v>
      </c>
      <c r="BK35">
        <v>4882.3556002889618</v>
      </c>
      <c r="BL35">
        <v>4763.4819438806553</v>
      </c>
      <c r="BM35">
        <v>4793.5562820019559</v>
      </c>
      <c r="BN35">
        <v>4843.6503820291655</v>
      </c>
      <c r="BO35">
        <v>4875.2512076800485</v>
      </c>
      <c r="BP35">
        <v>4916.9335401949365</v>
      </c>
      <c r="BQ35">
        <v>4945.9564096533431</v>
      </c>
      <c r="BR35">
        <f t="shared" si="0"/>
        <v>0.78551362224512644</v>
      </c>
    </row>
    <row r="36" spans="1:70" x14ac:dyDescent="0.25">
      <c r="A36" t="s">
        <v>58</v>
      </c>
      <c r="B36" t="s">
        <v>462</v>
      </c>
      <c r="C36" t="s">
        <v>434</v>
      </c>
      <c r="AH36">
        <v>40475.096436631022</v>
      </c>
      <c r="AI36">
        <v>39139.296830185696</v>
      </c>
      <c r="AJ36">
        <v>39023.166813200434</v>
      </c>
      <c r="AK36">
        <v>39622.463411092263</v>
      </c>
      <c r="AL36">
        <v>40952.119773709324</v>
      </c>
      <c r="AM36">
        <v>41617.706919568962</v>
      </c>
      <c r="AN36">
        <v>41880.535589576983</v>
      </c>
      <c r="AO36">
        <v>43241.223647172905</v>
      </c>
      <c r="AP36">
        <v>44553.265171565828</v>
      </c>
      <c r="AQ36">
        <v>46464.527448837434</v>
      </c>
      <c r="AR36">
        <v>48399.286444554717</v>
      </c>
      <c r="AS36">
        <v>48774.148322651563</v>
      </c>
      <c r="AT36">
        <v>49694.987091436269</v>
      </c>
      <c r="AU36">
        <v>50139.766457999387</v>
      </c>
      <c r="AV36">
        <v>51210.659396613752</v>
      </c>
      <c r="AW36">
        <v>52356.537148635376</v>
      </c>
      <c r="AX36">
        <v>53195.760857385059</v>
      </c>
      <c r="AY36">
        <v>53761.840799168451</v>
      </c>
      <c r="AZ36">
        <v>53711.658032965359</v>
      </c>
      <c r="BA36">
        <v>51552.402032197548</v>
      </c>
      <c r="BB36">
        <v>52558.420061780584</v>
      </c>
      <c r="BC36">
        <v>53681.108480934468</v>
      </c>
      <c r="BD36">
        <v>54034.782168031838</v>
      </c>
      <c r="BE36">
        <v>54712.156859367678</v>
      </c>
      <c r="BF36">
        <v>55723.461565250553</v>
      </c>
      <c r="BG36">
        <v>55660.845584075949</v>
      </c>
      <c r="BH36">
        <v>55606.132994818443</v>
      </c>
      <c r="BI36">
        <v>56612.306219177655</v>
      </c>
      <c r="BJ36">
        <v>57337.468287003321</v>
      </c>
      <c r="BK36">
        <v>57583.82307392043</v>
      </c>
      <c r="BL36">
        <v>54092.857689083598</v>
      </c>
      <c r="BM36">
        <v>56995.095202071148</v>
      </c>
      <c r="BN36">
        <v>58583.129986013795</v>
      </c>
      <c r="BO36">
        <v>58088.37780779945</v>
      </c>
      <c r="BP36">
        <v>57534.091518533511</v>
      </c>
      <c r="BQ36">
        <v>57989.578465355829</v>
      </c>
      <c r="BR36">
        <f t="shared" si="0"/>
        <v>0.43338886806287835</v>
      </c>
    </row>
    <row r="37" spans="1:70" x14ac:dyDescent="0.25">
      <c r="A37" t="s">
        <v>504</v>
      </c>
      <c r="B37" t="s">
        <v>505</v>
      </c>
      <c r="C37" t="s">
        <v>434</v>
      </c>
      <c r="AH37">
        <v>13162.508173019964</v>
      </c>
      <c r="AI37">
        <v>13229.331498529093</v>
      </c>
      <c r="AJ37">
        <v>13609.096087812633</v>
      </c>
      <c r="AK37">
        <v>13531.190432372445</v>
      </c>
      <c r="AL37">
        <v>13896.173036952501</v>
      </c>
      <c r="AM37">
        <v>14183.606003470035</v>
      </c>
      <c r="AN37">
        <v>14758.168873325607</v>
      </c>
      <c r="AO37">
        <v>15378.931544296946</v>
      </c>
      <c r="AP37">
        <v>16003.31726091872</v>
      </c>
      <c r="AQ37">
        <v>16662.53729621381</v>
      </c>
      <c r="AR37">
        <v>17296.222831447893</v>
      </c>
      <c r="AS37">
        <v>17587.990113267177</v>
      </c>
      <c r="AT37">
        <v>18212.160443128425</v>
      </c>
      <c r="AU37">
        <v>19401.602243660622</v>
      </c>
      <c r="AV37">
        <v>20312.502453739045</v>
      </c>
      <c r="AW37">
        <v>21377.718030259472</v>
      </c>
      <c r="AX37">
        <v>23063.579629560059</v>
      </c>
      <c r="AY37">
        <v>23894.031889821585</v>
      </c>
      <c r="AZ37">
        <v>24276.688065702037</v>
      </c>
      <c r="BA37">
        <v>23444.992105220947</v>
      </c>
      <c r="BB37">
        <v>23751.986297837906</v>
      </c>
      <c r="BC37">
        <v>23879.722414525673</v>
      </c>
      <c r="BD37">
        <v>24784.947571850153</v>
      </c>
      <c r="BE37">
        <v>25141.188179248849</v>
      </c>
      <c r="BF37">
        <v>25633.403387920785</v>
      </c>
      <c r="BG37">
        <v>25404.134970125986</v>
      </c>
      <c r="BH37">
        <v>24339.825663370051</v>
      </c>
      <c r="BI37">
        <v>23920.589323712597</v>
      </c>
      <c r="BJ37">
        <v>24024.817829969637</v>
      </c>
      <c r="BK37">
        <v>24095.626888439703</v>
      </c>
      <c r="BL37">
        <v>22222.115107615951</v>
      </c>
      <c r="BM37">
        <v>23495.159073502105</v>
      </c>
      <c r="BN37">
        <v>27023.557462142839</v>
      </c>
      <c r="BO37">
        <v>29600.953068707437</v>
      </c>
      <c r="BP37">
        <v>33971.552501397731</v>
      </c>
      <c r="BQ37">
        <v>36714.315416931051</v>
      </c>
      <c r="BR37">
        <f t="shared" si="0"/>
        <v>11.805781407746597</v>
      </c>
    </row>
    <row r="38" spans="1:70" x14ac:dyDescent="0.25">
      <c r="A38" t="s">
        <v>59</v>
      </c>
      <c r="B38" t="s">
        <v>714</v>
      </c>
      <c r="C38" t="s">
        <v>434</v>
      </c>
      <c r="AH38">
        <v>1481.2525509425839</v>
      </c>
      <c r="AI38">
        <v>1427.6901831353903</v>
      </c>
      <c r="AJ38">
        <v>1294.202547257675</v>
      </c>
      <c r="AK38">
        <v>1257.8284033824007</v>
      </c>
      <c r="AL38">
        <v>1278.9150914506276</v>
      </c>
      <c r="AM38">
        <v>1334.1032298178361</v>
      </c>
      <c r="AN38">
        <v>1247.9687525828017</v>
      </c>
      <c r="AO38">
        <v>1278.4882606278122</v>
      </c>
      <c r="AP38">
        <v>1302.7514283078167</v>
      </c>
      <c r="AQ38">
        <v>1313.2357090208814</v>
      </c>
      <c r="AR38">
        <v>1245.813995635986</v>
      </c>
      <c r="AS38">
        <v>1272.8571075850507</v>
      </c>
      <c r="AT38">
        <v>1290.3831491712631</v>
      </c>
      <c r="AU38">
        <v>1191.8731520061974</v>
      </c>
      <c r="AV38">
        <v>1236.2853471216572</v>
      </c>
      <c r="AW38">
        <v>1219.5939445673976</v>
      </c>
      <c r="AX38">
        <v>1251.8708217133526</v>
      </c>
      <c r="AY38">
        <v>1284.5528359066566</v>
      </c>
      <c r="AZ38">
        <v>1283.2728263105957</v>
      </c>
      <c r="BA38">
        <v>1402.6816477080108</v>
      </c>
      <c r="BB38">
        <v>1479.4136775769205</v>
      </c>
      <c r="BC38">
        <v>1517.1483909101112</v>
      </c>
      <c r="BD38">
        <v>1577.9805325225304</v>
      </c>
      <c r="BE38">
        <v>996.89635592391244</v>
      </c>
      <c r="BF38">
        <v>1001.8559805349565</v>
      </c>
      <c r="BG38">
        <v>1043.9217169715732</v>
      </c>
      <c r="BH38">
        <v>1073.9447770373913</v>
      </c>
      <c r="BI38">
        <v>1103.866093187238</v>
      </c>
      <c r="BJ38">
        <v>1125.7009174822797</v>
      </c>
      <c r="BK38">
        <v>1145.0956365775189</v>
      </c>
      <c r="BL38">
        <v>1136.5705299375754</v>
      </c>
      <c r="BM38">
        <v>1128.5523799645857</v>
      </c>
      <c r="BN38">
        <v>1136.8017110704461</v>
      </c>
      <c r="BO38">
        <v>1132.6764336980382</v>
      </c>
      <c r="BP38">
        <v>1111.2194163888284</v>
      </c>
      <c r="BQ38">
        <v>1122.7608334809663</v>
      </c>
      <c r="BR38">
        <f t="shared" si="0"/>
        <v>-0.12854355602056611</v>
      </c>
    </row>
    <row r="39" spans="1:70" x14ac:dyDescent="0.25">
      <c r="A39" t="s">
        <v>491</v>
      </c>
      <c r="B39" t="s">
        <v>492</v>
      </c>
      <c r="C39" t="s">
        <v>434</v>
      </c>
      <c r="AH39">
        <v>17293.647449092565</v>
      </c>
      <c r="AI39">
        <v>15451.865184455048</v>
      </c>
      <c r="AJ39">
        <v>14722.758465631267</v>
      </c>
      <c r="AK39">
        <v>14768.688589330433</v>
      </c>
      <c r="AL39">
        <v>15310.970890719858</v>
      </c>
      <c r="AM39">
        <v>16209.301608336255</v>
      </c>
      <c r="AN39">
        <v>16972.372922079609</v>
      </c>
      <c r="AO39">
        <v>17271.818413278481</v>
      </c>
      <c r="AP39">
        <v>17726.780511797238</v>
      </c>
      <c r="AQ39">
        <v>18053.411228950801</v>
      </c>
      <c r="AR39">
        <v>18866.992614198036</v>
      </c>
      <c r="AS39">
        <v>19591.119258926828</v>
      </c>
      <c r="AT39">
        <v>20437.618172206418</v>
      </c>
      <c r="AU39">
        <v>21307.512614872274</v>
      </c>
      <c r="AV39">
        <v>22665.948267912532</v>
      </c>
      <c r="AW39">
        <v>23837.251320250554</v>
      </c>
      <c r="AX39">
        <v>25490.686549689566</v>
      </c>
      <c r="AY39">
        <v>27204.818824823065</v>
      </c>
      <c r="AZ39">
        <v>28468.393091912712</v>
      </c>
      <c r="BA39">
        <v>27511.523341838198</v>
      </c>
      <c r="BB39">
        <v>27957.900696891695</v>
      </c>
      <c r="BC39">
        <v>29052.876701935325</v>
      </c>
      <c r="BD39">
        <v>29385.579298928165</v>
      </c>
      <c r="BE39">
        <v>29678.106402926311</v>
      </c>
      <c r="BF39">
        <v>30740.919102101561</v>
      </c>
      <c r="BG39">
        <v>32053.97535609093</v>
      </c>
      <c r="BH39">
        <v>33063.129985390769</v>
      </c>
      <c r="BI39">
        <v>34898.599325432857</v>
      </c>
      <c r="BJ39">
        <v>36731.096234434932</v>
      </c>
      <c r="BK39">
        <v>38302.005751171018</v>
      </c>
      <c r="BL39">
        <v>37280.020103722789</v>
      </c>
      <c r="BM39">
        <v>40122.360960058839</v>
      </c>
      <c r="BN39">
        <v>41833.705776527153</v>
      </c>
      <c r="BO39">
        <v>42113.890527066302</v>
      </c>
      <c r="BP39">
        <v>43043.894558014152</v>
      </c>
      <c r="BQ39">
        <v>44160.926404938415</v>
      </c>
      <c r="BR39">
        <f t="shared" si="0"/>
        <v>2.4266393641846795</v>
      </c>
    </row>
    <row r="40" spans="1:70" x14ac:dyDescent="0.25">
      <c r="A40" t="s">
        <v>60</v>
      </c>
      <c r="B40" t="s">
        <v>704</v>
      </c>
      <c r="C40" t="s">
        <v>434</v>
      </c>
      <c r="AH40">
        <v>1711.3698844145301</v>
      </c>
      <c r="AI40">
        <v>1790.7379110148752</v>
      </c>
      <c r="AJ40">
        <v>1853.6766763238359</v>
      </c>
      <c r="AK40">
        <v>1526.0543253131816</v>
      </c>
      <c r="AL40">
        <v>1642.5165321585303</v>
      </c>
      <c r="AM40">
        <v>1591.1415405522423</v>
      </c>
      <c r="AN40">
        <v>1555.9139249088259</v>
      </c>
      <c r="AO40">
        <v>1588.0986041712904</v>
      </c>
      <c r="AP40">
        <v>1641.0571533082234</v>
      </c>
      <c r="AQ40">
        <v>1573.5853138824295</v>
      </c>
      <c r="AR40">
        <v>1506.7157720421999</v>
      </c>
      <c r="AS40">
        <v>1626.566831285234</v>
      </c>
      <c r="AT40">
        <v>1704.2729514733994</v>
      </c>
      <c r="AU40">
        <v>1878.5857861882189</v>
      </c>
      <c r="AV40">
        <v>2400.9700497820704</v>
      </c>
      <c r="AW40">
        <v>2705.8165083272856</v>
      </c>
      <c r="AX40">
        <v>2596.0323545545575</v>
      </c>
      <c r="AY40">
        <v>2613.4738738576657</v>
      </c>
      <c r="AZ40">
        <v>2601.3612580388276</v>
      </c>
      <c r="BA40">
        <v>2474.7075835252904</v>
      </c>
      <c r="BB40">
        <v>2717.4054018181946</v>
      </c>
      <c r="BC40">
        <v>2741.0708339940961</v>
      </c>
      <c r="BD40">
        <v>2886.2747456361908</v>
      </c>
      <c r="BE40">
        <v>2864.1130140736091</v>
      </c>
      <c r="BF40">
        <v>2820.6779506666335</v>
      </c>
      <c r="BG40">
        <v>2822.5792990001405</v>
      </c>
      <c r="BH40">
        <v>2622.5978084450098</v>
      </c>
      <c r="BI40">
        <v>2496.2621364315787</v>
      </c>
      <c r="BJ40">
        <v>2552.3703638770698</v>
      </c>
      <c r="BK40">
        <v>2604.5315366178907</v>
      </c>
      <c r="BL40">
        <v>2513.0292272930474</v>
      </c>
      <c r="BM40">
        <v>2435.0727465109867</v>
      </c>
      <c r="BN40">
        <v>2449.4825105229634</v>
      </c>
      <c r="BO40">
        <v>2433.5333096270738</v>
      </c>
      <c r="BP40">
        <v>2430.7329835527089</v>
      </c>
      <c r="BQ40">
        <v>2480.5096250092388</v>
      </c>
      <c r="BR40">
        <f t="shared" si="0"/>
        <v>0.46325476167712321</v>
      </c>
    </row>
    <row r="41" spans="1:70" x14ac:dyDescent="0.25">
      <c r="A41" t="s">
        <v>61</v>
      </c>
      <c r="B41" t="s">
        <v>514</v>
      </c>
      <c r="C41" t="s">
        <v>434</v>
      </c>
      <c r="AH41">
        <v>10955.248648145433</v>
      </c>
      <c r="AI41">
        <v>11610.278330164903</v>
      </c>
      <c r="AJ41">
        <v>12738.616315702306</v>
      </c>
      <c r="AK41">
        <v>13380.472218505742</v>
      </c>
      <c r="AL41">
        <v>13849.626100809606</v>
      </c>
      <c r="AM41">
        <v>14911.564074226755</v>
      </c>
      <c r="AN41">
        <v>15748.465355553255</v>
      </c>
      <c r="AO41">
        <v>16687.855593506047</v>
      </c>
      <c r="AP41">
        <v>17161.033556447492</v>
      </c>
      <c r="AQ41">
        <v>16900.124401847181</v>
      </c>
      <c r="AR41">
        <v>17529.420599769237</v>
      </c>
      <c r="AS41">
        <v>17874.531386693776</v>
      </c>
      <c r="AT41">
        <v>18244.519682731468</v>
      </c>
      <c r="AU41">
        <v>18907.345874575512</v>
      </c>
      <c r="AV41">
        <v>19966.70931060948</v>
      </c>
      <c r="AW41">
        <v>20923.479756183002</v>
      </c>
      <c r="AX41">
        <v>21973.738291438865</v>
      </c>
      <c r="AY41">
        <v>22884.299710884592</v>
      </c>
      <c r="AZ41">
        <v>23515.347317826894</v>
      </c>
      <c r="BA41">
        <v>23019.02994540938</v>
      </c>
      <c r="BB41">
        <v>24122.47879243864</v>
      </c>
      <c r="BC41">
        <v>25372.274148077238</v>
      </c>
      <c r="BD41">
        <v>26676.811015401894</v>
      </c>
      <c r="BE41">
        <v>27297.818514536615</v>
      </c>
      <c r="BF41">
        <v>27511.56100304042</v>
      </c>
      <c r="BG41">
        <v>27817.95848480237</v>
      </c>
      <c r="BH41">
        <v>27965.347352683086</v>
      </c>
      <c r="BI41">
        <v>27899.59797770116</v>
      </c>
      <c r="BJ41">
        <v>28499.406400040625</v>
      </c>
      <c r="BK41">
        <v>28227.979050759383</v>
      </c>
      <c r="BL41">
        <v>26258.403855324152</v>
      </c>
      <c r="BM41">
        <v>29106.635652205307</v>
      </c>
      <c r="BN41">
        <v>29560.451380578521</v>
      </c>
      <c r="BO41">
        <v>29600.418861316757</v>
      </c>
      <c r="BP41">
        <v>30267.644091990747</v>
      </c>
      <c r="BQ41">
        <v>30863.422315516877</v>
      </c>
      <c r="BR41">
        <f t="shared" si="0"/>
        <v>1.4759248086909427</v>
      </c>
    </row>
    <row r="42" spans="1:70" x14ac:dyDescent="0.25">
      <c r="A42" t="s">
        <v>62</v>
      </c>
      <c r="B42" t="s">
        <v>535</v>
      </c>
      <c r="C42" t="s">
        <v>434</v>
      </c>
      <c r="AH42">
        <v>1666.8141224419044</v>
      </c>
      <c r="AI42">
        <v>1798.3825788762933</v>
      </c>
      <c r="AJ42">
        <v>2030.4712651967436</v>
      </c>
      <c r="AK42">
        <v>2286.7956394874955</v>
      </c>
      <c r="AL42">
        <v>2556.906883860127</v>
      </c>
      <c r="AM42">
        <v>2807.8864730174423</v>
      </c>
      <c r="AN42">
        <v>3055.7282765578097</v>
      </c>
      <c r="AO42">
        <v>3305.8302566598773</v>
      </c>
      <c r="AP42">
        <v>3533.6983970263827</v>
      </c>
      <c r="AQ42">
        <v>3774.4275827446927</v>
      </c>
      <c r="AR42">
        <v>4065.8670780442853</v>
      </c>
      <c r="AS42">
        <v>4372.4356060833907</v>
      </c>
      <c r="AT42">
        <v>4744.3818247530653</v>
      </c>
      <c r="AU42">
        <v>5191.7811830816745</v>
      </c>
      <c r="AV42">
        <v>5684.3881718732982</v>
      </c>
      <c r="AW42">
        <v>6298.2992980859754</v>
      </c>
      <c r="AX42">
        <v>7057.1113159530441</v>
      </c>
      <c r="AY42">
        <v>8013.7837573913057</v>
      </c>
      <c r="AZ42">
        <v>8743.7020031299016</v>
      </c>
      <c r="BA42">
        <v>9518.6812835194451</v>
      </c>
      <c r="BB42">
        <v>10476.152565240749</v>
      </c>
      <c r="BC42">
        <v>11404.917983554236</v>
      </c>
      <c r="BD42">
        <v>12217.93438131015</v>
      </c>
      <c r="BE42">
        <v>13080.87878647439</v>
      </c>
      <c r="BF42">
        <v>13968.518778592161</v>
      </c>
      <c r="BG42">
        <v>14857.108823440529</v>
      </c>
      <c r="BH42">
        <v>15772.837260750168</v>
      </c>
      <c r="BI42">
        <v>16758.046397685786</v>
      </c>
      <c r="BJ42">
        <v>17807.049055224419</v>
      </c>
      <c r="BK42">
        <v>18820.587164564455</v>
      </c>
      <c r="BL42">
        <v>19215.101249101157</v>
      </c>
      <c r="BM42">
        <v>20843.297834737652</v>
      </c>
      <c r="BN42">
        <v>21499.312555975706</v>
      </c>
      <c r="BO42">
        <v>22687.251953432795</v>
      </c>
      <c r="BP42">
        <v>23841.476914181672</v>
      </c>
      <c r="BQ42">
        <v>25066.521529648599</v>
      </c>
      <c r="BR42">
        <f t="shared" si="0"/>
        <v>4.7205487337545593</v>
      </c>
    </row>
    <row r="43" spans="1:70" x14ac:dyDescent="0.25">
      <c r="A43" t="s">
        <v>63</v>
      </c>
      <c r="B43" t="s">
        <v>569</v>
      </c>
      <c r="C43" t="s">
        <v>434</v>
      </c>
      <c r="AH43">
        <v>9998.8106968446282</v>
      </c>
      <c r="AI43">
        <v>9996.0978604328029</v>
      </c>
      <c r="AJ43">
        <v>10196.432970746833</v>
      </c>
      <c r="AK43">
        <v>10533.114956173424</v>
      </c>
      <c r="AL43">
        <v>10927.938949160709</v>
      </c>
      <c r="AM43">
        <v>11279.000457934684</v>
      </c>
      <c r="AN43">
        <v>11303.13088591861</v>
      </c>
      <c r="AO43">
        <v>11483.505012590673</v>
      </c>
      <c r="AP43">
        <v>11343.879911573278</v>
      </c>
      <c r="AQ43">
        <v>10679.709268608898</v>
      </c>
      <c r="AR43">
        <v>10813.494225001054</v>
      </c>
      <c r="AS43">
        <v>10823.450487880727</v>
      </c>
      <c r="AT43">
        <v>10925.148560208227</v>
      </c>
      <c r="AU43">
        <v>11183.291181979341</v>
      </c>
      <c r="AV43">
        <v>11607.938493510494</v>
      </c>
      <c r="AW43">
        <v>11999.254959130454</v>
      </c>
      <c r="AX43">
        <v>12636.624657772407</v>
      </c>
      <c r="AY43">
        <v>13318.303313816763</v>
      </c>
      <c r="AZ43">
        <v>13591.060902856674</v>
      </c>
      <c r="BA43">
        <v>13586.751843098158</v>
      </c>
      <c r="BB43">
        <v>14037.064266863892</v>
      </c>
      <c r="BC43">
        <v>14852.369951306107</v>
      </c>
      <c r="BD43">
        <v>15279.479000805788</v>
      </c>
      <c r="BE43">
        <v>15912.24712932389</v>
      </c>
      <c r="BF43">
        <v>16480.363147416112</v>
      </c>
      <c r="BG43">
        <v>16821.380140063058</v>
      </c>
      <c r="BH43">
        <v>17003.244366485014</v>
      </c>
      <c r="BI43">
        <v>16986.033418284223</v>
      </c>
      <c r="BJ43">
        <v>17104.131354567824</v>
      </c>
      <c r="BK43">
        <v>17336.771603055058</v>
      </c>
      <c r="BL43">
        <v>15861.499929129526</v>
      </c>
      <c r="BM43">
        <v>17383.090172829532</v>
      </c>
      <c r="BN43">
        <v>18458.720946070363</v>
      </c>
      <c r="BO43">
        <v>18406.624233849125</v>
      </c>
      <c r="BP43">
        <v>18481.837492936753</v>
      </c>
      <c r="BQ43">
        <v>18778.648263190116</v>
      </c>
      <c r="BR43">
        <f t="shared" si="0"/>
        <v>1.9493206343164537</v>
      </c>
    </row>
    <row r="44" spans="1:70" x14ac:dyDescent="0.25">
      <c r="A44" t="s">
        <v>64</v>
      </c>
      <c r="B44" t="s">
        <v>687</v>
      </c>
      <c r="C44" t="s">
        <v>434</v>
      </c>
      <c r="AH44">
        <v>3178.8547689327411</v>
      </c>
      <c r="AI44">
        <v>2911.0534990738997</v>
      </c>
      <c r="AJ44">
        <v>3061.0325925751458</v>
      </c>
      <c r="AK44">
        <v>3082.2224161284971</v>
      </c>
      <c r="AL44">
        <v>2907.4222750817448</v>
      </c>
      <c r="AM44">
        <v>3018.457986738531</v>
      </c>
      <c r="AN44">
        <v>2951.7831261474707</v>
      </c>
      <c r="AO44">
        <v>3029.3464733030696</v>
      </c>
      <c r="AP44">
        <v>2978.3712446597774</v>
      </c>
      <c r="AQ44">
        <v>3004.690617267483</v>
      </c>
      <c r="AR44">
        <v>2917.8715410663413</v>
      </c>
      <c r="AS44">
        <v>3013.3888309631548</v>
      </c>
      <c r="AT44">
        <v>3085.9381493714191</v>
      </c>
      <c r="AU44">
        <v>3085.5967544787195</v>
      </c>
      <c r="AV44">
        <v>3121.5167755502389</v>
      </c>
      <c r="AW44">
        <v>3231.7250615438725</v>
      </c>
      <c r="AX44">
        <v>3111.6257087969188</v>
      </c>
      <c r="AY44">
        <v>3074.7346796054017</v>
      </c>
      <c r="AZ44">
        <v>3133.7503470447405</v>
      </c>
      <c r="BA44">
        <v>3171.6035546392004</v>
      </c>
      <c r="BB44">
        <v>3226.6350204526675</v>
      </c>
      <c r="BC44">
        <v>3293.8340766840897</v>
      </c>
      <c r="BD44">
        <v>3330.5244605918742</v>
      </c>
      <c r="BE44">
        <v>3406.499186493777</v>
      </c>
      <c r="BF44">
        <v>3403.4129145998509</v>
      </c>
      <c r="BG44">
        <v>3370.5557232032029</v>
      </c>
      <c r="BH44">
        <v>3411.7712352358203</v>
      </c>
      <c r="BI44">
        <v>3472.0785894236624</v>
      </c>
      <c r="BJ44">
        <v>3528.9586816787705</v>
      </c>
      <c r="BK44">
        <v>3522.6686695264643</v>
      </c>
      <c r="BL44">
        <v>3447.4727490477203</v>
      </c>
      <c r="BM44">
        <v>3449.0435745318014</v>
      </c>
      <c r="BN44">
        <v>3465.8402271704995</v>
      </c>
      <c r="BO44">
        <v>3508.1586233154544</v>
      </c>
      <c r="BP44">
        <v>3556.0384263801025</v>
      </c>
      <c r="BQ44">
        <v>3621.7662630434265</v>
      </c>
      <c r="BR44">
        <f t="shared" si="0"/>
        <v>1.2291136969130756</v>
      </c>
    </row>
    <row r="45" spans="1:70" x14ac:dyDescent="0.25">
      <c r="A45" t="s">
        <v>65</v>
      </c>
      <c r="B45" t="s">
        <v>710</v>
      </c>
      <c r="C45" t="s">
        <v>434</v>
      </c>
      <c r="AH45">
        <v>2403.9702501624015</v>
      </c>
      <c r="AI45">
        <v>2129.4489203720054</v>
      </c>
      <c r="AJ45">
        <v>1842.5484850684597</v>
      </c>
      <c r="AK45">
        <v>1538.3969069725088</v>
      </c>
      <c r="AL45">
        <v>1410.0565537605326</v>
      </c>
      <c r="AM45">
        <v>1362.1877957292015</v>
      </c>
      <c r="AN45">
        <v>1322.5801196139575</v>
      </c>
      <c r="AO45">
        <v>1228.3907684639473</v>
      </c>
      <c r="AP45">
        <v>1176.0504979663874</v>
      </c>
      <c r="AQ45">
        <v>1088.6504372617644</v>
      </c>
      <c r="AR45">
        <v>981.42208002718905</v>
      </c>
      <c r="AS45">
        <v>930.85782608082013</v>
      </c>
      <c r="AT45">
        <v>929.45280708888356</v>
      </c>
      <c r="AU45">
        <v>953.04464324204196</v>
      </c>
      <c r="AV45">
        <v>987.746920881562</v>
      </c>
      <c r="AW45">
        <v>1016.6338907666025</v>
      </c>
      <c r="AX45">
        <v>1036.1332961656271</v>
      </c>
      <c r="AY45">
        <v>1091.5408123323357</v>
      </c>
      <c r="AZ45">
        <v>1137.840873154877</v>
      </c>
      <c r="BA45">
        <v>1109.1831167443067</v>
      </c>
      <c r="BB45">
        <v>1166.9830658144169</v>
      </c>
      <c r="BC45">
        <v>1124.7720535768983</v>
      </c>
      <c r="BD45">
        <v>1182.1407458832707</v>
      </c>
      <c r="BE45">
        <v>1342.7415611201609</v>
      </c>
      <c r="BF45">
        <v>1392.7584133467324</v>
      </c>
      <c r="BG45">
        <v>1433.2157981470896</v>
      </c>
      <c r="BH45">
        <v>1388.8016321163311</v>
      </c>
      <c r="BI45">
        <v>1395.7196176171167</v>
      </c>
      <c r="BJ45">
        <v>1431.7285269692966</v>
      </c>
      <c r="BK45">
        <v>1394.7646147289322</v>
      </c>
      <c r="BL45">
        <v>1361.027910990083</v>
      </c>
      <c r="BM45">
        <v>1402.3856029522096</v>
      </c>
      <c r="BN45">
        <v>1484.3384188144919</v>
      </c>
      <c r="BO45">
        <v>1559.3380647585918</v>
      </c>
      <c r="BP45">
        <v>1601.7092664042243</v>
      </c>
      <c r="BQ45">
        <v>1640.5662182427818</v>
      </c>
      <c r="BR45">
        <f t="shared" si="0"/>
        <v>3.9995786993693772</v>
      </c>
    </row>
    <row r="46" spans="1:70" x14ac:dyDescent="0.25">
      <c r="A46" t="s">
        <v>66</v>
      </c>
      <c r="B46" t="s">
        <v>648</v>
      </c>
      <c r="C46" t="s">
        <v>434</v>
      </c>
      <c r="AH46">
        <v>8699.5268387061478</v>
      </c>
      <c r="AI46">
        <v>8658.1614528600549</v>
      </c>
      <c r="AJ46">
        <v>8636.6371920992315</v>
      </c>
      <c r="AK46">
        <v>8302.6972683494114</v>
      </c>
      <c r="AL46">
        <v>7617.6075027481147</v>
      </c>
      <c r="AM46">
        <v>7701.3246853333594</v>
      </c>
      <c r="AN46">
        <v>7812.047799716408</v>
      </c>
      <c r="AO46">
        <v>7599.0481538858739</v>
      </c>
      <c r="AP46">
        <v>7711.6321257604977</v>
      </c>
      <c r="AQ46">
        <v>7312.326650716208</v>
      </c>
      <c r="AR46">
        <v>7570.5827929734232</v>
      </c>
      <c r="AS46">
        <v>7567.4391681710395</v>
      </c>
      <c r="AT46">
        <v>7729.388901418899</v>
      </c>
      <c r="AU46">
        <v>7577.4563045635241</v>
      </c>
      <c r="AV46">
        <v>7577.4459727415251</v>
      </c>
      <c r="AW46">
        <v>7876.1180665828497</v>
      </c>
      <c r="AX46">
        <v>8192.5797971902302</v>
      </c>
      <c r="AY46">
        <v>7375.8245410014488</v>
      </c>
      <c r="AZ46">
        <v>7587.2882616349198</v>
      </c>
      <c r="BA46">
        <v>8138.4503381882241</v>
      </c>
      <c r="BB46">
        <v>8583.661798342875</v>
      </c>
      <c r="BC46">
        <v>8492.4209839210343</v>
      </c>
      <c r="BD46">
        <v>9079.6865640089072</v>
      </c>
      <c r="BE46">
        <v>8798.4938250631385</v>
      </c>
      <c r="BF46">
        <v>9159.2566441404542</v>
      </c>
      <c r="BG46">
        <v>8977.706816414171</v>
      </c>
      <c r="BH46">
        <v>8001.8255194505027</v>
      </c>
      <c r="BI46">
        <v>7372.7704673759881</v>
      </c>
      <c r="BJ46">
        <v>7029.3365156625696</v>
      </c>
      <c r="BK46">
        <v>6939.3691339746583</v>
      </c>
      <c r="BL46">
        <v>6350.5091340972176</v>
      </c>
      <c r="BM46">
        <v>6263.2116129263632</v>
      </c>
      <c r="BN46">
        <v>6205.1050414034034</v>
      </c>
      <c r="BO46">
        <v>6172.2877665068272</v>
      </c>
      <c r="BP46">
        <v>6152.5650911844159</v>
      </c>
      <c r="BQ46">
        <v>6194.0898128775625</v>
      </c>
      <c r="BR46">
        <f t="shared" si="0"/>
        <v>-0.27705323058734299</v>
      </c>
    </row>
    <row r="47" spans="1:70" x14ac:dyDescent="0.25">
      <c r="A47" t="s">
        <v>67</v>
      </c>
      <c r="B47" t="s">
        <v>520</v>
      </c>
      <c r="C47" t="s">
        <v>434</v>
      </c>
      <c r="AH47">
        <v>10979.788113325027</v>
      </c>
      <c r="AI47">
        <v>10946.381104701506</v>
      </c>
      <c r="AJ47">
        <v>11654.818734080531</v>
      </c>
      <c r="AK47">
        <v>12173.677067272218</v>
      </c>
      <c r="AL47">
        <v>12415.262924668275</v>
      </c>
      <c r="AM47">
        <v>12623.533942462696</v>
      </c>
      <c r="AN47">
        <v>12497.62735991603</v>
      </c>
      <c r="AO47">
        <v>12887.525565626411</v>
      </c>
      <c r="AP47">
        <v>13505.084097514107</v>
      </c>
      <c r="AQ47">
        <v>13776.582941646446</v>
      </c>
      <c r="AR47">
        <v>14025.689953748519</v>
      </c>
      <c r="AS47">
        <v>14257.525071713011</v>
      </c>
      <c r="AT47">
        <v>14503.176481607046</v>
      </c>
      <c r="AU47">
        <v>14898.719739479415</v>
      </c>
      <c r="AV47">
        <v>15330.88323329478</v>
      </c>
      <c r="AW47">
        <v>15711.745133533665</v>
      </c>
      <c r="AX47">
        <v>16628.372301401254</v>
      </c>
      <c r="AY47">
        <v>17752.416195451253</v>
      </c>
      <c r="AZ47">
        <v>18343.099685485147</v>
      </c>
      <c r="BA47">
        <v>17941.501912946536</v>
      </c>
      <c r="BB47">
        <v>18670.167882738664</v>
      </c>
      <c r="BC47">
        <v>19264.456646177645</v>
      </c>
      <c r="BD47">
        <v>19970.685601362751</v>
      </c>
      <c r="BE47">
        <v>20242.293864831943</v>
      </c>
      <c r="BF47">
        <v>20735.192725840563</v>
      </c>
      <c r="BG47">
        <v>21265.317633635375</v>
      </c>
      <c r="BH47">
        <v>21936.466057536618</v>
      </c>
      <c r="BI47">
        <v>22633.764866330228</v>
      </c>
      <c r="BJ47">
        <v>23069.862224126584</v>
      </c>
      <c r="BK47">
        <v>23496.829462299509</v>
      </c>
      <c r="BL47">
        <v>22368.137807263789</v>
      </c>
      <c r="BM47">
        <v>24083.598818243729</v>
      </c>
      <c r="BN47">
        <v>25290.008746697484</v>
      </c>
      <c r="BO47">
        <v>26378.540994192583</v>
      </c>
      <c r="BP47">
        <v>27325.047047650336</v>
      </c>
      <c r="BQ47">
        <v>28443.412767638772</v>
      </c>
      <c r="BR47">
        <f t="shared" si="0"/>
        <v>4.2473634459659682</v>
      </c>
    </row>
    <row r="48" spans="1:70" x14ac:dyDescent="0.25">
      <c r="A48" t="s">
        <v>68</v>
      </c>
      <c r="B48" t="s">
        <v>643</v>
      </c>
      <c r="C48" t="s">
        <v>434</v>
      </c>
      <c r="AH48">
        <v>5255.5485026648712</v>
      </c>
      <c r="AI48">
        <v>5052.88904768462</v>
      </c>
      <c r="AJ48">
        <v>4843.3293195815531</v>
      </c>
      <c r="AK48">
        <v>4645.5018723692401</v>
      </c>
      <c r="AL48">
        <v>4502.4928398306247</v>
      </c>
      <c r="AM48">
        <v>4638.7916388393487</v>
      </c>
      <c r="AN48">
        <v>4807.4598434650206</v>
      </c>
      <c r="AO48">
        <v>5072.6345612587029</v>
      </c>
      <c r="AP48">
        <v>5093.1693695171616</v>
      </c>
      <c r="AQ48">
        <v>4987.3939779940556</v>
      </c>
      <c r="AR48">
        <v>4838.3760276769754</v>
      </c>
      <c r="AS48">
        <v>4609.178788915533</v>
      </c>
      <c r="AT48">
        <v>4368.960406394739</v>
      </c>
      <c r="AU48">
        <v>4060.0304131929429</v>
      </c>
      <c r="AV48">
        <v>4088.9754202050553</v>
      </c>
      <c r="AW48">
        <v>4032.2757078003629</v>
      </c>
      <c r="AX48">
        <v>4049.2902829868731</v>
      </c>
      <c r="AY48">
        <v>3999.7205435073083</v>
      </c>
      <c r="AZ48">
        <v>4096.7537736475906</v>
      </c>
      <c r="BA48">
        <v>4151.0843151013332</v>
      </c>
      <c r="BB48">
        <v>4338.6845780073636</v>
      </c>
      <c r="BC48">
        <v>4017.4375381432419</v>
      </c>
      <c r="BD48">
        <v>4234.2118771949154</v>
      </c>
      <c r="BE48">
        <v>4597.2203589024148</v>
      </c>
      <c r="BF48">
        <v>4907.6108054654323</v>
      </c>
      <c r="BG48">
        <v>5110.9002143890812</v>
      </c>
      <c r="BH48">
        <v>5320.8858219918584</v>
      </c>
      <c r="BI48">
        <v>5556.154763150902</v>
      </c>
      <c r="BJ48">
        <v>5670.2419974135291</v>
      </c>
      <c r="BK48">
        <v>5894.9223525910338</v>
      </c>
      <c r="BL48">
        <v>5787.8581469656119</v>
      </c>
      <c r="BM48">
        <v>6045.2048049088089</v>
      </c>
      <c r="BN48">
        <v>6272.2639576002884</v>
      </c>
      <c r="BO48">
        <v>6520.8988645976515</v>
      </c>
      <c r="BP48">
        <v>6747.0379677705969</v>
      </c>
      <c r="BQ48">
        <v>7014.845776930616</v>
      </c>
      <c r="BR48">
        <f t="shared" si="0"/>
        <v>3.7891074372266464</v>
      </c>
    </row>
    <row r="49" spans="1:70" x14ac:dyDescent="0.25">
      <c r="A49" t="s">
        <v>69</v>
      </c>
      <c r="B49" t="s">
        <v>490</v>
      </c>
      <c r="C49" t="s">
        <v>434</v>
      </c>
      <c r="AH49">
        <v>23399.639716962902</v>
      </c>
      <c r="AI49">
        <v>18812.865737933065</v>
      </c>
      <c r="AJ49">
        <v>17020.166910023745</v>
      </c>
      <c r="AK49">
        <v>15570.338843374861</v>
      </c>
      <c r="AL49">
        <v>16301.685848479765</v>
      </c>
      <c r="AM49">
        <v>17522.514251006352</v>
      </c>
      <c r="AN49">
        <v>18850.163310066757</v>
      </c>
      <c r="AO49">
        <v>20110.20261983425</v>
      </c>
      <c r="AP49">
        <v>20576.012766901778</v>
      </c>
      <c r="AQ49">
        <v>20489.354010824183</v>
      </c>
      <c r="AR49">
        <v>21302.411720638112</v>
      </c>
      <c r="AS49">
        <v>22826.721762437071</v>
      </c>
      <c r="AT49">
        <v>24136.781022780353</v>
      </c>
      <c r="AU49">
        <v>25473.567203639141</v>
      </c>
      <c r="AV49">
        <v>26528.536905436198</v>
      </c>
      <c r="AW49">
        <v>27641.137471386428</v>
      </c>
      <c r="AX49">
        <v>29035.674984144494</v>
      </c>
      <c r="AY49">
        <v>30508.30612791235</v>
      </c>
      <c r="AZ49">
        <v>31113.555007687031</v>
      </c>
      <c r="BA49">
        <v>29024.664055195324</v>
      </c>
      <c r="BB49">
        <v>28701.875457303278</v>
      </c>
      <c r="BC49">
        <v>28769.022949088219</v>
      </c>
      <c r="BD49">
        <v>28259.163807394827</v>
      </c>
      <c r="BE49">
        <v>28397.982066155491</v>
      </c>
      <c r="BF49">
        <v>28456.33537560761</v>
      </c>
      <c r="BG49">
        <v>29466.450636579219</v>
      </c>
      <c r="BH49">
        <v>30820.805042135464</v>
      </c>
      <c r="BI49">
        <v>32348.588855617378</v>
      </c>
      <c r="BJ49">
        <v>33729.545581194281</v>
      </c>
      <c r="BK49">
        <v>35122.796623100847</v>
      </c>
      <c r="BL49">
        <v>32493.401701005521</v>
      </c>
      <c r="BM49">
        <v>36930.076102198997</v>
      </c>
      <c r="BN49">
        <v>39863.910937764878</v>
      </c>
      <c r="BO49">
        <v>41320.257995771972</v>
      </c>
      <c r="BP49">
        <v>42828.799727356913</v>
      </c>
      <c r="BQ49">
        <v>44172.044228490631</v>
      </c>
      <c r="BR49">
        <f t="shared" si="0"/>
        <v>4.5783592781273308</v>
      </c>
    </row>
    <row r="50" spans="1:70" x14ac:dyDescent="0.25">
      <c r="A50" t="s">
        <v>70</v>
      </c>
      <c r="B50" t="s">
        <v>718</v>
      </c>
      <c r="C50" t="s">
        <v>434</v>
      </c>
      <c r="BQ50" s="200"/>
      <c r="BR50">
        <v>0</v>
      </c>
    </row>
    <row r="51" spans="1:70" x14ac:dyDescent="0.25">
      <c r="A51" t="s">
        <v>71</v>
      </c>
      <c r="B51" t="s">
        <v>472</v>
      </c>
      <c r="C51" t="s">
        <v>434</v>
      </c>
      <c r="AH51">
        <v>27666.53515625</v>
      </c>
      <c r="AI51">
        <v>27158.92578125</v>
      </c>
      <c r="AJ51">
        <v>28931.814453125</v>
      </c>
      <c r="AK51">
        <v>28439.21484375</v>
      </c>
      <c r="AL51">
        <v>29500.623046875</v>
      </c>
      <c r="AM51">
        <v>31393.24609375</v>
      </c>
      <c r="AN51">
        <v>31282.609375</v>
      </c>
      <c r="AO51">
        <v>31656.830078125</v>
      </c>
      <c r="AP51">
        <v>33181.98828125</v>
      </c>
      <c r="AQ51">
        <v>34452.72265625</v>
      </c>
      <c r="AR51">
        <v>36121.6640625</v>
      </c>
      <c r="AS51">
        <v>37146.84375</v>
      </c>
      <c r="AT51">
        <v>38090.77734375</v>
      </c>
      <c r="AU51">
        <v>38617.8125</v>
      </c>
      <c r="AV51">
        <v>40019.92578125</v>
      </c>
      <c r="AW51">
        <v>41362.09375</v>
      </c>
      <c r="AX51">
        <v>42595.203125</v>
      </c>
      <c r="AY51">
        <v>43823.76171875</v>
      </c>
      <c r="AZ51">
        <v>44295.62890625</v>
      </c>
      <c r="BA51">
        <v>42253.38671875</v>
      </c>
      <c r="BB51">
        <v>42102.28125</v>
      </c>
      <c r="BC51">
        <v>41212.6875</v>
      </c>
      <c r="BD51">
        <v>39190.22265625</v>
      </c>
      <c r="BE51">
        <v>36650.5703125</v>
      </c>
      <c r="BF51">
        <v>36104.90234375</v>
      </c>
      <c r="BG51">
        <v>37258.5</v>
      </c>
      <c r="BH51">
        <v>39500.8515625</v>
      </c>
      <c r="BI51">
        <v>41417.98828125</v>
      </c>
      <c r="BJ51">
        <v>43510.03125</v>
      </c>
      <c r="BK51">
        <v>45454.17578125</v>
      </c>
      <c r="BL51">
        <v>43402.359375</v>
      </c>
      <c r="BM51">
        <v>47632.5703125</v>
      </c>
      <c r="BN51">
        <v>50840.9140625</v>
      </c>
      <c r="BO51">
        <v>51674.90234375</v>
      </c>
      <c r="BP51">
        <v>52861.8359375</v>
      </c>
      <c r="BQ51">
        <v>54103.26171875</v>
      </c>
      <c r="BR51">
        <f t="shared" ref="BR51:BR64" si="1">(((BQ51/BM51)^(1/4))-1)*100</f>
        <v>3.2356883134611492</v>
      </c>
    </row>
    <row r="52" spans="1:70" x14ac:dyDescent="0.25">
      <c r="A52" t="s">
        <v>72</v>
      </c>
      <c r="B52" t="s">
        <v>476</v>
      </c>
      <c r="C52" t="s">
        <v>434</v>
      </c>
      <c r="AH52">
        <v>27918.137519056643</v>
      </c>
      <c r="AI52">
        <v>24734.770206254627</v>
      </c>
      <c r="AJ52">
        <v>24584.329962605061</v>
      </c>
      <c r="AK52">
        <v>24573.991487752948</v>
      </c>
      <c r="AL52">
        <v>25279.791796172856</v>
      </c>
      <c r="AM52">
        <v>26869.019714939808</v>
      </c>
      <c r="AN52">
        <v>28021.670458433593</v>
      </c>
      <c r="AO52">
        <v>27884.739758534321</v>
      </c>
      <c r="AP52">
        <v>27801.438780140805</v>
      </c>
      <c r="AQ52">
        <v>28213.455500599706</v>
      </c>
      <c r="AR52">
        <v>29427.407001151365</v>
      </c>
      <c r="AS52">
        <v>30399.873076428281</v>
      </c>
      <c r="AT52">
        <v>30919.549661870162</v>
      </c>
      <c r="AU52">
        <v>31949.296314503423</v>
      </c>
      <c r="AV52">
        <v>33452.340800061407</v>
      </c>
      <c r="AW52">
        <v>35535.747996151054</v>
      </c>
      <c r="AX52">
        <v>37786.878174090532</v>
      </c>
      <c r="AY52">
        <v>39629.00613247275</v>
      </c>
      <c r="AZ52">
        <v>40328.342663009542</v>
      </c>
      <c r="BA52">
        <v>38175.142277333376</v>
      </c>
      <c r="BB52">
        <v>39097.388621875572</v>
      </c>
      <c r="BC52">
        <v>39708.162628019549</v>
      </c>
      <c r="BD52">
        <v>39347.049295684599</v>
      </c>
      <c r="BE52">
        <v>39317.553569237651</v>
      </c>
      <c r="BF52">
        <v>40158.01642757353</v>
      </c>
      <c r="BG52">
        <v>42066.575980080139</v>
      </c>
      <c r="BH52">
        <v>43069.465974472711</v>
      </c>
      <c r="BI52">
        <v>45177.522605363367</v>
      </c>
      <c r="BJ52">
        <v>46301.082036028994</v>
      </c>
      <c r="BK52">
        <v>47763.616552025429</v>
      </c>
      <c r="BL52">
        <v>45119.93873091392</v>
      </c>
      <c r="BM52">
        <v>47796.0337408466</v>
      </c>
      <c r="BN52">
        <v>48390.661678674951</v>
      </c>
      <c r="BO52">
        <v>47558.410676331405</v>
      </c>
      <c r="BP52">
        <v>47972.531717920043</v>
      </c>
      <c r="BQ52">
        <v>49292.487871320838</v>
      </c>
      <c r="BR52">
        <f t="shared" si="1"/>
        <v>0.77370357879431584</v>
      </c>
    </row>
    <row r="53" spans="1:70" x14ac:dyDescent="0.25">
      <c r="A53" t="s">
        <v>73</v>
      </c>
      <c r="B53" t="s">
        <v>445</v>
      </c>
      <c r="C53" t="s">
        <v>434</v>
      </c>
      <c r="AH53">
        <v>45943.887540184696</v>
      </c>
      <c r="AI53">
        <v>46493.017595803161</v>
      </c>
      <c r="AJ53">
        <v>47276.893658966568</v>
      </c>
      <c r="AK53">
        <v>47082.467437186417</v>
      </c>
      <c r="AL53">
        <v>49408.203821376672</v>
      </c>
      <c r="AM53">
        <v>50644.707458222067</v>
      </c>
      <c r="AN53">
        <v>51817.173541698765</v>
      </c>
      <c r="AO53">
        <v>53237.295191396173</v>
      </c>
      <c r="AP53">
        <v>54278.27911908571</v>
      </c>
      <c r="AQ53">
        <v>55704.258398892453</v>
      </c>
      <c r="AR53">
        <v>57585.89655535241</v>
      </c>
      <c r="AS53">
        <v>57925.054295411523</v>
      </c>
      <c r="AT53">
        <v>58003.888257264131</v>
      </c>
      <c r="AU53">
        <v>58101.480954997198</v>
      </c>
      <c r="AV53">
        <v>59560.459950394063</v>
      </c>
      <c r="AW53">
        <v>60798.1351548444</v>
      </c>
      <c r="AX53">
        <v>62911.393138293657</v>
      </c>
      <c r="AY53">
        <v>63251.316941672507</v>
      </c>
      <c r="AZ53">
        <v>62618.449938245139</v>
      </c>
      <c r="BA53">
        <v>59185.967750553325</v>
      </c>
      <c r="BB53">
        <v>59856.349086000315</v>
      </c>
      <c r="BC53">
        <v>60391.779933220576</v>
      </c>
      <c r="BD53">
        <v>60161.70106602562</v>
      </c>
      <c r="BE53">
        <v>60745.778480025176</v>
      </c>
      <c r="BF53">
        <v>61210.949092291863</v>
      </c>
      <c r="BG53">
        <v>62059.128599172131</v>
      </c>
      <c r="BH53">
        <v>63468.988824681372</v>
      </c>
      <c r="BI53">
        <v>64989.445987234663</v>
      </c>
      <c r="BJ53">
        <v>65870.830255434121</v>
      </c>
      <c r="BK53">
        <v>66758.632334613067</v>
      </c>
      <c r="BL53">
        <v>65379.306612099535</v>
      </c>
      <c r="BM53">
        <v>69327.998216526961</v>
      </c>
      <c r="BN53">
        <v>69089.469249228918</v>
      </c>
      <c r="BO53">
        <v>68993.903110036161</v>
      </c>
      <c r="BP53">
        <v>71034.578966713845</v>
      </c>
      <c r="BQ53">
        <v>72723.274786799215</v>
      </c>
      <c r="BR53">
        <f t="shared" si="1"/>
        <v>1.2024885118675277</v>
      </c>
    </row>
    <row r="54" spans="1:70" x14ac:dyDescent="0.25">
      <c r="A54" t="s">
        <v>74</v>
      </c>
      <c r="B54" t="s">
        <v>642</v>
      </c>
      <c r="C54" t="s">
        <v>434</v>
      </c>
      <c r="BE54">
        <v>4469.0740993313484</v>
      </c>
      <c r="BF54">
        <v>4705.0492677218363</v>
      </c>
      <c r="BG54">
        <v>4961.8681860592042</v>
      </c>
      <c r="BH54">
        <v>5226.5002610660658</v>
      </c>
      <c r="BI54">
        <v>5421.9564914961311</v>
      </c>
      <c r="BJ54">
        <v>5590.5042660485278</v>
      </c>
      <c r="BK54">
        <v>5809.3045504134116</v>
      </c>
      <c r="BL54">
        <v>5791.4776767987732</v>
      </c>
      <c r="BM54">
        <v>5960.1080739682457</v>
      </c>
      <c r="BN54">
        <v>6180.6799859460643</v>
      </c>
      <c r="BO54">
        <v>6510.6785906161904</v>
      </c>
      <c r="BP54">
        <v>6871.1244045312887</v>
      </c>
      <c r="BQ54">
        <v>7222.5498918753037</v>
      </c>
      <c r="BR54">
        <f t="shared" si="1"/>
        <v>4.920198587601643</v>
      </c>
    </row>
    <row r="55" spans="1:70" x14ac:dyDescent="0.25">
      <c r="A55" t="s">
        <v>75</v>
      </c>
      <c r="B55" t="s">
        <v>563</v>
      </c>
      <c r="C55" t="s">
        <v>434</v>
      </c>
      <c r="AH55">
        <v>11311.55197620615</v>
      </c>
      <c r="AI55">
        <v>11518.76467449446</v>
      </c>
      <c r="AJ55">
        <v>11747.611714457071</v>
      </c>
      <c r="AK55">
        <v>11982.859255357276</v>
      </c>
      <c r="AL55">
        <v>11979.399250449642</v>
      </c>
      <c r="AM55">
        <v>12343.90012385453</v>
      </c>
      <c r="AN55">
        <v>12737.897235904933</v>
      </c>
      <c r="AO55">
        <v>13037.14913137549</v>
      </c>
      <c r="AP55">
        <v>13563.452819945942</v>
      </c>
      <c r="AQ55">
        <v>13661.678577417246</v>
      </c>
      <c r="AR55">
        <v>14054.654801604289</v>
      </c>
      <c r="AS55">
        <v>14091.549138757184</v>
      </c>
      <c r="AT55">
        <v>13640.703305749952</v>
      </c>
      <c r="AU55">
        <v>14398.001763683367</v>
      </c>
      <c r="AV55">
        <v>14962.245632601607</v>
      </c>
      <c r="AW55">
        <v>15080.520604098361</v>
      </c>
      <c r="AX55">
        <v>15727.705323232261</v>
      </c>
      <c r="AY55">
        <v>16560.517900994426</v>
      </c>
      <c r="AZ55">
        <v>17738.04056850485</v>
      </c>
      <c r="BA55">
        <v>17534.03396169631</v>
      </c>
      <c r="BB55">
        <v>17516.787957315151</v>
      </c>
      <c r="BC55">
        <v>17475.041106169832</v>
      </c>
      <c r="BD55">
        <v>17431.128800306316</v>
      </c>
      <c r="BE55">
        <v>17282.636804036756</v>
      </c>
      <c r="BF55">
        <v>17520.854626561271</v>
      </c>
      <c r="BG55">
        <v>16920.912655566757</v>
      </c>
      <c r="BH55">
        <v>17364.077304679293</v>
      </c>
      <c r="BI55">
        <v>16314.229555889133</v>
      </c>
      <c r="BJ55">
        <v>16877.124488064168</v>
      </c>
      <c r="BK55">
        <v>17619.43354167695</v>
      </c>
      <c r="BL55">
        <v>14919.530768671857</v>
      </c>
      <c r="BM55">
        <v>15808.974350394501</v>
      </c>
      <c r="BN55">
        <v>17550.800994646645</v>
      </c>
      <c r="BO55">
        <v>18278.225340198944</v>
      </c>
      <c r="BP55">
        <v>18739.364040498604</v>
      </c>
      <c r="BQ55">
        <v>19409.290070019415</v>
      </c>
      <c r="BR55">
        <f t="shared" si="1"/>
        <v>5.2631807326889879</v>
      </c>
    </row>
    <row r="56" spans="1:70" x14ac:dyDescent="0.25">
      <c r="A56" t="s">
        <v>76</v>
      </c>
      <c r="B56" t="s">
        <v>536</v>
      </c>
      <c r="C56" t="s">
        <v>434</v>
      </c>
      <c r="AH56">
        <v>7327.7267013375058</v>
      </c>
      <c r="AI56">
        <v>7246.2467014422236</v>
      </c>
      <c r="AJ56">
        <v>7900.7680926586454</v>
      </c>
      <c r="AK56">
        <v>8318.4917857612636</v>
      </c>
      <c r="AL56">
        <v>8372.071697392792</v>
      </c>
      <c r="AM56">
        <v>8685.0164855706171</v>
      </c>
      <c r="AN56">
        <v>9036.8835214989631</v>
      </c>
      <c r="AO56">
        <v>9671.1481788170677</v>
      </c>
      <c r="AP56">
        <v>10150.44601789925</v>
      </c>
      <c r="AQ56">
        <v>10582.07759393372</v>
      </c>
      <c r="AR56">
        <v>10896.318415596379</v>
      </c>
      <c r="AS56">
        <v>10991.13634204876</v>
      </c>
      <c r="AT56">
        <v>11313.069027127287</v>
      </c>
      <c r="AU56">
        <v>11000.868405935207</v>
      </c>
      <c r="AV56">
        <v>11131.270921633204</v>
      </c>
      <c r="AW56">
        <v>12022.508054405274</v>
      </c>
      <c r="AX56">
        <v>12961.918363213321</v>
      </c>
      <c r="AY56">
        <v>13754.921267409549</v>
      </c>
      <c r="AZ56">
        <v>14030.141108446454</v>
      </c>
      <c r="BA56">
        <v>13992.410327018872</v>
      </c>
      <c r="BB56">
        <v>14975.0010126958</v>
      </c>
      <c r="BC56">
        <v>15258.085814850285</v>
      </c>
      <c r="BD56">
        <v>15487.277635632054</v>
      </c>
      <c r="BE56">
        <v>16054.767729765648</v>
      </c>
      <c r="BF56">
        <v>16993.587444403049</v>
      </c>
      <c r="BG56">
        <v>17973.187025681549</v>
      </c>
      <c r="BH56">
        <v>18968.975238617928</v>
      </c>
      <c r="BI56">
        <v>19501.874305407844</v>
      </c>
      <c r="BJ56">
        <v>20662.848586152973</v>
      </c>
      <c r="BK56">
        <v>21451.286441994969</v>
      </c>
      <c r="BL56">
        <v>19545.409955294315</v>
      </c>
      <c r="BM56">
        <v>22053.458986995527</v>
      </c>
      <c r="BN56">
        <v>22986.95808104995</v>
      </c>
      <c r="BO56">
        <v>23282.489507105423</v>
      </c>
      <c r="BP56">
        <v>24229.889487291515</v>
      </c>
      <c r="BQ56">
        <v>24543.342184341465</v>
      </c>
      <c r="BR56">
        <f t="shared" si="1"/>
        <v>2.7103588394066458</v>
      </c>
    </row>
    <row r="57" spans="1:70" x14ac:dyDescent="0.25">
      <c r="A57" t="s">
        <v>604</v>
      </c>
      <c r="B57" t="s">
        <v>605</v>
      </c>
      <c r="C57" t="s">
        <v>434</v>
      </c>
      <c r="AH57">
        <v>5094.5800028257781</v>
      </c>
      <c r="AI57">
        <v>5176.469153548499</v>
      </c>
      <c r="AJ57">
        <v>5275.3184400823257</v>
      </c>
      <c r="AK57">
        <v>5350.583191171213</v>
      </c>
      <c r="AL57">
        <v>5435.795787064184</v>
      </c>
      <c r="AM57">
        <v>5504.4604328962505</v>
      </c>
      <c r="AN57">
        <v>5715.4195939018191</v>
      </c>
      <c r="AO57">
        <v>5864.2308999744218</v>
      </c>
      <c r="AP57">
        <v>5882.7706675039026</v>
      </c>
      <c r="AQ57">
        <v>5943.925322316597</v>
      </c>
      <c r="AR57">
        <v>6087.2813436418355</v>
      </c>
      <c r="AS57">
        <v>6085.682809874229</v>
      </c>
      <c r="AT57">
        <v>6127.9339354675021</v>
      </c>
      <c r="AU57">
        <v>6349.7182506362724</v>
      </c>
      <c r="AV57">
        <v>6636.182767528383</v>
      </c>
      <c r="AW57">
        <v>6923.1133842398958</v>
      </c>
      <c r="AX57">
        <v>7235.7951660670951</v>
      </c>
      <c r="AY57">
        <v>7545.6016119447058</v>
      </c>
      <c r="AZ57">
        <v>7695.4992635113022</v>
      </c>
      <c r="BA57">
        <v>7719.7149641151191</v>
      </c>
      <c r="BB57">
        <v>8103.6486900692016</v>
      </c>
      <c r="BC57">
        <v>8395.0164161627345</v>
      </c>
      <c r="BD57">
        <v>8611.1572116556945</v>
      </c>
      <c r="BE57">
        <v>8851.6820365043077</v>
      </c>
      <c r="BF57">
        <v>9135.2265138783659</v>
      </c>
      <c r="BG57">
        <v>9461.909234675486</v>
      </c>
      <c r="BH57">
        <v>9809.6199201504078</v>
      </c>
      <c r="BI57">
        <v>10168.994885281534</v>
      </c>
      <c r="BJ57">
        <v>10473.953452546497</v>
      </c>
      <c r="BK57">
        <v>10646.461936358723</v>
      </c>
      <c r="BL57">
        <v>10109.673775134277</v>
      </c>
      <c r="BM57">
        <v>10742.10394962912</v>
      </c>
      <c r="BN57">
        <v>11282.884392496251</v>
      </c>
      <c r="BO57">
        <v>11661.591896262365</v>
      </c>
      <c r="BP57">
        <v>12032.027562552415</v>
      </c>
      <c r="BQ57">
        <v>12466.162672463024</v>
      </c>
      <c r="BR57">
        <f t="shared" si="1"/>
        <v>3.7912780588672979</v>
      </c>
    </row>
    <row r="58" spans="1:70" x14ac:dyDescent="0.25">
      <c r="A58" t="s">
        <v>532</v>
      </c>
      <c r="B58" t="s">
        <v>533</v>
      </c>
      <c r="C58" t="s">
        <v>434</v>
      </c>
      <c r="AH58">
        <v>5815.8002136978512</v>
      </c>
      <c r="AI58">
        <v>6046.5526404572747</v>
      </c>
      <c r="AJ58">
        <v>6279.929130215095</v>
      </c>
      <c r="AK58">
        <v>6524.5146591408848</v>
      </c>
      <c r="AL58">
        <v>6836.7271511079862</v>
      </c>
      <c r="AM58">
        <v>7182.1720072092758</v>
      </c>
      <c r="AN58">
        <v>7538.4595892927982</v>
      </c>
      <c r="AO58">
        <v>7796.6148253540332</v>
      </c>
      <c r="AP58">
        <v>7692.325868292055</v>
      </c>
      <c r="AQ58">
        <v>7934.2925153572423</v>
      </c>
      <c r="AR58">
        <v>8325.620817829189</v>
      </c>
      <c r="AS58">
        <v>8556.3056015202947</v>
      </c>
      <c r="AT58">
        <v>8914.7821369397843</v>
      </c>
      <c r="AU58">
        <v>9336.5901388249531</v>
      </c>
      <c r="AV58">
        <v>9862.1626299767104</v>
      </c>
      <c r="AW58">
        <v>10431.109500653669</v>
      </c>
      <c r="AX58">
        <v>11097.973991968196</v>
      </c>
      <c r="AY58">
        <v>11921.896725095952</v>
      </c>
      <c r="AZ58">
        <v>12431.148230974555</v>
      </c>
      <c r="BA58">
        <v>12758.395079759412</v>
      </c>
      <c r="BB58">
        <v>13696.294776248171</v>
      </c>
      <c r="BC58">
        <v>14400.659041287719</v>
      </c>
      <c r="BD58">
        <v>15098.178275814251</v>
      </c>
      <c r="BE58">
        <v>15817.394172012442</v>
      </c>
      <c r="BF58">
        <v>16527.965191416333</v>
      </c>
      <c r="BG58">
        <v>17242.02818540806</v>
      </c>
      <c r="BH58">
        <v>17975.468142301524</v>
      </c>
      <c r="BI58">
        <v>18809.507489610718</v>
      </c>
      <c r="BJ58">
        <v>19664.417211801501</v>
      </c>
      <c r="BK58">
        <v>20432.980427024937</v>
      </c>
      <c r="BL58">
        <v>20334.225380351621</v>
      </c>
      <c r="BM58">
        <v>21598.584759238376</v>
      </c>
      <c r="BN58">
        <v>22275.387557342343</v>
      </c>
      <c r="BO58">
        <v>23181.860293006721</v>
      </c>
      <c r="BP58">
        <v>24094.159420998272</v>
      </c>
      <c r="BQ58">
        <v>25109.708802189991</v>
      </c>
      <c r="BR58">
        <f t="shared" si="1"/>
        <v>3.8374693515829561</v>
      </c>
    </row>
    <row r="59" spans="1:70" x14ac:dyDescent="0.25">
      <c r="A59" t="s">
        <v>550</v>
      </c>
      <c r="B59" t="s">
        <v>551</v>
      </c>
      <c r="C59" t="s">
        <v>434</v>
      </c>
      <c r="AH59">
        <v>2513.148767760897</v>
      </c>
      <c r="AI59">
        <v>2666.1584756193602</v>
      </c>
      <c r="AJ59">
        <v>2897.3805476225452</v>
      </c>
      <c r="AK59">
        <v>3154.2224325422294</v>
      </c>
      <c r="AL59">
        <v>3429.0143026491432</v>
      </c>
      <c r="AM59">
        <v>3708.1788079394141</v>
      </c>
      <c r="AN59">
        <v>3982.1475301841392</v>
      </c>
      <c r="AO59">
        <v>4193.6079435836127</v>
      </c>
      <c r="AP59">
        <v>4182.8661063719401</v>
      </c>
      <c r="AQ59">
        <v>4381.3796762743323</v>
      </c>
      <c r="AR59">
        <v>4657.5591299145817</v>
      </c>
      <c r="AS59">
        <v>4911.1861104386635</v>
      </c>
      <c r="AT59">
        <v>5242.1546477333541</v>
      </c>
      <c r="AU59">
        <v>5642.1220826604176</v>
      </c>
      <c r="AV59">
        <v>6083.6264625887661</v>
      </c>
      <c r="AW59">
        <v>6602.0945326394849</v>
      </c>
      <c r="AX59">
        <v>7224.8483162010607</v>
      </c>
      <c r="AY59">
        <v>8000.2028646130502</v>
      </c>
      <c r="AZ59">
        <v>8584.6863602492704</v>
      </c>
      <c r="BA59">
        <v>9145.8484805361131</v>
      </c>
      <c r="BB59">
        <v>9942.0709208173375</v>
      </c>
      <c r="BC59">
        <v>10666.070565906899</v>
      </c>
      <c r="BD59">
        <v>11359.219796915262</v>
      </c>
      <c r="BE59">
        <v>12057.874964836434</v>
      </c>
      <c r="BF59">
        <v>12769.198163362364</v>
      </c>
      <c r="BG59">
        <v>13493.524313754961</v>
      </c>
      <c r="BH59">
        <v>14243.796425855797</v>
      </c>
      <c r="BI59">
        <v>15060.223290632806</v>
      </c>
      <c r="BJ59">
        <v>15925.062376871832</v>
      </c>
      <c r="BK59">
        <v>16754.143368620196</v>
      </c>
      <c r="BL59">
        <v>16816.472182044192</v>
      </c>
      <c r="BM59">
        <v>17966.100209993019</v>
      </c>
      <c r="BN59">
        <v>18600.231979514934</v>
      </c>
      <c r="BO59">
        <v>19523.674641797199</v>
      </c>
      <c r="BP59">
        <v>20453.972347377934</v>
      </c>
      <c r="BQ59">
        <v>21435.108223809519</v>
      </c>
      <c r="BR59">
        <f t="shared" si="1"/>
        <v>4.5124348486408339</v>
      </c>
    </row>
    <row r="60" spans="1:70" x14ac:dyDescent="0.25">
      <c r="A60" t="s">
        <v>548</v>
      </c>
      <c r="B60" t="s">
        <v>549</v>
      </c>
      <c r="C60" t="s">
        <v>434</v>
      </c>
      <c r="AH60">
        <v>2543.8569637939841</v>
      </c>
      <c r="AI60">
        <v>2698.6659831794391</v>
      </c>
      <c r="AJ60">
        <v>2932.6650320712392</v>
      </c>
      <c r="AK60">
        <v>3192.6100217819703</v>
      </c>
      <c r="AL60">
        <v>3470.7730871775657</v>
      </c>
      <c r="AM60">
        <v>3753.2779242809906</v>
      </c>
      <c r="AN60">
        <v>4030.4119931688078</v>
      </c>
      <c r="AO60">
        <v>4244.2373905731747</v>
      </c>
      <c r="AP60">
        <v>4233.1775915715289</v>
      </c>
      <c r="AQ60">
        <v>4433.882415485441</v>
      </c>
      <c r="AR60">
        <v>4713.1695586776605</v>
      </c>
      <c r="AS60">
        <v>4969.6145292233796</v>
      </c>
      <c r="AT60">
        <v>5304.2639699486317</v>
      </c>
      <c r="AU60">
        <v>5708.771073824727</v>
      </c>
      <c r="AV60">
        <v>6155.3698608890236</v>
      </c>
      <c r="AW60">
        <v>6679.7454621833704</v>
      </c>
      <c r="AX60">
        <v>7309.5490166943946</v>
      </c>
      <c r="AY60">
        <v>8093.6531376091198</v>
      </c>
      <c r="AZ60">
        <v>8684.6061768345662</v>
      </c>
      <c r="BA60">
        <v>9251.9219018924632</v>
      </c>
      <c r="BB60">
        <v>10056.964438746629</v>
      </c>
      <c r="BC60">
        <v>10788.85967403472</v>
      </c>
      <c r="BD60">
        <v>11489.371799970866</v>
      </c>
      <c r="BE60">
        <v>12195.410863443272</v>
      </c>
      <c r="BF60">
        <v>12914.302342173954</v>
      </c>
      <c r="BG60">
        <v>13646.381235560571</v>
      </c>
      <c r="BH60">
        <v>14404.656964797974</v>
      </c>
      <c r="BI60">
        <v>15229.716921393629</v>
      </c>
      <c r="BJ60">
        <v>16103.861891420416</v>
      </c>
      <c r="BK60">
        <v>16941.947193789234</v>
      </c>
      <c r="BL60">
        <v>17004.807253871331</v>
      </c>
      <c r="BM60">
        <v>18167.400916146551</v>
      </c>
      <c r="BN60">
        <v>18808.938341167119</v>
      </c>
      <c r="BO60">
        <v>19743.111215111941</v>
      </c>
      <c r="BP60">
        <v>20684.226565532652</v>
      </c>
      <c r="BQ60">
        <v>21676.793677297599</v>
      </c>
      <c r="BR60">
        <f t="shared" si="1"/>
        <v>4.514262643817557</v>
      </c>
    </row>
    <row r="61" spans="1:70" x14ac:dyDescent="0.25">
      <c r="A61" t="s">
        <v>77</v>
      </c>
      <c r="B61" t="s">
        <v>594</v>
      </c>
      <c r="C61" t="s">
        <v>434</v>
      </c>
      <c r="AH61">
        <v>9104.8159979027205</v>
      </c>
      <c r="AI61">
        <v>9292.6177917376208</v>
      </c>
      <c r="AJ61">
        <v>9291.3710483041978</v>
      </c>
      <c r="AK61">
        <v>9284.3150343123543</v>
      </c>
      <c r="AL61">
        <v>9494.175061946964</v>
      </c>
      <c r="AM61">
        <v>9525.177018324066</v>
      </c>
      <c r="AN61">
        <v>9509.2754063317298</v>
      </c>
      <c r="AO61">
        <v>9739.2668242801628</v>
      </c>
      <c r="AP61">
        <v>9876.7507512592001</v>
      </c>
      <c r="AQ61">
        <v>9242.966810195845</v>
      </c>
      <c r="AR61">
        <v>9183.0515527691878</v>
      </c>
      <c r="AS61">
        <v>9405.11680690106</v>
      </c>
      <c r="AT61">
        <v>9697.5551766597782</v>
      </c>
      <c r="AU61">
        <v>9802.8140820212502</v>
      </c>
      <c r="AV61">
        <v>10290.663426476644</v>
      </c>
      <c r="AW61">
        <v>10660.204622893898</v>
      </c>
      <c r="AX61">
        <v>10933.489747028279</v>
      </c>
      <c r="AY61">
        <v>10952.822685394758</v>
      </c>
      <c r="AZ61">
        <v>11474.525702354122</v>
      </c>
      <c r="BA61">
        <v>11403.527797883069</v>
      </c>
      <c r="BB61">
        <v>11665.697859820377</v>
      </c>
      <c r="BC61">
        <v>12449.078554921784</v>
      </c>
      <c r="BD61">
        <v>12961.026742376513</v>
      </c>
      <c r="BE61">
        <v>13689.152046012548</v>
      </c>
      <c r="BF61">
        <v>14064.799224672657</v>
      </c>
      <c r="BG61">
        <v>13881.570073810466</v>
      </c>
      <c r="BH61">
        <v>13586.516077256823</v>
      </c>
      <c r="BI61">
        <v>14179.15375033051</v>
      </c>
      <c r="BJ61">
        <v>14083.506998230425</v>
      </c>
      <c r="BK61">
        <v>13870.489511806805</v>
      </c>
      <c r="BL61">
        <v>12440.326374781402</v>
      </c>
      <c r="BM61">
        <v>13507.444563837455</v>
      </c>
      <c r="BN61">
        <v>14186.638854462459</v>
      </c>
      <c r="BO61">
        <v>14321.164829561092</v>
      </c>
      <c r="BP61">
        <v>13922.422278074395</v>
      </c>
      <c r="BQ61">
        <v>14319.240655829948</v>
      </c>
      <c r="BR61">
        <f t="shared" si="1"/>
        <v>1.4697752812886877</v>
      </c>
    </row>
    <row r="62" spans="1:70" x14ac:dyDescent="0.25">
      <c r="A62" t="s">
        <v>78</v>
      </c>
      <c r="B62" t="s">
        <v>573</v>
      </c>
      <c r="C62" t="s">
        <v>434</v>
      </c>
      <c r="AH62">
        <v>8006.6214374012925</v>
      </c>
      <c r="AI62">
        <v>7876.5525755288936</v>
      </c>
      <c r="AJ62">
        <v>8034.5623012458273</v>
      </c>
      <c r="AK62">
        <v>8079.0548067922118</v>
      </c>
      <c r="AL62">
        <v>8221.0468477438808</v>
      </c>
      <c r="AM62">
        <v>8423.5781749824273</v>
      </c>
      <c r="AN62">
        <v>8662.3314786825067</v>
      </c>
      <c r="AO62">
        <v>8950.6541069311006</v>
      </c>
      <c r="AP62">
        <v>9245.4789046836322</v>
      </c>
      <c r="AQ62">
        <v>9588.8593851378955</v>
      </c>
      <c r="AR62">
        <v>9981.6277508159292</v>
      </c>
      <c r="AS62">
        <v>10117.333182154243</v>
      </c>
      <c r="AT62">
        <v>10143.506345655462</v>
      </c>
      <c r="AU62">
        <v>10250.376550148971</v>
      </c>
      <c r="AV62">
        <v>10451.821751152909</v>
      </c>
      <c r="AW62">
        <v>10700.609037252507</v>
      </c>
      <c r="AX62">
        <v>11211.832022867098</v>
      </c>
      <c r="AY62">
        <v>11782.006071702617</v>
      </c>
      <c r="AZ62">
        <v>12391.584762493834</v>
      </c>
      <c r="BA62">
        <v>12728.081458756351</v>
      </c>
      <c r="BB62">
        <v>13128.987833483059</v>
      </c>
      <c r="BC62">
        <v>13082.426368023906</v>
      </c>
      <c r="BD62">
        <v>13076.805239487572</v>
      </c>
      <c r="BE62">
        <v>13058.074823823685</v>
      </c>
      <c r="BF62">
        <v>13136.365629809923</v>
      </c>
      <c r="BG62">
        <v>13425.91195994919</v>
      </c>
      <c r="BH62">
        <v>13727.320160081566</v>
      </c>
      <c r="BI62">
        <v>14018.36059344113</v>
      </c>
      <c r="BJ62">
        <v>14488.209434026054</v>
      </c>
      <c r="BK62">
        <v>15026.568243683027</v>
      </c>
      <c r="BL62">
        <v>15309.235988183531</v>
      </c>
      <c r="BM62">
        <v>15579.016086155119</v>
      </c>
      <c r="BN62">
        <v>16360.390775011048</v>
      </c>
      <c r="BO62">
        <v>16691.387399196188</v>
      </c>
      <c r="BP62">
        <v>16798.151577837994</v>
      </c>
      <c r="BQ62">
        <v>17265.148860461682</v>
      </c>
      <c r="BR62">
        <f t="shared" si="1"/>
        <v>2.6024131757991897</v>
      </c>
    </row>
    <row r="63" spans="1:70" x14ac:dyDescent="0.25">
      <c r="A63" t="s">
        <v>79</v>
      </c>
      <c r="B63" t="s">
        <v>608</v>
      </c>
      <c r="C63" t="s">
        <v>434</v>
      </c>
      <c r="AH63">
        <v>5976.0176252202646</v>
      </c>
      <c r="AI63">
        <v>5960.05892897788</v>
      </c>
      <c r="AJ63">
        <v>6275.1876711690547</v>
      </c>
      <c r="AK63">
        <v>6553.0723407384057</v>
      </c>
      <c r="AL63">
        <v>6795.5060889719216</v>
      </c>
      <c r="AM63">
        <v>7057.9202524835446</v>
      </c>
      <c r="AN63">
        <v>7062.3000782413592</v>
      </c>
      <c r="AO63">
        <v>7234.9445622843486</v>
      </c>
      <c r="AP63">
        <v>7381.1146041750044</v>
      </c>
      <c r="AQ63">
        <v>7498.4674109720636</v>
      </c>
      <c r="AR63">
        <v>7545.44796218991</v>
      </c>
      <c r="AS63">
        <v>7580.3233841015863</v>
      </c>
      <c r="AT63">
        <v>7675.6710619511368</v>
      </c>
      <c r="AU63">
        <v>7780.2717768559869</v>
      </c>
      <c r="AV63">
        <v>7841.5323788684191</v>
      </c>
      <c r="AW63">
        <v>8050.5345128918952</v>
      </c>
      <c r="AX63">
        <v>8404.246749031432</v>
      </c>
      <c r="AY63">
        <v>8548.8347611860463</v>
      </c>
      <c r="AZ63">
        <v>8704.8058463259149</v>
      </c>
      <c r="BA63">
        <v>8494.498474236214</v>
      </c>
      <c r="BB63">
        <v>8648.9298271767184</v>
      </c>
      <c r="BC63">
        <v>8945.9313297000645</v>
      </c>
      <c r="BD63">
        <v>9162.5621261350771</v>
      </c>
      <c r="BE63">
        <v>9329.4620222286121</v>
      </c>
      <c r="BF63">
        <v>9451.744607867</v>
      </c>
      <c r="BG63">
        <v>9646.1543233985376</v>
      </c>
      <c r="BH63">
        <v>9863.7612121445309</v>
      </c>
      <c r="BI63">
        <v>10064.793494260062</v>
      </c>
      <c r="BJ63">
        <v>10297.203612692012</v>
      </c>
      <c r="BK63">
        <v>10543.938329131672</v>
      </c>
      <c r="BL63">
        <v>9692.4493160579877</v>
      </c>
      <c r="BM63">
        <v>10809.713399517961</v>
      </c>
      <c r="BN63">
        <v>11085.616616955323</v>
      </c>
      <c r="BO63">
        <v>11404.334226268531</v>
      </c>
      <c r="BP63">
        <v>11647.023448012687</v>
      </c>
      <c r="BQ63">
        <v>12050.02826570204</v>
      </c>
      <c r="BR63">
        <f t="shared" si="1"/>
        <v>2.7527541817086609</v>
      </c>
    </row>
    <row r="64" spans="1:70" x14ac:dyDescent="0.25">
      <c r="A64" t="s">
        <v>80</v>
      </c>
      <c r="B64" t="s">
        <v>599</v>
      </c>
      <c r="C64" t="s">
        <v>434</v>
      </c>
      <c r="AH64">
        <v>1122.8176736466428</v>
      </c>
      <c r="AI64">
        <v>1070.8276428304125</v>
      </c>
      <c r="AJ64">
        <v>1390.4791848201276</v>
      </c>
      <c r="AK64">
        <v>1487.8120252858776</v>
      </c>
      <c r="AL64">
        <v>1672.3454753589672</v>
      </c>
      <c r="AM64">
        <v>1892.1165306252651</v>
      </c>
      <c r="AN64">
        <v>3033.8403122030591</v>
      </c>
      <c r="AO64">
        <v>7296.1000980984263</v>
      </c>
      <c r="AP64">
        <v>8684.6573083064031</v>
      </c>
      <c r="AQ64">
        <v>10492.464947555431</v>
      </c>
      <c r="AR64">
        <v>11767.470881431289</v>
      </c>
      <c r="AS64">
        <v>18031.964975073995</v>
      </c>
      <c r="AT64">
        <v>20242.430968439872</v>
      </c>
      <c r="AU64">
        <v>21709.575124195922</v>
      </c>
      <c r="AV64">
        <v>28225.985816122033</v>
      </c>
      <c r="AW64">
        <v>31302.957953873982</v>
      </c>
      <c r="AX64">
        <v>32251.768008251925</v>
      </c>
      <c r="AY64">
        <v>35540.447756365742</v>
      </c>
      <c r="AZ64">
        <v>39994.615979064663</v>
      </c>
      <c r="BA64">
        <v>38706.605251213499</v>
      </c>
      <c r="BB64">
        <v>33668.874065485179</v>
      </c>
      <c r="BC64">
        <v>34341.934260750466</v>
      </c>
      <c r="BD64">
        <v>35711.491927353694</v>
      </c>
      <c r="BE64">
        <v>32894.369318910089</v>
      </c>
      <c r="BF64">
        <v>31765.899705685137</v>
      </c>
      <c r="BG64">
        <v>27797.794280317918</v>
      </c>
      <c r="BH64">
        <v>24435.064556480145</v>
      </c>
      <c r="BI64">
        <v>22250.438923026337</v>
      </c>
      <c r="BJ64">
        <v>20165.47955506073</v>
      </c>
      <c r="BK64">
        <v>18446.591657968052</v>
      </c>
      <c r="BL64">
        <v>17089.153726379038</v>
      </c>
      <c r="BM64">
        <v>16821.448647041288</v>
      </c>
      <c r="BN64">
        <v>16932.77068271548</v>
      </c>
      <c r="BO64">
        <v>15302.151783514679</v>
      </c>
      <c r="BP64">
        <v>14997.756439297591</v>
      </c>
      <c r="BQ64">
        <v>13786.393293408883</v>
      </c>
      <c r="BR64">
        <f t="shared" si="1"/>
        <v>-4.8526236249473502</v>
      </c>
    </row>
    <row r="65" spans="1:70" x14ac:dyDescent="0.25">
      <c r="A65" t="s">
        <v>81</v>
      </c>
      <c r="B65" t="s">
        <v>719</v>
      </c>
      <c r="C65" t="s">
        <v>434</v>
      </c>
      <c r="BQ65" s="200"/>
      <c r="BR65">
        <v>0</v>
      </c>
    </row>
    <row r="66" spans="1:70" x14ac:dyDescent="0.25">
      <c r="A66" t="s">
        <v>82</v>
      </c>
      <c r="B66" t="s">
        <v>495</v>
      </c>
      <c r="C66" t="s">
        <v>434</v>
      </c>
      <c r="AH66">
        <v>19161.445158878218</v>
      </c>
      <c r="AI66">
        <v>17717.305228385736</v>
      </c>
      <c r="AJ66">
        <v>14223.907566869319</v>
      </c>
      <c r="AK66">
        <v>13757.015562566517</v>
      </c>
      <c r="AL66">
        <v>13823.556602242925</v>
      </c>
      <c r="AM66">
        <v>14709.599806084425</v>
      </c>
      <c r="AN66">
        <v>15666.133045150189</v>
      </c>
      <c r="AO66">
        <v>17913.786999262597</v>
      </c>
      <c r="AP66">
        <v>18871.619679595693</v>
      </c>
      <c r="AQ66">
        <v>18736.154533949983</v>
      </c>
      <c r="AR66">
        <v>20526.660638086465</v>
      </c>
      <c r="AS66">
        <v>21872.659395311231</v>
      </c>
      <c r="AT66">
        <v>23537.715681660105</v>
      </c>
      <c r="AU66">
        <v>25485.161302898618</v>
      </c>
      <c r="AV66">
        <v>27381.535062669373</v>
      </c>
      <c r="AW66">
        <v>30161.199613396562</v>
      </c>
      <c r="AX66">
        <v>33301.494548620642</v>
      </c>
      <c r="AY66">
        <v>35986.516133268422</v>
      </c>
      <c r="AZ66">
        <v>34233.764380616711</v>
      </c>
      <c r="BA66">
        <v>29281.679828465571</v>
      </c>
      <c r="BB66">
        <v>30067.501040774994</v>
      </c>
      <c r="BC66">
        <v>32453.100847670903</v>
      </c>
      <c r="BD66">
        <v>33765.430207507183</v>
      </c>
      <c r="BE66">
        <v>34481.014892150568</v>
      </c>
      <c r="BF66">
        <v>35720.302533523354</v>
      </c>
      <c r="BG66">
        <v>36353.058052044878</v>
      </c>
      <c r="BH66">
        <v>37466.556183931774</v>
      </c>
      <c r="BI66">
        <v>39529.78597327898</v>
      </c>
      <c r="BJ66">
        <v>40849.847347556373</v>
      </c>
      <c r="BK66">
        <v>42215.034383581064</v>
      </c>
      <c r="BL66">
        <v>40916.719411332728</v>
      </c>
      <c r="BM66">
        <v>44247.419897187276</v>
      </c>
      <c r="BN66">
        <v>43124.619656377537</v>
      </c>
      <c r="BO66">
        <v>41284.774687553152</v>
      </c>
      <c r="BP66">
        <v>41185.834835610876</v>
      </c>
      <c r="BQ66">
        <v>41604.322661280559</v>
      </c>
      <c r="BR66">
        <f t="shared" ref="BR66:BR112" si="2">(((BQ66/BM66)^(1/4))-1)*100</f>
        <v>-1.5280300740714403</v>
      </c>
    </row>
    <row r="67" spans="1:70" x14ac:dyDescent="0.25">
      <c r="A67" t="s">
        <v>614</v>
      </c>
      <c r="B67" t="s">
        <v>615</v>
      </c>
      <c r="C67" t="s">
        <v>434</v>
      </c>
      <c r="AH67">
        <v>5447.7390023334647</v>
      </c>
      <c r="AI67">
        <v>5325.3524639325433</v>
      </c>
      <c r="AJ67">
        <v>5291.896289927523</v>
      </c>
      <c r="AK67">
        <v>5299.5323019162461</v>
      </c>
      <c r="AL67">
        <v>5427.3500197725107</v>
      </c>
      <c r="AM67">
        <v>5693.8219547556673</v>
      </c>
      <c r="AN67">
        <v>5796.6525509472258</v>
      </c>
      <c r="AO67">
        <v>5876.8034171082181</v>
      </c>
      <c r="AP67">
        <v>5952.8542319925218</v>
      </c>
      <c r="AQ67">
        <v>6062.3480593208351</v>
      </c>
      <c r="AR67">
        <v>6106.0747874046501</v>
      </c>
      <c r="AS67">
        <v>6135.4529995429675</v>
      </c>
      <c r="AT67">
        <v>6335.8135183919267</v>
      </c>
      <c r="AU67">
        <v>6578.3015286360496</v>
      </c>
      <c r="AV67">
        <v>6775.2217412301989</v>
      </c>
      <c r="AW67">
        <v>7142.1921864324022</v>
      </c>
      <c r="AX67">
        <v>7584.7203061779401</v>
      </c>
      <c r="AY67">
        <v>7866.7307345527324</v>
      </c>
      <c r="AZ67">
        <v>7926.3796113822082</v>
      </c>
      <c r="BA67">
        <v>7988.597500053027</v>
      </c>
      <c r="BB67">
        <v>8245.6415333221503</v>
      </c>
      <c r="BC67">
        <v>8350.8919093286549</v>
      </c>
      <c r="BD67">
        <v>8645.8447828780172</v>
      </c>
      <c r="BE67">
        <v>8951.0574980589117</v>
      </c>
      <c r="BF67">
        <v>9084.4940578063506</v>
      </c>
      <c r="BG67">
        <v>9186.6534472051499</v>
      </c>
      <c r="BH67">
        <v>9402.5083410368061</v>
      </c>
      <c r="BI67">
        <v>9660.5516153808567</v>
      </c>
      <c r="BJ67">
        <v>9578.1006108980491</v>
      </c>
      <c r="BK67">
        <v>10099.586311840596</v>
      </c>
      <c r="BL67">
        <v>9695.824980587553</v>
      </c>
      <c r="BM67">
        <v>9990.4349195120467</v>
      </c>
      <c r="BN67">
        <v>9927.6056700813933</v>
      </c>
      <c r="BO67">
        <v>10181.504073039659</v>
      </c>
      <c r="BP67">
        <v>10386.214571757178</v>
      </c>
      <c r="BQ67">
        <v>10706.777804946763</v>
      </c>
      <c r="BR67">
        <f t="shared" si="2"/>
        <v>1.7462938264528827</v>
      </c>
    </row>
    <row r="68" spans="1:70" x14ac:dyDescent="0.25">
      <c r="A68" t="s">
        <v>84</v>
      </c>
      <c r="B68" t="s">
        <v>695</v>
      </c>
      <c r="C68" t="s">
        <v>434</v>
      </c>
      <c r="AH68">
        <v>874.3469361774122</v>
      </c>
      <c r="AI68">
        <v>777.5235661113669</v>
      </c>
      <c r="AJ68">
        <v>680.83476696848743</v>
      </c>
      <c r="AK68">
        <v>743.7084857847592</v>
      </c>
      <c r="AL68">
        <v>741.17662359010637</v>
      </c>
      <c r="AM68">
        <v>760.26434501048573</v>
      </c>
      <c r="AN68">
        <v>826.99165876899576</v>
      </c>
      <c r="AO68">
        <v>826.00521802721482</v>
      </c>
      <c r="AP68">
        <v>772.78664638622286</v>
      </c>
      <c r="AQ68">
        <v>787.67957747598655</v>
      </c>
      <c r="AR68">
        <v>810.27074911559112</v>
      </c>
      <c r="AS68">
        <v>851.31342841129094</v>
      </c>
      <c r="AT68">
        <v>838.29804695213545</v>
      </c>
      <c r="AU68">
        <v>795.77213829899756</v>
      </c>
      <c r="AV68">
        <v>877.11449495836337</v>
      </c>
      <c r="AW68">
        <v>952.11566628240871</v>
      </c>
      <c r="AX68">
        <v>1024.729119375321</v>
      </c>
      <c r="AY68">
        <v>1109.1433025968299</v>
      </c>
      <c r="AZ68">
        <v>1193.7472833129623</v>
      </c>
      <c r="BA68">
        <v>1262.4639800098134</v>
      </c>
      <c r="BB68">
        <v>1381.1904465071541</v>
      </c>
      <c r="BC68">
        <v>1492.5339646994307</v>
      </c>
      <c r="BD68">
        <v>1576.7687573393341</v>
      </c>
      <c r="BE68">
        <v>1696.865155886655</v>
      </c>
      <c r="BF68">
        <v>1821.3916177240287</v>
      </c>
      <c r="BG68">
        <v>1957.4145418455057</v>
      </c>
      <c r="BH68">
        <v>2084.840556164705</v>
      </c>
      <c r="BI68">
        <v>2222.8282447825945</v>
      </c>
      <c r="BJ68">
        <v>2311.1651165635853</v>
      </c>
      <c r="BK68">
        <v>2437.9704604796666</v>
      </c>
      <c r="BL68">
        <v>2516.5490763889852</v>
      </c>
      <c r="BM68">
        <v>2588.4131021377825</v>
      </c>
      <c r="BN68">
        <v>2655.5927674363893</v>
      </c>
      <c r="BO68">
        <v>2757.9592362609947</v>
      </c>
      <c r="BP68">
        <v>2892.2222016279538</v>
      </c>
      <c r="BQ68">
        <v>3094.8681186835156</v>
      </c>
      <c r="BR68">
        <f t="shared" si="2"/>
        <v>4.5688036631889695</v>
      </c>
    </row>
    <row r="69" spans="1:70" x14ac:dyDescent="0.25">
      <c r="A69" t="s">
        <v>463</v>
      </c>
      <c r="B69" t="s">
        <v>464</v>
      </c>
      <c r="C69" t="s">
        <v>434</v>
      </c>
      <c r="AH69">
        <v>37247.391175682875</v>
      </c>
      <c r="AI69">
        <v>37879.574350423245</v>
      </c>
      <c r="AJ69">
        <v>38062.385627422242</v>
      </c>
      <c r="AK69">
        <v>37627.589006009955</v>
      </c>
      <c r="AL69">
        <v>38450.141355583793</v>
      </c>
      <c r="AM69">
        <v>39321.787954256812</v>
      </c>
      <c r="AN69">
        <v>39943.874712425306</v>
      </c>
      <c r="AO69">
        <v>40911.606049467424</v>
      </c>
      <c r="AP69">
        <v>42064.614217821458</v>
      </c>
      <c r="AQ69">
        <v>43176.61458160339</v>
      </c>
      <c r="AR69">
        <v>44733.654758120756</v>
      </c>
      <c r="AS69">
        <v>45611.962112861642</v>
      </c>
      <c r="AT69">
        <v>45891.250903080349</v>
      </c>
      <c r="AU69">
        <v>46049.347788847379</v>
      </c>
      <c r="AV69">
        <v>46891.965495963166</v>
      </c>
      <c r="AW69">
        <v>47524.460512911064</v>
      </c>
      <c r="AX69">
        <v>48915.152545304445</v>
      </c>
      <c r="AY69">
        <v>50167.592597400268</v>
      </c>
      <c r="AZ69">
        <v>50163.90120742275</v>
      </c>
      <c r="BA69">
        <v>47740.297332266913</v>
      </c>
      <c r="BB69">
        <v>48591.055785737968</v>
      </c>
      <c r="BC69">
        <v>49493.922137545444</v>
      </c>
      <c r="BD69">
        <v>48904.11612368669</v>
      </c>
      <c r="BE69">
        <v>48741.865449965735</v>
      </c>
      <c r="BF69">
        <v>49365.143533031282</v>
      </c>
      <c r="BG69">
        <v>50293.907876948069</v>
      </c>
      <c r="BH69">
        <v>51089.957079337022</v>
      </c>
      <c r="BI69">
        <v>52337.913501836912</v>
      </c>
      <c r="BJ69">
        <v>53176.636887729801</v>
      </c>
      <c r="BK69">
        <v>53928.468479785603</v>
      </c>
      <c r="BL69">
        <v>50532.292766162122</v>
      </c>
      <c r="BM69">
        <v>53780.959568798986</v>
      </c>
      <c r="BN69">
        <v>55638.640790959747</v>
      </c>
      <c r="BO69">
        <v>55706.281606090612</v>
      </c>
      <c r="BP69">
        <v>56054.097730236761</v>
      </c>
      <c r="BQ69">
        <v>56676.726275211528</v>
      </c>
      <c r="BR69">
        <f t="shared" si="2"/>
        <v>1.3197367047030673</v>
      </c>
    </row>
    <row r="70" spans="1:70" x14ac:dyDescent="0.25">
      <c r="A70" t="s">
        <v>486</v>
      </c>
      <c r="B70" t="s">
        <v>487</v>
      </c>
      <c r="C70" t="s">
        <v>434</v>
      </c>
      <c r="AH70">
        <v>28257.152503321893</v>
      </c>
      <c r="AI70">
        <v>27767.288160232933</v>
      </c>
      <c r="AJ70">
        <v>26853.557294870436</v>
      </c>
      <c r="AK70">
        <v>26210.349216511415</v>
      </c>
      <c r="AL70">
        <v>25912.852802310645</v>
      </c>
      <c r="AM70">
        <v>26271.076084014512</v>
      </c>
      <c r="AN70">
        <v>26569.142643026495</v>
      </c>
      <c r="AO70">
        <v>27276.214482001982</v>
      </c>
      <c r="AP70">
        <v>27765.460107220162</v>
      </c>
      <c r="AQ70">
        <v>28544.072310601459</v>
      </c>
      <c r="AR70">
        <v>29894.204458673743</v>
      </c>
      <c r="AS70">
        <v>30618.862698665038</v>
      </c>
      <c r="AT70">
        <v>31205.066675046291</v>
      </c>
      <c r="AU70">
        <v>31923.95293247611</v>
      </c>
      <c r="AV70">
        <v>33095.653201329224</v>
      </c>
      <c r="AW70">
        <v>34097.242081717894</v>
      </c>
      <c r="AX70">
        <v>35577.263801452857</v>
      </c>
      <c r="AY70">
        <v>37062.80368497489</v>
      </c>
      <c r="AZ70">
        <v>37541.028951363682</v>
      </c>
      <c r="BA70">
        <v>35593.628989974997</v>
      </c>
      <c r="BB70">
        <v>36489.068691893262</v>
      </c>
      <c r="BC70">
        <v>37429.439062042737</v>
      </c>
      <c r="BD70">
        <v>37554.90303064703</v>
      </c>
      <c r="BE70">
        <v>37826.093499770417</v>
      </c>
      <c r="BF70">
        <v>38307.725292701325</v>
      </c>
      <c r="BG70">
        <v>38753.903316183794</v>
      </c>
      <c r="BH70">
        <v>39278.917141554484</v>
      </c>
      <c r="BI70">
        <v>40335.428857360836</v>
      </c>
      <c r="BJ70">
        <v>41177.733957441698</v>
      </c>
      <c r="BK70">
        <v>41861.078184126294</v>
      </c>
      <c r="BL70">
        <v>39782.372808992666</v>
      </c>
      <c r="BM70">
        <v>42434.045480463268</v>
      </c>
      <c r="BN70">
        <v>43537.488255781216</v>
      </c>
      <c r="BO70">
        <v>44220.825118073451</v>
      </c>
      <c r="BP70">
        <v>44981.319292624299</v>
      </c>
      <c r="BQ70">
        <v>45607.938773834496</v>
      </c>
      <c r="BR70">
        <f t="shared" si="2"/>
        <v>1.8196270303856954</v>
      </c>
    </row>
    <row r="71" spans="1:70" x14ac:dyDescent="0.25">
      <c r="A71" t="s">
        <v>530</v>
      </c>
      <c r="B71" t="s">
        <v>531</v>
      </c>
      <c r="C71" t="s">
        <v>434</v>
      </c>
      <c r="AH71">
        <v>13647.521863234257</v>
      </c>
      <c r="AI71">
        <v>12680.118364822581</v>
      </c>
      <c r="AJ71">
        <v>11661.190965245825</v>
      </c>
      <c r="AK71">
        <v>10874.036289679727</v>
      </c>
      <c r="AL71">
        <v>9361.846359944404</v>
      </c>
      <c r="AM71">
        <v>9084.0513672276047</v>
      </c>
      <c r="AN71">
        <v>9138.6666416310036</v>
      </c>
      <c r="AO71">
        <v>9480.644944451582</v>
      </c>
      <c r="AP71">
        <v>9612.487410976235</v>
      </c>
      <c r="AQ71">
        <v>9523.0902571394745</v>
      </c>
      <c r="AR71">
        <v>10114.312195341587</v>
      </c>
      <c r="AS71">
        <v>10283.066909885954</v>
      </c>
      <c r="AT71">
        <v>10877.314893727433</v>
      </c>
      <c r="AU71">
        <v>11606.555526217569</v>
      </c>
      <c r="AV71">
        <v>12698.531073366512</v>
      </c>
      <c r="AW71">
        <v>13619.102539608062</v>
      </c>
      <c r="AX71">
        <v>14697.185889239972</v>
      </c>
      <c r="AY71">
        <v>15787.695545182622</v>
      </c>
      <c r="AZ71">
        <v>16210.050448082642</v>
      </c>
      <c r="BA71">
        <v>15297.083458745275</v>
      </c>
      <c r="BB71">
        <v>16161.721070013666</v>
      </c>
      <c r="BC71">
        <v>17230.782098507319</v>
      </c>
      <c r="BD71">
        <v>17669.01656993647</v>
      </c>
      <c r="BE71">
        <v>18466.622777593999</v>
      </c>
      <c r="BF71">
        <v>18576.958388834271</v>
      </c>
      <c r="BG71">
        <v>18721.738199688614</v>
      </c>
      <c r="BH71">
        <v>19031.740932887507</v>
      </c>
      <c r="BI71">
        <v>19877.840250678397</v>
      </c>
      <c r="BJ71">
        <v>20447.440250247466</v>
      </c>
      <c r="BK71">
        <v>20830.979013780961</v>
      </c>
      <c r="BL71">
        <v>20592.416057404957</v>
      </c>
      <c r="BM71">
        <v>22179.17686259999</v>
      </c>
      <c r="BN71">
        <v>22334.444336106153</v>
      </c>
      <c r="BO71">
        <v>23625.923611650251</v>
      </c>
      <c r="BP71">
        <v>24430.217520276867</v>
      </c>
      <c r="BQ71">
        <v>25132.830570688322</v>
      </c>
      <c r="BR71">
        <f t="shared" si="2"/>
        <v>3.1748853258590337</v>
      </c>
    </row>
    <row r="72" spans="1:70" x14ac:dyDescent="0.25">
      <c r="A72" t="s">
        <v>509</v>
      </c>
      <c r="B72" t="s">
        <v>510</v>
      </c>
      <c r="C72" t="s">
        <v>434</v>
      </c>
      <c r="AH72">
        <v>19345.025187398707</v>
      </c>
      <c r="AI72">
        <v>18058.64775717281</v>
      </c>
      <c r="AJ72">
        <v>16059.683933153909</v>
      </c>
      <c r="AK72">
        <v>14987.697572018798</v>
      </c>
      <c r="AL72">
        <v>13410.469892003701</v>
      </c>
      <c r="AM72">
        <v>13158.826974265776</v>
      </c>
      <c r="AN72">
        <v>13085.551565323927</v>
      </c>
      <c r="AO72">
        <v>13361.280906509264</v>
      </c>
      <c r="AP72">
        <v>13174.648644647777</v>
      </c>
      <c r="AQ72">
        <v>13555.587169572576</v>
      </c>
      <c r="AR72">
        <v>14595.071113537473</v>
      </c>
      <c r="AS72">
        <v>15131.065190024761</v>
      </c>
      <c r="AT72">
        <v>15899.597421363806</v>
      </c>
      <c r="AU72">
        <v>16935.553825252802</v>
      </c>
      <c r="AV72">
        <v>18285.876711242163</v>
      </c>
      <c r="AW72">
        <v>19454.13363526978</v>
      </c>
      <c r="AX72">
        <v>20994.707627892978</v>
      </c>
      <c r="AY72">
        <v>22657.134938573265</v>
      </c>
      <c r="AZ72">
        <v>23653.990951490963</v>
      </c>
      <c r="BA72">
        <v>22249.695035612112</v>
      </c>
      <c r="BB72">
        <v>23167.220757559837</v>
      </c>
      <c r="BC72">
        <v>24330.254057813901</v>
      </c>
      <c r="BD72">
        <v>25017.564733224048</v>
      </c>
      <c r="BE72">
        <v>25612.577270915732</v>
      </c>
      <c r="BF72">
        <v>25858.165588035423</v>
      </c>
      <c r="BG72">
        <v>25834.817319738635</v>
      </c>
      <c r="BH72">
        <v>26118.777373652189</v>
      </c>
      <c r="BI72">
        <v>27008.550654417872</v>
      </c>
      <c r="BJ72">
        <v>27881.026251033309</v>
      </c>
      <c r="BK72">
        <v>28540.738704799573</v>
      </c>
      <c r="BL72">
        <v>27962.523776320904</v>
      </c>
      <c r="BM72">
        <v>29918.465071814302</v>
      </c>
      <c r="BN72">
        <v>30179.78709024423</v>
      </c>
      <c r="BO72">
        <v>31509.906105556805</v>
      </c>
      <c r="BP72">
        <v>32713.015269870666</v>
      </c>
      <c r="BQ72">
        <v>33366.189068553402</v>
      </c>
      <c r="BR72">
        <f t="shared" si="2"/>
        <v>2.7641949592723369</v>
      </c>
    </row>
    <row r="73" spans="1:70" x14ac:dyDescent="0.25">
      <c r="A73" t="s">
        <v>468</v>
      </c>
      <c r="B73" t="s">
        <v>469</v>
      </c>
      <c r="C73" t="s">
        <v>434</v>
      </c>
      <c r="AH73">
        <v>33422.616723400934</v>
      </c>
      <c r="AI73">
        <v>33583.85364991091</v>
      </c>
      <c r="AJ73">
        <v>33682.803690706394</v>
      </c>
      <c r="AK73">
        <v>33381.278533371376</v>
      </c>
      <c r="AL73">
        <v>34198.701274860214</v>
      </c>
      <c r="AM73">
        <v>35113.923574876666</v>
      </c>
      <c r="AN73">
        <v>35774.041660238014</v>
      </c>
      <c r="AO73">
        <v>36637.829008974273</v>
      </c>
      <c r="AP73">
        <v>37661.310330290129</v>
      </c>
      <c r="AQ73">
        <v>38687.85923660321</v>
      </c>
      <c r="AR73">
        <v>40161.096254170516</v>
      </c>
      <c r="AS73">
        <v>41009.623190752885</v>
      </c>
      <c r="AT73">
        <v>41423.955102171734</v>
      </c>
      <c r="AU73">
        <v>41730.119212234305</v>
      </c>
      <c r="AV73">
        <v>42726.620627414239</v>
      </c>
      <c r="AW73">
        <v>43477.091531045022</v>
      </c>
      <c r="AX73">
        <v>44947.064165887612</v>
      </c>
      <c r="AY73">
        <v>46274.982582545861</v>
      </c>
      <c r="AZ73">
        <v>46521.245501968107</v>
      </c>
      <c r="BA73">
        <v>44430.48100884469</v>
      </c>
      <c r="BB73">
        <v>45251.040799137452</v>
      </c>
      <c r="BC73">
        <v>46206.07024565123</v>
      </c>
      <c r="BD73">
        <v>45788.921010839011</v>
      </c>
      <c r="BE73">
        <v>45724.832051247977</v>
      </c>
      <c r="BF73">
        <v>46455.56859916923</v>
      </c>
      <c r="BG73">
        <v>47490.913711211877</v>
      </c>
      <c r="BH73">
        <v>48336.508288583929</v>
      </c>
      <c r="BI73">
        <v>49704.254120696773</v>
      </c>
      <c r="BJ73">
        <v>50737.233162580218</v>
      </c>
      <c r="BK73">
        <v>51662.07691736897</v>
      </c>
      <c r="BL73">
        <v>48769.513547172683</v>
      </c>
      <c r="BM73">
        <v>51968.438829272498</v>
      </c>
      <c r="BN73">
        <v>53777.33336298124</v>
      </c>
      <c r="BO73">
        <v>53861.795160976471</v>
      </c>
      <c r="BP73">
        <v>54341.625716391158</v>
      </c>
      <c r="BQ73">
        <v>55086.986617022594</v>
      </c>
      <c r="BR73">
        <f t="shared" si="2"/>
        <v>1.4675879035909389</v>
      </c>
    </row>
    <row r="74" spans="1:70" x14ac:dyDescent="0.25">
      <c r="A74" t="s">
        <v>86</v>
      </c>
      <c r="B74" t="s">
        <v>598</v>
      </c>
      <c r="C74" t="s">
        <v>434</v>
      </c>
      <c r="AH74">
        <v>7820.7171901499414</v>
      </c>
      <c r="AI74">
        <v>7547.6782251723562</v>
      </c>
      <c r="AJ74">
        <v>7950.0664125091362</v>
      </c>
      <c r="AK74">
        <v>8067.8045225161268</v>
      </c>
      <c r="AL74">
        <v>8432.2983014796373</v>
      </c>
      <c r="AM74">
        <v>8600.0928204439424</v>
      </c>
      <c r="AN74">
        <v>8956.3501483685341</v>
      </c>
      <c r="AO74">
        <v>8669.251708841477</v>
      </c>
      <c r="AP74">
        <v>8673.8781177648434</v>
      </c>
      <c r="AQ74">
        <v>9328.6065977902435</v>
      </c>
      <c r="AR74">
        <v>9070.9931845682622</v>
      </c>
      <c r="AS74">
        <v>9157.8084462362367</v>
      </c>
      <c r="AT74">
        <v>9357.7538283860395</v>
      </c>
      <c r="AU74">
        <v>9361.4641667422002</v>
      </c>
      <c r="AV74">
        <v>9766.5277478658627</v>
      </c>
      <c r="AW74">
        <v>9745.5814390840515</v>
      </c>
      <c r="AX74">
        <v>9837.0858668896217</v>
      </c>
      <c r="AY74">
        <v>9672.2902046598701</v>
      </c>
      <c r="AZ74">
        <v>9711.966041057558</v>
      </c>
      <c r="BA74">
        <v>9536.8172235230541</v>
      </c>
      <c r="BB74">
        <v>9784.3036003057532</v>
      </c>
      <c r="BC74">
        <v>10020.695754805163</v>
      </c>
      <c r="BD74">
        <v>10140.693585539007</v>
      </c>
      <c r="BE74">
        <v>10604.155905537182</v>
      </c>
      <c r="BF74">
        <v>11183.31352508338</v>
      </c>
      <c r="BG74">
        <v>11674.063367620207</v>
      </c>
      <c r="BH74">
        <v>11951.919673832706</v>
      </c>
      <c r="BI74">
        <v>12597.327485488033</v>
      </c>
      <c r="BJ74">
        <v>13100.095939444009</v>
      </c>
      <c r="BK74">
        <v>13056.331093708863</v>
      </c>
      <c r="BL74">
        <v>10812.035501417831</v>
      </c>
      <c r="BM74">
        <v>10322.427963885415</v>
      </c>
      <c r="BN74">
        <v>12118.31827100818</v>
      </c>
      <c r="BO74">
        <v>13194.804757040378</v>
      </c>
      <c r="BP74">
        <v>13592.463593743454</v>
      </c>
      <c r="BQ74">
        <v>13961.118369354101</v>
      </c>
      <c r="BR74">
        <f t="shared" si="2"/>
        <v>7.8411690361252839</v>
      </c>
    </row>
    <row r="75" spans="1:70" x14ac:dyDescent="0.25">
      <c r="A75" t="s">
        <v>87</v>
      </c>
      <c r="B75" t="s">
        <v>465</v>
      </c>
      <c r="C75" t="s">
        <v>434</v>
      </c>
      <c r="AH75">
        <v>38807.118524434743</v>
      </c>
      <c r="AI75">
        <v>36326.082894535801</v>
      </c>
      <c r="AJ75">
        <v>34926.383359134139</v>
      </c>
      <c r="AK75">
        <v>34486.752255535161</v>
      </c>
      <c r="AL75">
        <v>35699.720308622476</v>
      </c>
      <c r="AM75">
        <v>37069.628981359972</v>
      </c>
      <c r="AN75">
        <v>38301.512617558183</v>
      </c>
      <c r="AO75">
        <v>40630.921767315951</v>
      </c>
      <c r="AP75">
        <v>42733.445571289718</v>
      </c>
      <c r="AQ75">
        <v>44505.711477022247</v>
      </c>
      <c r="AR75">
        <v>46968.841714507013</v>
      </c>
      <c r="AS75">
        <v>48099.301428279359</v>
      </c>
      <c r="AT75">
        <v>48792.48647897748</v>
      </c>
      <c r="AU75">
        <v>49655.545156406719</v>
      </c>
      <c r="AV75">
        <v>51494.70586040098</v>
      </c>
      <c r="AW75">
        <v>52744.048034134983</v>
      </c>
      <c r="AX75">
        <v>54653.981203281015</v>
      </c>
      <c r="AY75">
        <v>57313.291647447812</v>
      </c>
      <c r="AZ75">
        <v>57494.585352885973</v>
      </c>
      <c r="BA75">
        <v>52599.148706691136</v>
      </c>
      <c r="BB75">
        <v>54017.945862333916</v>
      </c>
      <c r="BC75">
        <v>55053.39068503226</v>
      </c>
      <c r="BD75">
        <v>53957.668098627873</v>
      </c>
      <c r="BE75">
        <v>53183.428668512606</v>
      </c>
      <c r="BF75">
        <v>52710.733486777754</v>
      </c>
      <c r="BG75">
        <v>52782.487392627678</v>
      </c>
      <c r="BH75">
        <v>53984.631625471498</v>
      </c>
      <c r="BI75">
        <v>55637.226278122303</v>
      </c>
      <c r="BJ75">
        <v>56226.337241342953</v>
      </c>
      <c r="BK75">
        <v>56922.487316310311</v>
      </c>
      <c r="BL75">
        <v>55424.857498920799</v>
      </c>
      <c r="BM75">
        <v>56790.376617769165</v>
      </c>
      <c r="BN75">
        <v>57068.305647807356</v>
      </c>
      <c r="BO75">
        <v>56051.770112950064</v>
      </c>
      <c r="BP75">
        <v>55901.320229658828</v>
      </c>
      <c r="BQ75">
        <v>55735.217492132579</v>
      </c>
      <c r="BR75">
        <f t="shared" si="2"/>
        <v>-0.46776922456029935</v>
      </c>
    </row>
    <row r="76" spans="1:70" x14ac:dyDescent="0.25">
      <c r="A76" t="s">
        <v>88</v>
      </c>
      <c r="B76" t="s">
        <v>467</v>
      </c>
      <c r="C76" t="s">
        <v>434</v>
      </c>
      <c r="AH76">
        <v>38655.885684291374</v>
      </c>
      <c r="AI76">
        <v>38937.952251374947</v>
      </c>
      <c r="AJ76">
        <v>39331.904192071757</v>
      </c>
      <c r="AK76">
        <v>39020.614158428441</v>
      </c>
      <c r="AL76">
        <v>39801.388897981742</v>
      </c>
      <c r="AM76">
        <v>40570.716956055658</v>
      </c>
      <c r="AN76">
        <v>40990.739514812456</v>
      </c>
      <c r="AO76">
        <v>41876.933026515842</v>
      </c>
      <c r="AP76">
        <v>43162.542385693843</v>
      </c>
      <c r="AQ76">
        <v>44400.135788919135</v>
      </c>
      <c r="AR76">
        <v>45922.478936370098</v>
      </c>
      <c r="AS76">
        <v>46454.870692736455</v>
      </c>
      <c r="AT76">
        <v>46610.782071721384</v>
      </c>
      <c r="AU76">
        <v>46730.975806378956</v>
      </c>
      <c r="AV76">
        <v>47720.441335110292</v>
      </c>
      <c r="AW76">
        <v>48257.465093797124</v>
      </c>
      <c r="AX76">
        <v>49223.247197007971</v>
      </c>
      <c r="AY76">
        <v>50157.783747763395</v>
      </c>
      <c r="AZ76">
        <v>50068.296914137944</v>
      </c>
      <c r="BA76">
        <v>48404.965782636347</v>
      </c>
      <c r="BB76">
        <v>49130.422942344019</v>
      </c>
      <c r="BC76">
        <v>50085.682977910918</v>
      </c>
      <c r="BD76">
        <v>49935.626908161736</v>
      </c>
      <c r="BE76">
        <v>50066.530432478292</v>
      </c>
      <c r="BF76">
        <v>50326.567863089047</v>
      </c>
      <c r="BG76">
        <v>50682.895358633301</v>
      </c>
      <c r="BH76">
        <v>50984.075297831965</v>
      </c>
      <c r="BI76">
        <v>51895.566298583777</v>
      </c>
      <c r="BJ76">
        <v>52560.953624384063</v>
      </c>
      <c r="BK76">
        <v>53448.55488499433</v>
      </c>
      <c r="BL76">
        <v>49311.333409639032</v>
      </c>
      <c r="BM76">
        <v>52517.335490585516</v>
      </c>
      <c r="BN76">
        <v>53673.813740642152</v>
      </c>
      <c r="BO76">
        <v>54296.723089773055</v>
      </c>
      <c r="BP76">
        <v>54799.348268938855</v>
      </c>
      <c r="BQ76">
        <v>55124.539256439464</v>
      </c>
      <c r="BR76">
        <f t="shared" si="2"/>
        <v>1.2186573627170905</v>
      </c>
    </row>
    <row r="77" spans="1:70" x14ac:dyDescent="0.25">
      <c r="A77" t="s">
        <v>89</v>
      </c>
      <c r="B77" t="s">
        <v>568</v>
      </c>
      <c r="C77" t="s">
        <v>434</v>
      </c>
      <c r="AH77">
        <v>23884.810699751022</v>
      </c>
      <c r="AI77">
        <v>24665.679229433325</v>
      </c>
      <c r="AJ77">
        <v>23268.99747205757</v>
      </c>
      <c r="AK77">
        <v>23551.681253301016</v>
      </c>
      <c r="AL77">
        <v>23794.314929516615</v>
      </c>
      <c r="AM77">
        <v>24344.185740028515</v>
      </c>
      <c r="AN77">
        <v>24595.971962486892</v>
      </c>
      <c r="AO77">
        <v>25359.65965810655</v>
      </c>
      <c r="AP77">
        <v>25585.507796403752</v>
      </c>
      <c r="AQ77">
        <v>22713.714440325999</v>
      </c>
      <c r="AR77">
        <v>21717.224079678897</v>
      </c>
      <c r="AS77">
        <v>21604.78044417686</v>
      </c>
      <c r="AT77">
        <v>20981.479858446593</v>
      </c>
      <c r="AU77">
        <v>20875.454932584438</v>
      </c>
      <c r="AV77">
        <v>20438.930706659274</v>
      </c>
      <c r="AW77">
        <v>20385.289990912428</v>
      </c>
      <c r="AX77">
        <v>19224.126865838673</v>
      </c>
      <c r="AY77">
        <v>19751.87622158098</v>
      </c>
      <c r="AZ77">
        <v>18493.092110278252</v>
      </c>
      <c r="BA77">
        <v>17911.14584911181</v>
      </c>
      <c r="BB77">
        <v>18530.576093549695</v>
      </c>
      <c r="BC77">
        <v>19153.087820094453</v>
      </c>
      <c r="BD77">
        <v>19450.402706679015</v>
      </c>
      <c r="BE77">
        <v>19836.455485141018</v>
      </c>
      <c r="BF77">
        <v>20008.989977871584</v>
      </c>
      <c r="BG77">
        <v>20147.711620179474</v>
      </c>
      <c r="BH77">
        <v>19988.175596318615</v>
      </c>
      <c r="BI77">
        <v>19555.707882915998</v>
      </c>
      <c r="BJ77">
        <v>19225.598257467838</v>
      </c>
      <c r="BK77">
        <v>19491.40676313957</v>
      </c>
      <c r="BL77">
        <v>18681.484073854645</v>
      </c>
      <c r="BM77">
        <v>18523.579803213495</v>
      </c>
      <c r="BN77">
        <v>18662.049797047206</v>
      </c>
      <c r="BO77">
        <v>18701.422776632266</v>
      </c>
      <c r="BP77">
        <v>18923.661660977807</v>
      </c>
      <c r="BQ77">
        <v>18986.473876729342</v>
      </c>
      <c r="BR77">
        <f t="shared" si="2"/>
        <v>0.61896572403834504</v>
      </c>
    </row>
    <row r="78" spans="1:70" x14ac:dyDescent="0.25">
      <c r="A78" t="s">
        <v>90</v>
      </c>
      <c r="B78" t="s">
        <v>694</v>
      </c>
      <c r="C78" t="s">
        <v>434</v>
      </c>
      <c r="AH78">
        <v>2653.7829139212536</v>
      </c>
      <c r="AI78">
        <v>2623.6416160750728</v>
      </c>
      <c r="AJ78">
        <v>2604.2690332675411</v>
      </c>
      <c r="AK78">
        <v>2586.1304164570315</v>
      </c>
      <c r="AL78">
        <v>2508.1039153388992</v>
      </c>
      <c r="AM78">
        <v>2456.0007811360647</v>
      </c>
      <c r="AN78">
        <v>2439.0455164851242</v>
      </c>
      <c r="AO78">
        <v>2486.9379839652697</v>
      </c>
      <c r="AP78">
        <v>2502.764771242983</v>
      </c>
      <c r="AQ78">
        <v>2589.9777386039564</v>
      </c>
      <c r="AR78">
        <v>2658.6177057946375</v>
      </c>
      <c r="AS78">
        <v>2737.6961080590604</v>
      </c>
      <c r="AT78">
        <v>2578.5571457419956</v>
      </c>
      <c r="AU78">
        <v>2682.4799331013292</v>
      </c>
      <c r="AV78">
        <v>2794.1935260911773</v>
      </c>
      <c r="AW78">
        <v>2653.6423915519099</v>
      </c>
      <c r="AX78">
        <v>2564.6865397051947</v>
      </c>
      <c r="AY78">
        <v>2567.1572880298177</v>
      </c>
      <c r="AZ78">
        <v>2649.6111986530641</v>
      </c>
      <c r="BA78">
        <v>2745.3254057476843</v>
      </c>
      <c r="BB78">
        <v>2824.2125922251694</v>
      </c>
      <c r="BC78">
        <v>2519.8398325567236</v>
      </c>
      <c r="BD78">
        <v>2574.93509664061</v>
      </c>
      <c r="BE78">
        <v>2572.4472894168512</v>
      </c>
      <c r="BF78">
        <v>2465.1097114482327</v>
      </c>
      <c r="BG78">
        <v>2495.9574160152483</v>
      </c>
      <c r="BH78">
        <v>2478.4605575699925</v>
      </c>
      <c r="BI78">
        <v>2533.1868371027649</v>
      </c>
      <c r="BJ78">
        <v>2651.4328145582635</v>
      </c>
      <c r="BK78">
        <v>2750.8213217963403</v>
      </c>
      <c r="BL78">
        <v>2702.3191947448158</v>
      </c>
      <c r="BM78">
        <v>2777.7962097832401</v>
      </c>
      <c r="BN78">
        <v>2863.1804982985946</v>
      </c>
      <c r="BO78">
        <v>2963.5987346743614</v>
      </c>
      <c r="BP78">
        <v>3057.684177863302</v>
      </c>
      <c r="BQ78">
        <v>3166.6212964444239</v>
      </c>
      <c r="BR78">
        <f t="shared" si="2"/>
        <v>3.3294069498233547</v>
      </c>
    </row>
    <row r="79" spans="1:70" x14ac:dyDescent="0.25">
      <c r="A79" t="s">
        <v>91</v>
      </c>
      <c r="B79" t="s">
        <v>529</v>
      </c>
      <c r="C79" t="s">
        <v>434</v>
      </c>
      <c r="AH79">
        <v>12917.094426936141</v>
      </c>
      <c r="AI79">
        <v>10120.162888143481</v>
      </c>
      <c r="AJ79">
        <v>5533.2108231772772</v>
      </c>
      <c r="AK79">
        <v>3882.0202974764825</v>
      </c>
      <c r="AL79">
        <v>3532.3200811072006</v>
      </c>
      <c r="AM79">
        <v>3762.8115375030866</v>
      </c>
      <c r="AN79">
        <v>4339.0046688346984</v>
      </c>
      <c r="AO79">
        <v>4951.8129175747226</v>
      </c>
      <c r="AP79">
        <v>5233.288376728161</v>
      </c>
      <c r="AQ79">
        <v>5495.2450505286624</v>
      </c>
      <c r="AR79">
        <v>5706.2723652783652</v>
      </c>
      <c r="AS79">
        <v>6074.0864301728188</v>
      </c>
      <c r="AT79">
        <v>6464.3253967264773</v>
      </c>
      <c r="AU79">
        <v>7227.7370596070123</v>
      </c>
      <c r="AV79">
        <v>7693.9152539206725</v>
      </c>
      <c r="AW79">
        <v>8485.5867053495294</v>
      </c>
      <c r="AX79">
        <v>9337.9890642010141</v>
      </c>
      <c r="AY79">
        <v>10567.274716475777</v>
      </c>
      <c r="AZ79">
        <v>10856.103132800328</v>
      </c>
      <c r="BA79">
        <v>10553.08963958534</v>
      </c>
      <c r="BB79">
        <v>11294.368591711207</v>
      </c>
      <c r="BC79">
        <v>12288.682886115614</v>
      </c>
      <c r="BD79">
        <v>13193.959697405353</v>
      </c>
      <c r="BE79">
        <v>13913.001824566119</v>
      </c>
      <c r="BF79">
        <v>14475.313535603471</v>
      </c>
      <c r="BG79">
        <v>14936.843411664659</v>
      </c>
      <c r="BH79">
        <v>15442.956435805378</v>
      </c>
      <c r="BI79">
        <v>16237.624223027518</v>
      </c>
      <c r="BJ79">
        <v>17228.679084750325</v>
      </c>
      <c r="BK79">
        <v>18186.881646580699</v>
      </c>
      <c r="BL79">
        <v>17031.144028342584</v>
      </c>
      <c r="BM79">
        <v>18915.653400526273</v>
      </c>
      <c r="BN79">
        <v>20966.528039113447</v>
      </c>
      <c r="BO79">
        <v>22590.529364914593</v>
      </c>
      <c r="BP79">
        <v>24146.623410864486</v>
      </c>
      <c r="BQ79">
        <v>25135.782245741197</v>
      </c>
      <c r="BR79">
        <f t="shared" si="2"/>
        <v>7.3662449897338833</v>
      </c>
    </row>
    <row r="80" spans="1:70" x14ac:dyDescent="0.25">
      <c r="A80" t="s">
        <v>92</v>
      </c>
      <c r="B80" t="s">
        <v>455</v>
      </c>
      <c r="C80" t="s">
        <v>434</v>
      </c>
      <c r="AH80">
        <v>42355.286095617746</v>
      </c>
      <c r="AI80">
        <v>44195.716473154367</v>
      </c>
      <c r="AJ80">
        <v>44744.139969115495</v>
      </c>
      <c r="AK80">
        <v>44018.438093254234</v>
      </c>
      <c r="AL80">
        <v>45005.158983647802</v>
      </c>
      <c r="AM80">
        <v>45548.418113980151</v>
      </c>
      <c r="AN80">
        <v>45888.126960481306</v>
      </c>
      <c r="AO80">
        <v>46670.705350067219</v>
      </c>
      <c r="AP80">
        <v>47641.527184502411</v>
      </c>
      <c r="AQ80">
        <v>48624.648437360192</v>
      </c>
      <c r="AR80">
        <v>49955.646128649554</v>
      </c>
      <c r="AS80">
        <v>50687.650044792426</v>
      </c>
      <c r="AT80">
        <v>50486.998248550997</v>
      </c>
      <c r="AU80">
        <v>50191.721938961098</v>
      </c>
      <c r="AV80">
        <v>50786.017646327491</v>
      </c>
      <c r="AW80">
        <v>51264.819374894148</v>
      </c>
      <c r="AX80">
        <v>53307.16237675165</v>
      </c>
      <c r="AY80">
        <v>54920.658929972356</v>
      </c>
      <c r="AZ80">
        <v>55513.755885831466</v>
      </c>
      <c r="BA80">
        <v>52568.797424994955</v>
      </c>
      <c r="BB80">
        <v>54826.255453315003</v>
      </c>
      <c r="BC80">
        <v>57950.958972967674</v>
      </c>
      <c r="BD80">
        <v>58110.376851224464</v>
      </c>
      <c r="BE80">
        <v>58182.076617695333</v>
      </c>
      <c r="BF80">
        <v>59203.23408799625</v>
      </c>
      <c r="BG80">
        <v>59668.98903552816</v>
      </c>
      <c r="BH80">
        <v>60504.585741716095</v>
      </c>
      <c r="BI80">
        <v>61965.434290496472</v>
      </c>
      <c r="BJ80">
        <v>62481.11839710451</v>
      </c>
      <c r="BK80">
        <v>62949.893251185516</v>
      </c>
      <c r="BL80">
        <v>60299.576771080945</v>
      </c>
      <c r="BM80">
        <v>62630.7748127737</v>
      </c>
      <c r="BN80">
        <v>63777.929102929935</v>
      </c>
      <c r="BO80">
        <v>63140.194909966936</v>
      </c>
      <c r="BP80">
        <v>62654.602264022993</v>
      </c>
      <c r="BQ80">
        <v>62823.77366488221</v>
      </c>
      <c r="BR80">
        <f t="shared" si="2"/>
        <v>7.6949482124666346E-2</v>
      </c>
    </row>
    <row r="81" spans="1:70" x14ac:dyDescent="0.25">
      <c r="A81" t="s">
        <v>93</v>
      </c>
      <c r="B81" t="s">
        <v>640</v>
      </c>
      <c r="C81" t="s">
        <v>434</v>
      </c>
      <c r="AH81">
        <v>2785.6711433250061</v>
      </c>
      <c r="AI81">
        <v>2859.8270216641149</v>
      </c>
      <c r="AJ81">
        <v>2897.8354319685836</v>
      </c>
      <c r="AK81">
        <v>2964.2660094365847</v>
      </c>
      <c r="AL81">
        <v>2989.3473101213126</v>
      </c>
      <c r="AM81">
        <v>3039.6887303167423</v>
      </c>
      <c r="AN81">
        <v>3106.1855548038752</v>
      </c>
      <c r="AO81">
        <v>3160.4450405324947</v>
      </c>
      <c r="AP81">
        <v>3229.4822827263124</v>
      </c>
      <c r="AQ81">
        <v>3290.2686523574848</v>
      </c>
      <c r="AR81">
        <v>3327.3519929176682</v>
      </c>
      <c r="AS81">
        <v>3369.50702508212</v>
      </c>
      <c r="AT81">
        <v>3425.6182093427806</v>
      </c>
      <c r="AU81">
        <v>3507.7510574484299</v>
      </c>
      <c r="AV81">
        <v>3607.3652228502106</v>
      </c>
      <c r="AW81">
        <v>3721.3078574199576</v>
      </c>
      <c r="AX81">
        <v>3857.861548476053</v>
      </c>
      <c r="AY81">
        <v>3923.1256780372773</v>
      </c>
      <c r="AZ81">
        <v>4174.7812410336437</v>
      </c>
      <c r="BA81">
        <v>4269.1600586155746</v>
      </c>
      <c r="BB81">
        <v>4495.6891658410605</v>
      </c>
      <c r="BC81">
        <v>5005.3673249818739</v>
      </c>
      <c r="BD81">
        <v>5339.7132190304455</v>
      </c>
      <c r="BE81">
        <v>5593.774818869173</v>
      </c>
      <c r="BF81">
        <v>5619.072335115914</v>
      </c>
      <c r="BG81">
        <v>5607.3663565741344</v>
      </c>
      <c r="BH81">
        <v>5666.0779533459081</v>
      </c>
      <c r="BI81">
        <v>5993.6308521107676</v>
      </c>
      <c r="BJ81">
        <v>6234.5120820148804</v>
      </c>
      <c r="BK81">
        <v>6508.2465230590087</v>
      </c>
      <c r="BL81">
        <v>6412.6854176246879</v>
      </c>
      <c r="BM81">
        <v>6607.5029737832083</v>
      </c>
      <c r="BN81">
        <v>6728.4541383247197</v>
      </c>
      <c r="BO81">
        <v>6808.537750039638</v>
      </c>
      <c r="BP81">
        <v>7072.7987959444472</v>
      </c>
      <c r="BQ81">
        <v>7357.8333299301412</v>
      </c>
      <c r="BR81">
        <f t="shared" si="2"/>
        <v>2.7254718220749652</v>
      </c>
    </row>
    <row r="82" spans="1:70" x14ac:dyDescent="0.25">
      <c r="A82" t="s">
        <v>94</v>
      </c>
      <c r="B82" t="s">
        <v>500</v>
      </c>
      <c r="C82" t="s">
        <v>434</v>
      </c>
      <c r="AH82">
        <v>26916.31252257045</v>
      </c>
      <c r="AI82">
        <v>27419.602933223407</v>
      </c>
      <c r="AJ82">
        <v>27401.42400340498</v>
      </c>
      <c r="AK82">
        <v>26804.853761614806</v>
      </c>
      <c r="AL82">
        <v>27204.395868219835</v>
      </c>
      <c r="AM82">
        <v>27646.147638358772</v>
      </c>
      <c r="AN82">
        <v>27905.106569059375</v>
      </c>
      <c r="AO82">
        <v>28768.240147221652</v>
      </c>
      <c r="AP82">
        <v>29592.525483113968</v>
      </c>
      <c r="AQ82">
        <v>30263.054370500256</v>
      </c>
      <c r="AR82">
        <v>31386.639783623996</v>
      </c>
      <c r="AS82">
        <v>32675.929232776783</v>
      </c>
      <c r="AT82">
        <v>34081.028975934314</v>
      </c>
      <c r="AU82">
        <v>35970.701680847451</v>
      </c>
      <c r="AV82">
        <v>37811.491366448259</v>
      </c>
      <c r="AW82">
        <v>38146.962971082961</v>
      </c>
      <c r="AX82">
        <v>40483.156922533657</v>
      </c>
      <c r="AY82">
        <v>41796.233691830275</v>
      </c>
      <c r="AZ82">
        <v>41709.387742031184</v>
      </c>
      <c r="BA82">
        <v>39886.213549666427</v>
      </c>
      <c r="BB82">
        <v>37566.7483686263</v>
      </c>
      <c r="BC82">
        <v>33906.491743567582</v>
      </c>
      <c r="BD82">
        <v>31250.22685659556</v>
      </c>
      <c r="BE82">
        <v>30762.443222781287</v>
      </c>
      <c r="BF82">
        <v>31213.376512029787</v>
      </c>
      <c r="BG82">
        <v>31347.976574604039</v>
      </c>
      <c r="BH82">
        <v>31468.619847109851</v>
      </c>
      <c r="BI82">
        <v>31995.410883838642</v>
      </c>
      <c r="BJ82">
        <v>32722.331044402927</v>
      </c>
      <c r="BK82">
        <v>33502.750648899673</v>
      </c>
      <c r="BL82">
        <v>30487.112933104487</v>
      </c>
      <c r="BM82">
        <v>33528.227120251475</v>
      </c>
      <c r="BN82">
        <v>35828.175664177565</v>
      </c>
      <c r="BO82">
        <v>36700.513463105548</v>
      </c>
      <c r="BP82">
        <v>37474.279823994701</v>
      </c>
      <c r="BQ82">
        <v>38218.721628615996</v>
      </c>
      <c r="BR82">
        <f t="shared" si="2"/>
        <v>3.3276117857345744</v>
      </c>
    </row>
    <row r="83" spans="1:70" x14ac:dyDescent="0.25">
      <c r="A83" t="s">
        <v>95</v>
      </c>
      <c r="B83" t="s">
        <v>570</v>
      </c>
      <c r="C83" t="s">
        <v>434</v>
      </c>
      <c r="AH83">
        <v>8883.9190152978499</v>
      </c>
      <c r="AI83">
        <v>8932.3035991900815</v>
      </c>
      <c r="AJ83">
        <v>8785.7588237489454</v>
      </c>
      <c r="AK83">
        <v>8548.0385969969757</v>
      </c>
      <c r="AL83">
        <v>8629.0862947040841</v>
      </c>
      <c r="AM83">
        <v>8750.81831848402</v>
      </c>
      <c r="AN83">
        <v>9076.7190294920729</v>
      </c>
      <c r="AO83">
        <v>9467.7770534851024</v>
      </c>
      <c r="AP83">
        <v>10509.109807501021</v>
      </c>
      <c r="AQ83">
        <v>11158.489729850282</v>
      </c>
      <c r="AR83">
        <v>11625.050939182047</v>
      </c>
      <c r="AS83">
        <v>11333.237709240884</v>
      </c>
      <c r="AT83">
        <v>11677.7034172407</v>
      </c>
      <c r="AU83">
        <v>12726.526621946437</v>
      </c>
      <c r="AV83">
        <v>12593.354625733691</v>
      </c>
      <c r="AW83">
        <v>14211.842656926377</v>
      </c>
      <c r="AX83">
        <v>13594.355159620975</v>
      </c>
      <c r="AY83">
        <v>14376.282451277764</v>
      </c>
      <c r="AZ83">
        <v>14463.560012122991</v>
      </c>
      <c r="BA83">
        <v>13463.580293958046</v>
      </c>
      <c r="BB83">
        <v>13354.908501261601</v>
      </c>
      <c r="BC83">
        <v>13397.850040551257</v>
      </c>
      <c r="BD83">
        <v>13161.395532437698</v>
      </c>
      <c r="BE83">
        <v>13386.31890641117</v>
      </c>
      <c r="BF83">
        <v>14287.953872008819</v>
      </c>
      <c r="BG83">
        <v>15136.696667377279</v>
      </c>
      <c r="BH83">
        <v>15640.827450380471</v>
      </c>
      <c r="BI83">
        <v>16291.489462597941</v>
      </c>
      <c r="BJ83">
        <v>16964.852001696047</v>
      </c>
      <c r="BK83">
        <v>17036.915168971511</v>
      </c>
      <c r="BL83">
        <v>14647.745138487629</v>
      </c>
      <c r="BM83">
        <v>15290.250903138003</v>
      </c>
      <c r="BN83">
        <v>16376.427309959447</v>
      </c>
      <c r="BO83">
        <v>17093.156286744736</v>
      </c>
      <c r="BP83">
        <v>17484.51539195564</v>
      </c>
      <c r="BQ83">
        <v>18240.993423792632</v>
      </c>
      <c r="BR83">
        <f t="shared" si="2"/>
        <v>4.5101494307001166</v>
      </c>
    </row>
    <row r="84" spans="1:70" x14ac:dyDescent="0.25">
      <c r="A84" t="s">
        <v>96</v>
      </c>
      <c r="B84" t="s">
        <v>602</v>
      </c>
      <c r="C84" t="s">
        <v>434</v>
      </c>
      <c r="AH84">
        <v>7594.7321526752894</v>
      </c>
      <c r="AI84">
        <v>7662.1709985696889</v>
      </c>
      <c r="AJ84">
        <v>7822.2634402435006</v>
      </c>
      <c r="AK84">
        <v>7915.4105981518451</v>
      </c>
      <c r="AL84">
        <v>8018.2833082154712</v>
      </c>
      <c r="AM84">
        <v>8195.3497099795932</v>
      </c>
      <c r="AN84">
        <v>8222.069203511337</v>
      </c>
      <c r="AO84">
        <v>8364.1651916098981</v>
      </c>
      <c r="AP84">
        <v>8559.9902573914769</v>
      </c>
      <c r="AQ84">
        <v>8668.4309977514531</v>
      </c>
      <c r="AR84">
        <v>8770.4081527230701</v>
      </c>
      <c r="AS84">
        <v>8771.159272187826</v>
      </c>
      <c r="AT84">
        <v>8901.5404646216757</v>
      </c>
      <c r="AU84">
        <v>8926.1577178637272</v>
      </c>
      <c r="AV84">
        <v>9003.8613638879724</v>
      </c>
      <c r="AW84">
        <v>9099.7275067528008</v>
      </c>
      <c r="AX84">
        <v>9386.0054981413759</v>
      </c>
      <c r="AY84">
        <v>9772.8099204850078</v>
      </c>
      <c r="AZ84">
        <v>9889.5766841890891</v>
      </c>
      <c r="BA84">
        <v>9740.7138767415927</v>
      </c>
      <c r="BB84">
        <v>9825.0222341979988</v>
      </c>
      <c r="BC84">
        <v>10032.093282970902</v>
      </c>
      <c r="BD84">
        <v>10126.83305662243</v>
      </c>
      <c r="BE84">
        <v>10297.839299482675</v>
      </c>
      <c r="BF84">
        <v>10553.563988976965</v>
      </c>
      <c r="BG84">
        <v>10785.95831259572</v>
      </c>
      <c r="BH84">
        <v>10872.593890246915</v>
      </c>
      <c r="BI84">
        <v>11005.459285171895</v>
      </c>
      <c r="BJ84">
        <v>11192.371919272495</v>
      </c>
      <c r="BK84">
        <v>11466.376493219734</v>
      </c>
      <c r="BL84">
        <v>11097.150390298593</v>
      </c>
      <c r="BM84">
        <v>11825.141273764038</v>
      </c>
      <c r="BN84">
        <v>12144.480046159735</v>
      </c>
      <c r="BO84">
        <v>12380.371512199612</v>
      </c>
      <c r="BP84">
        <v>12643.98412350041</v>
      </c>
      <c r="BQ84">
        <v>12986.524114463158</v>
      </c>
      <c r="BR84">
        <f t="shared" si="2"/>
        <v>2.3697510393100085</v>
      </c>
    </row>
    <row r="85" spans="1:70" x14ac:dyDescent="0.25">
      <c r="A85" t="s">
        <v>97</v>
      </c>
      <c r="B85" t="s">
        <v>675</v>
      </c>
      <c r="C85" t="s">
        <v>434</v>
      </c>
      <c r="AH85">
        <v>2105.7472949623243</v>
      </c>
      <c r="AI85">
        <v>2075.9919430267491</v>
      </c>
      <c r="AJ85">
        <v>2076.5506269069524</v>
      </c>
      <c r="AK85">
        <v>2115.8664959393955</v>
      </c>
      <c r="AL85">
        <v>2134.8976935578748</v>
      </c>
      <c r="AM85">
        <v>2171.7255215326454</v>
      </c>
      <c r="AN85">
        <v>2205.3236341697302</v>
      </c>
      <c r="AO85">
        <v>2272.4110046395494</v>
      </c>
      <c r="AP85">
        <v>2311.3273534030013</v>
      </c>
      <c r="AQ85">
        <v>2346.2701835770954</v>
      </c>
      <c r="AR85">
        <v>2358.2876560849531</v>
      </c>
      <c r="AS85">
        <v>2412.7516195962762</v>
      </c>
      <c r="AT85">
        <v>2498.1317749510226</v>
      </c>
      <c r="AU85">
        <v>2473.234182954709</v>
      </c>
      <c r="AV85">
        <v>2477.5028260236309</v>
      </c>
      <c r="AW85">
        <v>2501.2216045627861</v>
      </c>
      <c r="AX85">
        <v>2478.6131951072603</v>
      </c>
      <c r="AY85">
        <v>2587.0048887648027</v>
      </c>
      <c r="AZ85">
        <v>2629.5397474636952</v>
      </c>
      <c r="BA85">
        <v>2537.3064575874573</v>
      </c>
      <c r="BB85">
        <v>2594.8305034424511</v>
      </c>
      <c r="BC85">
        <v>2673.4087302995499</v>
      </c>
      <c r="BD85">
        <v>2762.9035093851312</v>
      </c>
      <c r="BE85">
        <v>2802.5600702447355</v>
      </c>
      <c r="BF85">
        <v>2834.9663434784552</v>
      </c>
      <c r="BG85">
        <v>2869.8515717873188</v>
      </c>
      <c r="BH85">
        <v>3099.7887418937162</v>
      </c>
      <c r="BI85">
        <v>3332.7657615053149</v>
      </c>
      <c r="BJ85">
        <v>3455.6451263866188</v>
      </c>
      <c r="BK85">
        <v>3557.462338831454</v>
      </c>
      <c r="BL85">
        <v>3630.9933057767694</v>
      </c>
      <c r="BM85">
        <v>3738.8051255133023</v>
      </c>
      <c r="BN85">
        <v>3792.0106883627727</v>
      </c>
      <c r="BO85">
        <v>3904.8239552799801</v>
      </c>
      <c r="BP85">
        <v>4016.3419138597851</v>
      </c>
      <c r="BQ85">
        <v>4216.8597080454374</v>
      </c>
      <c r="BR85">
        <f t="shared" si="2"/>
        <v>3.0538166666693511</v>
      </c>
    </row>
    <row r="86" spans="1:70" x14ac:dyDescent="0.25">
      <c r="A86" t="s">
        <v>98</v>
      </c>
      <c r="B86" t="s">
        <v>698</v>
      </c>
      <c r="C86" t="s">
        <v>434</v>
      </c>
      <c r="AH86">
        <v>1968.0906107955464</v>
      </c>
      <c r="AI86">
        <v>2024.8537682990866</v>
      </c>
      <c r="AJ86">
        <v>1987.7391360013</v>
      </c>
      <c r="AK86">
        <v>1963.5622486004038</v>
      </c>
      <c r="AL86">
        <v>1964.630022503728</v>
      </c>
      <c r="AM86">
        <v>1999.9447397268891</v>
      </c>
      <c r="AN86">
        <v>2185.9034487994554</v>
      </c>
      <c r="AO86">
        <v>2284.0257662074482</v>
      </c>
      <c r="AP86">
        <v>1738.6494663234184</v>
      </c>
      <c r="AQ86">
        <v>1992.8525463939961</v>
      </c>
      <c r="AR86">
        <v>1974.74466342453</v>
      </c>
      <c r="AS86">
        <v>2025.7267546987759</v>
      </c>
      <c r="AT86">
        <v>2054.0897741354684</v>
      </c>
      <c r="AU86">
        <v>2002.4020688045146</v>
      </c>
      <c r="AV86">
        <v>1979.6978267027341</v>
      </c>
      <c r="AW86">
        <v>2060.6666329961158</v>
      </c>
      <c r="AX86">
        <v>2065.2122797790967</v>
      </c>
      <c r="AY86">
        <v>2065.989838759439</v>
      </c>
      <c r="AZ86">
        <v>2105.6739417879216</v>
      </c>
      <c r="BA86">
        <v>2103.0581345482333</v>
      </c>
      <c r="BB86">
        <v>2164.2682375535087</v>
      </c>
      <c r="BC86">
        <v>2278.5475154444844</v>
      </c>
      <c r="BD86">
        <v>2180.7433883277499</v>
      </c>
      <c r="BE86">
        <v>2192.5927863602988</v>
      </c>
      <c r="BF86">
        <v>2156.3364367625481</v>
      </c>
      <c r="BG86">
        <v>2230.5299310977935</v>
      </c>
      <c r="BH86">
        <v>2293.3786136023759</v>
      </c>
      <c r="BI86">
        <v>2342.5611053541593</v>
      </c>
      <c r="BJ86">
        <v>2373.6493565345545</v>
      </c>
      <c r="BK86">
        <v>2442.2586837747613</v>
      </c>
      <c r="BL86">
        <v>2456.0113905332446</v>
      </c>
      <c r="BM86">
        <v>2522.1286924084097</v>
      </c>
      <c r="BN86">
        <v>2600.8024744829982</v>
      </c>
      <c r="BO86">
        <v>2660.8144465565633</v>
      </c>
      <c r="BP86">
        <v>2717.5420697249892</v>
      </c>
      <c r="BQ86">
        <v>2814.0835594032746</v>
      </c>
      <c r="BR86">
        <f t="shared" si="2"/>
        <v>2.7761716694935767</v>
      </c>
    </row>
    <row r="87" spans="1:70" x14ac:dyDescent="0.25">
      <c r="A87" t="s">
        <v>99</v>
      </c>
      <c r="B87" t="s">
        <v>441</v>
      </c>
      <c r="C87" t="s">
        <v>434</v>
      </c>
      <c r="AH87">
        <v>5074.4310990168169</v>
      </c>
      <c r="AI87">
        <v>5396.463425905431</v>
      </c>
      <c r="AJ87">
        <v>5799.2183606680555</v>
      </c>
      <c r="AK87">
        <v>6247.8662486659432</v>
      </c>
      <c r="AL87">
        <v>6755.3286689231018</v>
      </c>
      <c r="AM87">
        <v>7071.2128000594712</v>
      </c>
      <c r="AN87">
        <v>7612.304242900208</v>
      </c>
      <c r="AO87">
        <v>8064.5671516472485</v>
      </c>
      <c r="AP87">
        <v>7915.2295620395062</v>
      </c>
      <c r="AQ87">
        <v>8139.970184157417</v>
      </c>
      <c r="AR87">
        <v>8025.2932649096228</v>
      </c>
      <c r="AS87">
        <v>8212.0432176091672</v>
      </c>
      <c r="AT87">
        <v>8314.0272750321001</v>
      </c>
      <c r="AU87">
        <v>8267.4291054536261</v>
      </c>
      <c r="AV87">
        <v>8404.2001629708029</v>
      </c>
      <c r="AW87">
        <v>8256.5251907113761</v>
      </c>
      <c r="AX87">
        <v>8702.3313349400141</v>
      </c>
      <c r="AY87">
        <v>9354.080177165335</v>
      </c>
      <c r="AZ87">
        <v>9546.7087594943641</v>
      </c>
      <c r="BA87">
        <v>9924.5266077063097</v>
      </c>
      <c r="BB87">
        <v>10374.394755765576</v>
      </c>
      <c r="BC87">
        <v>10958.85988384375</v>
      </c>
      <c r="BD87">
        <v>11534.998558865907</v>
      </c>
      <c r="BE87">
        <v>11896.906985494152</v>
      </c>
      <c r="BF87">
        <v>12030.052934404534</v>
      </c>
      <c r="BG87">
        <v>12040.082533020011</v>
      </c>
      <c r="BH87">
        <v>12420.472472760266</v>
      </c>
      <c r="BI87">
        <v>12801.640852934626</v>
      </c>
      <c r="BJ87">
        <v>12980.35760031769</v>
      </c>
      <c r="BK87">
        <v>13402.42194727565</v>
      </c>
      <c r="BL87">
        <v>19234.130197763687</v>
      </c>
      <c r="BM87">
        <v>22865.927096888197</v>
      </c>
      <c r="BN87">
        <v>37068.199382758845</v>
      </c>
      <c r="BO87">
        <v>49312.360322544439</v>
      </c>
      <c r="BP87">
        <v>70516.702794483645</v>
      </c>
      <c r="BQ87">
        <v>83658.677347599689</v>
      </c>
      <c r="BR87">
        <f t="shared" si="2"/>
        <v>38.302663768894178</v>
      </c>
    </row>
    <row r="88" spans="1:70" x14ac:dyDescent="0.25">
      <c r="A88" t="s">
        <v>100</v>
      </c>
      <c r="B88" t="s">
        <v>700</v>
      </c>
      <c r="C88" t="s">
        <v>434</v>
      </c>
      <c r="AH88">
        <v>3923.2219575616009</v>
      </c>
      <c r="AI88">
        <v>3916.4313945570075</v>
      </c>
      <c r="AJ88">
        <v>3635.1389282692853</v>
      </c>
      <c r="AK88">
        <v>3370.995332051466</v>
      </c>
      <c r="AL88">
        <v>2911.4997534589061</v>
      </c>
      <c r="AM88">
        <v>3139.2641679051785</v>
      </c>
      <c r="AN88">
        <v>3207.7458031301558</v>
      </c>
      <c r="AO88">
        <v>3232.9552486565381</v>
      </c>
      <c r="AP88">
        <v>3242.4589011966609</v>
      </c>
      <c r="AQ88">
        <v>3269.3988227012019</v>
      </c>
      <c r="AR88">
        <v>3237.5307789872431</v>
      </c>
      <c r="AS88">
        <v>3168.1445401446599</v>
      </c>
      <c r="AT88">
        <v>3145.036896808685</v>
      </c>
      <c r="AU88">
        <v>3197.9365263707</v>
      </c>
      <c r="AV88">
        <v>3102.5417398554464</v>
      </c>
      <c r="AW88">
        <v>3144.5635396943694</v>
      </c>
      <c r="AX88">
        <v>3146.2634386786035</v>
      </c>
      <c r="AY88">
        <v>3239.2574598984065</v>
      </c>
      <c r="AZ88">
        <v>3270.4127236932627</v>
      </c>
      <c r="BA88">
        <v>3406.2948671554927</v>
      </c>
      <c r="BB88">
        <v>3176.5094904010898</v>
      </c>
      <c r="BC88">
        <v>3300.874441051747</v>
      </c>
      <c r="BD88">
        <v>3266.4383251935201</v>
      </c>
      <c r="BE88">
        <v>3356.8373216264044</v>
      </c>
      <c r="BF88">
        <v>3403.5749664294676</v>
      </c>
      <c r="BG88">
        <v>3402.0283988016049</v>
      </c>
      <c r="BH88">
        <v>3415.5821811230835</v>
      </c>
      <c r="BI88">
        <v>3453.9714216465877</v>
      </c>
      <c r="BJ88">
        <v>3465.2548057360113</v>
      </c>
      <c r="BK88">
        <v>3361.7532889411391</v>
      </c>
      <c r="BL88">
        <v>3210.53609854862</v>
      </c>
      <c r="BM88">
        <v>3116.5650539760368</v>
      </c>
      <c r="BN88">
        <v>3029.778663817016</v>
      </c>
      <c r="BO88">
        <v>2939.1237948199032</v>
      </c>
      <c r="BP88">
        <v>2783.7914088278826</v>
      </c>
      <c r="BQ88">
        <v>2677.8938532554926</v>
      </c>
      <c r="BR88">
        <f t="shared" si="2"/>
        <v>-3.7215055401577546</v>
      </c>
    </row>
    <row r="89" spans="1:70" x14ac:dyDescent="0.25">
      <c r="A89" t="s">
        <v>691</v>
      </c>
      <c r="B89" t="s">
        <v>692</v>
      </c>
      <c r="C89" t="s">
        <v>434</v>
      </c>
      <c r="AH89">
        <v>2187.5211895549483</v>
      </c>
      <c r="AI89">
        <v>2150.1460349230742</v>
      </c>
      <c r="AJ89">
        <v>2063.5183223108256</v>
      </c>
      <c r="AK89">
        <v>2007.6167731025637</v>
      </c>
      <c r="AL89">
        <v>1954.6605180244921</v>
      </c>
      <c r="AM89">
        <v>1995.7647559386317</v>
      </c>
      <c r="AN89">
        <v>2045.4035840502058</v>
      </c>
      <c r="AO89">
        <v>2105.0691078066066</v>
      </c>
      <c r="AP89">
        <v>2122.7127608140627</v>
      </c>
      <c r="AQ89">
        <v>2134.2531845240128</v>
      </c>
      <c r="AR89">
        <v>2138.9462699211745</v>
      </c>
      <c r="AS89">
        <v>2156.3281275058125</v>
      </c>
      <c r="AT89">
        <v>2182.0640988394421</v>
      </c>
      <c r="AU89">
        <v>2208.560810660098</v>
      </c>
      <c r="AV89">
        <v>2270.1190732314253</v>
      </c>
      <c r="AW89">
        <v>2331.3739916611949</v>
      </c>
      <c r="AX89">
        <v>2397.1939417710978</v>
      </c>
      <c r="AY89">
        <v>2461.4780358561775</v>
      </c>
      <c r="AZ89">
        <v>2530.0193783439372</v>
      </c>
      <c r="BA89">
        <v>2550.8684428024985</v>
      </c>
      <c r="BB89">
        <v>2639.8031956952545</v>
      </c>
      <c r="BC89">
        <v>2673.5791083865042</v>
      </c>
      <c r="BD89">
        <v>2705.2877016826028</v>
      </c>
      <c r="BE89">
        <v>2791.5070849772947</v>
      </c>
      <c r="BF89">
        <v>2862.1264430032879</v>
      </c>
      <c r="BG89">
        <v>2914.0338489030232</v>
      </c>
      <c r="BH89">
        <v>2956.5908626314358</v>
      </c>
      <c r="BI89">
        <v>3016.3837311598554</v>
      </c>
      <c r="BJ89">
        <v>3053.4094491571586</v>
      </c>
      <c r="BK89">
        <v>3094.4103521151169</v>
      </c>
      <c r="BL89">
        <v>3004.8950630500071</v>
      </c>
      <c r="BM89">
        <v>3038.7181407219668</v>
      </c>
      <c r="BN89">
        <v>3095.0404228137481</v>
      </c>
      <c r="BO89">
        <v>3113.8814784251831</v>
      </c>
      <c r="BP89">
        <v>3180.1938910520362</v>
      </c>
      <c r="BQ89">
        <v>3276.2142794024426</v>
      </c>
      <c r="BR89">
        <f t="shared" si="2"/>
        <v>1.8991285927776991</v>
      </c>
    </row>
    <row r="90" spans="1:70" x14ac:dyDescent="0.25">
      <c r="A90" t="s">
        <v>460</v>
      </c>
      <c r="B90" t="s">
        <v>461</v>
      </c>
      <c r="C90" t="s">
        <v>434</v>
      </c>
      <c r="AH90">
        <v>35048.486048586892</v>
      </c>
      <c r="AI90">
        <v>34936.624946749391</v>
      </c>
      <c r="AJ90">
        <v>34831.447465468496</v>
      </c>
      <c r="AK90">
        <v>34769.111405972217</v>
      </c>
      <c r="AL90">
        <v>35306.645042748358</v>
      </c>
      <c r="AM90">
        <v>36005.212172743297</v>
      </c>
      <c r="AN90">
        <v>36746.942619519512</v>
      </c>
      <c r="AO90">
        <v>37780.219701506147</v>
      </c>
      <c r="AP90">
        <v>38417.015675639494</v>
      </c>
      <c r="AQ90">
        <v>39579.801958942116</v>
      </c>
      <c r="AR90">
        <v>41171.500192130443</v>
      </c>
      <c r="AS90">
        <v>41687.264234699483</v>
      </c>
      <c r="AT90">
        <v>42228.517557340441</v>
      </c>
      <c r="AU90">
        <v>43079.051128705585</v>
      </c>
      <c r="AV90">
        <v>44471.445035226294</v>
      </c>
      <c r="AW90">
        <v>45654.065122649445</v>
      </c>
      <c r="AX90">
        <v>47042.116436344986</v>
      </c>
      <c r="AY90">
        <v>48291.748740408497</v>
      </c>
      <c r="AZ90">
        <v>48486.429156518396</v>
      </c>
      <c r="BA90">
        <v>46460.533960673965</v>
      </c>
      <c r="BB90">
        <v>47722.616728539484</v>
      </c>
      <c r="BC90">
        <v>48617.912463130022</v>
      </c>
      <c r="BD90">
        <v>49098.571474248085</v>
      </c>
      <c r="BE90">
        <v>49580.800171936069</v>
      </c>
      <c r="BF90">
        <v>50378.316440080154</v>
      </c>
      <c r="BG90">
        <v>51152.866360810549</v>
      </c>
      <c r="BH90">
        <v>51760.632854011237</v>
      </c>
      <c r="BI90">
        <v>52827.426561540356</v>
      </c>
      <c r="BJ90">
        <v>53954.485107033717</v>
      </c>
      <c r="BK90">
        <v>54801.525941497493</v>
      </c>
      <c r="BL90">
        <v>52507.016798463424</v>
      </c>
      <c r="BM90">
        <v>55735.773426815445</v>
      </c>
      <c r="BN90">
        <v>57194.671086324401</v>
      </c>
      <c r="BO90">
        <v>57813.423503244441</v>
      </c>
      <c r="BP90">
        <v>58645.041594768445</v>
      </c>
      <c r="BQ90">
        <v>59555.513082032303</v>
      </c>
      <c r="BR90">
        <f t="shared" si="2"/>
        <v>1.6709741241995646</v>
      </c>
    </row>
    <row r="91" spans="1:70" x14ac:dyDescent="0.25">
      <c r="A91" t="s">
        <v>101</v>
      </c>
      <c r="B91" t="s">
        <v>646</v>
      </c>
      <c r="C91" t="s">
        <v>434</v>
      </c>
      <c r="AH91">
        <v>1172.0798062864333</v>
      </c>
      <c r="AI91">
        <v>1436.0506614314329</v>
      </c>
      <c r="AJ91">
        <v>1521.9472166746689</v>
      </c>
      <c r="AK91">
        <v>1681.0823880943176</v>
      </c>
      <c r="AL91">
        <v>2108.2741488992524</v>
      </c>
      <c r="AM91">
        <v>2555.0262257931959</v>
      </c>
      <c r="AN91">
        <v>3054.1577394269575</v>
      </c>
      <c r="AO91">
        <v>3635.9807135751321</v>
      </c>
      <c r="AP91">
        <v>3950.8349871585515</v>
      </c>
      <c r="AQ91">
        <v>4293.8272315250042</v>
      </c>
      <c r="AR91">
        <v>4579.6896084098407</v>
      </c>
      <c r="AS91">
        <v>4578.9478794477254</v>
      </c>
      <c r="AT91">
        <v>4627.0227872345567</v>
      </c>
      <c r="AU91">
        <v>4714.8670100097142</v>
      </c>
      <c r="AV91">
        <v>4885.3425834342215</v>
      </c>
      <c r="AW91">
        <v>5056.6754441255107</v>
      </c>
      <c r="AX91">
        <v>5263.1502909957808</v>
      </c>
      <c r="AY91">
        <v>5461.9015188903086</v>
      </c>
      <c r="AZ91">
        <v>5566.7063948772247</v>
      </c>
      <c r="BA91">
        <v>5313.7557396779148</v>
      </c>
      <c r="BB91">
        <v>5396.0722792774368</v>
      </c>
      <c r="BC91">
        <v>5488.4337159633214</v>
      </c>
      <c r="BD91">
        <v>5600.6077605497003</v>
      </c>
      <c r="BE91">
        <v>5644.1338480204495</v>
      </c>
      <c r="BF91">
        <v>5705.1624626548391</v>
      </c>
      <c r="BG91">
        <v>5812.5348879104986</v>
      </c>
      <c r="BH91">
        <v>5926.4902553422799</v>
      </c>
      <c r="BI91">
        <v>6099.6073491941352</v>
      </c>
      <c r="BJ91">
        <v>6219.2797377505949</v>
      </c>
      <c r="BK91">
        <v>6264.0188427671455</v>
      </c>
      <c r="BL91">
        <v>5603.2639837777742</v>
      </c>
      <c r="BM91">
        <v>6202.9807881203687</v>
      </c>
      <c r="BN91">
        <v>6352.5871017773179</v>
      </c>
      <c r="BO91">
        <v>6467.8800352783046</v>
      </c>
      <c r="BP91">
        <v>6590.8438430155284</v>
      </c>
      <c r="BQ91">
        <v>6726.1668506665819</v>
      </c>
      <c r="BR91">
        <f t="shared" si="2"/>
        <v>2.0450164579964181</v>
      </c>
    </row>
    <row r="92" spans="1:70" x14ac:dyDescent="0.25">
      <c r="A92" t="s">
        <v>102</v>
      </c>
      <c r="B92" t="s">
        <v>447</v>
      </c>
      <c r="C92" t="s">
        <v>434</v>
      </c>
      <c r="AH92">
        <v>31598.726460610156</v>
      </c>
      <c r="AI92">
        <v>33124.644596101862</v>
      </c>
      <c r="AJ92">
        <v>34895.738469089229</v>
      </c>
      <c r="AK92">
        <v>36428.523829582366</v>
      </c>
      <c r="AL92">
        <v>37767.182764773985</v>
      </c>
      <c r="AM92">
        <v>37905.648289450401</v>
      </c>
      <c r="AN92">
        <v>37804.079790319367</v>
      </c>
      <c r="AO92">
        <v>39402.573686955067</v>
      </c>
      <c r="AP92">
        <v>36776.365707919125</v>
      </c>
      <c r="AQ92">
        <v>37339.893180340798</v>
      </c>
      <c r="AR92">
        <v>39848.559347554627</v>
      </c>
      <c r="AS92">
        <v>39777.826239159651</v>
      </c>
      <c r="AT92">
        <v>40258.148875867097</v>
      </c>
      <c r="AU92">
        <v>41570.563442587671</v>
      </c>
      <c r="AV92">
        <v>44836.176865365902</v>
      </c>
      <c r="AW92">
        <v>47938.853356128624</v>
      </c>
      <c r="AX92">
        <v>50981.729623305764</v>
      </c>
      <c r="AY92">
        <v>53813.022139769004</v>
      </c>
      <c r="AZ92">
        <v>54630.329912022215</v>
      </c>
      <c r="BA92">
        <v>53172.288426826235</v>
      </c>
      <c r="BB92">
        <v>56355.409086808992</v>
      </c>
      <c r="BC92">
        <v>58672.80501857186</v>
      </c>
      <c r="BD92">
        <v>59015.317956095518</v>
      </c>
      <c r="BE92">
        <v>60601.610921288586</v>
      </c>
      <c r="BF92">
        <v>61839.804418747393</v>
      </c>
      <c r="BG92">
        <v>62779.755238624581</v>
      </c>
      <c r="BH92">
        <v>63749.428501336908</v>
      </c>
      <c r="BI92">
        <v>65662.854337957499</v>
      </c>
      <c r="BJ92">
        <v>66993.959260444099</v>
      </c>
      <c r="BK92">
        <v>65388.336641821203</v>
      </c>
      <c r="BL92">
        <v>61328.536701419282</v>
      </c>
      <c r="BM92">
        <v>65884.937626060288</v>
      </c>
      <c r="BN92">
        <v>64035.648494962945</v>
      </c>
      <c r="BO92">
        <v>64387.665406605789</v>
      </c>
      <c r="BP92">
        <v>66186.044863545583</v>
      </c>
      <c r="BQ92">
        <v>68724.556586575636</v>
      </c>
      <c r="BR92">
        <f t="shared" si="2"/>
        <v>1.0605021492951838</v>
      </c>
    </row>
    <row r="93" spans="1:70" x14ac:dyDescent="0.25">
      <c r="A93" t="s">
        <v>103</v>
      </c>
      <c r="B93" t="s">
        <v>496</v>
      </c>
      <c r="C93" t="s">
        <v>434</v>
      </c>
      <c r="AH93">
        <v>21297.000640682854</v>
      </c>
      <c r="AI93">
        <v>18765.416250400805</v>
      </c>
      <c r="AJ93">
        <v>18197.530552135133</v>
      </c>
      <c r="AK93">
        <v>18113.336906965509</v>
      </c>
      <c r="AL93">
        <v>18672.707236546954</v>
      </c>
      <c r="AM93">
        <v>18977.243704736553</v>
      </c>
      <c r="AN93">
        <v>19029.113728491415</v>
      </c>
      <c r="AO93">
        <v>19635.294960053689</v>
      </c>
      <c r="AP93">
        <v>20438.382955050583</v>
      </c>
      <c r="AQ93">
        <v>21128.888463940231</v>
      </c>
      <c r="AR93">
        <v>22117.920430319278</v>
      </c>
      <c r="AS93">
        <v>23069.211473098745</v>
      </c>
      <c r="AT93">
        <v>24229.295357598112</v>
      </c>
      <c r="AU93">
        <v>25255.87113005673</v>
      </c>
      <c r="AV93">
        <v>26568.118861864026</v>
      </c>
      <c r="AW93">
        <v>27765.788614619745</v>
      </c>
      <c r="AX93">
        <v>28903.047540707797</v>
      </c>
      <c r="AY93">
        <v>29044.066902125414</v>
      </c>
      <c r="AZ93">
        <v>29384.007038581793</v>
      </c>
      <c r="BA93">
        <v>27445.95945847901</v>
      </c>
      <c r="BB93">
        <v>27801.833816110953</v>
      </c>
      <c r="BC93">
        <v>28415.117344289698</v>
      </c>
      <c r="BD93">
        <v>28179.656464434003</v>
      </c>
      <c r="BE93">
        <v>28891.021754497568</v>
      </c>
      <c r="BF93">
        <v>30264.949230216112</v>
      </c>
      <c r="BG93">
        <v>31485.567542563407</v>
      </c>
      <c r="BH93">
        <v>32378.967498307535</v>
      </c>
      <c r="BI93">
        <v>33828.714942571045</v>
      </c>
      <c r="BJ93">
        <v>35798.041275402189</v>
      </c>
      <c r="BK93">
        <v>37662.676810139972</v>
      </c>
      <c r="BL93">
        <v>36119.521173565226</v>
      </c>
      <c r="BM93">
        <v>38887.190952715355</v>
      </c>
      <c r="BN93">
        <v>40610.971136823806</v>
      </c>
      <c r="BO93">
        <v>40333.254688811779</v>
      </c>
      <c r="BP93">
        <v>40747.198667966819</v>
      </c>
      <c r="BQ93">
        <v>41160.64191409832</v>
      </c>
      <c r="BR93">
        <f t="shared" si="2"/>
        <v>1.4305759680216745</v>
      </c>
    </row>
    <row r="94" spans="1:70" x14ac:dyDescent="0.25">
      <c r="A94" t="s">
        <v>566</v>
      </c>
      <c r="B94" t="s">
        <v>567</v>
      </c>
      <c r="C94" t="s">
        <v>434</v>
      </c>
      <c r="AH94">
        <v>6226.5584881647274</v>
      </c>
      <c r="AI94">
        <v>6116.4969555077887</v>
      </c>
      <c r="AJ94">
        <v>6005.3753874598533</v>
      </c>
      <c r="AK94">
        <v>6031.6551149971401</v>
      </c>
      <c r="AL94">
        <v>6046.7873392786241</v>
      </c>
      <c r="AM94">
        <v>6163.324661065365</v>
      </c>
      <c r="AN94">
        <v>6370.4850077313176</v>
      </c>
      <c r="AO94">
        <v>6579.5084236716475</v>
      </c>
      <c r="AP94">
        <v>6617.1864057953298</v>
      </c>
      <c r="AQ94">
        <v>6787.7637611689624</v>
      </c>
      <c r="AR94">
        <v>7099.6952181763463</v>
      </c>
      <c r="AS94">
        <v>7274.6516357210494</v>
      </c>
      <c r="AT94">
        <v>7513.6030186008529</v>
      </c>
      <c r="AU94">
        <v>7867.9243392809285</v>
      </c>
      <c r="AV94">
        <v>8369.8836908667599</v>
      </c>
      <c r="AW94">
        <v>8847.830670567324</v>
      </c>
      <c r="AX94">
        <v>9452.1092984427723</v>
      </c>
      <c r="AY94">
        <v>10148.686725569123</v>
      </c>
      <c r="AZ94">
        <v>10594.503345244841</v>
      </c>
      <c r="BA94">
        <v>10692.061880921723</v>
      </c>
      <c r="BB94">
        <v>11358.606379716794</v>
      </c>
      <c r="BC94">
        <v>11906.632801498334</v>
      </c>
      <c r="BD94">
        <v>12375.630014668377</v>
      </c>
      <c r="BE94">
        <v>12836.620212751794</v>
      </c>
      <c r="BF94">
        <v>13271.249904600529</v>
      </c>
      <c r="BG94">
        <v>13669.872385170875</v>
      </c>
      <c r="BH94">
        <v>14147.460796024556</v>
      </c>
      <c r="BI94">
        <v>14720.506405130809</v>
      </c>
      <c r="BJ94">
        <v>15291.039809331802</v>
      </c>
      <c r="BK94">
        <v>15754.986190974714</v>
      </c>
      <c r="BL94">
        <v>15351.793172746002</v>
      </c>
      <c r="BM94">
        <v>16390.994319250109</v>
      </c>
      <c r="BN94">
        <v>16933.992818291255</v>
      </c>
      <c r="BO94">
        <v>17639.886106805352</v>
      </c>
      <c r="BP94">
        <v>18338.074391753562</v>
      </c>
      <c r="BQ94">
        <v>19028.607925646811</v>
      </c>
      <c r="BR94">
        <f t="shared" si="2"/>
        <v>3.8007351909906895</v>
      </c>
    </row>
    <row r="95" spans="1:70" x14ac:dyDescent="0.25">
      <c r="A95" t="s">
        <v>104</v>
      </c>
      <c r="B95" t="s">
        <v>448</v>
      </c>
      <c r="C95" t="s">
        <v>434</v>
      </c>
      <c r="AH95">
        <v>43099.578639257197</v>
      </c>
      <c r="AI95">
        <v>42507.646169102562</v>
      </c>
      <c r="AJ95">
        <v>40560.57007382076</v>
      </c>
      <c r="AK95">
        <v>40677.588123750735</v>
      </c>
      <c r="AL95">
        <v>41781.830265771801</v>
      </c>
      <c r="AM95">
        <v>41604.238118042071</v>
      </c>
      <c r="AN95">
        <v>43241.355436722923</v>
      </c>
      <c r="AO95">
        <v>44664.530628687848</v>
      </c>
      <c r="AP95">
        <v>47286.635866322067</v>
      </c>
      <c r="AQ95">
        <v>48539.343313646852</v>
      </c>
      <c r="AR95">
        <v>50227.840874536349</v>
      </c>
      <c r="AS95">
        <v>51468.328226782367</v>
      </c>
      <c r="AT95">
        <v>51287.593729947992</v>
      </c>
      <c r="AU95">
        <v>52095.640274056408</v>
      </c>
      <c r="AV95">
        <v>55576.609980651599</v>
      </c>
      <c r="AW95">
        <v>58549.135886218261</v>
      </c>
      <c r="AX95">
        <v>60434.383793112807</v>
      </c>
      <c r="AY95">
        <v>64075.309818820795</v>
      </c>
      <c r="AZ95">
        <v>63963.760139222482</v>
      </c>
      <c r="BA95">
        <v>58441.271967396839</v>
      </c>
      <c r="BB95">
        <v>57225.102428200604</v>
      </c>
      <c r="BC95">
        <v>57837.860459941294</v>
      </c>
      <c r="BD95">
        <v>58203.637945953618</v>
      </c>
      <c r="BE95">
        <v>59729.543977539674</v>
      </c>
      <c r="BF95">
        <v>60199.199487275597</v>
      </c>
      <c r="BG95">
        <v>61820.3618857662</v>
      </c>
      <c r="BH95">
        <v>64759.227542322878</v>
      </c>
      <c r="BI95">
        <v>65462.503330629886</v>
      </c>
      <c r="BJ95">
        <v>66703.021939800325</v>
      </c>
      <c r="BK95">
        <v>65994.986003810307</v>
      </c>
      <c r="BL95">
        <v>60617.143268850959</v>
      </c>
      <c r="BM95">
        <v>62720.791683279662</v>
      </c>
      <c r="BN95">
        <v>66581.244180100242</v>
      </c>
      <c r="BO95">
        <v>69268.122140422376</v>
      </c>
      <c r="BP95">
        <v>68230.356652817034</v>
      </c>
      <c r="BQ95">
        <v>68064.685455186598</v>
      </c>
      <c r="BR95">
        <f t="shared" si="2"/>
        <v>2.0651733651667836</v>
      </c>
    </row>
    <row r="96" spans="1:70" x14ac:dyDescent="0.25">
      <c r="A96" t="s">
        <v>588</v>
      </c>
      <c r="B96" t="s">
        <v>589</v>
      </c>
      <c r="C96" t="s">
        <v>434</v>
      </c>
      <c r="AH96">
        <v>5548.6627319684403</v>
      </c>
      <c r="AI96">
        <v>5452.2495312980982</v>
      </c>
      <c r="AJ96">
        <v>5355.4237024898976</v>
      </c>
      <c r="AK96">
        <v>5359.3238214070107</v>
      </c>
      <c r="AL96">
        <v>5355.7824312453658</v>
      </c>
      <c r="AM96">
        <v>5446.4900434127949</v>
      </c>
      <c r="AN96">
        <v>5616.3867227583523</v>
      </c>
      <c r="AO96">
        <v>5780.9131887671329</v>
      </c>
      <c r="AP96">
        <v>5808.9238739249995</v>
      </c>
      <c r="AQ96">
        <v>5937.1842511373852</v>
      </c>
      <c r="AR96">
        <v>6181.7364641176555</v>
      </c>
      <c r="AS96">
        <v>6320.0162986425721</v>
      </c>
      <c r="AT96">
        <v>6517.5012374566231</v>
      </c>
      <c r="AU96">
        <v>6797.92048003117</v>
      </c>
      <c r="AV96">
        <v>7205.6409074945632</v>
      </c>
      <c r="AW96">
        <v>7590.285567423487</v>
      </c>
      <c r="AX96">
        <v>8069.4827691528408</v>
      </c>
      <c r="AY96">
        <v>8616.0732394498627</v>
      </c>
      <c r="AZ96">
        <v>8962.678224107789</v>
      </c>
      <c r="BA96">
        <v>9045.7328074943289</v>
      </c>
      <c r="BB96">
        <v>9568.3350709631977</v>
      </c>
      <c r="BC96">
        <v>9988.650081646314</v>
      </c>
      <c r="BD96">
        <v>10337.956427559438</v>
      </c>
      <c r="BE96">
        <v>10698.193559312531</v>
      </c>
      <c r="BF96">
        <v>11042.093301778325</v>
      </c>
      <c r="BG96">
        <v>11346.101034167486</v>
      </c>
      <c r="BH96">
        <v>11696.98483396043</v>
      </c>
      <c r="BI96">
        <v>12123.440327465223</v>
      </c>
      <c r="BJ96">
        <v>12547.606516932741</v>
      </c>
      <c r="BK96">
        <v>12882.912139851498</v>
      </c>
      <c r="BL96">
        <v>12504.901754141469</v>
      </c>
      <c r="BM96">
        <v>13248.813812716917</v>
      </c>
      <c r="BN96">
        <v>13635.916917548406</v>
      </c>
      <c r="BO96">
        <v>14120.536464468285</v>
      </c>
      <c r="BP96">
        <v>14612.99571165186</v>
      </c>
      <c r="BQ96">
        <v>15101.562801618658</v>
      </c>
      <c r="BR96">
        <f t="shared" si="2"/>
        <v>3.3263823108921953</v>
      </c>
    </row>
    <row r="97" spans="1:70" x14ac:dyDescent="0.25">
      <c r="A97" t="s">
        <v>644</v>
      </c>
      <c r="B97" t="s">
        <v>645</v>
      </c>
      <c r="C97" t="s">
        <v>434</v>
      </c>
      <c r="AH97">
        <v>4385.8296013734798</v>
      </c>
      <c r="AI97">
        <v>4338.341432094513</v>
      </c>
      <c r="AJ97">
        <v>4344.3059153836466</v>
      </c>
      <c r="AK97">
        <v>4209.8470645335146</v>
      </c>
      <c r="AL97">
        <v>4135.1996309543238</v>
      </c>
      <c r="AM97">
        <v>4118.5702284144782</v>
      </c>
      <c r="AN97">
        <v>4199.257021962002</v>
      </c>
      <c r="AO97">
        <v>4188.9051681160472</v>
      </c>
      <c r="AP97">
        <v>4194.8657683613128</v>
      </c>
      <c r="AQ97">
        <v>4168.2085717120344</v>
      </c>
      <c r="AR97">
        <v>4209.1548816605991</v>
      </c>
      <c r="AS97">
        <v>4267.874864482229</v>
      </c>
      <c r="AT97">
        <v>4439.2100895739604</v>
      </c>
      <c r="AU97">
        <v>4529.6213563062229</v>
      </c>
      <c r="AV97">
        <v>4746.7990201418625</v>
      </c>
      <c r="AW97">
        <v>4907.6639296354597</v>
      </c>
      <c r="AX97">
        <v>5061.1700215273813</v>
      </c>
      <c r="AY97">
        <v>5195.8080888747681</v>
      </c>
      <c r="AZ97">
        <v>5272.7019583786623</v>
      </c>
      <c r="BA97">
        <v>5444.5075152726804</v>
      </c>
      <c r="BB97">
        <v>5622.5392370224499</v>
      </c>
      <c r="BC97">
        <v>5723.3931672343761</v>
      </c>
      <c r="BD97">
        <v>5846.3742845927745</v>
      </c>
      <c r="BE97">
        <v>6049.3577024729193</v>
      </c>
      <c r="BF97">
        <v>6263.2776633435305</v>
      </c>
      <c r="BG97">
        <v>6369.4223468259906</v>
      </c>
      <c r="BH97">
        <v>6379.7361994579278</v>
      </c>
      <c r="BI97">
        <v>6424.0954778664927</v>
      </c>
      <c r="BJ97">
        <v>6540.0297742550392</v>
      </c>
      <c r="BK97">
        <v>6597.2900742332467</v>
      </c>
      <c r="BL97">
        <v>6248.1800898053816</v>
      </c>
      <c r="BM97">
        <v>6382.9956658634619</v>
      </c>
      <c r="BN97">
        <v>6554.673636732784</v>
      </c>
      <c r="BO97">
        <v>6605.7341300660901</v>
      </c>
      <c r="BP97">
        <v>6743.3962353081133</v>
      </c>
      <c r="BQ97">
        <v>6912.8824344846889</v>
      </c>
      <c r="BR97">
        <f t="shared" si="2"/>
        <v>2.0137366001852453</v>
      </c>
    </row>
    <row r="98" spans="1:70" x14ac:dyDescent="0.25">
      <c r="A98" t="s">
        <v>671</v>
      </c>
      <c r="B98" t="s">
        <v>672</v>
      </c>
      <c r="C98" t="s">
        <v>434</v>
      </c>
      <c r="AH98">
        <v>2088.4714930523273</v>
      </c>
      <c r="AI98">
        <v>2082.9954452437569</v>
      </c>
      <c r="AJ98">
        <v>2058.2580756426119</v>
      </c>
      <c r="AK98">
        <v>2051.944671075692</v>
      </c>
      <c r="AL98">
        <v>2024.4509350786745</v>
      </c>
      <c r="AM98">
        <v>2074.10174330687</v>
      </c>
      <c r="AN98">
        <v>2130.9264530363289</v>
      </c>
      <c r="AO98">
        <v>2191.2041295255899</v>
      </c>
      <c r="AP98">
        <v>2231.0143607442246</v>
      </c>
      <c r="AQ98">
        <v>2262.7357321286886</v>
      </c>
      <c r="AR98">
        <v>2305.7177703729517</v>
      </c>
      <c r="AS98">
        <v>2350.5694597577449</v>
      </c>
      <c r="AT98">
        <v>2409.0633948222107</v>
      </c>
      <c r="AU98">
        <v>2475.4224301998884</v>
      </c>
      <c r="AV98">
        <v>2570.4913745942231</v>
      </c>
      <c r="AW98">
        <v>2678.3893787073926</v>
      </c>
      <c r="AX98">
        <v>2791.2999194771132</v>
      </c>
      <c r="AY98">
        <v>2914.4848802682104</v>
      </c>
      <c r="AZ98">
        <v>3025.0250332555556</v>
      </c>
      <c r="BA98">
        <v>3093.4436038660683</v>
      </c>
      <c r="BB98">
        <v>3220.429824493679</v>
      </c>
      <c r="BC98">
        <v>3321.0698952298244</v>
      </c>
      <c r="BD98">
        <v>3337.8184098252168</v>
      </c>
      <c r="BE98">
        <v>3411.440816650138</v>
      </c>
      <c r="BF98">
        <v>3514.8796735107503</v>
      </c>
      <c r="BG98">
        <v>3613.7802309213439</v>
      </c>
      <c r="BH98">
        <v>3711.896061971881</v>
      </c>
      <c r="BI98">
        <v>3838.7576646112097</v>
      </c>
      <c r="BJ98">
        <v>3948.5278721375735</v>
      </c>
      <c r="BK98">
        <v>4056.8505057981693</v>
      </c>
      <c r="BL98">
        <v>3958.3454303940466</v>
      </c>
      <c r="BM98">
        <v>4002.2034457393111</v>
      </c>
      <c r="BN98">
        <v>4086.6200282722971</v>
      </c>
      <c r="BO98">
        <v>4137.4360250639911</v>
      </c>
      <c r="BP98">
        <v>4231.5461961422106</v>
      </c>
      <c r="BQ98">
        <v>4339.6809017322876</v>
      </c>
      <c r="BR98">
        <f t="shared" si="2"/>
        <v>2.0445133400939008</v>
      </c>
    </row>
    <row r="99" spans="1:70" x14ac:dyDescent="0.25">
      <c r="A99" t="s">
        <v>657</v>
      </c>
      <c r="B99" t="s">
        <v>658</v>
      </c>
      <c r="C99" t="s">
        <v>434</v>
      </c>
      <c r="AH99">
        <v>2881.6373764633354</v>
      </c>
      <c r="AI99">
        <v>2864.6454612222083</v>
      </c>
      <c r="AJ99">
        <v>2852.5005024676966</v>
      </c>
      <c r="AK99">
        <v>2800.5199208388008</v>
      </c>
      <c r="AL99">
        <v>2756.8223282388435</v>
      </c>
      <c r="AM99">
        <v>2782.8265846722084</v>
      </c>
      <c r="AN99">
        <v>2848.4013930691281</v>
      </c>
      <c r="AO99">
        <v>2883.589520633077</v>
      </c>
      <c r="AP99">
        <v>2911.7907296526205</v>
      </c>
      <c r="AQ99">
        <v>2922.9831607468086</v>
      </c>
      <c r="AR99">
        <v>2965.9775050669164</v>
      </c>
      <c r="AS99">
        <v>3016.9268488900689</v>
      </c>
      <c r="AT99">
        <v>3115.8252370675345</v>
      </c>
      <c r="AU99">
        <v>3190.6425116814803</v>
      </c>
      <c r="AV99">
        <v>3329.7578432575788</v>
      </c>
      <c r="AW99">
        <v>3456.7666433569143</v>
      </c>
      <c r="AX99">
        <v>3584.1199028459291</v>
      </c>
      <c r="AY99">
        <v>3712.037023532278</v>
      </c>
      <c r="AZ99">
        <v>3811.6168466303056</v>
      </c>
      <c r="BA99">
        <v>3918.7351795181871</v>
      </c>
      <c r="BB99">
        <v>4065.12933937447</v>
      </c>
      <c r="BC99">
        <v>4166.3373068903311</v>
      </c>
      <c r="BD99">
        <v>4221.8196854585103</v>
      </c>
      <c r="BE99">
        <v>4342.2585707289336</v>
      </c>
      <c r="BF99">
        <v>4484.8392710628286</v>
      </c>
      <c r="BG99">
        <v>4584.9990256817528</v>
      </c>
      <c r="BH99">
        <v>4649.0617491014482</v>
      </c>
      <c r="BI99">
        <v>4743.5567524006583</v>
      </c>
      <c r="BJ99">
        <v>4853.0622661007137</v>
      </c>
      <c r="BK99">
        <v>4940.1516475418275</v>
      </c>
      <c r="BL99">
        <v>4750.5758251409698</v>
      </c>
      <c r="BM99">
        <v>4825.3016907105412</v>
      </c>
      <c r="BN99">
        <v>4938.9497649335453</v>
      </c>
      <c r="BO99">
        <v>4987.3110409225519</v>
      </c>
      <c r="BP99">
        <v>5093.9176471144765</v>
      </c>
      <c r="BQ99">
        <v>5220.7589630782177</v>
      </c>
      <c r="BR99">
        <f t="shared" si="2"/>
        <v>1.9887555777716059</v>
      </c>
    </row>
    <row r="100" spans="1:70" x14ac:dyDescent="0.25">
      <c r="A100" t="s">
        <v>105</v>
      </c>
      <c r="B100" t="s">
        <v>620</v>
      </c>
      <c r="C100" t="s">
        <v>434</v>
      </c>
      <c r="AH100">
        <v>2139.8274917412336</v>
      </c>
      <c r="AI100">
        <v>2116.0693924922784</v>
      </c>
      <c r="AJ100">
        <v>2185.0404618067769</v>
      </c>
      <c r="AK100">
        <v>2241.2853593248806</v>
      </c>
      <c r="AL100">
        <v>2342.1560926382936</v>
      </c>
      <c r="AM100">
        <v>2469.3516292637019</v>
      </c>
      <c r="AN100">
        <v>2603.2463297417066</v>
      </c>
      <c r="AO100">
        <v>2655.9293942950749</v>
      </c>
      <c r="AP100">
        <v>2766.1104886079988</v>
      </c>
      <c r="AQ100">
        <v>2954.0688560393041</v>
      </c>
      <c r="AR100">
        <v>3010.421561483975</v>
      </c>
      <c r="AS100">
        <v>3097.1622402234216</v>
      </c>
      <c r="AT100">
        <v>3157.2690377059253</v>
      </c>
      <c r="AU100">
        <v>3346.888290291497</v>
      </c>
      <c r="AV100">
        <v>3551.0473121377263</v>
      </c>
      <c r="AW100">
        <v>3770.3965317382931</v>
      </c>
      <c r="AX100">
        <v>4011.0864758580465</v>
      </c>
      <c r="AY100">
        <v>4253.821390467393</v>
      </c>
      <c r="AZ100">
        <v>4322.4837898354626</v>
      </c>
      <c r="BA100">
        <v>4595.3799075381194</v>
      </c>
      <c r="BB100">
        <v>4913.8763972370516</v>
      </c>
      <c r="BC100">
        <v>5098.6745877544427</v>
      </c>
      <c r="BD100">
        <v>5303.5019776765494</v>
      </c>
      <c r="BE100">
        <v>5567.4943941871825</v>
      </c>
      <c r="BF100">
        <v>5905.1061820463292</v>
      </c>
      <c r="BG100">
        <v>6301.6734696823614</v>
      </c>
      <c r="BH100">
        <v>6741.1488318534693</v>
      </c>
      <c r="BI100">
        <v>7116.0365918539592</v>
      </c>
      <c r="BJ100">
        <v>7492.6257675514535</v>
      </c>
      <c r="BK100">
        <v>7702.176348119574</v>
      </c>
      <c r="BL100">
        <v>7186.8644709967884</v>
      </c>
      <c r="BM100">
        <v>7818.6570175750412</v>
      </c>
      <c r="BN100">
        <v>8347.3847864708641</v>
      </c>
      <c r="BO100">
        <v>8870.5502760934469</v>
      </c>
      <c r="BP100">
        <v>9416.0513704473487</v>
      </c>
      <c r="BQ100">
        <v>10039.070891058707</v>
      </c>
      <c r="BR100">
        <f t="shared" si="2"/>
        <v>6.4486945296583498</v>
      </c>
    </row>
    <row r="101" spans="1:70" x14ac:dyDescent="0.25">
      <c r="A101" t="s">
        <v>106</v>
      </c>
      <c r="B101" t="s">
        <v>590</v>
      </c>
      <c r="C101" t="s">
        <v>434</v>
      </c>
      <c r="AH101">
        <v>4873.0538013326295</v>
      </c>
      <c r="AI101">
        <v>5118.467895918152</v>
      </c>
      <c r="AJ101">
        <v>5357.3758979758968</v>
      </c>
      <c r="AK101">
        <v>5609.1517881426862</v>
      </c>
      <c r="AL101">
        <v>5931.2347342676157</v>
      </c>
      <c r="AM101">
        <v>6312.9345356115819</v>
      </c>
      <c r="AN101">
        <v>6695.4097578739475</v>
      </c>
      <c r="AO101">
        <v>6897.0023656333124</v>
      </c>
      <c r="AP101">
        <v>5897.6853085920684</v>
      </c>
      <c r="AQ101">
        <v>5855.6580074499416</v>
      </c>
      <c r="AR101">
        <v>6056.3819784216485</v>
      </c>
      <c r="AS101">
        <v>6190.5195404099095</v>
      </c>
      <c r="AT101">
        <v>6381.9495517999567</v>
      </c>
      <c r="AU101">
        <v>6599.0919359703439</v>
      </c>
      <c r="AV101">
        <v>6843.5465497236419</v>
      </c>
      <c r="AW101">
        <v>7140.8545640704042</v>
      </c>
      <c r="AX101">
        <v>7434.4878535222051</v>
      </c>
      <c r="AY101">
        <v>7802.4640690595443</v>
      </c>
      <c r="AZ101">
        <v>8165.0615511662445</v>
      </c>
      <c r="BA101">
        <v>8435.4557468628973</v>
      </c>
      <c r="BB101">
        <v>8848.2247370206551</v>
      </c>
      <c r="BC101">
        <v>9274.9695518170211</v>
      </c>
      <c r="BD101">
        <v>9708.611825310807</v>
      </c>
      <c r="BE101">
        <v>10121.8141535043</v>
      </c>
      <c r="BF101">
        <v>10504.386941108771</v>
      </c>
      <c r="BG101">
        <v>10893.66211421693</v>
      </c>
      <c r="BH101">
        <v>11319.663428773802</v>
      </c>
      <c r="BI101">
        <v>11772.574329610683</v>
      </c>
      <c r="BJ101">
        <v>12262.231030077104</v>
      </c>
      <c r="BK101">
        <v>12757.78508548416</v>
      </c>
      <c r="BL101">
        <v>12388.544926813132</v>
      </c>
      <c r="BM101">
        <v>12757.074644020369</v>
      </c>
      <c r="BN101">
        <v>13334.265394763685</v>
      </c>
      <c r="BO101">
        <v>13889.949501285811</v>
      </c>
      <c r="BP101">
        <v>14470.717980657781</v>
      </c>
      <c r="BQ101">
        <v>15091.008860465159</v>
      </c>
      <c r="BR101">
        <f t="shared" si="2"/>
        <v>4.28979033643615</v>
      </c>
    </row>
    <row r="102" spans="1:70" x14ac:dyDescent="0.25">
      <c r="A102" t="s">
        <v>107</v>
      </c>
      <c r="B102" t="s">
        <v>579</v>
      </c>
      <c r="C102" t="s">
        <v>434</v>
      </c>
      <c r="AH102">
        <v>9656.0011689435869</v>
      </c>
      <c r="AI102">
        <v>10592.331925722177</v>
      </c>
      <c r="AJ102">
        <v>10727.41836715468</v>
      </c>
      <c r="AK102">
        <v>10531.995277727547</v>
      </c>
      <c r="AL102">
        <v>10333.433000559457</v>
      </c>
      <c r="AM102">
        <v>10465.025959268505</v>
      </c>
      <c r="AN102">
        <v>11010.009497624789</v>
      </c>
      <c r="AO102">
        <v>11025.720237152414</v>
      </c>
      <c r="AP102">
        <v>11101.507869196012</v>
      </c>
      <c r="AQ102">
        <v>11163.695073644531</v>
      </c>
      <c r="AR102">
        <v>11643.121807769647</v>
      </c>
      <c r="AS102">
        <v>11739.009091128184</v>
      </c>
      <c r="AT102">
        <v>12583.044990423967</v>
      </c>
      <c r="AU102">
        <v>13519.450192692948</v>
      </c>
      <c r="AV102">
        <v>13807.195311402345</v>
      </c>
      <c r="AW102">
        <v>13935.774308759561</v>
      </c>
      <c r="AX102">
        <v>14320.656853454549</v>
      </c>
      <c r="AY102">
        <v>15237.423785054949</v>
      </c>
      <c r="AZ102">
        <v>15091.250652146273</v>
      </c>
      <c r="BA102">
        <v>15055.149464719922</v>
      </c>
      <c r="BB102">
        <v>15729.913170726575</v>
      </c>
      <c r="BC102">
        <v>15947.766097961035</v>
      </c>
      <c r="BD102">
        <v>15159.294820653085</v>
      </c>
      <c r="BE102">
        <v>14734.740588718969</v>
      </c>
      <c r="BF102">
        <v>15262.851576090326</v>
      </c>
      <c r="BG102">
        <v>14841.904834073688</v>
      </c>
      <c r="BH102">
        <v>15920.371802120235</v>
      </c>
      <c r="BI102">
        <v>16167.967722422654</v>
      </c>
      <c r="BJ102">
        <v>15364.804905261386</v>
      </c>
      <c r="BK102">
        <v>14841.075151499766</v>
      </c>
      <c r="BL102">
        <v>15381.584543726643</v>
      </c>
      <c r="BM102">
        <v>15884.427677596332</v>
      </c>
      <c r="BN102">
        <v>16377.961064536818</v>
      </c>
      <c r="BO102">
        <v>17044.817344264055</v>
      </c>
      <c r="BP102">
        <v>17484.132014046689</v>
      </c>
      <c r="BQ102">
        <v>16833.782167711706</v>
      </c>
      <c r="BR102">
        <f t="shared" si="2"/>
        <v>1.4617930200421014</v>
      </c>
    </row>
    <row r="103" spans="1:70" x14ac:dyDescent="0.25">
      <c r="A103" t="s">
        <v>108</v>
      </c>
      <c r="B103" t="s">
        <v>606</v>
      </c>
      <c r="C103" t="s">
        <v>434</v>
      </c>
      <c r="AH103">
        <v>10735.09411028998</v>
      </c>
      <c r="AI103">
        <v>3819.1619482665142</v>
      </c>
      <c r="AJ103">
        <v>4916.26440292597</v>
      </c>
      <c r="AK103">
        <v>6105.0416628490366</v>
      </c>
      <c r="AL103">
        <v>6044.8710481018052</v>
      </c>
      <c r="AM103">
        <v>5969.6696409605192</v>
      </c>
      <c r="AN103">
        <v>6419.369818762515</v>
      </c>
      <c r="AO103">
        <v>7545.7297610063088</v>
      </c>
      <c r="AP103">
        <v>9871.7339803077521</v>
      </c>
      <c r="AQ103">
        <v>11237.853743992491</v>
      </c>
      <c r="AR103">
        <v>12702.164195089159</v>
      </c>
      <c r="AS103">
        <v>12529.608405097573</v>
      </c>
      <c r="AT103">
        <v>11144.050525590243</v>
      </c>
      <c r="AU103">
        <v>6849.332008003501</v>
      </c>
      <c r="AV103">
        <v>10210.56310049358</v>
      </c>
      <c r="AW103">
        <v>10078.443764681375</v>
      </c>
      <c r="AX103">
        <v>10568.91376529531</v>
      </c>
      <c r="AY103">
        <v>10853.816102228615</v>
      </c>
      <c r="AZ103">
        <v>11511.938764363756</v>
      </c>
      <c r="BA103">
        <v>11470.517806172849</v>
      </c>
      <c r="BB103">
        <v>11816.841015023299</v>
      </c>
      <c r="BC103">
        <v>12267.584894064483</v>
      </c>
      <c r="BD103">
        <v>13357.014388232257</v>
      </c>
      <c r="BE103">
        <v>13712.931714296024</v>
      </c>
      <c r="BF103">
        <v>13536.822768139935</v>
      </c>
      <c r="BG103">
        <v>13516.027198917265</v>
      </c>
      <c r="BH103">
        <v>15016.092064455735</v>
      </c>
      <c r="BI103">
        <v>14417.630689645368</v>
      </c>
      <c r="BJ103">
        <v>14456.235705319052</v>
      </c>
      <c r="BK103">
        <v>14910.22503238197</v>
      </c>
      <c r="BL103">
        <v>12827.634539229313</v>
      </c>
      <c r="BM103">
        <v>12731.753575512839</v>
      </c>
      <c r="BN103">
        <v>13433.397716695561</v>
      </c>
      <c r="BO103">
        <v>13202.322807385595</v>
      </c>
      <c r="BP103">
        <v>12725.043126036386</v>
      </c>
      <c r="BQ103">
        <v>12191.556465830197</v>
      </c>
      <c r="BR103">
        <f t="shared" si="2"/>
        <v>-1.0780354785147273</v>
      </c>
    </row>
    <row r="104" spans="1:70" x14ac:dyDescent="0.25">
      <c r="A104" t="s">
        <v>109</v>
      </c>
      <c r="B104" t="s">
        <v>435</v>
      </c>
      <c r="C104" t="s">
        <v>434</v>
      </c>
      <c r="AH104">
        <v>29504.877265782146</v>
      </c>
      <c r="AI104">
        <v>29901.806300803328</v>
      </c>
      <c r="AJ104">
        <v>30691.395597309405</v>
      </c>
      <c r="AK104">
        <v>31360.64906512159</v>
      </c>
      <c r="AL104">
        <v>33035.236263275925</v>
      </c>
      <c r="AM104">
        <v>36032.777473250149</v>
      </c>
      <c r="AN104">
        <v>38386.91167340531</v>
      </c>
      <c r="AO104">
        <v>42192.584811247849</v>
      </c>
      <c r="AP104">
        <v>45415.045516031234</v>
      </c>
      <c r="AQ104">
        <v>49634.502673647679</v>
      </c>
      <c r="AR104">
        <v>53582.831353228401</v>
      </c>
      <c r="AS104">
        <v>55534.569806881598</v>
      </c>
      <c r="AT104">
        <v>57828.011633841372</v>
      </c>
      <c r="AU104">
        <v>58608.335381669305</v>
      </c>
      <c r="AV104">
        <v>61452.866038832421</v>
      </c>
      <c r="AW104">
        <v>63579.713438412218</v>
      </c>
      <c r="AX104">
        <v>64975.408649625075</v>
      </c>
      <c r="AY104">
        <v>66475.84101429992</v>
      </c>
      <c r="AZ104">
        <v>62213.645325646154</v>
      </c>
      <c r="BA104">
        <v>58446.72633349205</v>
      </c>
      <c r="BB104">
        <v>59107.42207404982</v>
      </c>
      <c r="BC104">
        <v>59797.053734346322</v>
      </c>
      <c r="BD104">
        <v>59303.031981356129</v>
      </c>
      <c r="BE104">
        <v>60285.237614009377</v>
      </c>
      <c r="BF104">
        <v>65463.19525415641</v>
      </c>
      <c r="BG104">
        <v>80815.641527734522</v>
      </c>
      <c r="BH104">
        <v>80760.097414568823</v>
      </c>
      <c r="BI104">
        <v>87731.789704573355</v>
      </c>
      <c r="BJ104">
        <v>93115.83934983291</v>
      </c>
      <c r="BK104">
        <v>96205.796155700504</v>
      </c>
      <c r="BL104">
        <v>101793.44752587139</v>
      </c>
      <c r="BM104">
        <v>116702.85817484997</v>
      </c>
      <c r="BN104">
        <v>123007.4764865099</v>
      </c>
      <c r="BO104">
        <v>117659.728593716</v>
      </c>
      <c r="BP104">
        <v>118833.31207175138</v>
      </c>
      <c r="BQ104">
        <v>131338.44474504076</v>
      </c>
      <c r="BR104">
        <f t="shared" si="2"/>
        <v>2.9977159912662366</v>
      </c>
    </row>
    <row r="105" spans="1:70" x14ac:dyDescent="0.25">
      <c r="A105" t="s">
        <v>110</v>
      </c>
      <c r="B105" t="s">
        <v>484</v>
      </c>
      <c r="C105" t="s">
        <v>434</v>
      </c>
      <c r="AH105">
        <v>25340.981327133584</v>
      </c>
      <c r="AI105">
        <v>25704.720737128799</v>
      </c>
      <c r="AJ105">
        <v>26758.429072658229</v>
      </c>
      <c r="AK105">
        <v>27129.219376245201</v>
      </c>
      <c r="AL105">
        <v>28399.398190705568</v>
      </c>
      <c r="AM105">
        <v>29477.458294689968</v>
      </c>
      <c r="AN105">
        <v>30392.897306975832</v>
      </c>
      <c r="AO105">
        <v>30713.159801923041</v>
      </c>
      <c r="AP105">
        <v>31250.107169827181</v>
      </c>
      <c r="AQ105">
        <v>31466.168368923652</v>
      </c>
      <c r="AR105">
        <v>33278.54122856824</v>
      </c>
      <c r="AS105">
        <v>32591.211681743134</v>
      </c>
      <c r="AT105">
        <v>31892.539597881587</v>
      </c>
      <c r="AU105">
        <v>31771.211590673258</v>
      </c>
      <c r="AV105">
        <v>32665.853705243764</v>
      </c>
      <c r="AW105">
        <v>33491.991399639541</v>
      </c>
      <c r="AX105">
        <v>34744.867509229764</v>
      </c>
      <c r="AY105">
        <v>36288.065511857145</v>
      </c>
      <c r="AZ105">
        <v>36795.479911242364</v>
      </c>
      <c r="BA105">
        <v>36364.784318266145</v>
      </c>
      <c r="BB105">
        <v>37686.342083354335</v>
      </c>
      <c r="BC105">
        <v>39036.024735687097</v>
      </c>
      <c r="BD105">
        <v>39245.507811768664</v>
      </c>
      <c r="BE105">
        <v>40095.475677309223</v>
      </c>
      <c r="BF105">
        <v>40795.629092728093</v>
      </c>
      <c r="BG105">
        <v>40889.598908083448</v>
      </c>
      <c r="BH105">
        <v>41914.580297770583</v>
      </c>
      <c r="BI105">
        <v>42895.585129847037</v>
      </c>
      <c r="BJ105">
        <v>43782.652649168944</v>
      </c>
      <c r="BK105">
        <v>44492.122696708437</v>
      </c>
      <c r="BL105">
        <v>42926.541541858438</v>
      </c>
      <c r="BM105">
        <v>46151.10082040303</v>
      </c>
      <c r="BN105">
        <v>48132.363720517707</v>
      </c>
      <c r="BO105">
        <v>47671.247692608595</v>
      </c>
      <c r="BP105">
        <v>47388.723668236402</v>
      </c>
      <c r="BQ105">
        <v>48196.634517656181</v>
      </c>
      <c r="BR105">
        <f t="shared" si="2"/>
        <v>1.0901083903049003</v>
      </c>
    </row>
    <row r="106" spans="1:70" x14ac:dyDescent="0.25">
      <c r="A106" t="s">
        <v>111</v>
      </c>
      <c r="B106" t="s">
        <v>474</v>
      </c>
      <c r="C106" t="s">
        <v>434</v>
      </c>
      <c r="AH106">
        <v>42656.744510165903</v>
      </c>
      <c r="AI106">
        <v>43283.020444190115</v>
      </c>
      <c r="AJ106">
        <v>43614.485088375812</v>
      </c>
      <c r="AK106">
        <v>43216.109644475109</v>
      </c>
      <c r="AL106">
        <v>44136.705914192273</v>
      </c>
      <c r="AM106">
        <v>45410.139173109106</v>
      </c>
      <c r="AN106">
        <v>46008.238930379594</v>
      </c>
      <c r="AO106">
        <v>46869.425608641919</v>
      </c>
      <c r="AP106">
        <v>47701.397419126464</v>
      </c>
      <c r="AQ106">
        <v>48493.665121030848</v>
      </c>
      <c r="AR106">
        <v>50353.420041543555</v>
      </c>
      <c r="AS106">
        <v>51332.290443256737</v>
      </c>
      <c r="AT106">
        <v>51369.114909829295</v>
      </c>
      <c r="AU106">
        <v>51126.258554403845</v>
      </c>
      <c r="AV106">
        <v>51495.002884136367</v>
      </c>
      <c r="AW106">
        <v>51585.6445807938</v>
      </c>
      <c r="AX106">
        <v>52304.240294981893</v>
      </c>
      <c r="AY106">
        <v>52747.19054768073</v>
      </c>
      <c r="AZ106">
        <v>51806.390617639066</v>
      </c>
      <c r="BA106">
        <v>48774.391683374764</v>
      </c>
      <c r="BB106">
        <v>49301.695914167423</v>
      </c>
      <c r="BC106">
        <v>49473.014923563424</v>
      </c>
      <c r="BD106">
        <v>47795.957936054125</v>
      </c>
      <c r="BE106">
        <v>46833.361530930328</v>
      </c>
      <c r="BF106">
        <v>46825.651124506207</v>
      </c>
      <c r="BG106">
        <v>47311.825526270914</v>
      </c>
      <c r="BH106">
        <v>47987.837958101431</v>
      </c>
      <c r="BI106">
        <v>48849.218353475568</v>
      </c>
      <c r="BJ106">
        <v>49355.875191350387</v>
      </c>
      <c r="BK106">
        <v>49690.629850527352</v>
      </c>
      <c r="BL106">
        <v>45505.068870895579</v>
      </c>
      <c r="BM106">
        <v>49825.393411184821</v>
      </c>
      <c r="BN106">
        <v>52333.327427060409</v>
      </c>
      <c r="BO106">
        <v>52842.628883175763</v>
      </c>
      <c r="BP106">
        <v>53284.8745049149</v>
      </c>
      <c r="BQ106">
        <v>53606.078957101119</v>
      </c>
      <c r="BR106">
        <f t="shared" si="2"/>
        <v>1.8452611916593087</v>
      </c>
    </row>
    <row r="107" spans="1:70" x14ac:dyDescent="0.25">
      <c r="A107" t="s">
        <v>112</v>
      </c>
      <c r="B107" t="s">
        <v>610</v>
      </c>
      <c r="C107" t="s">
        <v>434</v>
      </c>
      <c r="AH107">
        <v>8879.6529523162517</v>
      </c>
      <c r="AI107">
        <v>9227.8761377065239</v>
      </c>
      <c r="AJ107">
        <v>9315.8581885588028</v>
      </c>
      <c r="AK107">
        <v>10088.232357754971</v>
      </c>
      <c r="AL107">
        <v>10123.23393814878</v>
      </c>
      <c r="AM107">
        <v>10257.806538195879</v>
      </c>
      <c r="AN107">
        <v>10147.464112165235</v>
      </c>
      <c r="AO107">
        <v>9939.6617286200562</v>
      </c>
      <c r="AP107">
        <v>9624.9293594812734</v>
      </c>
      <c r="AQ107">
        <v>9650.4372648249901</v>
      </c>
      <c r="AR107">
        <v>9667.9247449231552</v>
      </c>
      <c r="AS107">
        <v>9736.0629175752638</v>
      </c>
      <c r="AT107">
        <v>9869.7129192717639</v>
      </c>
      <c r="AU107">
        <v>10169.75002432445</v>
      </c>
      <c r="AV107">
        <v>10244.20667028778</v>
      </c>
      <c r="AW107">
        <v>10278.683438254553</v>
      </c>
      <c r="AX107">
        <v>10522.236745959146</v>
      </c>
      <c r="AY107">
        <v>10622.444282900718</v>
      </c>
      <c r="AZ107">
        <v>10490.468613449752</v>
      </c>
      <c r="BA107">
        <v>9992.9769953902123</v>
      </c>
      <c r="BB107">
        <v>9805.9017280630196</v>
      </c>
      <c r="BC107">
        <v>9932.4838094696261</v>
      </c>
      <c r="BD107">
        <v>9829.0351001504441</v>
      </c>
      <c r="BE107">
        <v>9839.9650660609532</v>
      </c>
      <c r="BF107">
        <v>9872.1591375212902</v>
      </c>
      <c r="BG107">
        <v>9931.898757151821</v>
      </c>
      <c r="BH107">
        <v>10179.253648615817</v>
      </c>
      <c r="BI107">
        <v>10391.037822467812</v>
      </c>
      <c r="BJ107">
        <v>10636.092978455081</v>
      </c>
      <c r="BK107">
        <v>10816.37203911542</v>
      </c>
      <c r="BL107">
        <v>9891.9693296154837</v>
      </c>
      <c r="BM107">
        <v>10430.690977175882</v>
      </c>
      <c r="BN107">
        <v>11096.637708532093</v>
      </c>
      <c r="BO107">
        <v>11398.812039464106</v>
      </c>
      <c r="BP107">
        <v>11340.263880045086</v>
      </c>
      <c r="BQ107">
        <v>11357.915592063042</v>
      </c>
      <c r="BR107">
        <f t="shared" si="2"/>
        <v>2.1518860361636971</v>
      </c>
    </row>
    <row r="108" spans="1:70" x14ac:dyDescent="0.25">
      <c r="A108" t="s">
        <v>113</v>
      </c>
      <c r="B108" t="s">
        <v>479</v>
      </c>
      <c r="C108" t="s">
        <v>434</v>
      </c>
      <c r="AH108">
        <v>36137.844258745761</v>
      </c>
      <c r="AI108">
        <v>37226.333902182938</v>
      </c>
      <c r="AJ108">
        <v>37402.944239516772</v>
      </c>
      <c r="AK108">
        <v>37088.802004984354</v>
      </c>
      <c r="AL108">
        <v>37352.686858131849</v>
      </c>
      <c r="AM108">
        <v>38137.934630401578</v>
      </c>
      <c r="AN108">
        <v>39221.765120662996</v>
      </c>
      <c r="AO108">
        <v>39661.73127622348</v>
      </c>
      <c r="AP108">
        <v>38852.952655794339</v>
      </c>
      <c r="AQ108">
        <v>38647.270527561494</v>
      </c>
      <c r="AR108">
        <v>39731.79536863041</v>
      </c>
      <c r="AS108">
        <v>39748.983772584856</v>
      </c>
      <c r="AT108">
        <v>39690.367679462499</v>
      </c>
      <c r="AU108">
        <v>40152.12826356414</v>
      </c>
      <c r="AV108">
        <v>40986.722571049679</v>
      </c>
      <c r="AW108">
        <v>41740.352036905009</v>
      </c>
      <c r="AX108">
        <v>42358.933734825281</v>
      </c>
      <c r="AY108">
        <v>43041.569705802103</v>
      </c>
      <c r="AZ108">
        <v>42518.842340841715</v>
      </c>
      <c r="BA108">
        <v>39999.946420340762</v>
      </c>
      <c r="BB108">
        <v>41647.04585420082</v>
      </c>
      <c r="BC108">
        <v>41640.660872125074</v>
      </c>
      <c r="BD108">
        <v>42394.943317506404</v>
      </c>
      <c r="BE108">
        <v>43304.118193142582</v>
      </c>
      <c r="BF108">
        <v>43754.438013293038</v>
      </c>
      <c r="BG108">
        <v>44589.303285400296</v>
      </c>
      <c r="BH108">
        <v>44926.620290952516</v>
      </c>
      <c r="BI108">
        <v>45693.377608098708</v>
      </c>
      <c r="BJ108">
        <v>46133.022597871779</v>
      </c>
      <c r="BK108">
        <v>46055.349867248704</v>
      </c>
      <c r="BL108">
        <v>44212.550341572372</v>
      </c>
      <c r="BM108">
        <v>45999.461796689553</v>
      </c>
      <c r="BN108">
        <v>46819.360613609024</v>
      </c>
      <c r="BO108">
        <v>47387.217254252326</v>
      </c>
      <c r="BP108">
        <v>47479.844854566749</v>
      </c>
      <c r="BQ108">
        <v>48283.372395946462</v>
      </c>
      <c r="BR108">
        <f t="shared" si="2"/>
        <v>1.2188063457891696</v>
      </c>
    </row>
    <row r="109" spans="1:70" x14ac:dyDescent="0.25">
      <c r="A109" t="s">
        <v>114</v>
      </c>
      <c r="B109" t="s">
        <v>612</v>
      </c>
      <c r="C109" t="s">
        <v>434</v>
      </c>
      <c r="AH109">
        <v>8241.8047865525423</v>
      </c>
      <c r="AI109">
        <v>7747.1437856888615</v>
      </c>
      <c r="AJ109">
        <v>8402.6803141069358</v>
      </c>
      <c r="AK109">
        <v>8334.8140307915219</v>
      </c>
      <c r="AL109">
        <v>8339.8842771017698</v>
      </c>
      <c r="AM109">
        <v>8501.619058298762</v>
      </c>
      <c r="AN109">
        <v>8395.6320871851221</v>
      </c>
      <c r="AO109">
        <v>8443.4814636198153</v>
      </c>
      <c r="AP109">
        <v>8499.0768980478115</v>
      </c>
      <c r="AQ109">
        <v>8600.3694391514564</v>
      </c>
      <c r="AR109">
        <v>8781.6090474422817</v>
      </c>
      <c r="AS109">
        <v>9056.1944728190156</v>
      </c>
      <c r="AT109">
        <v>9380.1132412427123</v>
      </c>
      <c r="AU109">
        <v>9556.481637120527</v>
      </c>
      <c r="AV109">
        <v>10127.8527547101</v>
      </c>
      <c r="AW109">
        <v>10684.94242285383</v>
      </c>
      <c r="AX109">
        <v>10834.873726791497</v>
      </c>
      <c r="AY109">
        <v>11034.292217681334</v>
      </c>
      <c r="AZ109">
        <v>11555.728825835016</v>
      </c>
      <c r="BA109">
        <v>11888.661721258193</v>
      </c>
      <c r="BB109">
        <v>11942.572010795997</v>
      </c>
      <c r="BC109">
        <v>11988.496311081499</v>
      </c>
      <c r="BD109">
        <v>12104.1217423938</v>
      </c>
      <c r="BE109">
        <v>11804.122533512615</v>
      </c>
      <c r="BF109">
        <v>11086.690548751294</v>
      </c>
      <c r="BG109">
        <v>10469.630630222546</v>
      </c>
      <c r="BH109">
        <v>10197.504499061683</v>
      </c>
      <c r="BI109">
        <v>10220.49278119301</v>
      </c>
      <c r="BJ109">
        <v>10183.024836623525</v>
      </c>
      <c r="BK109">
        <v>10168.358852353691</v>
      </c>
      <c r="BL109">
        <v>9872.3094512324969</v>
      </c>
      <c r="BM109">
        <v>10056.561126123857</v>
      </c>
      <c r="BN109">
        <v>10158.473877152373</v>
      </c>
      <c r="BO109">
        <v>10308.782198633686</v>
      </c>
      <c r="BP109">
        <v>10468.265334283968</v>
      </c>
      <c r="BQ109">
        <v>10794.240268773185</v>
      </c>
      <c r="BR109">
        <f t="shared" si="2"/>
        <v>1.7854370514076123</v>
      </c>
    </row>
    <row r="110" spans="1:70" x14ac:dyDescent="0.25">
      <c r="A110" t="s">
        <v>116</v>
      </c>
      <c r="B110" t="s">
        <v>501</v>
      </c>
      <c r="C110" t="s">
        <v>434</v>
      </c>
      <c r="AH110">
        <v>16837.690749004014</v>
      </c>
      <c r="AI110">
        <v>14877.527354126947</v>
      </c>
      <c r="AJ110">
        <v>14045.103578037517</v>
      </c>
      <c r="AK110">
        <v>12795.874642537241</v>
      </c>
      <c r="AL110">
        <v>11334.9831283773</v>
      </c>
      <c r="AM110">
        <v>10600.330227009465</v>
      </c>
      <c r="AN110">
        <v>10857.435389873674</v>
      </c>
      <c r="AO110">
        <v>11298.580549709504</v>
      </c>
      <c r="AP110">
        <v>11364.030780931535</v>
      </c>
      <c r="AQ110">
        <v>11815.773211542943</v>
      </c>
      <c r="AR110">
        <v>12935.864368307984</v>
      </c>
      <c r="AS110">
        <v>14612.029005049815</v>
      </c>
      <c r="AT110">
        <v>15960.873845001312</v>
      </c>
      <c r="AU110">
        <v>17344.752672995</v>
      </c>
      <c r="AV110">
        <v>18886.581190812161</v>
      </c>
      <c r="AW110">
        <v>20565.529447086552</v>
      </c>
      <c r="AX110">
        <v>22574.342957766508</v>
      </c>
      <c r="AY110">
        <v>24351.346410254195</v>
      </c>
      <c r="AZ110">
        <v>24895.664568324533</v>
      </c>
      <c r="BA110">
        <v>24901.352726008372</v>
      </c>
      <c r="BB110">
        <v>26374.840767279456</v>
      </c>
      <c r="BC110">
        <v>27946.160343294392</v>
      </c>
      <c r="BD110">
        <v>28881.241756372758</v>
      </c>
      <c r="BE110">
        <v>30177.488722173581</v>
      </c>
      <c r="BF110">
        <v>30986.437916899453</v>
      </c>
      <c r="BG110">
        <v>30893.759485104136</v>
      </c>
      <c r="BH110">
        <v>30758.322726059785</v>
      </c>
      <c r="BI110">
        <v>31524.441633979397</v>
      </c>
      <c r="BJ110">
        <v>32330.22745465675</v>
      </c>
      <c r="BK110">
        <v>33298.212369503453</v>
      </c>
      <c r="BL110">
        <v>32011.549149900398</v>
      </c>
      <c r="BM110">
        <v>32945.851572582309</v>
      </c>
      <c r="BN110">
        <v>33506.261489323741</v>
      </c>
      <c r="BO110">
        <v>34703.234928660357</v>
      </c>
      <c r="BP110">
        <v>35973.963328701713</v>
      </c>
      <c r="BQ110">
        <v>37850.579104298376</v>
      </c>
      <c r="BR110">
        <f t="shared" si="2"/>
        <v>3.5304132989559367</v>
      </c>
    </row>
    <row r="111" spans="1:70" x14ac:dyDescent="0.25">
      <c r="A111" t="s">
        <v>117</v>
      </c>
      <c r="B111" t="s">
        <v>651</v>
      </c>
      <c r="C111" t="s">
        <v>434</v>
      </c>
      <c r="AH111">
        <v>4177.4860331034552</v>
      </c>
      <c r="AI111">
        <v>4102.4767751296513</v>
      </c>
      <c r="AJ111">
        <v>3946.8409343785079</v>
      </c>
      <c r="AK111">
        <v>3844.9202978359858</v>
      </c>
      <c r="AL111">
        <v>3833.2235783858864</v>
      </c>
      <c r="AM111">
        <v>3890.0985511465019</v>
      </c>
      <c r="AN111">
        <v>3941.4091948135328</v>
      </c>
      <c r="AO111">
        <v>3853.3713928035449</v>
      </c>
      <c r="AP111">
        <v>3871.821763224465</v>
      </c>
      <c r="AQ111">
        <v>3848.464706127269</v>
      </c>
      <c r="AR111">
        <v>3756.6362229687893</v>
      </c>
      <c r="AS111">
        <v>3778.2585475561496</v>
      </c>
      <c r="AT111">
        <v>3681.2569427490953</v>
      </c>
      <c r="AU111">
        <v>3674.0859275840858</v>
      </c>
      <c r="AV111">
        <v>3743.5678573692949</v>
      </c>
      <c r="AW111">
        <v>3844.7355712057783</v>
      </c>
      <c r="AX111">
        <v>3970.7334988768539</v>
      </c>
      <c r="AY111">
        <v>4116.4509472085629</v>
      </c>
      <c r="AZ111">
        <v>4002.8836407379158</v>
      </c>
      <c r="BA111">
        <v>4012.1942838239715</v>
      </c>
      <c r="BB111">
        <v>4211.5246295778406</v>
      </c>
      <c r="BC111">
        <v>4307.1061155685848</v>
      </c>
      <c r="BD111">
        <v>4387.9379007540856</v>
      </c>
      <c r="BE111">
        <v>4443.3712156819984</v>
      </c>
      <c r="BF111">
        <v>4558.5515526637364</v>
      </c>
      <c r="BG111">
        <v>4679.6218283193821</v>
      </c>
      <c r="BH111">
        <v>4770.3104638808591</v>
      </c>
      <c r="BI111">
        <v>4846.8621085193163</v>
      </c>
      <c r="BJ111">
        <v>5017.6678467466381</v>
      </c>
      <c r="BK111">
        <v>5171.7126427925723</v>
      </c>
      <c r="BL111">
        <v>5057.4011553742866</v>
      </c>
      <c r="BM111">
        <v>5338.852433827813</v>
      </c>
      <c r="BN111">
        <v>5491.6937828024566</v>
      </c>
      <c r="BO111">
        <v>5691.8251347441656</v>
      </c>
      <c r="BP111">
        <v>5841.5986600170563</v>
      </c>
      <c r="BQ111">
        <v>5995.4017789563186</v>
      </c>
      <c r="BR111">
        <f t="shared" si="2"/>
        <v>2.9419981478628232</v>
      </c>
    </row>
    <row r="112" spans="1:70" x14ac:dyDescent="0.25">
      <c r="A112" t="s">
        <v>119</v>
      </c>
      <c r="B112" t="s">
        <v>690</v>
      </c>
      <c r="C112" t="s">
        <v>434</v>
      </c>
      <c r="AH112">
        <v>2213.8238379325944</v>
      </c>
      <c r="AI112">
        <v>2047.4160630939555</v>
      </c>
      <c r="AJ112">
        <v>2496.3162110354642</v>
      </c>
      <c r="AK112">
        <v>2455.76448938155</v>
      </c>
      <c r="AL112">
        <v>2469.0375042761893</v>
      </c>
      <c r="AM112">
        <v>2499.1077818147692</v>
      </c>
      <c r="AN112">
        <v>2455.8156939741925</v>
      </c>
      <c r="AO112">
        <v>2439.7226744409977</v>
      </c>
      <c r="AP112">
        <v>2503.182758617435</v>
      </c>
      <c r="AQ112">
        <v>2364.6491323115297</v>
      </c>
      <c r="AR112">
        <v>2481.7331832979389</v>
      </c>
      <c r="AS112">
        <v>2357.8839642501616</v>
      </c>
      <c r="AT112">
        <v>2341.9955773332799</v>
      </c>
      <c r="AU112">
        <v>2258.3231374412526</v>
      </c>
      <c r="AV112">
        <v>2199.9525827234174</v>
      </c>
      <c r="AW112">
        <v>2184.0609440880762</v>
      </c>
      <c r="AX112">
        <v>2264.4516846112983</v>
      </c>
      <c r="AY112">
        <v>2286.7394369311105</v>
      </c>
      <c r="AZ112">
        <v>2172.6360174465585</v>
      </c>
      <c r="BA112">
        <v>2138.239874250407</v>
      </c>
      <c r="BB112">
        <v>2119.9117670620381</v>
      </c>
      <c r="BC112">
        <v>2150.6585443416598</v>
      </c>
      <c r="BD112">
        <v>2242.3010576500565</v>
      </c>
      <c r="BE112">
        <v>2382.6755947411179</v>
      </c>
      <c r="BF112">
        <v>2381.6534925316791</v>
      </c>
      <c r="BG112">
        <v>2616.1763591171066</v>
      </c>
      <c r="BH112">
        <v>2762.2874103985368</v>
      </c>
      <c r="BI112">
        <v>2822.0209229628358</v>
      </c>
      <c r="BJ112">
        <v>2875.4176634116629</v>
      </c>
      <c r="BK112">
        <v>2926.5936647585463</v>
      </c>
      <c r="BL112">
        <v>2839.1727462256326</v>
      </c>
      <c r="BM112">
        <v>3024.210296656343</v>
      </c>
      <c r="BN112">
        <v>3127.1774538155555</v>
      </c>
      <c r="BO112">
        <v>3175.024757289033</v>
      </c>
      <c r="BP112">
        <v>3275.0018663043302</v>
      </c>
      <c r="BQ112">
        <v>3363.995213267664</v>
      </c>
      <c r="BR112">
        <f t="shared" si="2"/>
        <v>2.6977302767943634</v>
      </c>
    </row>
    <row r="113" spans="1:70" x14ac:dyDescent="0.25">
      <c r="A113" t="s">
        <v>120</v>
      </c>
      <c r="B113" t="s">
        <v>720</v>
      </c>
      <c r="C113" t="s">
        <v>434</v>
      </c>
      <c r="BQ113" s="200"/>
      <c r="BR113">
        <v>0</v>
      </c>
    </row>
    <row r="114" spans="1:70" x14ac:dyDescent="0.25">
      <c r="A114" t="s">
        <v>121</v>
      </c>
      <c r="B114" t="s">
        <v>466</v>
      </c>
      <c r="C114" t="s">
        <v>434</v>
      </c>
      <c r="AH114">
        <v>14377.883920326758</v>
      </c>
      <c r="AI114">
        <v>15784.466866997396</v>
      </c>
      <c r="AJ114">
        <v>16613.490701598301</v>
      </c>
      <c r="AK114">
        <v>17595.903614843217</v>
      </c>
      <c r="AL114">
        <v>19052.299092626385</v>
      </c>
      <c r="AM114">
        <v>20697.896980834459</v>
      </c>
      <c r="AN114">
        <v>22139.796378541439</v>
      </c>
      <c r="AO114">
        <v>23311.042090174091</v>
      </c>
      <c r="AP114">
        <v>22000.338760351558</v>
      </c>
      <c r="AQ114">
        <v>24382.250851736924</v>
      </c>
      <c r="AR114">
        <v>26404.158857574548</v>
      </c>
      <c r="AS114">
        <v>27440.656491584657</v>
      </c>
      <c r="AT114">
        <v>29395.276603679624</v>
      </c>
      <c r="AU114">
        <v>30142.46055858137</v>
      </c>
      <c r="AV114">
        <v>31579.528304886684</v>
      </c>
      <c r="AW114">
        <v>32886.047245074304</v>
      </c>
      <c r="AX114">
        <v>34429.622201313716</v>
      </c>
      <c r="AY114">
        <v>36257.340168970164</v>
      </c>
      <c r="AZ114">
        <v>37064.151848410649</v>
      </c>
      <c r="BA114">
        <v>37176.193927096872</v>
      </c>
      <c r="BB114">
        <v>39574.050073294682</v>
      </c>
      <c r="BC114">
        <v>40719.227377167073</v>
      </c>
      <c r="BD114">
        <v>41537.672861111678</v>
      </c>
      <c r="BE114">
        <v>42709.975185788724</v>
      </c>
      <c r="BF114">
        <v>43806.925098566084</v>
      </c>
      <c r="BG114">
        <v>44849.106767088953</v>
      </c>
      <c r="BH114">
        <v>46088.243078538326</v>
      </c>
      <c r="BI114">
        <v>47536.789856885116</v>
      </c>
      <c r="BJ114">
        <v>48834.447115773335</v>
      </c>
      <c r="BK114">
        <v>49790.867988482147</v>
      </c>
      <c r="BL114">
        <v>49374.092614802532</v>
      </c>
      <c r="BM114">
        <v>51718.251865663115</v>
      </c>
      <c r="BN114">
        <v>53228.603565536541</v>
      </c>
      <c r="BO114">
        <v>54029.343499078503</v>
      </c>
      <c r="BP114">
        <v>55070.938619412125</v>
      </c>
      <c r="BQ114">
        <v>55697.08480863279</v>
      </c>
      <c r="BR114">
        <f t="shared" ref="BR114:BR128" si="3">(((BQ114/BM114)^(1/4))-1)*100</f>
        <v>1.870199573101794</v>
      </c>
    </row>
    <row r="115" spans="1:70" x14ac:dyDescent="0.25">
      <c r="A115" t="s">
        <v>122</v>
      </c>
      <c r="B115" t="s">
        <v>581</v>
      </c>
      <c r="C115" t="s">
        <v>434</v>
      </c>
      <c r="AZ115">
        <v>7098.4030190904205</v>
      </c>
      <c r="BA115">
        <v>7481.4588983278454</v>
      </c>
      <c r="BB115">
        <v>7877.10199850556</v>
      </c>
      <c r="BC115">
        <v>8359.9362147933571</v>
      </c>
      <c r="BD115">
        <v>8431.6623269465654</v>
      </c>
      <c r="BE115">
        <v>8828.2768325163815</v>
      </c>
      <c r="BF115">
        <v>9150.7499729388255</v>
      </c>
      <c r="BG115">
        <v>9824.9910595531856</v>
      </c>
      <c r="BH115">
        <v>10434.888825926791</v>
      </c>
      <c r="BI115">
        <v>10856.290207423901</v>
      </c>
      <c r="BJ115">
        <v>11188.224462796632</v>
      </c>
      <c r="BK115">
        <v>11774.117851090836</v>
      </c>
      <c r="BL115">
        <v>11137.502856040395</v>
      </c>
      <c r="BM115">
        <v>12362.421018121306</v>
      </c>
      <c r="BN115">
        <v>13022.462744150202</v>
      </c>
      <c r="BO115">
        <v>14240.203032036463</v>
      </c>
      <c r="BP115">
        <v>15716.292556458633</v>
      </c>
      <c r="BQ115">
        <v>16461.294363118843</v>
      </c>
      <c r="BR115">
        <f t="shared" si="3"/>
        <v>7.4212280051688229</v>
      </c>
    </row>
    <row r="116" spans="1:70" x14ac:dyDescent="0.25">
      <c r="A116" t="s">
        <v>123</v>
      </c>
      <c r="B116" t="s">
        <v>482</v>
      </c>
      <c r="C116" t="s">
        <v>434</v>
      </c>
      <c r="AH116">
        <v>38932.94352751461</v>
      </c>
      <c r="AI116">
        <v>28633.969592246543</v>
      </c>
      <c r="AJ116">
        <v>43266.932865167561</v>
      </c>
      <c r="AK116">
        <v>56684.186330939498</v>
      </c>
      <c r="AL116">
        <v>61753.848999006506</v>
      </c>
      <c r="AM116">
        <v>64093.517877894927</v>
      </c>
      <c r="AN116">
        <v>62665.224353642501</v>
      </c>
      <c r="AO116">
        <v>62151.951827033285</v>
      </c>
      <c r="AP116">
        <v>62450.088442476452</v>
      </c>
      <c r="AQ116">
        <v>59533.95427524524</v>
      </c>
      <c r="AR116">
        <v>60585.302678816362</v>
      </c>
      <c r="AS116">
        <v>59099.665313360099</v>
      </c>
      <c r="AT116">
        <v>59348.617274156495</v>
      </c>
      <c r="AU116">
        <v>67984.314506255381</v>
      </c>
      <c r="AV116">
        <v>73298.06218194768</v>
      </c>
      <c r="AW116">
        <v>78193.901212758545</v>
      </c>
      <c r="AX116">
        <v>79521.348433845473</v>
      </c>
      <c r="AY116">
        <v>79474.761134637665</v>
      </c>
      <c r="AZ116">
        <v>77036.50838330554</v>
      </c>
      <c r="BA116">
        <v>67896.268045199497</v>
      </c>
      <c r="BB116">
        <v>62956.215290412503</v>
      </c>
      <c r="BC116">
        <v>64844.501901940814</v>
      </c>
      <c r="BD116">
        <v>64908.262639237</v>
      </c>
      <c r="BE116">
        <v>62458.808922124896</v>
      </c>
      <c r="BF116">
        <v>60065.654407623202</v>
      </c>
      <c r="BG116">
        <v>57763.517457439535</v>
      </c>
      <c r="BH116">
        <v>56936.620842725977</v>
      </c>
      <c r="BI116">
        <v>52285.587117569565</v>
      </c>
      <c r="BJ116">
        <v>51623.807862205234</v>
      </c>
      <c r="BK116">
        <v>51380.64553546314</v>
      </c>
      <c r="BL116">
        <v>49372.818793855236</v>
      </c>
      <c r="BM116">
        <v>50651.957533709123</v>
      </c>
      <c r="BN116">
        <v>51379.883319411863</v>
      </c>
      <c r="BO116">
        <v>47790.193323914384</v>
      </c>
      <c r="BP116">
        <v>46664.219511605632</v>
      </c>
      <c r="BQ116">
        <v>48253.963885132005</v>
      </c>
      <c r="BR116">
        <f t="shared" si="3"/>
        <v>-1.2051763863423104</v>
      </c>
    </row>
    <row r="117" spans="1:70" x14ac:dyDescent="0.25">
      <c r="A117" t="s">
        <v>124</v>
      </c>
      <c r="B117" t="s">
        <v>635</v>
      </c>
      <c r="C117" t="s">
        <v>434</v>
      </c>
      <c r="AH117">
        <v>6095.6810861023469</v>
      </c>
      <c r="AI117">
        <v>5520.4297989131346</v>
      </c>
      <c r="AJ117">
        <v>4701.991380986582</v>
      </c>
      <c r="AK117">
        <v>3973.8832393103271</v>
      </c>
      <c r="AL117">
        <v>3176.9238188272625</v>
      </c>
      <c r="AM117">
        <v>2974.7116389129437</v>
      </c>
      <c r="AN117">
        <v>3138.6661567111446</v>
      </c>
      <c r="AO117">
        <v>3399.9342712666498</v>
      </c>
      <c r="AP117">
        <v>3419.2233073621487</v>
      </c>
      <c r="AQ117">
        <v>3491.9377326874055</v>
      </c>
      <c r="AR117">
        <v>3638.4631429222695</v>
      </c>
      <c r="AS117">
        <v>3795.8905934412901</v>
      </c>
      <c r="AT117">
        <v>3760.5323996525699</v>
      </c>
      <c r="AU117">
        <v>3982.9272201780163</v>
      </c>
      <c r="AV117">
        <v>4211.5224830785719</v>
      </c>
      <c r="AW117">
        <v>4156.9584923011571</v>
      </c>
      <c r="AX117">
        <v>4240.1701779755431</v>
      </c>
      <c r="AY117">
        <v>4558.7126789417189</v>
      </c>
      <c r="AZ117">
        <v>4894.9427801376032</v>
      </c>
      <c r="BA117">
        <v>4969.9613272037359</v>
      </c>
      <c r="BB117">
        <v>4876.4796488648326</v>
      </c>
      <c r="BC117">
        <v>5092.851657516775</v>
      </c>
      <c r="BD117">
        <v>4993.394316835278</v>
      </c>
      <c r="BE117">
        <v>5418.5406199393456</v>
      </c>
      <c r="BF117">
        <v>5513.7544695252027</v>
      </c>
      <c r="BG117">
        <v>5600.214334284603</v>
      </c>
      <c r="BH117">
        <v>5715.0104117900328</v>
      </c>
      <c r="BI117">
        <v>5861.2220004050323</v>
      </c>
      <c r="BJ117">
        <v>5951.8287675860565</v>
      </c>
      <c r="BK117">
        <v>6087.6019382692702</v>
      </c>
      <c r="BL117">
        <v>5537.7954731937698</v>
      </c>
      <c r="BM117">
        <v>5736.4788341515405</v>
      </c>
      <c r="BN117">
        <v>6139.7778882500606</v>
      </c>
      <c r="BO117">
        <v>6575.775412904989</v>
      </c>
      <c r="BP117">
        <v>7210.576698304988</v>
      </c>
      <c r="BQ117">
        <v>7878.4491366965976</v>
      </c>
      <c r="BR117">
        <f t="shared" si="3"/>
        <v>8.2552170257505608</v>
      </c>
    </row>
    <row r="118" spans="1:70" x14ac:dyDescent="0.25">
      <c r="A118" t="s">
        <v>125</v>
      </c>
      <c r="B118" t="s">
        <v>629</v>
      </c>
      <c r="C118" t="s">
        <v>434</v>
      </c>
      <c r="AH118">
        <v>2005.5004941040083</v>
      </c>
      <c r="AI118">
        <v>2033.5825830328113</v>
      </c>
      <c r="AJ118">
        <v>2088.0200408323808</v>
      </c>
      <c r="AK118">
        <v>2152.2765966407028</v>
      </c>
      <c r="AL118">
        <v>2267.7821552139662</v>
      </c>
      <c r="AM118">
        <v>2368.0547518253579</v>
      </c>
      <c r="AN118">
        <v>2473.772857531485</v>
      </c>
      <c r="AO118">
        <v>2589.2076286410147</v>
      </c>
      <c r="AP118">
        <v>2642.5661869958517</v>
      </c>
      <c r="AQ118">
        <v>2786.5203970347116</v>
      </c>
      <c r="AR118">
        <v>2899.0196187974789</v>
      </c>
      <c r="AS118">
        <v>3015.6325848061415</v>
      </c>
      <c r="AT118">
        <v>3143.2232757955639</v>
      </c>
      <c r="AU118">
        <v>3282.9853971272037</v>
      </c>
      <c r="AV118">
        <v>3441.169997065153</v>
      </c>
      <c r="AW118">
        <v>3630.5587876937802</v>
      </c>
      <c r="AX118">
        <v>3881.5373663265686</v>
      </c>
      <c r="AY118">
        <v>4112.2530165975923</v>
      </c>
      <c r="AZ118">
        <v>4367.1628802570049</v>
      </c>
      <c r="BA118">
        <v>4625.0717332451795</v>
      </c>
      <c r="BB118">
        <v>4946.1056367817255</v>
      </c>
      <c r="BC118">
        <v>5266.8786692420572</v>
      </c>
      <c r="BD118">
        <v>5608.9695633705942</v>
      </c>
      <c r="BE118">
        <v>5974.4736894341358</v>
      </c>
      <c r="BF118">
        <v>6341.2122967031955</v>
      </c>
      <c r="BG118">
        <v>6703.7412434888529</v>
      </c>
      <c r="BH118">
        <v>7063.2554534792616</v>
      </c>
      <c r="BI118">
        <v>7432.4596330484956</v>
      </c>
      <c r="BJ118">
        <v>7775.0857445188303</v>
      </c>
      <c r="BK118">
        <v>8075.2750237700275</v>
      </c>
      <c r="BL118">
        <v>7995.5950252781777</v>
      </c>
      <c r="BM118">
        <v>8080.4355324992312</v>
      </c>
      <c r="BN118">
        <v>8183.032864726526</v>
      </c>
      <c r="BO118">
        <v>8372.1559187440653</v>
      </c>
      <c r="BP118">
        <v>8600.3245466568023</v>
      </c>
      <c r="BQ118">
        <v>8872.69396186433</v>
      </c>
      <c r="BR118">
        <f t="shared" si="3"/>
        <v>2.3658702964039824</v>
      </c>
    </row>
    <row r="119" spans="1:70" x14ac:dyDescent="0.25">
      <c r="A119" t="s">
        <v>523</v>
      </c>
      <c r="B119" t="s">
        <v>524</v>
      </c>
      <c r="C119" t="s">
        <v>434</v>
      </c>
      <c r="AH119">
        <v>6637.560411376222</v>
      </c>
      <c r="AI119">
        <v>6502.0514931843263</v>
      </c>
      <c r="AJ119">
        <v>6288.4796540452744</v>
      </c>
      <c r="AK119">
        <v>6354.6614716896074</v>
      </c>
      <c r="AL119">
        <v>6414.7862614147725</v>
      </c>
      <c r="AM119">
        <v>6631.6174203421142</v>
      </c>
      <c r="AN119">
        <v>6837.4561366066418</v>
      </c>
      <c r="AO119">
        <v>7097.3222817413862</v>
      </c>
      <c r="AP119">
        <v>7146.0539518381429</v>
      </c>
      <c r="AQ119">
        <v>7403.9845353475775</v>
      </c>
      <c r="AR119">
        <v>7865.4022386998904</v>
      </c>
      <c r="AS119">
        <v>8198.5317113803703</v>
      </c>
      <c r="AT119">
        <v>8615.3540440271718</v>
      </c>
      <c r="AU119">
        <v>9138.1882094094308</v>
      </c>
      <c r="AV119">
        <v>9802.5507979405738</v>
      </c>
      <c r="AW119">
        <v>10466.043160771149</v>
      </c>
      <c r="AX119">
        <v>11333.09244087522</v>
      </c>
      <c r="AY119">
        <v>12361.211635447349</v>
      </c>
      <c r="AZ119">
        <v>13098.096030993182</v>
      </c>
      <c r="BA119">
        <v>13334.547325250751</v>
      </c>
      <c r="BB119">
        <v>14254.506050590535</v>
      </c>
      <c r="BC119">
        <v>15116.234437969966</v>
      </c>
      <c r="BD119">
        <v>15849.97973931587</v>
      </c>
      <c r="BE119">
        <v>16550.760876501179</v>
      </c>
      <c r="BF119">
        <v>17214.826607085095</v>
      </c>
      <c r="BG119">
        <v>17784.062853122796</v>
      </c>
      <c r="BH119">
        <v>18377.058423676364</v>
      </c>
      <c r="BI119">
        <v>19161.683668369093</v>
      </c>
      <c r="BJ119">
        <v>20046.522367508565</v>
      </c>
      <c r="BK119">
        <v>20852.882449056822</v>
      </c>
      <c r="BL119">
        <v>20730.002998216241</v>
      </c>
      <c r="BM119">
        <v>22189.762283747121</v>
      </c>
      <c r="BN119">
        <v>22842.793052075667</v>
      </c>
      <c r="BO119">
        <v>23803.152019217909</v>
      </c>
      <c r="BP119">
        <v>24850.171660662512</v>
      </c>
      <c r="BQ119">
        <v>25875.731462257674</v>
      </c>
      <c r="BR119">
        <f t="shared" si="3"/>
        <v>3.9166161767067997</v>
      </c>
    </row>
    <row r="120" spans="1:70" x14ac:dyDescent="0.25">
      <c r="A120" t="s">
        <v>554</v>
      </c>
      <c r="B120" t="s">
        <v>555</v>
      </c>
      <c r="C120" t="s">
        <v>434</v>
      </c>
      <c r="AH120">
        <v>12425.578091407086</v>
      </c>
      <c r="AI120">
        <v>12603.571424985312</v>
      </c>
      <c r="AJ120">
        <v>12734.920043757702</v>
      </c>
      <c r="AK120">
        <v>13103.048383076248</v>
      </c>
      <c r="AL120">
        <v>13570.07464084009</v>
      </c>
      <c r="AM120">
        <v>13463.69441207327</v>
      </c>
      <c r="AN120">
        <v>13773.172595095475</v>
      </c>
      <c r="AO120">
        <v>14298.023032541214</v>
      </c>
      <c r="AP120">
        <v>14501.277370462238</v>
      </c>
      <c r="AQ120">
        <v>14363.687175834953</v>
      </c>
      <c r="AR120">
        <v>14662.980093580047</v>
      </c>
      <c r="AS120">
        <v>14517.498100116462</v>
      </c>
      <c r="AT120">
        <v>14398.147298388927</v>
      </c>
      <c r="AU120">
        <v>14567.691251087987</v>
      </c>
      <c r="AV120">
        <v>15159.854646283688</v>
      </c>
      <c r="AW120">
        <v>15565.175023935632</v>
      </c>
      <c r="AX120">
        <v>16172.051802345144</v>
      </c>
      <c r="AY120">
        <v>16820.28012529129</v>
      </c>
      <c r="AZ120">
        <v>17242.645497862904</v>
      </c>
      <c r="BA120">
        <v>16665.102016441837</v>
      </c>
      <c r="BB120">
        <v>17550.737787002385</v>
      </c>
      <c r="BC120">
        <v>18150.588254877523</v>
      </c>
      <c r="BD120">
        <v>18433.738734581933</v>
      </c>
      <c r="BE120">
        <v>18766.917591693975</v>
      </c>
      <c r="BF120">
        <v>18852.428112521902</v>
      </c>
      <c r="BG120">
        <v>18762.903987816451</v>
      </c>
      <c r="BH120">
        <v>18550.872917397846</v>
      </c>
      <c r="BI120">
        <v>18744.624285512291</v>
      </c>
      <c r="BJ120">
        <v>18893.7989523752</v>
      </c>
      <c r="BK120">
        <v>18883.186861830342</v>
      </c>
      <c r="BL120">
        <v>17508.617335059724</v>
      </c>
      <c r="BM120">
        <v>18696.321034168253</v>
      </c>
      <c r="BN120">
        <v>19355.076686044391</v>
      </c>
      <c r="BO120">
        <v>19651.733389066307</v>
      </c>
      <c r="BP120">
        <v>19954.149659501894</v>
      </c>
      <c r="BQ120">
        <v>20286.728493650033</v>
      </c>
      <c r="BR120">
        <f t="shared" si="3"/>
        <v>2.0619742806555541</v>
      </c>
    </row>
    <row r="121" spans="1:70" x14ac:dyDescent="0.25">
      <c r="A121" t="s">
        <v>561</v>
      </c>
      <c r="B121" t="s">
        <v>562</v>
      </c>
      <c r="C121" t="s">
        <v>434</v>
      </c>
      <c r="AH121">
        <v>12355.305499023923</v>
      </c>
      <c r="AI121">
        <v>12513.82604217303</v>
      </c>
      <c r="AJ121">
        <v>12586.804509548614</v>
      </c>
      <c r="AK121">
        <v>12942.12536677278</v>
      </c>
      <c r="AL121">
        <v>13406.28967782612</v>
      </c>
      <c r="AM121">
        <v>13245.829807958718</v>
      </c>
      <c r="AN121">
        <v>13535.386390350197</v>
      </c>
      <c r="AO121">
        <v>14033.900499570093</v>
      </c>
      <c r="AP121">
        <v>14203.269758885726</v>
      </c>
      <c r="AQ121">
        <v>14044.879535247243</v>
      </c>
      <c r="AR121">
        <v>14331.783914857508</v>
      </c>
      <c r="AS121">
        <v>14150.317472249682</v>
      </c>
      <c r="AT121">
        <v>14013.313930793061</v>
      </c>
      <c r="AU121">
        <v>14161.091913373213</v>
      </c>
      <c r="AV121">
        <v>14714.188955877125</v>
      </c>
      <c r="AW121">
        <v>15100.94077559485</v>
      </c>
      <c r="AX121">
        <v>15689.214406546267</v>
      </c>
      <c r="AY121">
        <v>16321.83218117567</v>
      </c>
      <c r="AZ121">
        <v>16733.096469667042</v>
      </c>
      <c r="BA121">
        <v>16146.61587451042</v>
      </c>
      <c r="BB121">
        <v>17037.127166253711</v>
      </c>
      <c r="BC121">
        <v>17612.852937870925</v>
      </c>
      <c r="BD121">
        <v>17843.91035831079</v>
      </c>
      <c r="BE121">
        <v>18162.107032156244</v>
      </c>
      <c r="BF121">
        <v>18231.555634980796</v>
      </c>
      <c r="BG121">
        <v>18116.877549423643</v>
      </c>
      <c r="BH121">
        <v>17879.61609600416</v>
      </c>
      <c r="BI121">
        <v>18078.295912422884</v>
      </c>
      <c r="BJ121">
        <v>18213.623266492668</v>
      </c>
      <c r="BK121">
        <v>18195.667922018747</v>
      </c>
      <c r="BL121">
        <v>16883.608310471773</v>
      </c>
      <c r="BM121">
        <v>17991.128374997435</v>
      </c>
      <c r="BN121">
        <v>18604.963126486258</v>
      </c>
      <c r="BO121">
        <v>18872.998909663656</v>
      </c>
      <c r="BP121">
        <v>19114.96365732839</v>
      </c>
      <c r="BQ121">
        <v>19409.306257619595</v>
      </c>
      <c r="BR121">
        <f t="shared" si="3"/>
        <v>1.9149516035747771</v>
      </c>
    </row>
    <row r="122" spans="1:70" x14ac:dyDescent="0.25">
      <c r="A122" t="s">
        <v>556</v>
      </c>
      <c r="B122" t="s">
        <v>557</v>
      </c>
      <c r="C122" t="s">
        <v>434</v>
      </c>
      <c r="AH122">
        <v>12390.78921159634</v>
      </c>
      <c r="AI122">
        <v>12567.6202754437</v>
      </c>
      <c r="AJ122">
        <v>12691.133851412134</v>
      </c>
      <c r="AK122">
        <v>13054.03145772688</v>
      </c>
      <c r="AL122">
        <v>13517.371160496654</v>
      </c>
      <c r="AM122">
        <v>13396.498693202819</v>
      </c>
      <c r="AN122">
        <v>13704.115778527068</v>
      </c>
      <c r="AO122">
        <v>14223.722962708387</v>
      </c>
      <c r="AP122">
        <v>14413.64907567063</v>
      </c>
      <c r="AQ122">
        <v>14256.960720327714</v>
      </c>
      <c r="AR122">
        <v>14549.337260814911</v>
      </c>
      <c r="AS122">
        <v>14382.138789053617</v>
      </c>
      <c r="AT122">
        <v>14257.72220315927</v>
      </c>
      <c r="AU122">
        <v>14430.216561198955</v>
      </c>
      <c r="AV122">
        <v>15003.82371665231</v>
      </c>
      <c r="AW122">
        <v>15420.291752364348</v>
      </c>
      <c r="AX122">
        <v>16038.286186990064</v>
      </c>
      <c r="AY122">
        <v>16696.621886876925</v>
      </c>
      <c r="AZ122">
        <v>17128.904316492582</v>
      </c>
      <c r="BA122">
        <v>16550.983318890707</v>
      </c>
      <c r="BB122">
        <v>17448.259832507403</v>
      </c>
      <c r="BC122">
        <v>18055.304275776885</v>
      </c>
      <c r="BD122">
        <v>18340.308934063134</v>
      </c>
      <c r="BE122">
        <v>18676.779922099653</v>
      </c>
      <c r="BF122">
        <v>18762.625753174929</v>
      </c>
      <c r="BG122">
        <v>18670.717514529031</v>
      </c>
      <c r="BH122">
        <v>18455.880143313258</v>
      </c>
      <c r="BI122">
        <v>18653.343310603581</v>
      </c>
      <c r="BJ122">
        <v>18808.060400197275</v>
      </c>
      <c r="BK122">
        <v>18791.171482265665</v>
      </c>
      <c r="BL122">
        <v>17418.680012511049</v>
      </c>
      <c r="BM122">
        <v>18609.119031764487</v>
      </c>
      <c r="BN122">
        <v>19259.412041102034</v>
      </c>
      <c r="BO122">
        <v>19551.741198181069</v>
      </c>
      <c r="BP122">
        <v>19845.125463095897</v>
      </c>
      <c r="BQ122">
        <v>20175.598289832276</v>
      </c>
      <c r="BR122">
        <f t="shared" si="3"/>
        <v>2.0411048054002956</v>
      </c>
    </row>
    <row r="123" spans="1:70" x14ac:dyDescent="0.25">
      <c r="A123" t="s">
        <v>126</v>
      </c>
      <c r="B123" t="s">
        <v>499</v>
      </c>
      <c r="C123" t="s">
        <v>434</v>
      </c>
      <c r="AH123">
        <v>17508.78710053991</v>
      </c>
      <c r="AI123">
        <v>15376.091185813657</v>
      </c>
      <c r="AJ123">
        <v>10582.207461645321</v>
      </c>
      <c r="AK123">
        <v>10255.141930156553</v>
      </c>
      <c r="AL123">
        <v>10656.609005477996</v>
      </c>
      <c r="AM123">
        <v>10707.514996900647</v>
      </c>
      <c r="AN123">
        <v>11077.861842259672</v>
      </c>
      <c r="AO123">
        <v>12215.015194018857</v>
      </c>
      <c r="AP123">
        <v>13138.40125242551</v>
      </c>
      <c r="AQ123">
        <v>13619.09879948504</v>
      </c>
      <c r="AR123">
        <v>14554.213172403686</v>
      </c>
      <c r="AS123">
        <v>15695.906718153012</v>
      </c>
      <c r="AT123">
        <v>17096.559444025501</v>
      </c>
      <c r="AU123">
        <v>18717.667552553768</v>
      </c>
      <c r="AV123">
        <v>20574.118201251044</v>
      </c>
      <c r="AW123">
        <v>23213.353935588064</v>
      </c>
      <c r="AX123">
        <v>26431.814022276652</v>
      </c>
      <c r="AY123">
        <v>29423.737123506282</v>
      </c>
      <c r="AZ123">
        <v>28726.972286952157</v>
      </c>
      <c r="BA123">
        <v>24520.679147548857</v>
      </c>
      <c r="BB123">
        <v>24119.73078489392</v>
      </c>
      <c r="BC123">
        <v>25308.732207462603</v>
      </c>
      <c r="BD123">
        <v>27496.545458363544</v>
      </c>
      <c r="BE123">
        <v>28375.184288726286</v>
      </c>
      <c r="BF123">
        <v>29243.741250262861</v>
      </c>
      <c r="BG123">
        <v>30599.613313414728</v>
      </c>
      <c r="BH123">
        <v>31668.51484426617</v>
      </c>
      <c r="BI123">
        <v>33036.391594343688</v>
      </c>
      <c r="BJ123">
        <v>34729.706276305653</v>
      </c>
      <c r="BK123">
        <v>35208.193459085865</v>
      </c>
      <c r="BL123">
        <v>34225.897604405814</v>
      </c>
      <c r="BM123">
        <v>36912.013060216064</v>
      </c>
      <c r="BN123">
        <v>37718.709795836723</v>
      </c>
      <c r="BO123">
        <v>37277.721722131726</v>
      </c>
      <c r="BP123">
        <v>37615.076245074364</v>
      </c>
      <c r="BQ123">
        <v>38800.542528187209</v>
      </c>
      <c r="BR123">
        <f t="shared" si="3"/>
        <v>1.2552422018385911</v>
      </c>
    </row>
    <row r="124" spans="1:70" x14ac:dyDescent="0.25">
      <c r="A124" t="s">
        <v>680</v>
      </c>
      <c r="B124" t="s">
        <v>681</v>
      </c>
      <c r="C124" t="s">
        <v>434</v>
      </c>
      <c r="AH124">
        <v>1952.0752531456419</v>
      </c>
      <c r="AI124">
        <v>1936.4739448667797</v>
      </c>
      <c r="AJ124">
        <v>1891.5115404983012</v>
      </c>
      <c r="AK124">
        <v>1832.8951334963938</v>
      </c>
      <c r="AL124">
        <v>1793.3228442607422</v>
      </c>
      <c r="AM124">
        <v>1846.551678837252</v>
      </c>
      <c r="AN124">
        <v>1900.5044057937325</v>
      </c>
      <c r="AO124">
        <v>1950.6894796606759</v>
      </c>
      <c r="AP124">
        <v>1976.7463374516749</v>
      </c>
      <c r="AQ124">
        <v>2009.5804955881783</v>
      </c>
      <c r="AR124">
        <v>2048.7195991967228</v>
      </c>
      <c r="AS124">
        <v>2101.0028569733568</v>
      </c>
      <c r="AT124">
        <v>2164.8643386697117</v>
      </c>
      <c r="AU124">
        <v>2227.3980584585393</v>
      </c>
      <c r="AV124">
        <v>2321.6534219116088</v>
      </c>
      <c r="AW124">
        <v>2440.117703698254</v>
      </c>
      <c r="AX124">
        <v>2556.6327198618851</v>
      </c>
      <c r="AY124">
        <v>2691.0080084486749</v>
      </c>
      <c r="AZ124">
        <v>2806.9655545521941</v>
      </c>
      <c r="BA124">
        <v>2867.1524569727699</v>
      </c>
      <c r="BB124">
        <v>2980.9484085113313</v>
      </c>
      <c r="BC124">
        <v>3051.4368330223419</v>
      </c>
      <c r="BD124">
        <v>3129.1002424045801</v>
      </c>
      <c r="BE124">
        <v>3241.3678022013632</v>
      </c>
      <c r="BF124">
        <v>3352.661312025893</v>
      </c>
      <c r="BG124">
        <v>3444.4857337333838</v>
      </c>
      <c r="BH124">
        <v>3530.4911881452713</v>
      </c>
      <c r="BI124">
        <v>3628.8467447361986</v>
      </c>
      <c r="BJ124">
        <v>3726.778082671884</v>
      </c>
      <c r="BK124">
        <v>3830.8885335041323</v>
      </c>
      <c r="BL124">
        <v>3741.3997281722686</v>
      </c>
      <c r="BM124">
        <v>3753.1278014193958</v>
      </c>
      <c r="BN124">
        <v>3851.7539627312967</v>
      </c>
      <c r="BO124">
        <v>3891.7364100467053</v>
      </c>
      <c r="BP124">
        <v>3956.3966371603442</v>
      </c>
      <c r="BQ124">
        <v>4035.2417552816996</v>
      </c>
      <c r="BR124">
        <f t="shared" si="3"/>
        <v>1.8284308373507141</v>
      </c>
    </row>
    <row r="125" spans="1:70" x14ac:dyDescent="0.25">
      <c r="A125" t="s">
        <v>127</v>
      </c>
      <c r="B125" t="s">
        <v>721</v>
      </c>
      <c r="C125" t="s">
        <v>434</v>
      </c>
      <c r="AH125">
        <v>5345.5120971841288</v>
      </c>
      <c r="AI125">
        <v>7828.1720107765577</v>
      </c>
      <c r="AJ125">
        <v>8924.1526455327112</v>
      </c>
      <c r="AK125">
        <v>9695.3154918275231</v>
      </c>
      <c r="AL125">
        <v>10294.812771263998</v>
      </c>
      <c r="AM125">
        <v>10762.442696377624</v>
      </c>
      <c r="AN125">
        <v>11757.282488793493</v>
      </c>
      <c r="AO125">
        <v>11668.400685437247</v>
      </c>
      <c r="AP125">
        <v>11885.307227840874</v>
      </c>
      <c r="AQ125">
        <v>11617.249770853807</v>
      </c>
      <c r="AR125">
        <v>11571.73260410848</v>
      </c>
      <c r="AS125">
        <v>11817.930501284412</v>
      </c>
      <c r="AT125">
        <v>12053.834156382563</v>
      </c>
      <c r="AU125">
        <v>12272.344067749675</v>
      </c>
      <c r="AV125">
        <v>12882.0757995163</v>
      </c>
      <c r="AW125">
        <v>13024.664892495606</v>
      </c>
      <c r="AX125">
        <v>13003.680803907992</v>
      </c>
      <c r="AY125">
        <v>13941.561424476717</v>
      </c>
      <c r="AZ125">
        <v>14955.141356325232</v>
      </c>
      <c r="BA125">
        <v>16264.350618270613</v>
      </c>
      <c r="BB125">
        <v>17390.758401295829</v>
      </c>
      <c r="BC125">
        <v>17353.19608452942</v>
      </c>
      <c r="BD125">
        <v>17323.301376428219</v>
      </c>
      <c r="BE125">
        <v>16396.496930216344</v>
      </c>
      <c r="BF125">
        <v>15205.873265401997</v>
      </c>
      <c r="BG125">
        <v>14980.020515614047</v>
      </c>
      <c r="BH125">
        <v>15572.361173977366</v>
      </c>
      <c r="BI125">
        <v>16128.58381960507</v>
      </c>
      <c r="BJ125">
        <v>16290.051647859174</v>
      </c>
      <c r="BK125">
        <v>15659.566104001171</v>
      </c>
      <c r="BL125">
        <v>12507.436636807848</v>
      </c>
      <c r="BM125">
        <v>11599.775508376539</v>
      </c>
      <c r="BN125">
        <v>11474.750584555837</v>
      </c>
      <c r="BO125">
        <v>11330.268738742221</v>
      </c>
      <c r="BP125">
        <v>10469.221096693158</v>
      </c>
      <c r="BQ125" s="200">
        <v>10469.221096693158</v>
      </c>
      <c r="BR125">
        <f t="shared" si="3"/>
        <v>-2.5310703694322201</v>
      </c>
    </row>
    <row r="126" spans="1:70" x14ac:dyDescent="0.25">
      <c r="A126" t="s">
        <v>128</v>
      </c>
      <c r="B126" t="s">
        <v>699</v>
      </c>
      <c r="C126" t="s">
        <v>434</v>
      </c>
      <c r="AH126">
        <v>1422.1505688128389</v>
      </c>
      <c r="AI126">
        <v>1494.2403244677694</v>
      </c>
      <c r="AJ126">
        <v>1571.8270420314038</v>
      </c>
      <c r="AK126">
        <v>1602.596332390953</v>
      </c>
      <c r="AL126">
        <v>1675.5977232422033</v>
      </c>
      <c r="AM126">
        <v>1709.6943351293946</v>
      </c>
      <c r="AN126">
        <v>1786.1822901659996</v>
      </c>
      <c r="AO126">
        <v>1837.696570499663</v>
      </c>
      <c r="AP126">
        <v>1856.6907848871383</v>
      </c>
      <c r="AQ126">
        <v>1860.7005217861238</v>
      </c>
      <c r="AR126">
        <v>1932.157932234147</v>
      </c>
      <c r="AS126">
        <v>2004.0335021595522</v>
      </c>
      <c r="AT126">
        <v>2024.7872730486356</v>
      </c>
      <c r="AU126">
        <v>2127.3730216013228</v>
      </c>
      <c r="AV126">
        <v>2178.6647467433204</v>
      </c>
      <c r="AW126">
        <v>2275.0161441925584</v>
      </c>
      <c r="AX126">
        <v>2381.0202456207321</v>
      </c>
      <c r="AY126">
        <v>2470.3146212788542</v>
      </c>
      <c r="AZ126">
        <v>2589.1663585468577</v>
      </c>
      <c r="BA126">
        <v>2538.1934175185415</v>
      </c>
      <c r="BB126">
        <v>2651.378048982262</v>
      </c>
      <c r="BC126">
        <v>2749.3195816657276</v>
      </c>
      <c r="BD126">
        <v>2894.2270504814223</v>
      </c>
      <c r="BE126">
        <v>2914.3751596673851</v>
      </c>
      <c r="BF126">
        <v>2930.6172403620571</v>
      </c>
      <c r="BG126">
        <v>2986.9586672987889</v>
      </c>
      <c r="BH126">
        <v>3057.2609156816206</v>
      </c>
      <c r="BI126">
        <v>2924.6809619327246</v>
      </c>
      <c r="BJ126">
        <v>2846.4182812464937</v>
      </c>
      <c r="BK126">
        <v>2773.2863988723579</v>
      </c>
      <c r="BL126">
        <v>2517.1104448659321</v>
      </c>
      <c r="BM126">
        <v>2544.7824955121414</v>
      </c>
      <c r="BN126">
        <v>2577.5454412776908</v>
      </c>
      <c r="BO126">
        <v>2592.4570129526005</v>
      </c>
      <c r="BP126">
        <v>2697.6273843664721</v>
      </c>
      <c r="BQ126">
        <v>2720.9573765341211</v>
      </c>
      <c r="BR126">
        <f t="shared" si="3"/>
        <v>1.6875461708044215</v>
      </c>
    </row>
    <row r="127" spans="1:70" x14ac:dyDescent="0.25">
      <c r="A127" t="s">
        <v>129</v>
      </c>
      <c r="B127" t="s">
        <v>708</v>
      </c>
      <c r="C127" t="s">
        <v>434</v>
      </c>
      <c r="AH127">
        <v>1866.4054812583317</v>
      </c>
      <c r="AI127">
        <v>1819.4978529252185</v>
      </c>
      <c r="AJ127">
        <v>1115.0377081685178</v>
      </c>
      <c r="AK127">
        <v>718.68323881476431</v>
      </c>
      <c r="AL127">
        <v>563.64036119664729</v>
      </c>
      <c r="AM127">
        <v>534.80971516540637</v>
      </c>
      <c r="AN127">
        <v>582.67798253609249</v>
      </c>
      <c r="AO127">
        <v>1111.937602513708</v>
      </c>
      <c r="AP127">
        <v>1308.405683052936</v>
      </c>
      <c r="AQ127">
        <v>1507.3147025459423</v>
      </c>
      <c r="AR127">
        <v>1868.1797558761764</v>
      </c>
      <c r="AS127">
        <v>1867.1191092175297</v>
      </c>
      <c r="AT127">
        <v>1887.6460157073259</v>
      </c>
      <c r="AU127">
        <v>1308.1509014027406</v>
      </c>
      <c r="AV127">
        <v>1326.5356550269489</v>
      </c>
      <c r="AW127">
        <v>1335.6172888078499</v>
      </c>
      <c r="AX127">
        <v>1364.6034732370929</v>
      </c>
      <c r="AY127">
        <v>1422.100196700045</v>
      </c>
      <c r="AZ127">
        <v>1463.1240818729739</v>
      </c>
      <c r="BA127">
        <v>1492.9981738405286</v>
      </c>
      <c r="BB127">
        <v>1538.8508348851226</v>
      </c>
      <c r="BC127">
        <v>1601.0337404599568</v>
      </c>
      <c r="BD127">
        <v>1668.9728958877629</v>
      </c>
      <c r="BE127">
        <v>1774.5205777393996</v>
      </c>
      <c r="BF127">
        <v>1750.1438489328034</v>
      </c>
      <c r="BG127">
        <v>1714.0904796046364</v>
      </c>
      <c r="BH127">
        <v>1653.3105021123311</v>
      </c>
      <c r="BI127">
        <v>1661.3029078217144</v>
      </c>
      <c r="BJ127">
        <v>1647.9744379384649</v>
      </c>
      <c r="BK127">
        <v>1575.766650012378</v>
      </c>
      <c r="BL127">
        <v>1497.3769243627232</v>
      </c>
      <c r="BM127">
        <v>1539.20892304674</v>
      </c>
      <c r="BN127">
        <v>1578.9983706917492</v>
      </c>
      <c r="BO127">
        <v>1616.9237335669529</v>
      </c>
      <c r="BP127">
        <v>1646.0586136660083</v>
      </c>
      <c r="BQ127">
        <v>1692.9259113547507</v>
      </c>
      <c r="BR127">
        <f t="shared" si="3"/>
        <v>2.4082854132564835</v>
      </c>
    </row>
    <row r="128" spans="1:70" x14ac:dyDescent="0.25">
      <c r="A128" t="s">
        <v>130</v>
      </c>
      <c r="B128" t="s">
        <v>595</v>
      </c>
      <c r="C128" t="s">
        <v>434</v>
      </c>
      <c r="AH128">
        <v>18126.586961260593</v>
      </c>
      <c r="AI128">
        <v>20506.876269157823</v>
      </c>
      <c r="AJ128">
        <v>19538.138704794001</v>
      </c>
      <c r="AK128">
        <v>18434.641128465042</v>
      </c>
      <c r="AL128">
        <v>18444.513361785903</v>
      </c>
      <c r="AM128">
        <v>17723.267921102924</v>
      </c>
      <c r="AN128">
        <v>17809.151922217065</v>
      </c>
      <c r="AO128">
        <v>18451.699845134543</v>
      </c>
      <c r="AP128">
        <v>17532.926104375529</v>
      </c>
      <c r="AQ128">
        <v>17402.568382047903</v>
      </c>
      <c r="AR128">
        <v>17747.018885583213</v>
      </c>
      <c r="AS128">
        <v>17115.988856426393</v>
      </c>
      <c r="AT128">
        <v>16629.436434600455</v>
      </c>
      <c r="AU128">
        <v>18422.73360324046</v>
      </c>
      <c r="AV128">
        <v>18851.203910996315</v>
      </c>
      <c r="AW128">
        <v>20649.462458017235</v>
      </c>
      <c r="AX128">
        <v>21545.29863844188</v>
      </c>
      <c r="AY128">
        <v>22422.011759476158</v>
      </c>
      <c r="AZ128">
        <v>21915.197620827352</v>
      </c>
      <c r="BA128">
        <v>20518.96424128384</v>
      </c>
      <c r="BB128">
        <v>21115.525984615404</v>
      </c>
      <c r="BC128">
        <v>10741.920675190808</v>
      </c>
      <c r="BD128">
        <v>20601.00266410003</v>
      </c>
      <c r="BE128">
        <v>16557.500941664974</v>
      </c>
      <c r="BF128">
        <v>12499.082996852314</v>
      </c>
      <c r="BG128">
        <v>12195.348699042061</v>
      </c>
      <c r="BH128">
        <v>11831.82576695593</v>
      </c>
      <c r="BI128">
        <v>15428.116441185352</v>
      </c>
      <c r="BJ128">
        <v>16385.164476126989</v>
      </c>
      <c r="BK128">
        <v>14337.196298758206</v>
      </c>
      <c r="BL128">
        <v>9978.6640011074269</v>
      </c>
      <c r="BM128">
        <v>12641.509771407456</v>
      </c>
      <c r="BN128">
        <v>11450.059855292844</v>
      </c>
      <c r="BO128">
        <v>12476.597494408254</v>
      </c>
      <c r="BP128">
        <v>12583.833872681609</v>
      </c>
      <c r="BQ128">
        <v>14118.206441856486</v>
      </c>
      <c r="BR128">
        <f t="shared" si="3"/>
        <v>2.8004807917753283</v>
      </c>
    </row>
    <row r="129" spans="1:70" x14ac:dyDescent="0.25">
      <c r="A129" t="s">
        <v>131</v>
      </c>
      <c r="B129" t="s">
        <v>722</v>
      </c>
      <c r="C129" t="s">
        <v>434</v>
      </c>
      <c r="BQ129" s="200"/>
      <c r="BR129">
        <v>0</v>
      </c>
    </row>
    <row r="130" spans="1:70" x14ac:dyDescent="0.25">
      <c r="A130" t="s">
        <v>132</v>
      </c>
      <c r="B130" t="s">
        <v>478</v>
      </c>
      <c r="C130" t="s">
        <v>434</v>
      </c>
      <c r="AH130">
        <v>20594.06237790424</v>
      </c>
      <c r="AI130">
        <v>19392.195065796266</v>
      </c>
      <c r="AJ130">
        <v>15286.203964738135</v>
      </c>
      <c r="AK130">
        <v>12866.589789619617</v>
      </c>
      <c r="AL130">
        <v>11690.886105172465</v>
      </c>
      <c r="AM130">
        <v>12168.833269547784</v>
      </c>
      <c r="AN130">
        <v>12878.100146820912</v>
      </c>
      <c r="AO130">
        <v>14050.349878771014</v>
      </c>
      <c r="AP130">
        <v>15208.697853070129</v>
      </c>
      <c r="AQ130">
        <v>15148.957032563734</v>
      </c>
      <c r="AR130">
        <v>15777.429380023621</v>
      </c>
      <c r="AS130">
        <v>16939.467059224957</v>
      </c>
      <c r="AT130">
        <v>18223.478262021519</v>
      </c>
      <c r="AU130">
        <v>20310.711958232165</v>
      </c>
      <c r="AV130">
        <v>21875.608579622356</v>
      </c>
      <c r="AW130">
        <v>23953.815068170225</v>
      </c>
      <c r="AX130">
        <v>26139.283777362096</v>
      </c>
      <c r="AY130">
        <v>29381.952146497068</v>
      </c>
      <c r="AZ130">
        <v>30457.368254343579</v>
      </c>
      <c r="BA130">
        <v>26227.523020103916</v>
      </c>
      <c r="BB130">
        <v>26897.724370233784</v>
      </c>
      <c r="BC130">
        <v>29251.877471853852</v>
      </c>
      <c r="BD130">
        <v>30932.098318026077</v>
      </c>
      <c r="BE130">
        <v>32487.000821727695</v>
      </c>
      <c r="BF130">
        <v>33988.014895119755</v>
      </c>
      <c r="BG130">
        <v>35264.714924831627</v>
      </c>
      <c r="BH130">
        <v>36632.083279843835</v>
      </c>
      <c r="BI130">
        <v>38789.24631790354</v>
      </c>
      <c r="BJ130">
        <v>41035.401815273246</v>
      </c>
      <c r="BK130">
        <v>43078.711858546114</v>
      </c>
      <c r="BL130">
        <v>43108.197606028261</v>
      </c>
      <c r="BM130">
        <v>45897.371502632741</v>
      </c>
      <c r="BN130">
        <v>46642.594725108567</v>
      </c>
      <c r="BO130">
        <v>46333.900696520606</v>
      </c>
      <c r="BP130">
        <v>47462.003938697504</v>
      </c>
      <c r="BQ130">
        <v>48839.543645294776</v>
      </c>
      <c r="BR130">
        <f t="shared" ref="BR130:BR151" si="4">(((BQ130/BM130)^(1/4))-1)*100</f>
        <v>1.5654379788687001</v>
      </c>
    </row>
    <row r="131" spans="1:70" x14ac:dyDescent="0.25">
      <c r="A131" t="s">
        <v>596</v>
      </c>
      <c r="B131" t="s">
        <v>597</v>
      </c>
      <c r="C131" t="s">
        <v>434</v>
      </c>
      <c r="AH131">
        <v>4440.5867916936713</v>
      </c>
      <c r="AI131">
        <v>4439.3086755638651</v>
      </c>
      <c r="AJ131">
        <v>4502.7045008741161</v>
      </c>
      <c r="AK131">
        <v>4587.7347498526215</v>
      </c>
      <c r="AL131">
        <v>4678.3267021001484</v>
      </c>
      <c r="AM131">
        <v>4792.6301417176837</v>
      </c>
      <c r="AN131">
        <v>4987.6535921002987</v>
      </c>
      <c r="AO131">
        <v>5155.3722704368001</v>
      </c>
      <c r="AP131">
        <v>5215.3094135125912</v>
      </c>
      <c r="AQ131">
        <v>5320.5587016896125</v>
      </c>
      <c r="AR131">
        <v>5516.6507109844442</v>
      </c>
      <c r="AS131">
        <v>5631.1069799024572</v>
      </c>
      <c r="AT131">
        <v>5806.431774319939</v>
      </c>
      <c r="AU131">
        <v>6049.207544175516</v>
      </c>
      <c r="AV131">
        <v>6413.333083875591</v>
      </c>
      <c r="AW131">
        <v>6762.596835150116</v>
      </c>
      <c r="AX131">
        <v>7185.6301424326057</v>
      </c>
      <c r="AY131">
        <v>7671.7507012781953</v>
      </c>
      <c r="AZ131">
        <v>7977.4608803618348</v>
      </c>
      <c r="BA131">
        <v>8152.224125603384</v>
      </c>
      <c r="BB131">
        <v>8663.8576303705904</v>
      </c>
      <c r="BC131">
        <v>9057.2972761667406</v>
      </c>
      <c r="BD131">
        <v>9388.2002584669153</v>
      </c>
      <c r="BE131">
        <v>9755.1689046097417</v>
      </c>
      <c r="BF131">
        <v>10105.078195334367</v>
      </c>
      <c r="BG131">
        <v>10435.505326517934</v>
      </c>
      <c r="BH131">
        <v>10798.451828663199</v>
      </c>
      <c r="BI131">
        <v>11215.78859815077</v>
      </c>
      <c r="BJ131">
        <v>11619.79598111001</v>
      </c>
      <c r="BK131">
        <v>11942.571019999878</v>
      </c>
      <c r="BL131">
        <v>11605.620781445174</v>
      </c>
      <c r="BM131">
        <v>12294.689101358868</v>
      </c>
      <c r="BN131">
        <v>12688.967029429668</v>
      </c>
      <c r="BO131">
        <v>13155.162068137222</v>
      </c>
      <c r="BP131">
        <v>13612.78799008072</v>
      </c>
      <c r="BQ131">
        <v>14102.091598811476</v>
      </c>
      <c r="BR131">
        <f t="shared" si="4"/>
        <v>3.4883577094972029</v>
      </c>
    </row>
    <row r="132" spans="1:70" x14ac:dyDescent="0.25">
      <c r="A132" t="s">
        <v>702</v>
      </c>
      <c r="B132" t="s">
        <v>703</v>
      </c>
      <c r="C132" t="s">
        <v>434</v>
      </c>
      <c r="AH132">
        <v>1861.4363955005047</v>
      </c>
      <c r="AI132">
        <v>1835.5054198446683</v>
      </c>
      <c r="AJ132">
        <v>1779.9867541298331</v>
      </c>
      <c r="AK132">
        <v>1746.5747012289914</v>
      </c>
      <c r="AL132">
        <v>1711.9262701650678</v>
      </c>
      <c r="AM132">
        <v>1746.148688624126</v>
      </c>
      <c r="AN132">
        <v>1802.8811459921815</v>
      </c>
      <c r="AO132">
        <v>1857.3967823041899</v>
      </c>
      <c r="AP132">
        <v>1879.3413289710456</v>
      </c>
      <c r="AQ132">
        <v>1855.1732965405547</v>
      </c>
      <c r="AR132">
        <v>1848.0720236695793</v>
      </c>
      <c r="AS132">
        <v>1879.8918574163654</v>
      </c>
      <c r="AT132">
        <v>1938.9037333311958</v>
      </c>
      <c r="AU132">
        <v>1962.8583901197387</v>
      </c>
      <c r="AV132">
        <v>2037.7355902063223</v>
      </c>
      <c r="AW132">
        <v>2117.245395310897</v>
      </c>
      <c r="AX132">
        <v>2183.7062920561084</v>
      </c>
      <c r="AY132">
        <v>2267.4365246297671</v>
      </c>
      <c r="AZ132">
        <v>2332.3193544967098</v>
      </c>
      <c r="BA132">
        <v>2363.6453255176866</v>
      </c>
      <c r="BB132">
        <v>2461.6038487832884</v>
      </c>
      <c r="BC132">
        <v>2471.4699009224651</v>
      </c>
      <c r="BD132">
        <v>2314.6902870397012</v>
      </c>
      <c r="BE132">
        <v>2284.0477098872716</v>
      </c>
      <c r="BF132">
        <v>2312.3978519933135</v>
      </c>
      <c r="BG132">
        <v>2349.5802231690191</v>
      </c>
      <c r="BH132">
        <v>2367.1343558393164</v>
      </c>
      <c r="BI132">
        <v>2398.9141846566799</v>
      </c>
      <c r="BJ132">
        <v>2422.6416156475116</v>
      </c>
      <c r="BK132">
        <v>2449.5626965866559</v>
      </c>
      <c r="BL132">
        <v>2399.2992246484105</v>
      </c>
      <c r="BM132">
        <v>2374.7491326903837</v>
      </c>
      <c r="BN132">
        <v>2395.9159963818702</v>
      </c>
      <c r="BO132">
        <v>2365.0629930339928</v>
      </c>
      <c r="BP132">
        <v>2395.9910985542815</v>
      </c>
      <c r="BQ132">
        <v>2481.0131559571937</v>
      </c>
      <c r="BR132">
        <f t="shared" si="4"/>
        <v>1.1003903392319714</v>
      </c>
    </row>
    <row r="133" spans="1:70" x14ac:dyDescent="0.25">
      <c r="A133" t="s">
        <v>627</v>
      </c>
      <c r="B133" t="s">
        <v>628</v>
      </c>
      <c r="C133" t="s">
        <v>434</v>
      </c>
      <c r="AH133">
        <v>3056.2428982722681</v>
      </c>
      <c r="AI133">
        <v>3042.8248389562582</v>
      </c>
      <c r="AJ133">
        <v>3087.9532878182777</v>
      </c>
      <c r="AK133">
        <v>3083.3675437899246</v>
      </c>
      <c r="AL133">
        <v>3135.324398843944</v>
      </c>
      <c r="AM133">
        <v>3227.69254959929</v>
      </c>
      <c r="AN133">
        <v>3361.066105274469</v>
      </c>
      <c r="AO133">
        <v>3416.4310217662769</v>
      </c>
      <c r="AP133">
        <v>3513.1007904431258</v>
      </c>
      <c r="AQ133">
        <v>3645.8916274424028</v>
      </c>
      <c r="AR133">
        <v>3721.1558300466836</v>
      </c>
      <c r="AS133">
        <v>3811.5033509609366</v>
      </c>
      <c r="AT133">
        <v>3905.2660964363117</v>
      </c>
      <c r="AU133">
        <v>4065.5023615635137</v>
      </c>
      <c r="AV133">
        <v>4274.6961022902469</v>
      </c>
      <c r="AW133">
        <v>4484.7637402313921</v>
      </c>
      <c r="AX133">
        <v>4721.6273852755457</v>
      </c>
      <c r="AY133">
        <v>4960.8783297070004</v>
      </c>
      <c r="AZ133">
        <v>5091.4332485646792</v>
      </c>
      <c r="BA133">
        <v>5327.7163972617855</v>
      </c>
      <c r="BB133">
        <v>5602.4604903794943</v>
      </c>
      <c r="BC133">
        <v>5768.541268541032</v>
      </c>
      <c r="BD133">
        <v>5959.1238056651137</v>
      </c>
      <c r="BE133">
        <v>6197.5430924523253</v>
      </c>
      <c r="BF133">
        <v>6478.8622599369337</v>
      </c>
      <c r="BG133">
        <v>6770.1755045066793</v>
      </c>
      <c r="BH133">
        <v>7060.833225681019</v>
      </c>
      <c r="BI133">
        <v>7336.6603371574402</v>
      </c>
      <c r="BJ133">
        <v>7634.7259868989877</v>
      </c>
      <c r="BK133">
        <v>7828.8881656244257</v>
      </c>
      <c r="BL133">
        <v>7421.0922949801015</v>
      </c>
      <c r="BM133">
        <v>7838.3471845492595</v>
      </c>
      <c r="BN133">
        <v>8239.0296316270615</v>
      </c>
      <c r="BO133">
        <v>8575.8340682933922</v>
      </c>
      <c r="BP133">
        <v>8930.7125064316479</v>
      </c>
      <c r="BQ133">
        <v>9350.3008507369705</v>
      </c>
      <c r="BR133">
        <f t="shared" si="4"/>
        <v>4.5081770223471596</v>
      </c>
    </row>
    <row r="134" spans="1:70" x14ac:dyDescent="0.25">
      <c r="A134" t="s">
        <v>133</v>
      </c>
      <c r="B134" t="s">
        <v>436</v>
      </c>
      <c r="C134" t="s">
        <v>434</v>
      </c>
      <c r="AH134">
        <v>81455.031226495717</v>
      </c>
      <c r="AI134">
        <v>87318.497669286764</v>
      </c>
      <c r="AJ134">
        <v>87734.20298423522</v>
      </c>
      <c r="AK134">
        <v>90200.601270921208</v>
      </c>
      <c r="AL134">
        <v>92380.416294506489</v>
      </c>
      <c r="AM134">
        <v>92396.398265461205</v>
      </c>
      <c r="AN134">
        <v>92421.579178893502</v>
      </c>
      <c r="AO134">
        <v>96216.90386881835</v>
      </c>
      <c r="AP134">
        <v>101369.82339660959</v>
      </c>
      <c r="AQ134">
        <v>108186.85297307567</v>
      </c>
      <c r="AR134">
        <v>114148.35390764479</v>
      </c>
      <c r="AS134">
        <v>116265.23036916151</v>
      </c>
      <c r="AT134">
        <v>118764.33150723757</v>
      </c>
      <c r="AU134">
        <v>120403.00201793277</v>
      </c>
      <c r="AV134">
        <v>123725.75512253583</v>
      </c>
      <c r="AW134">
        <v>124871.95252325638</v>
      </c>
      <c r="AX134">
        <v>130290.17408275066</v>
      </c>
      <c r="AY134">
        <v>138683.31985287843</v>
      </c>
      <c r="AZ134">
        <v>135814.60886235436</v>
      </c>
      <c r="BA134">
        <v>129004.50894887747</v>
      </c>
      <c r="BB134">
        <v>131434.36001880295</v>
      </c>
      <c r="BC134">
        <v>129887.62696287333</v>
      </c>
      <c r="BD134">
        <v>128897.40321850652</v>
      </c>
      <c r="BE134">
        <v>129947.33618419631</v>
      </c>
      <c r="BF134">
        <v>130249.5504827587</v>
      </c>
      <c r="BG134">
        <v>130097.33828902504</v>
      </c>
      <c r="BH134">
        <v>133661.73454128104</v>
      </c>
      <c r="BI134">
        <v>132169.82957617432</v>
      </c>
      <c r="BJ134">
        <v>131733.88447148932</v>
      </c>
      <c r="BK134">
        <v>132724.75466830298</v>
      </c>
      <c r="BL134">
        <v>129865.63187112365</v>
      </c>
      <c r="BM134">
        <v>136772.44375329168</v>
      </c>
      <c r="BN134">
        <v>132570.83227262617</v>
      </c>
      <c r="BO134">
        <v>130048.92227314721</v>
      </c>
      <c r="BP134">
        <v>128475.28354041478</v>
      </c>
      <c r="BQ134">
        <v>127420.60162516528</v>
      </c>
      <c r="BR134">
        <f t="shared" si="4"/>
        <v>-1.7550442986994597</v>
      </c>
    </row>
    <row r="135" spans="1:70" x14ac:dyDescent="0.25">
      <c r="A135" t="s">
        <v>134</v>
      </c>
      <c r="B135" t="s">
        <v>437</v>
      </c>
      <c r="C135" t="s">
        <v>434</v>
      </c>
      <c r="AH135">
        <v>55300.744264988825</v>
      </c>
      <c r="AI135">
        <v>54602.054490162125</v>
      </c>
      <c r="AJ135">
        <v>58652.789919492832</v>
      </c>
      <c r="AK135">
        <v>59589.975909515961</v>
      </c>
      <c r="AL135">
        <v>60120.658244040904</v>
      </c>
      <c r="AM135">
        <v>60205.708639414712</v>
      </c>
      <c r="AN135">
        <v>59115.23361383356</v>
      </c>
      <c r="AO135">
        <v>58639.525029681899</v>
      </c>
      <c r="AP135">
        <v>55296.500764498553</v>
      </c>
      <c r="AQ135">
        <v>53348.012691565527</v>
      </c>
      <c r="AR135">
        <v>55994.760697992984</v>
      </c>
      <c r="AS135">
        <v>57173.859098706285</v>
      </c>
      <c r="AT135">
        <v>61625.956006811422</v>
      </c>
      <c r="AU135">
        <v>67994.777526458973</v>
      </c>
      <c r="AV135">
        <v>84004.455806130238</v>
      </c>
      <c r="AW135">
        <v>87185.525444155326</v>
      </c>
      <c r="AX135">
        <v>93828.319875841669</v>
      </c>
      <c r="AY135">
        <v>102879.63916455851</v>
      </c>
      <c r="AZ135">
        <v>102474.66856292613</v>
      </c>
      <c r="BA135">
        <v>104911.14033646209</v>
      </c>
      <c r="BB135">
        <v>130758.28069789975</v>
      </c>
      <c r="BC135">
        <v>155385.32420854122</v>
      </c>
      <c r="BD135">
        <v>164239.26192345656</v>
      </c>
      <c r="BE135">
        <v>174569.52317126683</v>
      </c>
      <c r="BF135">
        <v>162813.43934858925</v>
      </c>
      <c r="BG135">
        <v>123194.06729127465</v>
      </c>
      <c r="BH135">
        <v>120530.05285831416</v>
      </c>
      <c r="BI135">
        <v>133322.6326777444</v>
      </c>
      <c r="BJ135">
        <v>139541.15724876916</v>
      </c>
      <c r="BK135">
        <v>133453.89602603734</v>
      </c>
      <c r="BL135">
        <v>59662.485586455063</v>
      </c>
      <c r="BM135">
        <v>73374.448682958886</v>
      </c>
      <c r="BN135">
        <v>59921.441691873006</v>
      </c>
      <c r="BO135">
        <v>104815.20003062004</v>
      </c>
      <c r="BP135">
        <v>111693.50283143437</v>
      </c>
      <c r="BQ135">
        <v>117098.27484551806</v>
      </c>
      <c r="BR135">
        <f t="shared" si="4"/>
        <v>12.396143843050144</v>
      </c>
    </row>
    <row r="136" spans="1:70" x14ac:dyDescent="0.25">
      <c r="A136" t="s">
        <v>135</v>
      </c>
      <c r="B136" t="s">
        <v>709</v>
      </c>
      <c r="C136" t="s">
        <v>434</v>
      </c>
      <c r="AH136">
        <v>1968.2723977142361</v>
      </c>
      <c r="AI136">
        <v>1789.8416936624881</v>
      </c>
      <c r="AJ136">
        <v>1757.2945977525937</v>
      </c>
      <c r="AK136">
        <v>1740.295135942031</v>
      </c>
      <c r="AL136">
        <v>1686.3419083335148</v>
      </c>
      <c r="AM136">
        <v>1661.2706246706089</v>
      </c>
      <c r="AN136">
        <v>1643.3257962889052</v>
      </c>
      <c r="AO136">
        <v>1649.4480900630585</v>
      </c>
      <c r="AP136">
        <v>1658.8884925306613</v>
      </c>
      <c r="AQ136">
        <v>1681.3593322649313</v>
      </c>
      <c r="AR136">
        <v>1701.4432025358237</v>
      </c>
      <c r="AS136">
        <v>1748.5035092917774</v>
      </c>
      <c r="AT136">
        <v>1486.4342974177114</v>
      </c>
      <c r="AU136">
        <v>1584.7492523236403</v>
      </c>
      <c r="AV136">
        <v>1620.1195379329306</v>
      </c>
      <c r="AW136">
        <v>1648.1763155400888</v>
      </c>
      <c r="AX136">
        <v>1686.8633546001647</v>
      </c>
      <c r="AY136">
        <v>1731.6175179497557</v>
      </c>
      <c r="AZ136">
        <v>1794.4023588732916</v>
      </c>
      <c r="BA136">
        <v>1673.1555146672329</v>
      </c>
      <c r="BB136">
        <v>1635.2451147305876</v>
      </c>
      <c r="BC136">
        <v>1614.5513777378487</v>
      </c>
      <c r="BD136">
        <v>1617.7908288248098</v>
      </c>
      <c r="BE136">
        <v>1610.6023078965982</v>
      </c>
      <c r="BF136">
        <v>1620.3578890660044</v>
      </c>
      <c r="BG136">
        <v>1627.5806134224022</v>
      </c>
      <c r="BH136">
        <v>1648.9122697929581</v>
      </c>
      <c r="BI136">
        <v>1669.7276426727785</v>
      </c>
      <c r="BJ136">
        <v>1678.7862326949119</v>
      </c>
      <c r="BK136">
        <v>1707.8315383003903</v>
      </c>
      <c r="BL136">
        <v>1545.7271437920392</v>
      </c>
      <c r="BM136">
        <v>1577.432460565288</v>
      </c>
      <c r="BN136">
        <v>1602.4280519752881</v>
      </c>
      <c r="BO136">
        <v>1629.6055225488976</v>
      </c>
      <c r="BP136">
        <v>1659.1503077019427</v>
      </c>
      <c r="BQ136">
        <v>1668.4770233085421</v>
      </c>
      <c r="BR136">
        <f t="shared" si="4"/>
        <v>1.4127043722585553</v>
      </c>
    </row>
    <row r="137" spans="1:70" x14ac:dyDescent="0.25">
      <c r="A137" t="s">
        <v>136</v>
      </c>
      <c r="B137" t="s">
        <v>711</v>
      </c>
      <c r="C137" t="s">
        <v>434</v>
      </c>
      <c r="AH137">
        <v>1047.4643635113166</v>
      </c>
      <c r="AI137">
        <v>1104.3904622212017</v>
      </c>
      <c r="AJ137">
        <v>994.03650479047064</v>
      </c>
      <c r="AK137">
        <v>1074.5848521326861</v>
      </c>
      <c r="AL137">
        <v>975.84964014339903</v>
      </c>
      <c r="AM137">
        <v>1140.7560936507862</v>
      </c>
      <c r="AN137">
        <v>1200.3205823242208</v>
      </c>
      <c r="AO137">
        <v>1221.0940455535338</v>
      </c>
      <c r="AP137">
        <v>1241.5243318182629</v>
      </c>
      <c r="AQ137">
        <v>1249.7752329887055</v>
      </c>
      <c r="AR137">
        <v>1239.3917483867601</v>
      </c>
      <c r="AS137">
        <v>1149.5803960189826</v>
      </c>
      <c r="AT137">
        <v>1140.8427464241763</v>
      </c>
      <c r="AU137">
        <v>1176.1238599873695</v>
      </c>
      <c r="AV137">
        <v>1208.2196975075028</v>
      </c>
      <c r="AW137">
        <v>1214.7426419187989</v>
      </c>
      <c r="AX137">
        <v>1237.2738651994675</v>
      </c>
      <c r="AY137">
        <v>1318.3319639721356</v>
      </c>
      <c r="AZ137">
        <v>1378.4288669046471</v>
      </c>
      <c r="BA137">
        <v>1449.7260152213614</v>
      </c>
      <c r="BB137">
        <v>1504.3751411321457</v>
      </c>
      <c r="BC137">
        <v>1533.2288957240539</v>
      </c>
      <c r="BD137">
        <v>1518.1480384923818</v>
      </c>
      <c r="BE137">
        <v>1555.5060741051134</v>
      </c>
      <c r="BF137">
        <v>1597.5648433140498</v>
      </c>
      <c r="BG137">
        <v>1597.6914532485466</v>
      </c>
      <c r="BH137">
        <v>1593.5954926480813</v>
      </c>
      <c r="BI137">
        <v>1613.0593571461959</v>
      </c>
      <c r="BJ137">
        <v>1638.9166576107648</v>
      </c>
      <c r="BK137">
        <v>1687.2894491789152</v>
      </c>
      <c r="BL137">
        <v>1656.4398519253257</v>
      </c>
      <c r="BM137">
        <v>1687.5935817965067</v>
      </c>
      <c r="BN137">
        <v>1659.9593382516805</v>
      </c>
      <c r="BO137">
        <v>1649.2987323455052</v>
      </c>
      <c r="BP137">
        <v>1634.2466026659699</v>
      </c>
      <c r="BQ137">
        <v>1623.0217852928226</v>
      </c>
      <c r="BR137">
        <f t="shared" si="4"/>
        <v>-0.97060608625446632</v>
      </c>
    </row>
    <row r="138" spans="1:70" x14ac:dyDescent="0.25">
      <c r="A138" t="s">
        <v>137</v>
      </c>
      <c r="B138" t="s">
        <v>507</v>
      </c>
      <c r="C138" t="s">
        <v>434</v>
      </c>
      <c r="AH138">
        <v>12013.696948311208</v>
      </c>
      <c r="AI138">
        <v>12795.04989642277</v>
      </c>
      <c r="AJ138">
        <v>13567.893612118074</v>
      </c>
      <c r="AK138">
        <v>14533.790397006958</v>
      </c>
      <c r="AL138">
        <v>15474.014464830696</v>
      </c>
      <c r="AM138">
        <v>16568.516059020894</v>
      </c>
      <c r="AN138">
        <v>17771.711879505612</v>
      </c>
      <c r="AO138">
        <v>18604.514527465017</v>
      </c>
      <c r="AP138">
        <v>16817.171919040095</v>
      </c>
      <c r="AQ138">
        <v>17428.625656304292</v>
      </c>
      <c r="AR138">
        <v>18532.909670622656</v>
      </c>
      <c r="AS138">
        <v>18186.441133014603</v>
      </c>
      <c r="AT138">
        <v>18708.869487727901</v>
      </c>
      <c r="AU138">
        <v>19329.00627575376</v>
      </c>
      <c r="AV138">
        <v>20168.50620994249</v>
      </c>
      <c r="AW138">
        <v>20767.585724334629</v>
      </c>
      <c r="AX138">
        <v>21444.485771502757</v>
      </c>
      <c r="AY138">
        <v>22305.118263116994</v>
      </c>
      <c r="AZ138">
        <v>22898.002757544244</v>
      </c>
      <c r="BA138">
        <v>22106.641731180051</v>
      </c>
      <c r="BB138">
        <v>23307.969854378462</v>
      </c>
      <c r="BC138">
        <v>24115.818120395794</v>
      </c>
      <c r="BD138">
        <v>25006.358778153717</v>
      </c>
      <c r="BE138">
        <v>25736.352555414196</v>
      </c>
      <c r="BF138">
        <v>26818.431728165877</v>
      </c>
      <c r="BG138">
        <v>27699.627886038677</v>
      </c>
      <c r="BH138">
        <v>28425.370760941158</v>
      </c>
      <c r="BI138">
        <v>29551.545759719724</v>
      </c>
      <c r="BJ138">
        <v>30459.965533806091</v>
      </c>
      <c r="BK138">
        <v>31300.508655484915</v>
      </c>
      <c r="BL138">
        <v>29200.452632127035</v>
      </c>
      <c r="BM138">
        <v>29822.849183161834</v>
      </c>
      <c r="BN138">
        <v>32129.221782011253</v>
      </c>
      <c r="BO138">
        <v>32857.66766007743</v>
      </c>
      <c r="BP138">
        <v>34116.231784888529</v>
      </c>
      <c r="BQ138">
        <v>35461.446580587181</v>
      </c>
      <c r="BR138">
        <f t="shared" si="4"/>
        <v>4.4243616030421817</v>
      </c>
    </row>
    <row r="139" spans="1:70" x14ac:dyDescent="0.25">
      <c r="A139" t="s">
        <v>138</v>
      </c>
      <c r="B139" t="s">
        <v>538</v>
      </c>
      <c r="C139" t="s">
        <v>434</v>
      </c>
      <c r="AH139">
        <v>8945.8047866527686</v>
      </c>
      <c r="AI139">
        <v>8799.2551092746235</v>
      </c>
      <c r="AJ139">
        <v>9120.9918309279001</v>
      </c>
      <c r="AK139">
        <v>9378.5224365304293</v>
      </c>
      <c r="AL139">
        <v>9866.0750283699253</v>
      </c>
      <c r="AM139">
        <v>10894.173023658512</v>
      </c>
      <c r="AN139">
        <v>11495.098863906276</v>
      </c>
      <c r="AO139">
        <v>12210.968720891578</v>
      </c>
      <c r="AP139">
        <v>12884.722319376275</v>
      </c>
      <c r="AQ139">
        <v>13449.202673015285</v>
      </c>
      <c r="AR139">
        <v>13738.28094088754</v>
      </c>
      <c r="AS139">
        <v>12977.999066561171</v>
      </c>
      <c r="AT139">
        <v>13689.806556194922</v>
      </c>
      <c r="AU139">
        <v>15316.119281499849</v>
      </c>
      <c r="AV139">
        <v>15958.655775946363</v>
      </c>
      <c r="AW139">
        <v>13942.875389166176</v>
      </c>
      <c r="AX139">
        <v>16829.976820815686</v>
      </c>
      <c r="AY139">
        <v>17439.950486262525</v>
      </c>
      <c r="AZ139">
        <v>18344.486645543609</v>
      </c>
      <c r="BA139">
        <v>16230.008936126347</v>
      </c>
      <c r="BB139">
        <v>16730.014420016709</v>
      </c>
      <c r="BC139">
        <v>17581.767669775163</v>
      </c>
      <c r="BD139">
        <v>17390.147499542174</v>
      </c>
      <c r="BE139">
        <v>17986.890736164518</v>
      </c>
      <c r="BF139">
        <v>18765.35921183438</v>
      </c>
      <c r="BG139">
        <v>18829.448152911151</v>
      </c>
      <c r="BH139">
        <v>19345.179234354095</v>
      </c>
      <c r="BI139">
        <v>20036.71653549491</v>
      </c>
      <c r="BJ139">
        <v>21072.580524969424</v>
      </c>
      <c r="BK139">
        <v>21855.501224578969</v>
      </c>
      <c r="BL139">
        <v>14242.975070116228</v>
      </c>
      <c r="BM139">
        <v>19052.622490431062</v>
      </c>
      <c r="BN139">
        <v>21357.811251115312</v>
      </c>
      <c r="BO139">
        <v>22333.047713817457</v>
      </c>
      <c r="BP139">
        <v>23034.40984048391</v>
      </c>
      <c r="BQ139">
        <v>24401.315925363524</v>
      </c>
      <c r="BR139">
        <f t="shared" si="4"/>
        <v>6.3811354335832071</v>
      </c>
    </row>
    <row r="140" spans="1:70" x14ac:dyDescent="0.25">
      <c r="A140" t="s">
        <v>139</v>
      </c>
      <c r="B140" t="s">
        <v>696</v>
      </c>
      <c r="C140" t="s">
        <v>434</v>
      </c>
      <c r="AH140">
        <v>1890.5021299070827</v>
      </c>
      <c r="AI140">
        <v>2087.9190293851952</v>
      </c>
      <c r="AJ140">
        <v>1942.7285714095076</v>
      </c>
      <c r="AK140">
        <v>1985.3806486370991</v>
      </c>
      <c r="AL140">
        <v>2051.754784291084</v>
      </c>
      <c r="AM140">
        <v>2022.4037826820127</v>
      </c>
      <c r="AN140">
        <v>2105.2753013518914</v>
      </c>
      <c r="AO140">
        <v>2142.7876930001157</v>
      </c>
      <c r="AP140">
        <v>2228.2005552764194</v>
      </c>
      <c r="AQ140">
        <v>2269.0874115165734</v>
      </c>
      <c r="AR140">
        <v>2187.7189420716095</v>
      </c>
      <c r="AS140">
        <v>2458.46155673065</v>
      </c>
      <c r="AT140">
        <v>2455.6193570241689</v>
      </c>
      <c r="AU140">
        <v>2611.8368552721977</v>
      </c>
      <c r="AV140">
        <v>2565.9774456147006</v>
      </c>
      <c r="AW140">
        <v>2546.3328140586077</v>
      </c>
      <c r="AX140">
        <v>2555.0747625880467</v>
      </c>
      <c r="AY140">
        <v>2515.9469236614318</v>
      </c>
      <c r="AZ140">
        <v>2523.1996127003904</v>
      </c>
      <c r="BA140">
        <v>2575.5454977364834</v>
      </c>
      <c r="BB140">
        <v>2632.2646821908957</v>
      </c>
      <c r="BC140">
        <v>2623.3462700869823</v>
      </c>
      <c r="BD140">
        <v>2520.529310868043</v>
      </c>
      <c r="BE140">
        <v>2528.5300676726047</v>
      </c>
      <c r="BF140">
        <v>2609.1673304839492</v>
      </c>
      <c r="BG140">
        <v>2686.560650737993</v>
      </c>
      <c r="BH140">
        <v>2759.1105129334119</v>
      </c>
      <c r="BI140">
        <v>2816.1942390158729</v>
      </c>
      <c r="BJ140">
        <v>2862.4072898747559</v>
      </c>
      <c r="BK140">
        <v>2916.1716779108428</v>
      </c>
      <c r="BL140">
        <v>2796.4103844438582</v>
      </c>
      <c r="BM140">
        <v>2796.2279379543061</v>
      </c>
      <c r="BN140">
        <v>2813.8109596256463</v>
      </c>
      <c r="BO140">
        <v>2861.4805806331437</v>
      </c>
      <c r="BP140">
        <v>2917.9324588367126</v>
      </c>
      <c r="BQ140">
        <v>2993.251663592569</v>
      </c>
      <c r="BR140">
        <f t="shared" si="4"/>
        <v>1.7167945280696095</v>
      </c>
    </row>
    <row r="141" spans="1:70" x14ac:dyDescent="0.25">
      <c r="A141" t="s">
        <v>140</v>
      </c>
      <c r="B141" t="s">
        <v>451</v>
      </c>
      <c r="C141" t="s">
        <v>434</v>
      </c>
      <c r="AH141">
        <v>18208.105596354515</v>
      </c>
      <c r="AI141">
        <v>18832.83082040069</v>
      </c>
      <c r="AJ141">
        <v>19513.910740276184</v>
      </c>
      <c r="AK141">
        <v>20185.664485826306</v>
      </c>
      <c r="AL141">
        <v>21127.84953052727</v>
      </c>
      <c r="AM141">
        <v>22311.792939736129</v>
      </c>
      <c r="AN141">
        <v>23003.066718616432</v>
      </c>
      <c r="AO141">
        <v>24029.787928442456</v>
      </c>
      <c r="AP141">
        <v>25097.808341816264</v>
      </c>
      <c r="AQ141">
        <v>26127.061429292731</v>
      </c>
      <c r="AR141">
        <v>31068.078449824145</v>
      </c>
      <c r="AS141">
        <v>30602.109997365442</v>
      </c>
      <c r="AT141">
        <v>31207.432205270932</v>
      </c>
      <c r="AU141">
        <v>32147.875748320224</v>
      </c>
      <c r="AV141">
        <v>32062.764122207576</v>
      </c>
      <c r="AW141">
        <v>32776.968372118194</v>
      </c>
      <c r="AX141">
        <v>33420.71410969273</v>
      </c>
      <c r="AY141">
        <v>34981.702097037174</v>
      </c>
      <c r="AZ141">
        <v>36287.726099618951</v>
      </c>
      <c r="BA141">
        <v>35512.677455548277</v>
      </c>
      <c r="BB141">
        <v>37528.734152551086</v>
      </c>
      <c r="BC141">
        <v>37740.847366542876</v>
      </c>
      <c r="BD141">
        <v>38937.148775567381</v>
      </c>
      <c r="BE141">
        <v>40921.316779506153</v>
      </c>
      <c r="BF141">
        <v>43163.147300039556</v>
      </c>
      <c r="BG141">
        <v>46171.889342075825</v>
      </c>
      <c r="BH141">
        <v>46967.348629121159</v>
      </c>
      <c r="BI141">
        <v>51628.26774003647</v>
      </c>
      <c r="BJ141">
        <v>53419.002270832199</v>
      </c>
      <c r="BK141">
        <v>53393.423164246284</v>
      </c>
      <c r="BL141">
        <v>50389.696330928899</v>
      </c>
      <c r="BM141">
        <v>56823.995852502201</v>
      </c>
      <c r="BN141">
        <v>56874.433932736771</v>
      </c>
      <c r="BO141">
        <v>60459.765518264387</v>
      </c>
      <c r="BP141">
        <v>62398.489238894668</v>
      </c>
      <c r="BQ141">
        <v>63655.516065966483</v>
      </c>
      <c r="BR141">
        <f t="shared" si="4"/>
        <v>2.8788422722219709</v>
      </c>
    </row>
    <row r="142" spans="1:70" x14ac:dyDescent="0.25">
      <c r="A142" t="s">
        <v>141</v>
      </c>
      <c r="B142" t="s">
        <v>636</v>
      </c>
      <c r="C142" t="s">
        <v>434</v>
      </c>
      <c r="AH142">
        <v>3906.0862668876243</v>
      </c>
      <c r="AI142">
        <v>3828.9540886890322</v>
      </c>
      <c r="AJ142">
        <v>4029.8575255285632</v>
      </c>
      <c r="AK142">
        <v>4207.9488648746337</v>
      </c>
      <c r="AL142">
        <v>4397.4780200969763</v>
      </c>
      <c r="AM142">
        <v>4704.035699645673</v>
      </c>
      <c r="AN142">
        <v>4175.3488354197125</v>
      </c>
      <c r="AO142">
        <v>3867.8383857628764</v>
      </c>
      <c r="AP142">
        <v>3806.3745586575983</v>
      </c>
      <c r="AQ142">
        <v>3719.2876076162306</v>
      </c>
      <c r="AR142">
        <v>3772.6991319299873</v>
      </c>
      <c r="AS142">
        <v>4001.2431205945422</v>
      </c>
      <c r="AT142">
        <v>4122.3677718623439</v>
      </c>
      <c r="AU142">
        <v>4041.1728435840455</v>
      </c>
      <c r="AV142">
        <v>4012.8585969897504</v>
      </c>
      <c r="AW142">
        <v>4075.6807928036042</v>
      </c>
      <c r="AX142">
        <v>4076.0986304570051</v>
      </c>
      <c r="AY142">
        <v>4222.9539353764349</v>
      </c>
      <c r="AZ142">
        <v>3903.8057132342315</v>
      </c>
      <c r="BA142">
        <v>4047.7453724353118</v>
      </c>
      <c r="BB142">
        <v>4269.9054604506046</v>
      </c>
      <c r="BC142">
        <v>4259.66173142969</v>
      </c>
      <c r="BD142">
        <v>4244.5881283861163</v>
      </c>
      <c r="BE142">
        <v>4470.4263009284259</v>
      </c>
      <c r="BF142">
        <v>4492.5674921182081</v>
      </c>
      <c r="BG142">
        <v>4670.7075578557733</v>
      </c>
      <c r="BH142">
        <v>4897.1493400203772</v>
      </c>
      <c r="BI142">
        <v>5200.0106653248513</v>
      </c>
      <c r="BJ142">
        <v>5636.0295493767208</v>
      </c>
      <c r="BK142">
        <v>6405.8963238710485</v>
      </c>
      <c r="BL142">
        <v>6418.006638224163</v>
      </c>
      <c r="BM142">
        <v>6768.8257912962399</v>
      </c>
      <c r="BN142">
        <v>6937.7535705051368</v>
      </c>
      <c r="BO142">
        <v>6774.7826557837834</v>
      </c>
      <c r="BP142">
        <v>7236.867937664897</v>
      </c>
      <c r="BQ142">
        <v>7660.3769559116836</v>
      </c>
      <c r="BR142">
        <f t="shared" si="4"/>
        <v>3.1416800099874909</v>
      </c>
    </row>
    <row r="143" spans="1:70" x14ac:dyDescent="0.25">
      <c r="A143" t="s">
        <v>142</v>
      </c>
      <c r="B143" t="s">
        <v>647</v>
      </c>
      <c r="C143" t="s">
        <v>434</v>
      </c>
      <c r="AH143">
        <v>5519.6103355834321</v>
      </c>
      <c r="AI143">
        <v>5456.5557594829306</v>
      </c>
      <c r="AJ143">
        <v>5350.1180359065729</v>
      </c>
      <c r="AK143">
        <v>5439.8222868314433</v>
      </c>
      <c r="AL143">
        <v>5097.2083895370224</v>
      </c>
      <c r="AM143">
        <v>5446.2695602153153</v>
      </c>
      <c r="AN143">
        <v>5650.3411802563178</v>
      </c>
      <c r="AO143">
        <v>5302.3666325552276</v>
      </c>
      <c r="AP143">
        <v>5310.1581905652447</v>
      </c>
      <c r="AQ143">
        <v>5359.9888196439742</v>
      </c>
      <c r="AR143">
        <v>5008.6080651877364</v>
      </c>
      <c r="AS143">
        <v>4847.4108599245337</v>
      </c>
      <c r="AT143">
        <v>4806.8985332914845</v>
      </c>
      <c r="AU143">
        <v>5023.6521321680375</v>
      </c>
      <c r="AV143">
        <v>5139.2255203246805</v>
      </c>
      <c r="AW143">
        <v>5445.8295090324273</v>
      </c>
      <c r="AX143">
        <v>6284.702090042173</v>
      </c>
      <c r="AY143">
        <v>6002.7783213448756</v>
      </c>
      <c r="AZ143">
        <v>5813.3560850279064</v>
      </c>
      <c r="BA143">
        <v>5639.7874491041894</v>
      </c>
      <c r="BB143">
        <v>5605.763888627147</v>
      </c>
      <c r="BC143">
        <v>5653.2172009242668</v>
      </c>
      <c r="BD143">
        <v>5716.2519541428492</v>
      </c>
      <c r="BE143">
        <v>5769.7287090231821</v>
      </c>
      <c r="BF143">
        <v>5837.8520309550777</v>
      </c>
      <c r="BG143">
        <v>5969.5423928951614</v>
      </c>
      <c r="BH143">
        <v>5866.2814467412882</v>
      </c>
      <c r="BI143">
        <v>6050.6218032529941</v>
      </c>
      <c r="BJ143">
        <v>6153.6379024170446</v>
      </c>
      <c r="BK143">
        <v>6162.2104445596897</v>
      </c>
      <c r="BL143">
        <v>5963.2354972498752</v>
      </c>
      <c r="BM143">
        <v>5836.5658082189693</v>
      </c>
      <c r="BN143">
        <v>6053.261781247681</v>
      </c>
      <c r="BO143">
        <v>6276.4752107565282</v>
      </c>
      <c r="BP143">
        <v>6482.6901663593608</v>
      </c>
      <c r="BQ143">
        <v>6559.0432196056563</v>
      </c>
      <c r="BR143">
        <f t="shared" si="4"/>
        <v>2.9605316640239021</v>
      </c>
    </row>
    <row r="144" spans="1:70" x14ac:dyDescent="0.25">
      <c r="A144" t="s">
        <v>143</v>
      </c>
      <c r="B144" t="s">
        <v>519</v>
      </c>
      <c r="C144" t="s">
        <v>434</v>
      </c>
      <c r="AH144">
        <v>8986.0330717149209</v>
      </c>
      <c r="AI144">
        <v>9283.8451604324237</v>
      </c>
      <c r="AJ144">
        <v>9759.2192914135794</v>
      </c>
      <c r="AK144">
        <v>10134.327376761255</v>
      </c>
      <c r="AL144">
        <v>10406.771389602012</v>
      </c>
      <c r="AM144">
        <v>10760.058004935037</v>
      </c>
      <c r="AN144">
        <v>11245.705972200316</v>
      </c>
      <c r="AO144">
        <v>11737.415147632726</v>
      </c>
      <c r="AP144">
        <v>12319.886654445612</v>
      </c>
      <c r="AQ144">
        <v>12481.862200020129</v>
      </c>
      <c r="AR144">
        <v>13373.655799097029</v>
      </c>
      <c r="AS144">
        <v>13712.579390104183</v>
      </c>
      <c r="AT144">
        <v>13837.625802560506</v>
      </c>
      <c r="AU144">
        <v>14551.878444257931</v>
      </c>
      <c r="AV144">
        <v>15087.068783279725</v>
      </c>
      <c r="AW144">
        <v>15264.598183915721</v>
      </c>
      <c r="AX144">
        <v>15932.81922227947</v>
      </c>
      <c r="AY144">
        <v>16774.568513756465</v>
      </c>
      <c r="AZ144">
        <v>17627.11219480776</v>
      </c>
      <c r="BA144">
        <v>18171.687002578336</v>
      </c>
      <c r="BB144">
        <v>18925.57138528287</v>
      </c>
      <c r="BC144">
        <v>19678.602263973276</v>
      </c>
      <c r="BD144">
        <v>20313.032894146854</v>
      </c>
      <c r="BE144">
        <v>20952.377573498568</v>
      </c>
      <c r="BF144">
        <v>21721.309644478813</v>
      </c>
      <c r="BG144">
        <v>22499.025457055148</v>
      </c>
      <c r="BH144">
        <v>23357.230006620994</v>
      </c>
      <c r="BI144">
        <v>24258.988821567043</v>
      </c>
      <c r="BJ144">
        <v>25243.886462030987</v>
      </c>
      <c r="BK144">
        <v>25958.490028146538</v>
      </c>
      <c r="BL144">
        <v>22272.539869667697</v>
      </c>
      <c r="BM144">
        <v>23010.201382690571</v>
      </c>
      <c r="BN144">
        <v>25005.06661457229</v>
      </c>
      <c r="BO144">
        <v>26471.035142289216</v>
      </c>
      <c r="BP144">
        <v>27844.89561148312</v>
      </c>
      <c r="BQ144">
        <v>28769.512830770869</v>
      </c>
      <c r="BR144">
        <f t="shared" si="4"/>
        <v>5.7433395580864577</v>
      </c>
    </row>
    <row r="145" spans="1:70" x14ac:dyDescent="0.25">
      <c r="A145" t="s">
        <v>144</v>
      </c>
      <c r="B145" t="s">
        <v>545</v>
      </c>
      <c r="C145" t="s">
        <v>434</v>
      </c>
      <c r="AH145">
        <v>17169.592585979528</v>
      </c>
      <c r="AI145">
        <v>17511.731311249194</v>
      </c>
      <c r="AJ145">
        <v>17796.405966286646</v>
      </c>
      <c r="AK145">
        <v>17970.587186969311</v>
      </c>
      <c r="AL145">
        <v>18422.819929626727</v>
      </c>
      <c r="AM145">
        <v>17028.121502283673</v>
      </c>
      <c r="AN145">
        <v>17775.872788912784</v>
      </c>
      <c r="AO145">
        <v>18737.642646429213</v>
      </c>
      <c r="AP145">
        <v>19573.065456132794</v>
      </c>
      <c r="AQ145">
        <v>19793.285286329268</v>
      </c>
      <c r="AR145">
        <v>20470.493766915755</v>
      </c>
      <c r="AS145">
        <v>20078.218393130712</v>
      </c>
      <c r="AT145">
        <v>19744.793367560902</v>
      </c>
      <c r="AU145">
        <v>19701.463389871373</v>
      </c>
      <c r="AV145">
        <v>20127.224290296806</v>
      </c>
      <c r="AW145">
        <v>20277.255285200703</v>
      </c>
      <c r="AX145">
        <v>20965.825608704406</v>
      </c>
      <c r="AY145">
        <v>21102.268833834871</v>
      </c>
      <c r="AZ145">
        <v>20992.560266236385</v>
      </c>
      <c r="BA145">
        <v>19385.543725187741</v>
      </c>
      <c r="BB145">
        <v>20058.385488230142</v>
      </c>
      <c r="BC145">
        <v>20457.600167778302</v>
      </c>
      <c r="BD145">
        <v>20898.935720907961</v>
      </c>
      <c r="BE145">
        <v>20805.348040656419</v>
      </c>
      <c r="BF145">
        <v>21069.766165388621</v>
      </c>
      <c r="BG145">
        <v>21408.928321619533</v>
      </c>
      <c r="BH145">
        <v>21578.263354125986</v>
      </c>
      <c r="BI145">
        <v>21777.522512727523</v>
      </c>
      <c r="BJ145">
        <v>21997.773021949441</v>
      </c>
      <c r="BK145">
        <v>21704.185952747954</v>
      </c>
      <c r="BL145">
        <v>19728.481782745519</v>
      </c>
      <c r="BM145">
        <v>20782.587744090539</v>
      </c>
      <c r="BN145">
        <v>21391.857369884536</v>
      </c>
      <c r="BO145">
        <v>21864.923610414531</v>
      </c>
      <c r="BP145">
        <v>21970.352041292626</v>
      </c>
      <c r="BQ145">
        <v>21911.92928427468</v>
      </c>
      <c r="BR145">
        <f t="shared" si="4"/>
        <v>1.3316813414627982</v>
      </c>
    </row>
    <row r="146" spans="1:70" x14ac:dyDescent="0.25">
      <c r="A146" t="s">
        <v>145</v>
      </c>
      <c r="B146" t="s">
        <v>682</v>
      </c>
      <c r="C146" t="s">
        <v>434</v>
      </c>
      <c r="AH146">
        <v>3119.8117462846099</v>
      </c>
      <c r="AI146">
        <v>3290.6667403339188</v>
      </c>
      <c r="AJ146">
        <v>3355.5482655382639</v>
      </c>
      <c r="AK146">
        <v>3552.1149956620839</v>
      </c>
      <c r="AL146">
        <v>3468.053469414172</v>
      </c>
      <c r="AM146">
        <v>3672.4312612652579</v>
      </c>
      <c r="AN146">
        <v>3534.4160885640463</v>
      </c>
      <c r="AO146">
        <v>3304.1160945627912</v>
      </c>
      <c r="AP146">
        <v>3388.5125222887295</v>
      </c>
      <c r="AQ146">
        <v>3417.4654001441522</v>
      </c>
      <c r="AR146">
        <v>3563.8918048448409</v>
      </c>
      <c r="AS146">
        <v>3618.3939602241048</v>
      </c>
      <c r="AT146">
        <v>3631.7487615337309</v>
      </c>
      <c r="AU146">
        <v>3701.1326514005668</v>
      </c>
      <c r="AV146">
        <v>3594.5771899928613</v>
      </c>
      <c r="AW146">
        <v>3710.1984974259703</v>
      </c>
      <c r="AX146">
        <v>3717.6578240363524</v>
      </c>
      <c r="AY146">
        <v>3684.2020932628106</v>
      </c>
      <c r="AZ146">
        <v>3622.0488655973427</v>
      </c>
      <c r="BA146">
        <v>3702.3613162204847</v>
      </c>
      <c r="BB146">
        <v>3780.2513279265254</v>
      </c>
      <c r="BC146">
        <v>3917.4464148148227</v>
      </c>
      <c r="BD146">
        <v>3847.1474352833729</v>
      </c>
      <c r="BE146">
        <v>3696.7455037894106</v>
      </c>
      <c r="BF146">
        <v>3592.8190138954333</v>
      </c>
      <c r="BG146">
        <v>3739.3596876744778</v>
      </c>
      <c r="BH146">
        <v>3774.031933969482</v>
      </c>
      <c r="BI146">
        <v>3838.0453428926107</v>
      </c>
      <c r="BJ146">
        <v>3838.640547932624</v>
      </c>
      <c r="BK146">
        <v>3965.0537726939579</v>
      </c>
      <c r="BL146">
        <v>3861.2931957030114</v>
      </c>
      <c r="BM146">
        <v>3955.7314131797129</v>
      </c>
      <c r="BN146">
        <v>3815.7946569967216</v>
      </c>
      <c r="BO146">
        <v>3841.2711651081554</v>
      </c>
      <c r="BP146">
        <v>3911.2663194040683</v>
      </c>
      <c r="BQ146">
        <v>3934.6426835411048</v>
      </c>
      <c r="BR146">
        <f t="shared" si="4"/>
        <v>-0.13354686835336249</v>
      </c>
    </row>
    <row r="147" spans="1:70" x14ac:dyDescent="0.25">
      <c r="A147" t="s">
        <v>592</v>
      </c>
      <c r="B147" t="s">
        <v>593</v>
      </c>
      <c r="C147" t="s">
        <v>434</v>
      </c>
      <c r="AH147">
        <v>9219.821660502088</v>
      </c>
      <c r="AI147">
        <v>9109.8698367101661</v>
      </c>
      <c r="AJ147">
        <v>9384.7724191359248</v>
      </c>
      <c r="AK147">
        <v>9335.0518473519314</v>
      </c>
      <c r="AL147">
        <v>9333.4108942204857</v>
      </c>
      <c r="AM147">
        <v>9383.0378117244109</v>
      </c>
      <c r="AN147">
        <v>9635.9556265786159</v>
      </c>
      <c r="AO147">
        <v>9771.664644558994</v>
      </c>
      <c r="AP147">
        <v>9976.8008699137845</v>
      </c>
      <c r="AQ147">
        <v>10034.813762093272</v>
      </c>
      <c r="AR147">
        <v>10396.79371821142</v>
      </c>
      <c r="AS147">
        <v>10387.1843453909</v>
      </c>
      <c r="AT147">
        <v>10405.750570078017</v>
      </c>
      <c r="AU147">
        <v>10590.277659008389</v>
      </c>
      <c r="AV147">
        <v>11163.909884906667</v>
      </c>
      <c r="AW147">
        <v>11466.186767624864</v>
      </c>
      <c r="AX147">
        <v>11838.302459445196</v>
      </c>
      <c r="AY147">
        <v>12172.686084897088</v>
      </c>
      <c r="AZ147">
        <v>12410.354837805542</v>
      </c>
      <c r="BA147">
        <v>12328.590525863005</v>
      </c>
      <c r="BB147">
        <v>12644.528763967517</v>
      </c>
      <c r="BC147">
        <v>12878.663356942649</v>
      </c>
      <c r="BD147">
        <v>12998.823776019115</v>
      </c>
      <c r="BE147">
        <v>12974.708804342208</v>
      </c>
      <c r="BF147">
        <v>13125.956910826528</v>
      </c>
      <c r="BG147">
        <v>13274.483414813201</v>
      </c>
      <c r="BH147">
        <v>13660.664726164658</v>
      </c>
      <c r="BI147">
        <v>13738.711278925372</v>
      </c>
      <c r="BJ147">
        <v>13857.697716632794</v>
      </c>
      <c r="BK147">
        <v>13875.43548188055</v>
      </c>
      <c r="BL147">
        <v>13261.545106780251</v>
      </c>
      <c r="BM147">
        <v>13667.961894094184</v>
      </c>
      <c r="BN147">
        <v>14260.88182557624</v>
      </c>
      <c r="BO147">
        <v>14315.205822318154</v>
      </c>
      <c r="BP147">
        <v>14391.405949632979</v>
      </c>
      <c r="BQ147">
        <v>14512.002897051419</v>
      </c>
      <c r="BR147">
        <f t="shared" si="4"/>
        <v>1.5093155073606868</v>
      </c>
    </row>
    <row r="148" spans="1:70" x14ac:dyDescent="0.25">
      <c r="A148" t="s">
        <v>621</v>
      </c>
      <c r="B148" t="s">
        <v>622</v>
      </c>
      <c r="C148" t="s">
        <v>434</v>
      </c>
      <c r="AH148">
        <v>6460.1543004016157</v>
      </c>
      <c r="AI148">
        <v>6308.1779259597606</v>
      </c>
      <c r="AJ148">
        <v>6457.8871275172532</v>
      </c>
      <c r="AK148">
        <v>6394.886945700121</v>
      </c>
      <c r="AL148">
        <v>6374.4681323950181</v>
      </c>
      <c r="AM148">
        <v>6422.976979677288</v>
      </c>
      <c r="AN148">
        <v>6651.3884649242018</v>
      </c>
      <c r="AO148">
        <v>6724.1961517870213</v>
      </c>
      <c r="AP148">
        <v>6940.7636520999095</v>
      </c>
      <c r="AQ148">
        <v>7073.2143197613559</v>
      </c>
      <c r="AR148">
        <v>7317.2603583222171</v>
      </c>
      <c r="AS148">
        <v>7371.3767408888953</v>
      </c>
      <c r="AT148">
        <v>7465.7327242295814</v>
      </c>
      <c r="AU148">
        <v>7478.8587507965085</v>
      </c>
      <c r="AV148">
        <v>7872.217593981316</v>
      </c>
      <c r="AW148">
        <v>8068.2825762388111</v>
      </c>
      <c r="AX148">
        <v>8323.6822352468062</v>
      </c>
      <c r="AY148">
        <v>8627.7371112711608</v>
      </c>
      <c r="AZ148">
        <v>8753.1370765961401</v>
      </c>
      <c r="BA148">
        <v>8831.7148938272912</v>
      </c>
      <c r="BB148">
        <v>9052.1081899505898</v>
      </c>
      <c r="BC148">
        <v>8988.5998347150144</v>
      </c>
      <c r="BD148">
        <v>8984.9351007416644</v>
      </c>
      <c r="BE148">
        <v>8907.4450697534812</v>
      </c>
      <c r="BF148">
        <v>8991.3307566147705</v>
      </c>
      <c r="BG148">
        <v>9038.5625940952305</v>
      </c>
      <c r="BH148">
        <v>9412.5084550992997</v>
      </c>
      <c r="BI148">
        <v>9558.3431674966905</v>
      </c>
      <c r="BJ148">
        <v>9610.5359055489153</v>
      </c>
      <c r="BK148">
        <v>9622.7074284285682</v>
      </c>
      <c r="BL148">
        <v>9308.5806849771234</v>
      </c>
      <c r="BM148">
        <v>9516.646687171391</v>
      </c>
      <c r="BN148">
        <v>9789.5738205645339</v>
      </c>
      <c r="BO148">
        <v>9902.1762060261553</v>
      </c>
      <c r="BP148">
        <v>9972.9361484970759</v>
      </c>
      <c r="BQ148">
        <v>10013.610023799056</v>
      </c>
      <c r="BR148">
        <f t="shared" si="4"/>
        <v>1.2806971229814224</v>
      </c>
    </row>
    <row r="149" spans="1:70" x14ac:dyDescent="0.25">
      <c r="A149" t="s">
        <v>618</v>
      </c>
      <c r="B149" t="s">
        <v>619</v>
      </c>
      <c r="C149" t="s">
        <v>434</v>
      </c>
      <c r="AH149">
        <v>6472.6383761248035</v>
      </c>
      <c r="AI149">
        <v>6320.9543964450959</v>
      </c>
      <c r="AJ149">
        <v>6471.5959466367995</v>
      </c>
      <c r="AK149">
        <v>6409.1243603523881</v>
      </c>
      <c r="AL149">
        <v>6389.384301012371</v>
      </c>
      <c r="AM149">
        <v>6437.8775108235113</v>
      </c>
      <c r="AN149">
        <v>6668.8654326725327</v>
      </c>
      <c r="AO149">
        <v>6740.0368874773121</v>
      </c>
      <c r="AP149">
        <v>6954.842710348169</v>
      </c>
      <c r="AQ149">
        <v>7086.4538981056949</v>
      </c>
      <c r="AR149">
        <v>7335.7456705654222</v>
      </c>
      <c r="AS149">
        <v>7393.6892429158406</v>
      </c>
      <c r="AT149">
        <v>7492.5839251723983</v>
      </c>
      <c r="AU149">
        <v>7503.4008581317439</v>
      </c>
      <c r="AV149">
        <v>7894.7392042274269</v>
      </c>
      <c r="AW149">
        <v>8089.6490382766833</v>
      </c>
      <c r="AX149">
        <v>8347.9320087898523</v>
      </c>
      <c r="AY149">
        <v>8653.7376315761867</v>
      </c>
      <c r="AZ149">
        <v>8778.6885791702098</v>
      </c>
      <c r="BA149">
        <v>8855.9916848100929</v>
      </c>
      <c r="BB149">
        <v>9076.8904124180299</v>
      </c>
      <c r="BC149">
        <v>9010.5275904983155</v>
      </c>
      <c r="BD149">
        <v>9005.5494972891174</v>
      </c>
      <c r="BE149">
        <v>8926.713550370303</v>
      </c>
      <c r="BF149">
        <v>9012.3078045040093</v>
      </c>
      <c r="BG149">
        <v>9059.4139142774129</v>
      </c>
      <c r="BH149">
        <v>9433.3733163681845</v>
      </c>
      <c r="BI149">
        <v>9580.5492222166504</v>
      </c>
      <c r="BJ149">
        <v>9633.8583587412231</v>
      </c>
      <c r="BK149">
        <v>9646.7914099601221</v>
      </c>
      <c r="BL149">
        <v>9336.6044087131577</v>
      </c>
      <c r="BM149">
        <v>9544.6539342502219</v>
      </c>
      <c r="BN149">
        <v>9819.1076523976117</v>
      </c>
      <c r="BO149">
        <v>9934.1276302063307</v>
      </c>
      <c r="BP149">
        <v>10015.7953971077</v>
      </c>
      <c r="BQ149">
        <v>10056.432019496837</v>
      </c>
      <c r="BR149">
        <f t="shared" si="4"/>
        <v>1.3143433321858078</v>
      </c>
    </row>
    <row r="150" spans="1:70" x14ac:dyDescent="0.25">
      <c r="A150" t="s">
        <v>585</v>
      </c>
      <c r="B150" t="s">
        <v>586</v>
      </c>
      <c r="C150" t="s">
        <v>434</v>
      </c>
      <c r="AH150">
        <v>4646.2595715128509</v>
      </c>
      <c r="AI150">
        <v>4648.0143099973111</v>
      </c>
      <c r="AJ150">
        <v>4722.0967749798619</v>
      </c>
      <c r="AK150">
        <v>4819.0321408953978</v>
      </c>
      <c r="AL150">
        <v>4921.8396105299526</v>
      </c>
      <c r="AM150">
        <v>5045.7498125327538</v>
      </c>
      <c r="AN150">
        <v>5255.6411823075487</v>
      </c>
      <c r="AO150">
        <v>5436.3822939023894</v>
      </c>
      <c r="AP150">
        <v>5503.3384952339047</v>
      </c>
      <c r="AQ150">
        <v>5622.7267665774516</v>
      </c>
      <c r="AR150">
        <v>5839.1568866007556</v>
      </c>
      <c r="AS150">
        <v>5965.0670590156005</v>
      </c>
      <c r="AT150">
        <v>6156.3157470722008</v>
      </c>
      <c r="AU150">
        <v>6424.2060238484273</v>
      </c>
      <c r="AV150">
        <v>6820.5053831360547</v>
      </c>
      <c r="AW150">
        <v>7201.4005318668524</v>
      </c>
      <c r="AX150">
        <v>7665.3177172403675</v>
      </c>
      <c r="AY150">
        <v>8197.9926849088461</v>
      </c>
      <c r="AZ150">
        <v>8535.840909468081</v>
      </c>
      <c r="BA150">
        <v>8733.8616352888221</v>
      </c>
      <c r="BB150">
        <v>9296.3177841879278</v>
      </c>
      <c r="BC150">
        <v>9737.8143593115201</v>
      </c>
      <c r="BD150">
        <v>10125.510949147958</v>
      </c>
      <c r="BE150">
        <v>10542.026674052049</v>
      </c>
      <c r="BF150">
        <v>10935.253286125258</v>
      </c>
      <c r="BG150">
        <v>11307.918013780458</v>
      </c>
      <c r="BH150">
        <v>11720.822257972783</v>
      </c>
      <c r="BI150">
        <v>12195.063218113221</v>
      </c>
      <c r="BJ150">
        <v>12658.324499624563</v>
      </c>
      <c r="BK150">
        <v>13034.151333300808</v>
      </c>
      <c r="BL150">
        <v>12685.095021379218</v>
      </c>
      <c r="BM150">
        <v>13477.148028888616</v>
      </c>
      <c r="BN150">
        <v>13938.71550771</v>
      </c>
      <c r="BO150">
        <v>14488.645336707459</v>
      </c>
      <c r="BP150">
        <v>15025.133735113634</v>
      </c>
      <c r="BQ150">
        <v>15594.238603847765</v>
      </c>
      <c r="BR150">
        <f t="shared" si="4"/>
        <v>3.7149934138642982</v>
      </c>
    </row>
    <row r="151" spans="1:70" x14ac:dyDescent="0.25">
      <c r="A151" t="s">
        <v>575</v>
      </c>
      <c r="B151" t="s">
        <v>576</v>
      </c>
      <c r="C151" t="s">
        <v>434</v>
      </c>
      <c r="AH151">
        <v>15902.89432322782</v>
      </c>
      <c r="AI151">
        <v>13342.060023796232</v>
      </c>
      <c r="AJ151">
        <v>9461.4277260657746</v>
      </c>
      <c r="AK151">
        <v>9363.5930993511793</v>
      </c>
      <c r="AL151">
        <v>6490.3531027176932</v>
      </c>
      <c r="AM151">
        <v>6428.8397944875214</v>
      </c>
      <c r="AN151">
        <v>6063.1405169366435</v>
      </c>
      <c r="AO151">
        <v>6185.8395247323188</v>
      </c>
      <c r="AP151">
        <v>5783.4859375148262</v>
      </c>
      <c r="AQ151">
        <v>5597.4651285029549</v>
      </c>
      <c r="AR151">
        <v>5727.0792252535175</v>
      </c>
      <c r="AS151">
        <v>6090.0347435611202</v>
      </c>
      <c r="AT151">
        <v>6580.2784143683784</v>
      </c>
      <c r="AU151">
        <v>7034.3578491168691</v>
      </c>
      <c r="AV151">
        <v>7573.6178454750952</v>
      </c>
      <c r="AW151">
        <v>8161.4734472476475</v>
      </c>
      <c r="AX151">
        <v>8577.0285803728621</v>
      </c>
      <c r="AY151">
        <v>8854.8339761672432</v>
      </c>
      <c r="AZ151">
        <v>9563.6981429093867</v>
      </c>
      <c r="BA151">
        <v>9001.2343208162165</v>
      </c>
      <c r="BB151">
        <v>9649.9509930271015</v>
      </c>
      <c r="BC151">
        <v>10217.308776125532</v>
      </c>
      <c r="BD151">
        <v>10158.385467688291</v>
      </c>
      <c r="BE151">
        <v>11080.063458534052</v>
      </c>
      <c r="BF151">
        <v>11641.120843657689</v>
      </c>
      <c r="BG151">
        <v>11691.0797484184</v>
      </c>
      <c r="BH151">
        <v>12377.366678394035</v>
      </c>
      <c r="BI151">
        <v>13118.821936960536</v>
      </c>
      <c r="BJ151">
        <v>13895.504365569192</v>
      </c>
      <c r="BK151">
        <v>14621.240136228585</v>
      </c>
      <c r="BL151">
        <v>13559.260021748289</v>
      </c>
      <c r="BM151">
        <v>15682.070328465348</v>
      </c>
      <c r="BN151">
        <v>15350.312040839119</v>
      </c>
      <c r="BO151">
        <v>15980.566888985557</v>
      </c>
      <c r="BP151">
        <v>16393.863325718376</v>
      </c>
      <c r="BQ151">
        <v>17087.187404481923</v>
      </c>
      <c r="BR151">
        <f t="shared" si="4"/>
        <v>2.1684480277516904</v>
      </c>
    </row>
    <row r="152" spans="1:70" x14ac:dyDescent="0.25">
      <c r="A152" t="s">
        <v>146</v>
      </c>
      <c r="B152" t="s">
        <v>723</v>
      </c>
      <c r="C152" t="s">
        <v>434</v>
      </c>
      <c r="BQ152" s="200"/>
      <c r="BR152">
        <v>0</v>
      </c>
    </row>
    <row r="153" spans="1:70" x14ac:dyDescent="0.25">
      <c r="A153" t="s">
        <v>147</v>
      </c>
      <c r="B153" t="s">
        <v>571</v>
      </c>
      <c r="C153" t="s">
        <v>434</v>
      </c>
      <c r="AH153">
        <v>6637.819267311982</v>
      </c>
      <c r="AI153">
        <v>5874.25558231388</v>
      </c>
      <c r="AJ153">
        <v>5324.4875968998676</v>
      </c>
      <c r="AK153">
        <v>5162.0998701037997</v>
      </c>
      <c r="AL153">
        <v>5213.8463260807584</v>
      </c>
      <c r="AM153">
        <v>5457.6850157000481</v>
      </c>
      <c r="AN153">
        <v>5494.3213398189719</v>
      </c>
      <c r="AO153">
        <v>5628.1066348422282</v>
      </c>
      <c r="AP153">
        <v>5735.8438364577105</v>
      </c>
      <c r="AQ153">
        <v>5829.1664145592895</v>
      </c>
      <c r="AR153">
        <v>5818.2430784290082</v>
      </c>
      <c r="AS153">
        <v>5917.0708839634271</v>
      </c>
      <c r="AT153">
        <v>6117.9824222592024</v>
      </c>
      <c r="AU153">
        <v>6463.7896665176168</v>
      </c>
      <c r="AV153">
        <v>7070.6671584509986</v>
      </c>
      <c r="AW153">
        <v>7499.8480393542786</v>
      </c>
      <c r="AX153">
        <v>8043.996781085566</v>
      </c>
      <c r="AY153">
        <v>8750.1340744229929</v>
      </c>
      <c r="AZ153">
        <v>9379.8548968776504</v>
      </c>
      <c r="BA153">
        <v>9095.9769892529039</v>
      </c>
      <c r="BB153">
        <v>9507.118823625</v>
      </c>
      <c r="BC153">
        <v>10960.095928386429</v>
      </c>
      <c r="BD153">
        <v>12078.918532006182</v>
      </c>
      <c r="BE153">
        <v>13210.09456656678</v>
      </c>
      <c r="BF153">
        <v>13943.427714865251</v>
      </c>
      <c r="BG153">
        <v>13974.596726036516</v>
      </c>
      <c r="BH153">
        <v>13898.145695358526</v>
      </c>
      <c r="BI153">
        <v>14401.537506756224</v>
      </c>
      <c r="BJ153">
        <v>15230.240882884682</v>
      </c>
      <c r="BK153">
        <v>15790.696112644131</v>
      </c>
      <c r="BL153">
        <v>14801.342082918465</v>
      </c>
      <c r="BM153">
        <v>14792.250908642214</v>
      </c>
      <c r="BN153">
        <v>15310.434946916346</v>
      </c>
      <c r="BO153">
        <v>16222.86388985287</v>
      </c>
      <c r="BP153">
        <v>16842.650587379678</v>
      </c>
      <c r="BQ153">
        <v>17772.534221255864</v>
      </c>
      <c r="BR153">
        <f t="shared" ref="BR153:BR184" si="5">(((BQ153/BM153)^(1/4))-1)*100</f>
        <v>4.6956827946357693</v>
      </c>
    </row>
    <row r="154" spans="1:70" x14ac:dyDescent="0.25">
      <c r="A154" t="s">
        <v>148</v>
      </c>
      <c r="B154" t="s">
        <v>518</v>
      </c>
      <c r="C154" t="s">
        <v>434</v>
      </c>
      <c r="AO154">
        <v>14638.736348970217</v>
      </c>
      <c r="AP154">
        <v>15402.987996671356</v>
      </c>
      <c r="AQ154">
        <v>13993.35774354183</v>
      </c>
      <c r="AR154">
        <v>14452.216142349587</v>
      </c>
      <c r="AS154">
        <v>14552.495678592317</v>
      </c>
      <c r="AT154">
        <v>14770.255224547032</v>
      </c>
      <c r="AU154">
        <v>15076.651390378094</v>
      </c>
      <c r="AV154">
        <v>15716.075572557225</v>
      </c>
      <c r="AW154">
        <v>16348.899449465194</v>
      </c>
      <c r="AX154">
        <v>17727.366044940336</v>
      </c>
      <c r="AY154">
        <v>18966.45295804647</v>
      </c>
      <c r="AZ154">
        <v>20238.921645913502</v>
      </c>
      <c r="BA154">
        <v>18984.937913609705</v>
      </c>
      <c r="BB154">
        <v>19476.162617948725</v>
      </c>
      <c r="BC154">
        <v>20110.48697250475</v>
      </c>
      <c r="BD154">
        <v>19576.412051459018</v>
      </c>
      <c r="BE154">
        <v>20201.291634436871</v>
      </c>
      <c r="BF154">
        <v>20641.764517656127</v>
      </c>
      <c r="BG154">
        <v>21131.841031624728</v>
      </c>
      <c r="BH154">
        <v>21834.091874192436</v>
      </c>
      <c r="BI154">
        <v>22513.780763717055</v>
      </c>
      <c r="BJ154">
        <v>23562.176255895694</v>
      </c>
      <c r="BK154">
        <v>24585.115952915752</v>
      </c>
      <c r="BL154">
        <v>20904.599931451266</v>
      </c>
      <c r="BM154">
        <v>23689.979109065131</v>
      </c>
      <c r="BN154">
        <v>25583.315569061866</v>
      </c>
      <c r="BO154">
        <v>27243.404228981002</v>
      </c>
      <c r="BP154">
        <v>28105.592772662356</v>
      </c>
      <c r="BQ154">
        <v>28895.317197007138</v>
      </c>
      <c r="BR154">
        <f t="shared" si="5"/>
        <v>5.0910417466192737</v>
      </c>
    </row>
    <row r="155" spans="1:70" x14ac:dyDescent="0.25">
      <c r="A155" t="s">
        <v>149</v>
      </c>
      <c r="B155" t="s">
        <v>626</v>
      </c>
      <c r="C155" t="s">
        <v>434</v>
      </c>
      <c r="AH155">
        <v>4418.66015625</v>
      </c>
      <c r="AI155">
        <v>4656.1259765625</v>
      </c>
      <c r="AJ155">
        <v>4483.24951171875</v>
      </c>
      <c r="AK155">
        <v>4379.76416015625</v>
      </c>
      <c r="AL155">
        <v>4771.0927734375</v>
      </c>
      <c r="AM155">
        <v>4444.228515625</v>
      </c>
      <c r="AN155">
        <v>4916.47998046875</v>
      </c>
      <c r="AO155">
        <v>4766.1103515625</v>
      </c>
      <c r="AP155">
        <v>5033.92333984375</v>
      </c>
      <c r="AQ155">
        <v>5043.6650390625</v>
      </c>
      <c r="AR155">
        <v>5100.11572265625</v>
      </c>
      <c r="AS155">
        <v>5417.57861328125</v>
      </c>
      <c r="AT155">
        <v>5544.07177734375</v>
      </c>
      <c r="AU155">
        <v>5810.05322265625</v>
      </c>
      <c r="AV155">
        <v>5996.39013671875</v>
      </c>
      <c r="AW155">
        <v>6103.42236328125</v>
      </c>
      <c r="AX155">
        <v>6488.673828125</v>
      </c>
      <c r="AY155">
        <v>6620.59033203125</v>
      </c>
      <c r="AZ155">
        <v>6901.95068359375</v>
      </c>
      <c r="BA155">
        <v>7063.72705078125</v>
      </c>
      <c r="BB155">
        <v>7210.63671875</v>
      </c>
      <c r="BC155">
        <v>7503.79296875</v>
      </c>
      <c r="BD155">
        <v>7628.64404296875</v>
      </c>
      <c r="BE155">
        <v>7839.0322265625</v>
      </c>
      <c r="BF155">
        <v>7951.79833984375</v>
      </c>
      <c r="BG155">
        <v>8198.80859375</v>
      </c>
      <c r="BH155">
        <v>8141.9404296875</v>
      </c>
      <c r="BI155">
        <v>8450.0087890625</v>
      </c>
      <c r="BJ155">
        <v>8611.75</v>
      </c>
      <c r="BK155">
        <v>8768.17578125</v>
      </c>
      <c r="BL155">
        <v>8054.56298828125</v>
      </c>
      <c r="BM155">
        <v>8623.265625</v>
      </c>
      <c r="BN155">
        <v>8690.4482421875</v>
      </c>
      <c r="BO155">
        <v>8915.3515625</v>
      </c>
      <c r="BP155">
        <v>9162.7470703125</v>
      </c>
      <c r="BQ155">
        <v>9495.4052734375</v>
      </c>
      <c r="BR155">
        <f t="shared" si="5"/>
        <v>2.4378454294567531</v>
      </c>
    </row>
    <row r="156" spans="1:70" x14ac:dyDescent="0.25">
      <c r="A156" t="s">
        <v>150</v>
      </c>
      <c r="B156" t="s">
        <v>712</v>
      </c>
      <c r="C156" t="s">
        <v>434</v>
      </c>
      <c r="AH156">
        <v>547.62278143219567</v>
      </c>
      <c r="AI156">
        <v>563.51210341623153</v>
      </c>
      <c r="AJ156">
        <v>510.82282292831013</v>
      </c>
      <c r="AK156">
        <v>549.04875977095514</v>
      </c>
      <c r="AL156">
        <v>546.20968816426307</v>
      </c>
      <c r="AM156">
        <v>525.41867183749889</v>
      </c>
      <c r="AN156">
        <v>562.8574563416563</v>
      </c>
      <c r="AO156">
        <v>612.37155126591529</v>
      </c>
      <c r="AP156">
        <v>660.65017782074779</v>
      </c>
      <c r="AQ156">
        <v>722.30556137997939</v>
      </c>
      <c r="AR156">
        <v>711.97639352739589</v>
      </c>
      <c r="AS156">
        <v>785.79017361624562</v>
      </c>
      <c r="AT156">
        <v>842.64526617276135</v>
      </c>
      <c r="AU156">
        <v>883.23912147219403</v>
      </c>
      <c r="AV156">
        <v>934.13396484442126</v>
      </c>
      <c r="AW156">
        <v>970.3899560986298</v>
      </c>
      <c r="AX156">
        <v>1041.8047170959524</v>
      </c>
      <c r="AY156">
        <v>1095.1256870159818</v>
      </c>
      <c r="AZ156">
        <v>1141.9425616101892</v>
      </c>
      <c r="BA156">
        <v>1178.7090994783405</v>
      </c>
      <c r="BB156">
        <v>1224.2302047130938</v>
      </c>
      <c r="BC156">
        <v>1275.5295982258067</v>
      </c>
      <c r="BD156">
        <v>1338.5159486610426</v>
      </c>
      <c r="BE156">
        <v>1385.8325486421404</v>
      </c>
      <c r="BF156">
        <v>1449.929266327224</v>
      </c>
      <c r="BG156">
        <v>1512.5997455553957</v>
      </c>
      <c r="BH156">
        <v>1537.9085327121647</v>
      </c>
      <c r="BI156">
        <v>1532.0073576114</v>
      </c>
      <c r="BJ156">
        <v>1538.8351212702223</v>
      </c>
      <c r="BK156">
        <v>1528.8898835437337</v>
      </c>
      <c r="BL156">
        <v>1466.1247647447606</v>
      </c>
      <c r="BM156">
        <v>1457.2354093092151</v>
      </c>
      <c r="BN156">
        <v>1476.7343291702634</v>
      </c>
      <c r="BO156">
        <v>1512.667296096708</v>
      </c>
      <c r="BP156">
        <v>1500.7075850485594</v>
      </c>
      <c r="BQ156">
        <v>1450.9595524885801</v>
      </c>
      <c r="BR156">
        <f t="shared" si="5"/>
        <v>-0.107841496913752</v>
      </c>
    </row>
    <row r="157" spans="1:70" x14ac:dyDescent="0.25">
      <c r="A157" t="s">
        <v>151</v>
      </c>
      <c r="B157" t="s">
        <v>659</v>
      </c>
      <c r="C157" t="s">
        <v>434</v>
      </c>
      <c r="AH157">
        <v>775.32825438199848</v>
      </c>
      <c r="AI157">
        <v>759.28276416972597</v>
      </c>
      <c r="AJ157">
        <v>821.32775504712458</v>
      </c>
      <c r="AK157">
        <v>859.34552673359633</v>
      </c>
      <c r="AL157">
        <v>911.46842795461578</v>
      </c>
      <c r="AM157">
        <v>962.20942182452097</v>
      </c>
      <c r="AN157">
        <v>1011.1599342327436</v>
      </c>
      <c r="AO157">
        <v>1054.7674279126511</v>
      </c>
      <c r="AP157">
        <v>1102.7909636939937</v>
      </c>
      <c r="AQ157">
        <v>1209.0164280999652</v>
      </c>
      <c r="AR157">
        <v>1359.9303877803645</v>
      </c>
      <c r="AS157">
        <v>1498.3116323652532</v>
      </c>
      <c r="AT157">
        <v>1661.73588517132</v>
      </c>
      <c r="AU157">
        <v>1874.1712826938913</v>
      </c>
      <c r="AV157">
        <v>2110.2372849583094</v>
      </c>
      <c r="AW157">
        <v>2377.9025816297572</v>
      </c>
      <c r="AX157">
        <v>2669.3270037999928</v>
      </c>
      <c r="AY157">
        <v>2968.3033151236036</v>
      </c>
      <c r="AZ157">
        <v>3254.7389788810046</v>
      </c>
      <c r="BA157">
        <v>3578.1742470451477</v>
      </c>
      <c r="BB157">
        <v>3893.7903066587382</v>
      </c>
      <c r="BC157">
        <v>4078.6122091996535</v>
      </c>
      <c r="BD157">
        <v>4340.9994506917419</v>
      </c>
      <c r="BE157">
        <v>4666.9537614139181</v>
      </c>
      <c r="BF157">
        <v>5006.5066714976665</v>
      </c>
      <c r="BG157">
        <v>5313.8861590147599</v>
      </c>
      <c r="BH157">
        <v>5580.9897727323159</v>
      </c>
      <c r="BI157">
        <v>5877.8746555817534</v>
      </c>
      <c r="BJ157">
        <v>6201.2634142980305</v>
      </c>
      <c r="BK157">
        <v>6562.9889847862514</v>
      </c>
      <c r="BL157">
        <v>5926.8345020668103</v>
      </c>
      <c r="BM157">
        <v>5178.4471821716361</v>
      </c>
      <c r="BN157">
        <v>5350.4766689993139</v>
      </c>
      <c r="BO157">
        <v>5364.1379703442917</v>
      </c>
      <c r="BP157">
        <v>5276.2943398785274</v>
      </c>
      <c r="BQ157">
        <v>5137.1004882561519</v>
      </c>
      <c r="BR157">
        <f t="shared" si="5"/>
        <v>-0.20020997676145624</v>
      </c>
    </row>
    <row r="158" spans="1:70" x14ac:dyDescent="0.25">
      <c r="A158" t="s">
        <v>152</v>
      </c>
      <c r="B158" t="s">
        <v>617</v>
      </c>
      <c r="C158" t="s">
        <v>434</v>
      </c>
      <c r="AH158">
        <v>7281.7789257788845</v>
      </c>
      <c r="AI158">
        <v>7618.3327818444941</v>
      </c>
      <c r="AJ158">
        <v>7911.0102580428074</v>
      </c>
      <c r="AK158">
        <v>7541.5608179184464</v>
      </c>
      <c r="AL158">
        <v>7437.3352903610912</v>
      </c>
      <c r="AM158">
        <v>7506.1048403408622</v>
      </c>
      <c r="AN158">
        <v>7538.9246234220072</v>
      </c>
      <c r="AO158">
        <v>7656.325125429863</v>
      </c>
      <c r="AP158">
        <v>7709.8900437013408</v>
      </c>
      <c r="AQ158">
        <v>7773.943541487135</v>
      </c>
      <c r="AR158">
        <v>7858.3878952125315</v>
      </c>
      <c r="AS158">
        <v>7786.5416949676073</v>
      </c>
      <c r="AT158">
        <v>8017.2813412855876</v>
      </c>
      <c r="AU158">
        <v>8237.3659724559693</v>
      </c>
      <c r="AV158">
        <v>9130.8244233769383</v>
      </c>
      <c r="AW158">
        <v>9245.1365329555028</v>
      </c>
      <c r="AX158">
        <v>9773.2983319979758</v>
      </c>
      <c r="AY158">
        <v>10162.240070874554</v>
      </c>
      <c r="AZ158">
        <v>10286.512406760457</v>
      </c>
      <c r="BA158">
        <v>10166.289945393855</v>
      </c>
      <c r="BB158">
        <v>10614.62015766705</v>
      </c>
      <c r="BC158">
        <v>10965.272975953529</v>
      </c>
      <c r="BD158">
        <v>11266.608948646359</v>
      </c>
      <c r="BE158">
        <v>11593.575376868917</v>
      </c>
      <c r="BF158">
        <v>11982.696364834797</v>
      </c>
      <c r="BG158">
        <v>12166.565839205805</v>
      </c>
      <c r="BH158">
        <v>11846.788083275675</v>
      </c>
      <c r="BI158">
        <v>11408.725309996667</v>
      </c>
      <c r="BJ158">
        <v>11214.386043059969</v>
      </c>
      <c r="BK158">
        <v>10813.304468194407</v>
      </c>
      <c r="BL158">
        <v>9652.2482721946253</v>
      </c>
      <c r="BM158">
        <v>9709.0993064677059</v>
      </c>
      <c r="BN158">
        <v>9953.0975240349089</v>
      </c>
      <c r="BO158">
        <v>10126.235955561075</v>
      </c>
      <c r="BP158">
        <v>10276.368642638572</v>
      </c>
      <c r="BQ158">
        <v>10242.284047121855</v>
      </c>
      <c r="BR158">
        <f t="shared" si="5"/>
        <v>1.345499651914106</v>
      </c>
    </row>
    <row r="159" spans="1:70" x14ac:dyDescent="0.25">
      <c r="A159" t="s">
        <v>153</v>
      </c>
      <c r="B159" t="s">
        <v>607</v>
      </c>
      <c r="C159" t="s">
        <v>434</v>
      </c>
      <c r="AH159">
        <v>30127.225876703917</v>
      </c>
      <c r="AI159">
        <v>23840.013899846152</v>
      </c>
      <c r="AJ159">
        <v>19622.902992554984</v>
      </c>
      <c r="AK159">
        <v>16328.226718610898</v>
      </c>
      <c r="AL159">
        <v>15642.761261833974</v>
      </c>
      <c r="AM159">
        <v>14363.64033864886</v>
      </c>
      <c r="AN159">
        <v>12637.795332811776</v>
      </c>
      <c r="AO159">
        <v>11490.462297295806</v>
      </c>
      <c r="AP159">
        <v>10134.973185948393</v>
      </c>
      <c r="AQ159">
        <v>9479.512901365335</v>
      </c>
      <c r="AR159">
        <v>8846.0812478122061</v>
      </c>
      <c r="AS159">
        <v>8278.9254813422303</v>
      </c>
      <c r="AT159">
        <v>7488.8915270251891</v>
      </c>
      <c r="AU159">
        <v>7527.3754932697093</v>
      </c>
      <c r="AV159">
        <v>7201.8709372160065</v>
      </c>
      <c r="AW159">
        <v>7209.754366443728</v>
      </c>
      <c r="AX159">
        <v>7830.7181854739783</v>
      </c>
      <c r="AY159">
        <v>6110.3838768991372</v>
      </c>
      <c r="AZ159">
        <v>7340.5191063877692</v>
      </c>
      <c r="BA159">
        <v>6927.8673428580769</v>
      </c>
      <c r="BB159">
        <v>6909.242189193119</v>
      </c>
      <c r="BC159">
        <v>7882.1410557029167</v>
      </c>
      <c r="BD159">
        <v>9640.8014436436242</v>
      </c>
      <c r="BE159">
        <v>9799.7380290631972</v>
      </c>
      <c r="BF159">
        <v>11114.391227958724</v>
      </c>
      <c r="BG159">
        <v>11271.912269536289</v>
      </c>
      <c r="BH159">
        <v>11531.363007866528</v>
      </c>
      <c r="BI159">
        <v>10633.276640601807</v>
      </c>
      <c r="BJ159">
        <v>10402.613101919718</v>
      </c>
      <c r="BK159">
        <v>11184.528492720638</v>
      </c>
      <c r="BL159">
        <v>11306.020772999866</v>
      </c>
      <c r="BM159">
        <v>12113.787764493978</v>
      </c>
      <c r="BN159">
        <v>12019.349286879076</v>
      </c>
      <c r="BO159">
        <v>11858.518469643597</v>
      </c>
      <c r="BP159">
        <v>11957.878550422887</v>
      </c>
      <c r="BQ159">
        <v>12134.892088501278</v>
      </c>
      <c r="BR159">
        <f t="shared" si="5"/>
        <v>4.3525919880060826E-2</v>
      </c>
    </row>
    <row r="160" spans="1:70" x14ac:dyDescent="0.25">
      <c r="A160" t="s">
        <v>154</v>
      </c>
      <c r="B160" t="s">
        <v>656</v>
      </c>
      <c r="C160" t="s">
        <v>434</v>
      </c>
      <c r="AH160">
        <v>1808.2649004165362</v>
      </c>
      <c r="AI160">
        <v>1874.2751359521178</v>
      </c>
      <c r="AJ160">
        <v>1896.9716629774714</v>
      </c>
      <c r="AK160">
        <v>1916.9435266615617</v>
      </c>
      <c r="AL160">
        <v>2023.115196821549</v>
      </c>
      <c r="AM160">
        <v>2043.6051716006907</v>
      </c>
      <c r="AN160">
        <v>2105.5083271385729</v>
      </c>
      <c r="AO160">
        <v>2166.3126334504968</v>
      </c>
      <c r="AP160">
        <v>2188.2220157023048</v>
      </c>
      <c r="AQ160">
        <v>2242.6501182209504</v>
      </c>
      <c r="AR160">
        <v>2340.815631412976</v>
      </c>
      <c r="AS160">
        <v>2413.8142127556043</v>
      </c>
      <c r="AT160">
        <v>2380.2442458757132</v>
      </c>
      <c r="AU160">
        <v>2439.4947960155573</v>
      </c>
      <c r="AV160">
        <v>2521.5410517142755</v>
      </c>
      <c r="AW160">
        <v>2580.2310630836419</v>
      </c>
      <c r="AX160">
        <v>2641.3479949474859</v>
      </c>
      <c r="AY160">
        <v>2708.7143922588971</v>
      </c>
      <c r="AZ160">
        <v>2852.6098316796501</v>
      </c>
      <c r="BA160">
        <v>2961.8390036591213</v>
      </c>
      <c r="BB160">
        <v>3085.3140700450167</v>
      </c>
      <c r="BC160">
        <v>3176.6504060241682</v>
      </c>
      <c r="BD160">
        <v>3316.500734520208</v>
      </c>
      <c r="BE160">
        <v>3426.5579593795983</v>
      </c>
      <c r="BF160">
        <v>3621.7316893711227</v>
      </c>
      <c r="BG160">
        <v>3745.261822494766</v>
      </c>
      <c r="BH160">
        <v>3743.7445783577969</v>
      </c>
      <c r="BI160">
        <v>4071.7043175579788</v>
      </c>
      <c r="BJ160">
        <v>4371.3857177189666</v>
      </c>
      <c r="BK160">
        <v>4607.5245471711241</v>
      </c>
      <c r="BL160">
        <v>4412.5420439395002</v>
      </c>
      <c r="BM160">
        <v>4546.2297000628923</v>
      </c>
      <c r="BN160">
        <v>4763.387510739456</v>
      </c>
      <c r="BO160">
        <v>4861.2303037970023</v>
      </c>
      <c r="BP160">
        <v>5047.424490227022</v>
      </c>
      <c r="BQ160">
        <v>5276.9238772553817</v>
      </c>
      <c r="BR160">
        <f t="shared" si="5"/>
        <v>3.7964173492345488</v>
      </c>
    </row>
    <row r="161" spans="1:70" x14ac:dyDescent="0.25">
      <c r="A161" t="s">
        <v>155</v>
      </c>
      <c r="B161" t="s">
        <v>446</v>
      </c>
      <c r="C161" t="s">
        <v>434</v>
      </c>
      <c r="AH161">
        <v>43128.307165608603</v>
      </c>
      <c r="AI161">
        <v>43833.478505135055</v>
      </c>
      <c r="AJ161">
        <v>44245.519824795738</v>
      </c>
      <c r="AK161">
        <v>44490.750446644139</v>
      </c>
      <c r="AL161">
        <v>45532.798665991482</v>
      </c>
      <c r="AM161">
        <v>46720.281931895886</v>
      </c>
      <c r="AN161">
        <v>48095.986838021025</v>
      </c>
      <c r="AO161">
        <v>49881.894751608284</v>
      </c>
      <c r="AP161">
        <v>51879.359671020597</v>
      </c>
      <c r="AQ161">
        <v>54134.351454315263</v>
      </c>
      <c r="AR161">
        <v>56016.832794643356</v>
      </c>
      <c r="AS161">
        <v>56887.397640644362</v>
      </c>
      <c r="AT161">
        <v>56664.40273544372</v>
      </c>
      <c r="AU161">
        <v>56452.869550673371</v>
      </c>
      <c r="AV161">
        <v>57391.351634205879</v>
      </c>
      <c r="AW161">
        <v>58422.030406967351</v>
      </c>
      <c r="AX161">
        <v>60391.51550333239</v>
      </c>
      <c r="AY161">
        <v>62601.661283242458</v>
      </c>
      <c r="AZ161">
        <v>63678.400549142767</v>
      </c>
      <c r="BA161">
        <v>61029.732980178334</v>
      </c>
      <c r="BB161">
        <v>61518.576895423124</v>
      </c>
      <c r="BC161">
        <v>62318.139115438877</v>
      </c>
      <c r="BD161">
        <v>61480.841641632353</v>
      </c>
      <c r="BE161">
        <v>61281.31256867414</v>
      </c>
      <c r="BF161">
        <v>62045.849197560965</v>
      </c>
      <c r="BG161">
        <v>63081.408349596619</v>
      </c>
      <c r="BH161">
        <v>64267.747655362262</v>
      </c>
      <c r="BI161">
        <v>65665.991022957765</v>
      </c>
      <c r="BJ161">
        <v>66758.245428331691</v>
      </c>
      <c r="BK161">
        <v>67847.881846109507</v>
      </c>
      <c r="BL161">
        <v>64862.18903534743</v>
      </c>
      <c r="BM161">
        <v>68573.564878644713</v>
      </c>
      <c r="BN161">
        <v>71324.036022942513</v>
      </c>
      <c r="BO161">
        <v>70198.954602236088</v>
      </c>
      <c r="BP161">
        <v>70493.905121926728</v>
      </c>
      <c r="BQ161">
        <v>71378.485633101227</v>
      </c>
      <c r="BR161">
        <f t="shared" si="5"/>
        <v>1.0072740299193583</v>
      </c>
    </row>
    <row r="162" spans="1:70" x14ac:dyDescent="0.25">
      <c r="A162" t="s">
        <v>156</v>
      </c>
      <c r="B162" t="s">
        <v>483</v>
      </c>
      <c r="C162" t="s">
        <v>434</v>
      </c>
      <c r="AH162">
        <v>30785.701752555953</v>
      </c>
      <c r="AI162">
        <v>29014.149942018063</v>
      </c>
      <c r="AJ162">
        <v>29029.581136161065</v>
      </c>
      <c r="AK162">
        <v>30532.588016679842</v>
      </c>
      <c r="AL162">
        <v>31669.540650919582</v>
      </c>
      <c r="AM162">
        <v>32687.465770370625</v>
      </c>
      <c r="AN162">
        <v>33329.530101176948</v>
      </c>
      <c r="AO162">
        <v>33577.725499490531</v>
      </c>
      <c r="AP162">
        <v>33565.731222090457</v>
      </c>
      <c r="AQ162">
        <v>35187.235720033124</v>
      </c>
      <c r="AR162">
        <v>35984.628801611638</v>
      </c>
      <c r="AS162">
        <v>36995.060319877375</v>
      </c>
      <c r="AT162">
        <v>38072.271383505227</v>
      </c>
      <c r="AU162">
        <v>39092.345520271185</v>
      </c>
      <c r="AV162">
        <v>40091.139948733166</v>
      </c>
      <c r="AW162">
        <v>40970.295838254977</v>
      </c>
      <c r="AX162">
        <v>41596.831128999751</v>
      </c>
      <c r="AY162">
        <v>42473.118261449868</v>
      </c>
      <c r="AZ162">
        <v>41682.245906915465</v>
      </c>
      <c r="BA162">
        <v>41250.99857174253</v>
      </c>
      <c r="BB162">
        <v>41395.370375582024</v>
      </c>
      <c r="BC162">
        <v>41961.920226364076</v>
      </c>
      <c r="BD162">
        <v>42693.423451657094</v>
      </c>
      <c r="BE162">
        <v>43453.28141723165</v>
      </c>
      <c r="BF162">
        <v>44369.766424185895</v>
      </c>
      <c r="BG162">
        <v>45097.016468386959</v>
      </c>
      <c r="BH162">
        <v>45746.135981068983</v>
      </c>
      <c r="BI162">
        <v>46285.981098064221</v>
      </c>
      <c r="BJ162">
        <v>46974.681840048186</v>
      </c>
      <c r="BK162">
        <v>47392.193313517208</v>
      </c>
      <c r="BL162">
        <v>46326.380467297589</v>
      </c>
      <c r="BM162">
        <v>48202.091336823345</v>
      </c>
      <c r="BN162">
        <v>49842.984533416151</v>
      </c>
      <c r="BO162">
        <v>49592.587551209806</v>
      </c>
      <c r="BP162">
        <v>48325.365098568436</v>
      </c>
      <c r="BQ162">
        <v>48232.665199469586</v>
      </c>
      <c r="BR162">
        <f t="shared" si="5"/>
        <v>1.5853354224271143E-2</v>
      </c>
    </row>
    <row r="163" spans="1:70" x14ac:dyDescent="0.25">
      <c r="A163" t="s">
        <v>157</v>
      </c>
      <c r="B163" t="s">
        <v>634</v>
      </c>
      <c r="C163" t="s">
        <v>434</v>
      </c>
      <c r="AH163">
        <v>4217.6086240417126</v>
      </c>
      <c r="AI163">
        <v>4113.6872444132641</v>
      </c>
      <c r="AJ163">
        <v>4037.275239252489</v>
      </c>
      <c r="AK163">
        <v>3934.092513756153</v>
      </c>
      <c r="AL163">
        <v>3979.9850907217983</v>
      </c>
      <c r="AM163">
        <v>4130.2858712084453</v>
      </c>
      <c r="AN163">
        <v>4311.4929017728573</v>
      </c>
      <c r="AO163">
        <v>4408.3286271259467</v>
      </c>
      <c r="AP163">
        <v>4502.5980876127924</v>
      </c>
      <c r="AQ163">
        <v>4750.948574274089</v>
      </c>
      <c r="AR163">
        <v>4878.247467988298</v>
      </c>
      <c r="AS163">
        <v>4958.3274044852669</v>
      </c>
      <c r="AT163">
        <v>4935.4850846814843</v>
      </c>
      <c r="AU163">
        <v>5000.6114561640879</v>
      </c>
      <c r="AV163">
        <v>5204.3817060105221</v>
      </c>
      <c r="AW163">
        <v>5356.9581782580817</v>
      </c>
      <c r="AX163">
        <v>5500.4054354452583</v>
      </c>
      <c r="AY163">
        <v>5697.2107429964044</v>
      </c>
      <c r="AZ163">
        <v>5809.0992852238596</v>
      </c>
      <c r="BA163">
        <v>5538.365550499313</v>
      </c>
      <c r="BB163">
        <v>5701.1275490637863</v>
      </c>
      <c r="BC163">
        <v>5976.2524751939527</v>
      </c>
      <c r="BD163">
        <v>6275.7873024800319</v>
      </c>
      <c r="BE163">
        <v>6494.1492092240669</v>
      </c>
      <c r="BF163">
        <v>6712.2170828628796</v>
      </c>
      <c r="BG163">
        <v>6939.0324327434437</v>
      </c>
      <c r="BH163">
        <v>7158.7575546750149</v>
      </c>
      <c r="BI163">
        <v>7391.1963821526524</v>
      </c>
      <c r="BJ163">
        <v>7049.0270982840284</v>
      </c>
      <c r="BK163">
        <v>6756.59334024487</v>
      </c>
      <c r="BL163">
        <v>6523.3694466119541</v>
      </c>
      <c r="BM163">
        <v>7119.1687478260083</v>
      </c>
      <c r="BN163">
        <v>7277.8204165258394</v>
      </c>
      <c r="BO163">
        <v>7496.5305655750481</v>
      </c>
      <c r="BP163">
        <v>7661.0941011320156</v>
      </c>
      <c r="BQ163">
        <v>7933.4888800641183</v>
      </c>
      <c r="BR163">
        <f t="shared" si="5"/>
        <v>2.7445353682679308</v>
      </c>
    </row>
    <row r="164" spans="1:70" x14ac:dyDescent="0.25">
      <c r="A164" t="s">
        <v>158</v>
      </c>
      <c r="B164" t="s">
        <v>707</v>
      </c>
      <c r="C164" t="s">
        <v>434</v>
      </c>
      <c r="AH164">
        <v>1420.2306324825943</v>
      </c>
      <c r="AI164">
        <v>1370.8356518058745</v>
      </c>
      <c r="AJ164">
        <v>1355.3309926492248</v>
      </c>
      <c r="AK164">
        <v>1317.3859679033749</v>
      </c>
      <c r="AL164">
        <v>1299.3499245981568</v>
      </c>
      <c r="AM164">
        <v>1287.9363766833085</v>
      </c>
      <c r="AN164">
        <v>1246.8350307008518</v>
      </c>
      <c r="AO164">
        <v>1224.5393437876983</v>
      </c>
      <c r="AP164">
        <v>1301.8449506552395</v>
      </c>
      <c r="AQ164">
        <v>1255.0540241361334</v>
      </c>
      <c r="AR164">
        <v>1197.6347720543158</v>
      </c>
      <c r="AS164">
        <v>1240.3854444019967</v>
      </c>
      <c r="AT164">
        <v>1256.2370134085211</v>
      </c>
      <c r="AU164">
        <v>1238.5878088035304</v>
      </c>
      <c r="AV164">
        <v>1199.1593750579364</v>
      </c>
      <c r="AW164">
        <v>1241.2006478905885</v>
      </c>
      <c r="AX164">
        <v>1267.6014122709955</v>
      </c>
      <c r="AY164">
        <v>1260.185451650151</v>
      </c>
      <c r="AZ164">
        <v>1308.2751730424015</v>
      </c>
      <c r="BA164">
        <v>1285.2775737319139</v>
      </c>
      <c r="BB164">
        <v>1344.4988701595998</v>
      </c>
      <c r="BC164">
        <v>1325.926469874159</v>
      </c>
      <c r="BD164">
        <v>1411.5200140983138</v>
      </c>
      <c r="BE164">
        <v>1431.7111549034107</v>
      </c>
      <c r="BF164">
        <v>1471.5055472955942</v>
      </c>
      <c r="BG164">
        <v>1480.3981516814652</v>
      </c>
      <c r="BH164">
        <v>1488.086480746553</v>
      </c>
      <c r="BI164">
        <v>1515.4830731761783</v>
      </c>
      <c r="BJ164">
        <v>1565.0197000514152</v>
      </c>
      <c r="BK164">
        <v>1605.1947656902919</v>
      </c>
      <c r="BL164">
        <v>1622.278736029109</v>
      </c>
      <c r="BM164">
        <v>1587.8478490732912</v>
      </c>
      <c r="BN164">
        <v>1724.8969942521517</v>
      </c>
      <c r="BO164">
        <v>1712.9703172652089</v>
      </c>
      <c r="BP164">
        <v>1795.6526688802176</v>
      </c>
      <c r="BQ164">
        <v>1860.5485827260761</v>
      </c>
      <c r="BR164">
        <f t="shared" si="5"/>
        <v>4.0418419797762395</v>
      </c>
    </row>
    <row r="165" spans="1:70" x14ac:dyDescent="0.25">
      <c r="A165" t="s">
        <v>159</v>
      </c>
      <c r="B165" t="s">
        <v>632</v>
      </c>
      <c r="C165" t="s">
        <v>434</v>
      </c>
      <c r="AH165">
        <v>5423.8068958699314</v>
      </c>
      <c r="AI165">
        <v>5301.3634227925004</v>
      </c>
      <c r="AJ165">
        <v>5403.1531179678777</v>
      </c>
      <c r="AK165">
        <v>5154.7575789977009</v>
      </c>
      <c r="AL165">
        <v>4929.2682791260122</v>
      </c>
      <c r="AM165">
        <v>4797.511521368202</v>
      </c>
      <c r="AN165">
        <v>4869.8211332347755</v>
      </c>
      <c r="AO165">
        <v>4884.0474326172998</v>
      </c>
      <c r="AP165">
        <v>4880.8799710979902</v>
      </c>
      <c r="AQ165">
        <v>4781.6731098397513</v>
      </c>
      <c r="AR165">
        <v>4889.0032192122926</v>
      </c>
      <c r="AS165">
        <v>5039.5486975411195</v>
      </c>
      <c r="AT165">
        <v>5654.8970604421565</v>
      </c>
      <c r="AU165">
        <v>5905.314827811012</v>
      </c>
      <c r="AV165">
        <v>6275.2989450643418</v>
      </c>
      <c r="AW165">
        <v>6496.9322817597695</v>
      </c>
      <c r="AX165">
        <v>6702.9453333387355</v>
      </c>
      <c r="AY165">
        <v>6949.4265071156742</v>
      </c>
      <c r="AZ165">
        <v>7215.7694619576187</v>
      </c>
      <c r="BA165">
        <v>7581.4057208909217</v>
      </c>
      <c r="BB165">
        <v>7962.6395728103071</v>
      </c>
      <c r="BC165">
        <v>8153.5317865027064</v>
      </c>
      <c r="BD165">
        <v>8265.9055118105098</v>
      </c>
      <c r="BE165">
        <v>8581.20782264031</v>
      </c>
      <c r="BF165">
        <v>8884.7742862867235</v>
      </c>
      <c r="BG165">
        <v>8892.0579867363085</v>
      </c>
      <c r="BH165">
        <v>8534.692814823753</v>
      </c>
      <c r="BI165">
        <v>8396.7845224322718</v>
      </c>
      <c r="BJ165">
        <v>8362.623308602957</v>
      </c>
      <c r="BK165">
        <v>8361.786648360001</v>
      </c>
      <c r="BL165">
        <v>7664.2109957516786</v>
      </c>
      <c r="BM165">
        <v>7588.478855870022</v>
      </c>
      <c r="BN165">
        <v>7752.2620649524724</v>
      </c>
      <c r="BO165">
        <v>7843.0039900767524</v>
      </c>
      <c r="BP165">
        <v>7994.0375447082351</v>
      </c>
      <c r="BQ165">
        <v>8145.1480838746947</v>
      </c>
      <c r="BR165">
        <f t="shared" si="5"/>
        <v>1.7855350760939359</v>
      </c>
    </row>
    <row r="166" spans="1:70" x14ac:dyDescent="0.25">
      <c r="A166" t="s">
        <v>57</v>
      </c>
      <c r="B166" t="s">
        <v>444</v>
      </c>
      <c r="C166" t="s">
        <v>434</v>
      </c>
      <c r="AH166">
        <v>44001.286696269599</v>
      </c>
      <c r="AI166">
        <v>43294.678029106959</v>
      </c>
      <c r="AJ166">
        <v>44109.516099515909</v>
      </c>
      <c r="AK166">
        <v>44735.839451938897</v>
      </c>
      <c r="AL166">
        <v>45994.636191159443</v>
      </c>
      <c r="AM166">
        <v>46677.728443981083</v>
      </c>
      <c r="AN166">
        <v>47799.004160025826</v>
      </c>
      <c r="AO166">
        <v>49330.715181511659</v>
      </c>
      <c r="AP166">
        <v>50936.817180325401</v>
      </c>
      <c r="AQ166">
        <v>52798.975101731077</v>
      </c>
      <c r="AR166">
        <v>54402.345304535629</v>
      </c>
      <c r="AS166">
        <v>54420.586604926168</v>
      </c>
      <c r="AT166">
        <v>54887.401989977836</v>
      </c>
      <c r="AU166">
        <v>55889.063583499825</v>
      </c>
      <c r="AV166">
        <v>57467.363869495304</v>
      </c>
      <c r="AW166">
        <v>58908.25846763733</v>
      </c>
      <c r="AX166">
        <v>59957.820604560198</v>
      </c>
      <c r="AY166">
        <v>60581.975328208675</v>
      </c>
      <c r="AZ166">
        <v>60117.481873747143</v>
      </c>
      <c r="BA166">
        <v>58023.63830089206</v>
      </c>
      <c r="BB166">
        <v>59088.918521047941</v>
      </c>
      <c r="BC166">
        <v>59609.087391932313</v>
      </c>
      <c r="BD166">
        <v>60442.126187171561</v>
      </c>
      <c r="BE166">
        <v>61249.647937923692</v>
      </c>
      <c r="BF166">
        <v>62302.765427893151</v>
      </c>
      <c r="BG166">
        <v>63503.57678578997</v>
      </c>
      <c r="BH166">
        <v>64087.454242183652</v>
      </c>
      <c r="BI166">
        <v>65208.285661556423</v>
      </c>
      <c r="BJ166">
        <v>66679.838637211578</v>
      </c>
      <c r="BK166">
        <v>67946.341118307129</v>
      </c>
      <c r="BL166">
        <v>66040.873120565811</v>
      </c>
      <c r="BM166">
        <v>69953.484689295932</v>
      </c>
      <c r="BN166">
        <v>71345.564015876967</v>
      </c>
      <c r="BO166">
        <v>72628.197132376823</v>
      </c>
      <c r="BP166">
        <v>73737.559793810011</v>
      </c>
      <c r="BQ166">
        <v>74879.071544946186</v>
      </c>
      <c r="BR166">
        <f t="shared" si="5"/>
        <v>1.7156489656357188</v>
      </c>
    </row>
    <row r="167" spans="1:70" x14ac:dyDescent="0.25">
      <c r="A167" t="s">
        <v>160</v>
      </c>
      <c r="B167" t="s">
        <v>534</v>
      </c>
      <c r="C167" t="s">
        <v>434</v>
      </c>
      <c r="AH167">
        <v>12904.486821118448</v>
      </c>
      <c r="AI167">
        <v>12153.498396027637</v>
      </c>
      <c r="AJ167">
        <v>11486.728299352359</v>
      </c>
      <c r="AK167">
        <v>10764.702235848774</v>
      </c>
      <c r="AL167">
        <v>10650.739178091144</v>
      </c>
      <c r="AM167">
        <v>10501.08884735378</v>
      </c>
      <c r="AN167">
        <v>10551.522509507564</v>
      </c>
      <c r="AO167">
        <v>10787.530625722889</v>
      </c>
      <c r="AP167">
        <v>11092.828617590931</v>
      </c>
      <c r="AQ167">
        <v>11518.956733022645</v>
      </c>
      <c r="AR167">
        <v>11988.24488268294</v>
      </c>
      <c r="AS167">
        <v>11571.811231643394</v>
      </c>
      <c r="AT167">
        <v>11830.262613242568</v>
      </c>
      <c r="AU167">
        <v>12077.849005461983</v>
      </c>
      <c r="AV167">
        <v>12683.380911115128</v>
      </c>
      <c r="AW167">
        <v>13354.461147370104</v>
      </c>
      <c r="AX167">
        <v>14118.229787752543</v>
      </c>
      <c r="AY167">
        <v>15118.243671955208</v>
      </c>
      <c r="AZ167">
        <v>16038.041353057943</v>
      </c>
      <c r="BA167">
        <v>16084.227973056657</v>
      </c>
      <c r="BB167">
        <v>16731.090183842458</v>
      </c>
      <c r="BC167">
        <v>17201.236162643956</v>
      </c>
      <c r="BD167">
        <v>17189.995630545585</v>
      </c>
      <c r="BE167">
        <v>17758.227559441206</v>
      </c>
      <c r="BF167">
        <v>18452.206228014806</v>
      </c>
      <c r="BG167">
        <v>19215.074038119201</v>
      </c>
      <c r="BH167">
        <v>19825.772468505718</v>
      </c>
      <c r="BI167">
        <v>20121.051018072605</v>
      </c>
      <c r="BJ167">
        <v>20805.922119255498</v>
      </c>
      <c r="BK167">
        <v>21766.884206248658</v>
      </c>
      <c r="BL167">
        <v>20971.442103359346</v>
      </c>
      <c r="BM167">
        <v>22144.192425273224</v>
      </c>
      <c r="BN167">
        <v>22822.233399425928</v>
      </c>
      <c r="BO167">
        <v>23455.222131817642</v>
      </c>
      <c r="BP167">
        <v>24203.185580018853</v>
      </c>
      <c r="BQ167">
        <v>25094.622500718498</v>
      </c>
      <c r="BR167">
        <f t="shared" si="5"/>
        <v>3.1763606927457833</v>
      </c>
    </row>
    <row r="168" spans="1:70" x14ac:dyDescent="0.25">
      <c r="A168" t="s">
        <v>161</v>
      </c>
      <c r="B168" t="s">
        <v>439</v>
      </c>
      <c r="C168" t="s">
        <v>434</v>
      </c>
      <c r="AH168">
        <v>56608.254751437162</v>
      </c>
      <c r="AI168">
        <v>57949.698676313026</v>
      </c>
      <c r="AJ168">
        <v>59669.75902025187</v>
      </c>
      <c r="AK168">
        <v>61019.816103169564</v>
      </c>
      <c r="AL168">
        <v>63730.896463761754</v>
      </c>
      <c r="AM168">
        <v>66033.883783119687</v>
      </c>
      <c r="AN168">
        <v>68964.975621825812</v>
      </c>
      <c r="AO168">
        <v>72084.813919467779</v>
      </c>
      <c r="AP168">
        <v>73610.189668706487</v>
      </c>
      <c r="AQ168">
        <v>74703.519913309705</v>
      </c>
      <c r="AR168">
        <v>76775.94206009242</v>
      </c>
      <c r="AS168">
        <v>78041.014626058532</v>
      </c>
      <c r="AT168">
        <v>78752.593163109545</v>
      </c>
      <c r="AU168">
        <v>79150.396286366056</v>
      </c>
      <c r="AV168">
        <v>82091.19350359487</v>
      </c>
      <c r="AW168">
        <v>83955.336500757752</v>
      </c>
      <c r="AX168">
        <v>85653.1367825864</v>
      </c>
      <c r="AY168">
        <v>87670.86179807919</v>
      </c>
      <c r="AZ168">
        <v>87297.398029181262</v>
      </c>
      <c r="BA168">
        <v>84812.685127763791</v>
      </c>
      <c r="BB168">
        <v>84604.514389194679</v>
      </c>
      <c r="BC168">
        <v>84670.83443983554</v>
      </c>
      <c r="BD168">
        <v>85925.872335205742</v>
      </c>
      <c r="BE168">
        <v>85973.769497680129</v>
      </c>
      <c r="BF168">
        <v>86790.792462569138</v>
      </c>
      <c r="BG168">
        <v>87688.119670899279</v>
      </c>
      <c r="BH168">
        <v>88041.641480895618</v>
      </c>
      <c r="BI168">
        <v>89664.908641582937</v>
      </c>
      <c r="BJ168">
        <v>90064.06879743583</v>
      </c>
      <c r="BK168">
        <v>90772.901704186545</v>
      </c>
      <c r="BL168">
        <v>89012.272380450362</v>
      </c>
      <c r="BM168">
        <v>92205.769863604888</v>
      </c>
      <c r="BN168">
        <v>95109.820160572897</v>
      </c>
      <c r="BO168">
        <v>94364.964175433561</v>
      </c>
      <c r="BP168">
        <v>94803.670493164129</v>
      </c>
      <c r="BQ168">
        <v>95173.430822436683</v>
      </c>
      <c r="BR168">
        <f t="shared" si="5"/>
        <v>0.79509689927312888</v>
      </c>
    </row>
    <row r="169" spans="1:70" x14ac:dyDescent="0.25">
      <c r="A169" t="s">
        <v>470</v>
      </c>
      <c r="B169" t="s">
        <v>471</v>
      </c>
      <c r="C169" t="s">
        <v>434</v>
      </c>
      <c r="AH169">
        <v>33168.229831198143</v>
      </c>
      <c r="AI169">
        <v>33242.63526593944</v>
      </c>
      <c r="AJ169">
        <v>33616.31219719474</v>
      </c>
      <c r="AK169">
        <v>33779.839607049653</v>
      </c>
      <c r="AL169">
        <v>34580.69017126676</v>
      </c>
      <c r="AM169">
        <v>35240.999003522316</v>
      </c>
      <c r="AN169">
        <v>36072.587242375754</v>
      </c>
      <c r="AO169">
        <v>37129.656224843748</v>
      </c>
      <c r="AP169">
        <v>37920.901286833083</v>
      </c>
      <c r="AQ169">
        <v>38877.180707839019</v>
      </c>
      <c r="AR169">
        <v>40219.706816473888</v>
      </c>
      <c r="AS169">
        <v>40475.88138715682</v>
      </c>
      <c r="AT169">
        <v>40811.347148059423</v>
      </c>
      <c r="AU169">
        <v>41333.232431444834</v>
      </c>
      <c r="AV169">
        <v>42397.86673485794</v>
      </c>
      <c r="AW169">
        <v>43314.466851900135</v>
      </c>
      <c r="AX169">
        <v>44393.881293211802</v>
      </c>
      <c r="AY169">
        <v>45303.215281621597</v>
      </c>
      <c r="AZ169">
        <v>45165.48223048474</v>
      </c>
      <c r="BA169">
        <v>43274.192471973831</v>
      </c>
      <c r="BB169">
        <v>44296.384228707881</v>
      </c>
      <c r="BC169">
        <v>44960.672133864966</v>
      </c>
      <c r="BD169">
        <v>45281.102496488988</v>
      </c>
      <c r="BE169">
        <v>45741.985988632492</v>
      </c>
      <c r="BF169">
        <v>46491.789982991446</v>
      </c>
      <c r="BG169">
        <v>47398.556202859581</v>
      </c>
      <c r="BH169">
        <v>47990.22031584564</v>
      </c>
      <c r="BI169">
        <v>49000.245034125728</v>
      </c>
      <c r="BJ169">
        <v>49885.22968156034</v>
      </c>
      <c r="BK169">
        <v>50499.182863403832</v>
      </c>
      <c r="BL169">
        <v>48279.857874301641</v>
      </c>
      <c r="BM169">
        <v>51208.833643048572</v>
      </c>
      <c r="BN169">
        <v>52633.51585729183</v>
      </c>
      <c r="BO169">
        <v>53203.820353313742</v>
      </c>
      <c r="BP169">
        <v>53798.059944381937</v>
      </c>
      <c r="BQ169">
        <v>54545.763525864531</v>
      </c>
      <c r="BR169">
        <f t="shared" si="5"/>
        <v>1.5907192934445202</v>
      </c>
    </row>
    <row r="170" spans="1:70" x14ac:dyDescent="0.25">
      <c r="A170" t="s">
        <v>162</v>
      </c>
      <c r="B170" t="s">
        <v>506</v>
      </c>
      <c r="C170" t="s">
        <v>434</v>
      </c>
      <c r="AH170">
        <v>35201.552487108929</v>
      </c>
      <c r="AI170">
        <v>35574.676136959919</v>
      </c>
      <c r="AJ170">
        <v>36841.401155565793</v>
      </c>
      <c r="AK170">
        <v>37455.340258394994</v>
      </c>
      <c r="AL170">
        <v>37782.723828977993</v>
      </c>
      <c r="AM170">
        <v>38946.774271517505</v>
      </c>
      <c r="AN170">
        <v>39455.826411998474</v>
      </c>
      <c r="AO170">
        <v>41191.03124024436</v>
      </c>
      <c r="AP170">
        <v>40574.674486188989</v>
      </c>
      <c r="AQ170">
        <v>40145.931284169135</v>
      </c>
      <c r="AR170">
        <v>42086.043153630068</v>
      </c>
      <c r="AS170">
        <v>43492.286375455747</v>
      </c>
      <c r="AT170">
        <v>42654.148267162331</v>
      </c>
      <c r="AU170">
        <v>41247.587373310453</v>
      </c>
      <c r="AV170">
        <v>41351.768738507184</v>
      </c>
      <c r="AW170">
        <v>41551.141384455179</v>
      </c>
      <c r="AX170">
        <v>42540.439848533439</v>
      </c>
      <c r="AY170">
        <v>43696.969144091687</v>
      </c>
      <c r="AZ170">
        <v>46586.395592676672</v>
      </c>
      <c r="BA170">
        <v>48304.117892316724</v>
      </c>
      <c r="BB170">
        <v>48191.614513573702</v>
      </c>
      <c r="BC170">
        <v>44440.309261612536</v>
      </c>
      <c r="BD170">
        <v>41964.082857855232</v>
      </c>
      <c r="BE170">
        <v>40854.48535489053</v>
      </c>
      <c r="BF170">
        <v>39639.987051480224</v>
      </c>
      <c r="BG170">
        <v>39813.78870546745</v>
      </c>
      <c r="BH170">
        <v>39860.98939096884</v>
      </c>
      <c r="BI170">
        <v>38691.107710509663</v>
      </c>
      <c r="BJ170">
        <v>38673.604536085651</v>
      </c>
      <c r="BK170">
        <v>38292.385968275223</v>
      </c>
      <c r="BL170">
        <v>37560.599871495324</v>
      </c>
      <c r="BM170">
        <v>38719.45876820488</v>
      </c>
      <c r="BN170">
        <v>39780.212277498496</v>
      </c>
      <c r="BO170">
        <v>37793.616395751538</v>
      </c>
      <c r="BP170">
        <v>36721.080454837371</v>
      </c>
      <c r="BQ170">
        <v>36142.943979719385</v>
      </c>
      <c r="BR170">
        <f t="shared" si="5"/>
        <v>-1.706780171019362</v>
      </c>
    </row>
    <row r="171" spans="1:70" x14ac:dyDescent="0.25">
      <c r="A171" t="s">
        <v>525</v>
      </c>
      <c r="B171" t="s">
        <v>526</v>
      </c>
      <c r="C171" t="s">
        <v>434</v>
      </c>
      <c r="AH171">
        <v>14423.346860359161</v>
      </c>
      <c r="AI171">
        <v>14091.537627951773</v>
      </c>
      <c r="AJ171">
        <v>13520.113284331912</v>
      </c>
      <c r="AK171">
        <v>13497.736076748613</v>
      </c>
      <c r="AL171">
        <v>13728.810570433281</v>
      </c>
      <c r="AM171">
        <v>14229.353095936876</v>
      </c>
      <c r="AN171">
        <v>14515.94459108196</v>
      </c>
      <c r="AO171">
        <v>15253.346831157076</v>
      </c>
      <c r="AP171">
        <v>15436.192525473207</v>
      </c>
      <c r="AQ171">
        <v>15713.305145139293</v>
      </c>
      <c r="AR171">
        <v>16811.342857656189</v>
      </c>
      <c r="AS171">
        <v>17039.316216526779</v>
      </c>
      <c r="AT171">
        <v>17362.730868496816</v>
      </c>
      <c r="AU171">
        <v>17897.016568763484</v>
      </c>
      <c r="AV171">
        <v>18438.713847371844</v>
      </c>
      <c r="AW171">
        <v>19025.7152123296</v>
      </c>
      <c r="AX171">
        <v>19972.170220709031</v>
      </c>
      <c r="AY171">
        <v>20725.016500466434</v>
      </c>
      <c r="AZ171">
        <v>20642.712456996138</v>
      </c>
      <c r="BA171">
        <v>19493.300028139092</v>
      </c>
      <c r="BB171">
        <v>19867.380761274846</v>
      </c>
      <c r="BC171">
        <v>20400.59251297114</v>
      </c>
      <c r="BD171">
        <v>20484.221119042908</v>
      </c>
      <c r="BE171">
        <v>20455.834593246371</v>
      </c>
      <c r="BF171">
        <v>20672.694549976361</v>
      </c>
      <c r="BG171">
        <v>21083.692117530874</v>
      </c>
      <c r="BH171">
        <v>21627.686162106947</v>
      </c>
      <c r="BI171">
        <v>22394.789988950797</v>
      </c>
      <c r="BJ171">
        <v>23016.122559373132</v>
      </c>
      <c r="BK171">
        <v>23776.977392969631</v>
      </c>
      <c r="BL171">
        <v>22204.358146968047</v>
      </c>
      <c r="BM171">
        <v>23632.40525695719</v>
      </c>
      <c r="BN171">
        <v>24168.787671214584</v>
      </c>
      <c r="BO171">
        <v>24612.887028686237</v>
      </c>
      <c r="BP171">
        <v>25138.856335008513</v>
      </c>
      <c r="BQ171">
        <v>25689.433845600946</v>
      </c>
      <c r="BR171">
        <f t="shared" si="5"/>
        <v>2.108442536672972</v>
      </c>
    </row>
    <row r="172" spans="1:70" x14ac:dyDescent="0.25">
      <c r="A172" t="s">
        <v>637</v>
      </c>
      <c r="B172" t="s">
        <v>638</v>
      </c>
      <c r="C172" t="s">
        <v>434</v>
      </c>
      <c r="AH172">
        <v>5472.2961072727203</v>
      </c>
      <c r="AI172">
        <v>5330.5867572124607</v>
      </c>
      <c r="AJ172">
        <v>5520.8734452755107</v>
      </c>
      <c r="AK172">
        <v>5549.6385614409555</v>
      </c>
      <c r="AL172">
        <v>5736.4662020653359</v>
      </c>
      <c r="AM172">
        <v>5884.8321444690664</v>
      </c>
      <c r="AN172">
        <v>6010.666999194219</v>
      </c>
      <c r="AO172">
        <v>5835.0560731042515</v>
      </c>
      <c r="AP172">
        <v>5826.6164515240844</v>
      </c>
      <c r="AQ172">
        <v>6050.7249525706993</v>
      </c>
      <c r="AR172">
        <v>5881.8167674728293</v>
      </c>
      <c r="AS172">
        <v>5877.7511830816102</v>
      </c>
      <c r="AT172">
        <v>5941.5471848677171</v>
      </c>
      <c r="AU172">
        <v>5969.031446123774</v>
      </c>
      <c r="AV172">
        <v>6151.7638867444302</v>
      </c>
      <c r="AW172">
        <v>6203.6394060864222</v>
      </c>
      <c r="AX172">
        <v>6270.2056102662127</v>
      </c>
      <c r="AY172">
        <v>6191.9368502146217</v>
      </c>
      <c r="AZ172">
        <v>6237.2208124905583</v>
      </c>
      <c r="BA172">
        <v>6128.7886547221342</v>
      </c>
      <c r="BB172">
        <v>6266.6993854294415</v>
      </c>
      <c r="BC172">
        <v>6402.0992441050275</v>
      </c>
      <c r="BD172">
        <v>6386.9405275352201</v>
      </c>
      <c r="BE172">
        <v>6531.9001210266297</v>
      </c>
      <c r="BF172">
        <v>6710.0939229863079</v>
      </c>
      <c r="BG172">
        <v>6896.5017708327168</v>
      </c>
      <c r="BH172">
        <v>7044.7106447416845</v>
      </c>
      <c r="BI172">
        <v>7249.2025255911576</v>
      </c>
      <c r="BJ172">
        <v>7370.2616389089108</v>
      </c>
      <c r="BK172">
        <v>7345.5819620599304</v>
      </c>
      <c r="BL172">
        <v>6398.889803787888</v>
      </c>
      <c r="BM172">
        <v>6133.2733766287811</v>
      </c>
      <c r="BN172">
        <v>6703.9905422277061</v>
      </c>
      <c r="BO172">
        <v>7145.2041962383119</v>
      </c>
      <c r="BP172">
        <v>7314.4164717834756</v>
      </c>
      <c r="BQ172">
        <v>7464.7579044564209</v>
      </c>
      <c r="BR172">
        <f t="shared" si="5"/>
        <v>5.0342288234762167</v>
      </c>
    </row>
    <row r="173" spans="1:70" x14ac:dyDescent="0.25">
      <c r="A173" t="s">
        <v>163</v>
      </c>
      <c r="B173" t="s">
        <v>653</v>
      </c>
      <c r="C173" t="s">
        <v>434</v>
      </c>
      <c r="AH173">
        <v>3199.7296260983312</v>
      </c>
      <c r="AI173">
        <v>3252.35104026309</v>
      </c>
      <c r="AJ173">
        <v>3404.12138406329</v>
      </c>
      <c r="AK173">
        <v>3369.2379590602773</v>
      </c>
      <c r="AL173">
        <v>3395.5043206753949</v>
      </c>
      <c r="AM173">
        <v>3462.4733616584081</v>
      </c>
      <c r="AN173">
        <v>3526.1416087515545</v>
      </c>
      <c r="AO173">
        <v>3462.5814560588924</v>
      </c>
      <c r="AP173">
        <v>3454.1766533054447</v>
      </c>
      <c r="AQ173">
        <v>3484.4567831981317</v>
      </c>
      <c r="AR173">
        <v>3531.7129153161241</v>
      </c>
      <c r="AS173">
        <v>3559.7278465871473</v>
      </c>
      <c r="AT173">
        <v>3563.6784692655765</v>
      </c>
      <c r="AU173">
        <v>3668.779388525078</v>
      </c>
      <c r="AV173">
        <v>3859.6460180890263</v>
      </c>
      <c r="AW173">
        <v>4042.1545751337808</v>
      </c>
      <c r="AX173">
        <v>4185.8665565920573</v>
      </c>
      <c r="AY173">
        <v>4257.9255687043233</v>
      </c>
      <c r="AZ173">
        <v>4233.3483071549726</v>
      </c>
      <c r="BA173">
        <v>4270.4388226422943</v>
      </c>
      <c r="BB173">
        <v>4228.7817715945002</v>
      </c>
      <c r="BC173">
        <v>4246.0671088249674</v>
      </c>
      <c r="BD173">
        <v>4292.0211029348584</v>
      </c>
      <c r="BE173">
        <v>4407.1470584137651</v>
      </c>
      <c r="BF173">
        <v>4520.234633992859</v>
      </c>
      <c r="BG173">
        <v>4645.2863107114463</v>
      </c>
      <c r="BH173">
        <v>4886.6121211537811</v>
      </c>
      <c r="BI173">
        <v>5031.5606073843346</v>
      </c>
      <c r="BJ173">
        <v>5255.0635068127203</v>
      </c>
      <c r="BK173">
        <v>5295.9529513820344</v>
      </c>
      <c r="BL173">
        <v>5135.014592888394</v>
      </c>
      <c r="BM173">
        <v>5367.273647147621</v>
      </c>
      <c r="BN173">
        <v>5526.2792831021306</v>
      </c>
      <c r="BO173">
        <v>5418.7693189297042</v>
      </c>
      <c r="BP173">
        <v>5502.0736120185993</v>
      </c>
      <c r="BQ173">
        <v>5617.2507802845803</v>
      </c>
      <c r="BR173">
        <f t="shared" si="5"/>
        <v>1.1445575135121677</v>
      </c>
    </row>
    <row r="174" spans="1:70" x14ac:dyDescent="0.25">
      <c r="A174" t="s">
        <v>164</v>
      </c>
      <c r="B174" t="s">
        <v>559</v>
      </c>
      <c r="C174" t="s">
        <v>434</v>
      </c>
      <c r="AH174">
        <v>17807.530081866407</v>
      </c>
      <c r="AI174">
        <v>18256.299204755294</v>
      </c>
      <c r="AJ174">
        <v>16687.116320687244</v>
      </c>
      <c r="AK174">
        <v>14292.238303650554</v>
      </c>
      <c r="AL174">
        <v>14971.620590754525</v>
      </c>
      <c r="AM174">
        <v>16193.144920805697</v>
      </c>
      <c r="AN174">
        <v>17412.427844301677</v>
      </c>
      <c r="AO174">
        <v>17366.312278347912</v>
      </c>
      <c r="AP174">
        <v>17315.83417875956</v>
      </c>
      <c r="AQ174">
        <v>16054.050354076377</v>
      </c>
      <c r="AR174">
        <v>15410.174028168252</v>
      </c>
      <c r="AS174">
        <v>16393.452101490911</v>
      </c>
      <c r="AT174">
        <v>17033.490272995965</v>
      </c>
      <c r="AU174">
        <v>16538.76884245047</v>
      </c>
      <c r="AV174">
        <v>16974.068293341243</v>
      </c>
      <c r="AW174">
        <v>17464.620816763607</v>
      </c>
      <c r="AX174">
        <v>17706.367362190445</v>
      </c>
      <c r="AY174">
        <v>18096.798953177469</v>
      </c>
      <c r="AZ174">
        <v>17355.242301907892</v>
      </c>
      <c r="BA174">
        <v>16541.12063118747</v>
      </c>
      <c r="BB174">
        <v>16313.428767939751</v>
      </c>
      <c r="BC174">
        <v>17354.933676795088</v>
      </c>
      <c r="BD174">
        <v>18024.754099687212</v>
      </c>
      <c r="BE174">
        <v>17891.378437135303</v>
      </c>
      <c r="BF174">
        <v>18574.788948965506</v>
      </c>
      <c r="BG174">
        <v>20104.231537906911</v>
      </c>
      <c r="BH174">
        <v>20408.261326972304</v>
      </c>
      <c r="BI174">
        <v>19693.408237938227</v>
      </c>
      <c r="BJ174">
        <v>19608.961702782159</v>
      </c>
      <c r="BK174">
        <v>19685.603798927266</v>
      </c>
      <c r="BL174">
        <v>18509.249185591321</v>
      </c>
      <c r="BM174">
        <v>16312.19022001299</v>
      </c>
      <c r="BN174">
        <v>16258.627129291161</v>
      </c>
      <c r="BO174">
        <v>16487.153754269973</v>
      </c>
      <c r="BP174">
        <v>18499.992192128095</v>
      </c>
      <c r="BQ174">
        <v>19698.594703221272</v>
      </c>
      <c r="BR174">
        <f t="shared" si="5"/>
        <v>4.8288307818003418</v>
      </c>
    </row>
    <row r="175" spans="1:70" x14ac:dyDescent="0.25">
      <c r="A175" t="s">
        <v>166</v>
      </c>
      <c r="B175" t="s">
        <v>502</v>
      </c>
      <c r="C175" t="s">
        <v>434</v>
      </c>
      <c r="AH175">
        <v>10263.692842646553</v>
      </c>
      <c r="AI175">
        <v>10994.5538811637</v>
      </c>
      <c r="AJ175">
        <v>11649.800238417369</v>
      </c>
      <c r="AK175">
        <v>12032.812257915641</v>
      </c>
      <c r="AL175">
        <v>12123.35392578609</v>
      </c>
      <c r="AM175">
        <v>12086.648115365644</v>
      </c>
      <c r="AN175">
        <v>12327.856289007679</v>
      </c>
      <c r="AO175">
        <v>13013.895993220809</v>
      </c>
      <c r="AP175">
        <v>13826.53767787805</v>
      </c>
      <c r="AQ175">
        <v>14261.746459542821</v>
      </c>
      <c r="AR175">
        <v>14572.980870006759</v>
      </c>
      <c r="AS175">
        <v>14427.835542486177</v>
      </c>
      <c r="AT175">
        <v>14507.149423271381</v>
      </c>
      <c r="AU175">
        <v>14957.559050332276</v>
      </c>
      <c r="AV175">
        <v>15875.118820145346</v>
      </c>
      <c r="AW175">
        <v>16867.967451312416</v>
      </c>
      <c r="AX175">
        <v>18190.281154716969</v>
      </c>
      <c r="AY175">
        <v>20208.829391196443</v>
      </c>
      <c r="AZ175">
        <v>21867.827218678718</v>
      </c>
      <c r="BA175">
        <v>21822.996136155005</v>
      </c>
      <c r="BB175">
        <v>22739.119414134057</v>
      </c>
      <c r="BC175">
        <v>24999.470265548211</v>
      </c>
      <c r="BD175">
        <v>26926.89569280648</v>
      </c>
      <c r="BE175">
        <v>28135.338783538278</v>
      </c>
      <c r="BF175">
        <v>28931.815640119861</v>
      </c>
      <c r="BG175">
        <v>29933.167153001104</v>
      </c>
      <c r="BH175">
        <v>30765.249065350625</v>
      </c>
      <c r="BI175">
        <v>31979.824643774842</v>
      </c>
      <c r="BJ175">
        <v>32681.472988633072</v>
      </c>
      <c r="BK175">
        <v>33163.717281485697</v>
      </c>
      <c r="BL175">
        <v>26881.827722168939</v>
      </c>
      <c r="BM175">
        <v>30932.762778051412</v>
      </c>
      <c r="BN175">
        <v>33915.169330630932</v>
      </c>
      <c r="BO175">
        <v>35872.971920006879</v>
      </c>
      <c r="BP175">
        <v>36394.923536631642</v>
      </c>
      <c r="BQ175">
        <v>37516.179642854848</v>
      </c>
      <c r="BR175">
        <f t="shared" si="5"/>
        <v>4.9421539604020959</v>
      </c>
    </row>
    <row r="176" spans="1:70" x14ac:dyDescent="0.25">
      <c r="A176" t="s">
        <v>167</v>
      </c>
      <c r="B176" t="s">
        <v>670</v>
      </c>
      <c r="C176" t="s">
        <v>434</v>
      </c>
      <c r="AH176">
        <v>3164.5542920408675</v>
      </c>
      <c r="AI176">
        <v>3358.618932692319</v>
      </c>
      <c r="AJ176">
        <v>3690.8178657242879</v>
      </c>
      <c r="AK176">
        <v>4206.9680819588248</v>
      </c>
      <c r="AL176">
        <v>4298.4418454051793</v>
      </c>
      <c r="AM176">
        <v>4009.2356705235879</v>
      </c>
      <c r="AN176">
        <v>4167.5701380700102</v>
      </c>
      <c r="AO176">
        <v>3864.7254232492282</v>
      </c>
      <c r="AP176">
        <v>3590.5601179775122</v>
      </c>
      <c r="AQ176">
        <v>3532.1120397136974</v>
      </c>
      <c r="AR176">
        <v>3327.2248583704113</v>
      </c>
      <c r="AS176">
        <v>3212.1708484552223</v>
      </c>
      <c r="AT176">
        <v>3101.192400636497</v>
      </c>
      <c r="AU176">
        <v>3064.8366734461165</v>
      </c>
      <c r="AV176">
        <v>3046.7232189617216</v>
      </c>
      <c r="AW176">
        <v>3136.9875694253587</v>
      </c>
      <c r="AX176">
        <v>3202.8976350736693</v>
      </c>
      <c r="AY176">
        <v>3346.2790033712417</v>
      </c>
      <c r="AZ176">
        <v>3234.3324767300019</v>
      </c>
      <c r="BA176">
        <v>3350.0726396473869</v>
      </c>
      <c r="BB176">
        <v>3579.6300071098299</v>
      </c>
      <c r="BC176">
        <v>3515.2831251736293</v>
      </c>
      <c r="BD176">
        <v>3577.9101472277357</v>
      </c>
      <c r="BE176">
        <v>3615.7464602907435</v>
      </c>
      <c r="BF176">
        <v>3999.1303881186491</v>
      </c>
      <c r="BG176">
        <v>4155.0556396210668</v>
      </c>
      <c r="BH176">
        <v>4276.2964326316433</v>
      </c>
      <c r="BI176">
        <v>4322.7766220099829</v>
      </c>
      <c r="BJ176">
        <v>4211.685043103269</v>
      </c>
      <c r="BK176">
        <v>4302.1625523000212</v>
      </c>
      <c r="BL176">
        <v>4078.1537835856552</v>
      </c>
      <c r="BM176">
        <v>3977.4429736074858</v>
      </c>
      <c r="BN176">
        <v>4126.0303214540318</v>
      </c>
      <c r="BO176">
        <v>4206.3783469136679</v>
      </c>
      <c r="BP176">
        <v>4292.7120543001283</v>
      </c>
      <c r="BQ176">
        <v>4456.231059621181</v>
      </c>
      <c r="BR176">
        <f t="shared" si="5"/>
        <v>2.8823640292449326</v>
      </c>
    </row>
    <row r="177" spans="1:70" x14ac:dyDescent="0.25">
      <c r="A177" t="s">
        <v>168</v>
      </c>
      <c r="B177" t="s">
        <v>574</v>
      </c>
      <c r="C177" t="s">
        <v>434</v>
      </c>
      <c r="AH177">
        <v>9961.2217112474882</v>
      </c>
      <c r="AI177">
        <v>10039.043846162213</v>
      </c>
      <c r="AJ177">
        <v>9947.1643903684162</v>
      </c>
      <c r="AK177">
        <v>10177.168943449433</v>
      </c>
      <c r="AL177">
        <v>10457.768545826993</v>
      </c>
      <c r="AM177">
        <v>10906.894612986043</v>
      </c>
      <c r="AN177">
        <v>10823.919921879675</v>
      </c>
      <c r="AO177">
        <v>11031.621915447558</v>
      </c>
      <c r="AP177">
        <v>10801.195046049455</v>
      </c>
      <c r="AQ177">
        <v>10434.080369410902</v>
      </c>
      <c r="AR177">
        <v>9997.329725140502</v>
      </c>
      <c r="AS177">
        <v>9748.0270276769097</v>
      </c>
      <c r="AT177">
        <v>9609.533645853362</v>
      </c>
      <c r="AU177">
        <v>9902.1991800381693</v>
      </c>
      <c r="AV177">
        <v>10185.907438777936</v>
      </c>
      <c r="AW177">
        <v>10288.800866577025</v>
      </c>
      <c r="AX177">
        <v>10671.644998438485</v>
      </c>
      <c r="AY177">
        <v>11140.46290980644</v>
      </c>
      <c r="AZ177">
        <v>11749.654635441848</v>
      </c>
      <c r="BA177">
        <v>11599.81985790923</v>
      </c>
      <c r="BB177">
        <v>12736.967286780709</v>
      </c>
      <c r="BC177">
        <v>13107.810443598915</v>
      </c>
      <c r="BD177">
        <v>12833.180161941267</v>
      </c>
      <c r="BE177">
        <v>13698.972232026215</v>
      </c>
      <c r="BF177">
        <v>14217.558089698265</v>
      </c>
      <c r="BG177">
        <v>14425.777586032953</v>
      </c>
      <c r="BH177">
        <v>14824.790628081171</v>
      </c>
      <c r="BI177">
        <v>15318.401218727573</v>
      </c>
      <c r="BJ177">
        <v>15591.014266308453</v>
      </c>
      <c r="BK177">
        <v>15319.388999122124</v>
      </c>
      <c r="BL177">
        <v>14989.766713016181</v>
      </c>
      <c r="BM177">
        <v>15400.944633242812</v>
      </c>
      <c r="BN177">
        <v>15222.892022859845</v>
      </c>
      <c r="BO177">
        <v>15831.584983130846</v>
      </c>
      <c r="BP177">
        <v>16367.494016648136</v>
      </c>
      <c r="BQ177">
        <v>17245.845842311832</v>
      </c>
      <c r="BR177">
        <f t="shared" si="5"/>
        <v>2.8689448102436677</v>
      </c>
    </row>
    <row r="178" spans="1:70" x14ac:dyDescent="0.25">
      <c r="A178" t="s">
        <v>169</v>
      </c>
      <c r="B178" t="s">
        <v>583</v>
      </c>
      <c r="C178" t="s">
        <v>434</v>
      </c>
      <c r="AH178">
        <v>6316.2269138714992</v>
      </c>
      <c r="AI178">
        <v>6321.7220102527008</v>
      </c>
      <c r="AJ178">
        <v>6160.804568139738</v>
      </c>
      <c r="AK178">
        <v>6354.4046619546898</v>
      </c>
      <c r="AL178">
        <v>6996.7618561784684</v>
      </c>
      <c r="AM178">
        <v>7371.047990204017</v>
      </c>
      <c r="AN178">
        <v>7436.1893190827577</v>
      </c>
      <c r="AO178">
        <v>7772.7783422555594</v>
      </c>
      <c r="AP178">
        <v>7602.7835607663501</v>
      </c>
      <c r="AQ178">
        <v>7584.3046525718137</v>
      </c>
      <c r="AR178">
        <v>7668.0607820113137</v>
      </c>
      <c r="AS178">
        <v>7610.6394929484331</v>
      </c>
      <c r="AT178">
        <v>7930.509806317139</v>
      </c>
      <c r="AU178">
        <v>8173.2767298769231</v>
      </c>
      <c r="AV178">
        <v>8494.8403121720185</v>
      </c>
      <c r="AW178">
        <v>8948.7471074266377</v>
      </c>
      <c r="AX178">
        <v>9546.6252954545635</v>
      </c>
      <c r="AY178">
        <v>10284.967223850597</v>
      </c>
      <c r="AZ178">
        <v>11150.026216688904</v>
      </c>
      <c r="BA178">
        <v>11202.865441849566</v>
      </c>
      <c r="BB178">
        <v>12057.391296371581</v>
      </c>
      <c r="BC178">
        <v>12724.883204942871</v>
      </c>
      <c r="BD178">
        <v>13393.592385167878</v>
      </c>
      <c r="BE178">
        <v>14050.242031913684</v>
      </c>
      <c r="BF178">
        <v>14242.644476080131</v>
      </c>
      <c r="BG178">
        <v>14540.831316063495</v>
      </c>
      <c r="BH178">
        <v>14915.436632445362</v>
      </c>
      <c r="BI178">
        <v>15067.489279382038</v>
      </c>
      <c r="BJ178">
        <v>15384.184608242304</v>
      </c>
      <c r="BK178">
        <v>15461.457258546636</v>
      </c>
      <c r="BL178">
        <v>13607.764070582782</v>
      </c>
      <c r="BM178">
        <v>15285.770685239548</v>
      </c>
      <c r="BN178">
        <v>15566.524261256262</v>
      </c>
      <c r="BO178">
        <v>15342.274135964233</v>
      </c>
      <c r="BP178">
        <v>15708.83294409633</v>
      </c>
      <c r="BQ178">
        <v>16079.124739484347</v>
      </c>
      <c r="BR178">
        <f t="shared" si="5"/>
        <v>1.2730211856940121</v>
      </c>
    </row>
    <row r="179" spans="1:70" x14ac:dyDescent="0.25">
      <c r="A179" t="s">
        <v>170</v>
      </c>
      <c r="B179" t="s">
        <v>613</v>
      </c>
      <c r="C179" t="s">
        <v>434</v>
      </c>
      <c r="AH179">
        <v>4504.4623038356667</v>
      </c>
      <c r="AI179">
        <v>4378.3953209051751</v>
      </c>
      <c r="AJ179">
        <v>4293.7181013108147</v>
      </c>
      <c r="AK179">
        <v>4283.1596778662906</v>
      </c>
      <c r="AL179">
        <v>4374.067216511653</v>
      </c>
      <c r="AM179">
        <v>4477.3231771102237</v>
      </c>
      <c r="AN179">
        <v>4631.7719770597214</v>
      </c>
      <c r="AO179">
        <v>4758.708458085146</v>
      </c>
      <c r="AP179">
        <v>4616.6729290061658</v>
      </c>
      <c r="AQ179">
        <v>4650.7592694758914</v>
      </c>
      <c r="AR179">
        <v>4740.4389169456917</v>
      </c>
      <c r="AS179">
        <v>4778.4008437473958</v>
      </c>
      <c r="AT179">
        <v>4856.4994842956712</v>
      </c>
      <c r="AU179">
        <v>5003.3831771871583</v>
      </c>
      <c r="AV179">
        <v>5229.4508070016482</v>
      </c>
      <c r="AW179">
        <v>5386.8165371289133</v>
      </c>
      <c r="AX179">
        <v>5578.5722511213889</v>
      </c>
      <c r="AY179">
        <v>5840.0681016996532</v>
      </c>
      <c r="AZ179">
        <v>5987.0375786183549</v>
      </c>
      <c r="BA179">
        <v>5965.3073090222106</v>
      </c>
      <c r="BB179">
        <v>6273.0392773151452</v>
      </c>
      <c r="BC179">
        <v>6388.3129695997704</v>
      </c>
      <c r="BD179">
        <v>6697.5562096276835</v>
      </c>
      <c r="BE179">
        <v>7016.5384647043584</v>
      </c>
      <c r="BF179">
        <v>7340.3615859119955</v>
      </c>
      <c r="BG179">
        <v>7691.7630868504693</v>
      </c>
      <c r="BH179">
        <v>8131.825379486535</v>
      </c>
      <c r="BI179">
        <v>8584.1362270969948</v>
      </c>
      <c r="BJ179">
        <v>9016.2865963760833</v>
      </c>
      <c r="BK179">
        <v>9452.2939715980956</v>
      </c>
      <c r="BL179">
        <v>8455.1845713410639</v>
      </c>
      <c r="BM179">
        <v>8857.7899511551386</v>
      </c>
      <c r="BN179">
        <v>9457.1039540288311</v>
      </c>
      <c r="BO179">
        <v>9898.5329458810647</v>
      </c>
      <c r="BP179">
        <v>10378.171770353518</v>
      </c>
      <c r="BQ179">
        <v>10747.545440860074</v>
      </c>
      <c r="BR179">
        <f t="shared" si="5"/>
        <v>4.9532709222163129</v>
      </c>
    </row>
    <row r="180" spans="1:70" x14ac:dyDescent="0.25">
      <c r="A180" t="s">
        <v>171</v>
      </c>
      <c r="B180" t="s">
        <v>485</v>
      </c>
      <c r="C180" t="s">
        <v>434</v>
      </c>
      <c r="AH180">
        <v>12821.463631657374</v>
      </c>
      <c r="AI180">
        <v>11879.753925261879</v>
      </c>
      <c r="AJ180">
        <v>12141.235132372525</v>
      </c>
      <c r="AK180">
        <v>12563.104536312401</v>
      </c>
      <c r="AL180">
        <v>13200.16141649515</v>
      </c>
      <c r="AM180">
        <v>14227.56636877977</v>
      </c>
      <c r="AN180">
        <v>15083.098121620038</v>
      </c>
      <c r="AO180">
        <v>16031.721148526511</v>
      </c>
      <c r="AP180">
        <v>16766.649288326731</v>
      </c>
      <c r="AQ180">
        <v>17556.002692798735</v>
      </c>
      <c r="AR180">
        <v>18566.354628877209</v>
      </c>
      <c r="AS180">
        <v>18800.601864840213</v>
      </c>
      <c r="AT180">
        <v>19166.913705814277</v>
      </c>
      <c r="AU180">
        <v>19855.631798918137</v>
      </c>
      <c r="AV180">
        <v>20878.65450025344</v>
      </c>
      <c r="AW180">
        <v>21568.947659435624</v>
      </c>
      <c r="AX180">
        <v>22921.197588769614</v>
      </c>
      <c r="AY180">
        <v>24484.065666375562</v>
      </c>
      <c r="AZ180">
        <v>25553.90584065341</v>
      </c>
      <c r="BA180">
        <v>26204.410367110999</v>
      </c>
      <c r="BB180">
        <v>27112.133379738138</v>
      </c>
      <c r="BC180">
        <v>28521.6612623568</v>
      </c>
      <c r="BD180">
        <v>28952.915730530058</v>
      </c>
      <c r="BE180">
        <v>29168.624211074955</v>
      </c>
      <c r="BF180">
        <v>30334.878656961846</v>
      </c>
      <c r="BG180">
        <v>31700.368236415372</v>
      </c>
      <c r="BH180">
        <v>32675.305225995377</v>
      </c>
      <c r="BI180">
        <v>34354.59876163194</v>
      </c>
      <c r="BJ180">
        <v>36500.411428258412</v>
      </c>
      <c r="BK180">
        <v>38181.623033468873</v>
      </c>
      <c r="BL180">
        <v>37852.802131363875</v>
      </c>
      <c r="BM180">
        <v>41059.584782968202</v>
      </c>
      <c r="BN180">
        <v>43405.021579744105</v>
      </c>
      <c r="BO180">
        <v>43672.766801494647</v>
      </c>
      <c r="BP180">
        <v>45153.04397732806</v>
      </c>
      <c r="BQ180">
        <v>46924.58878974773</v>
      </c>
      <c r="BR180">
        <f t="shared" si="5"/>
        <v>3.3942722085666288</v>
      </c>
    </row>
    <row r="181" spans="1:70" x14ac:dyDescent="0.25">
      <c r="A181" t="s">
        <v>172</v>
      </c>
      <c r="B181" t="s">
        <v>493</v>
      </c>
      <c r="C181" t="s">
        <v>434</v>
      </c>
      <c r="AH181">
        <v>27190.572026704591</v>
      </c>
      <c r="AI181">
        <v>28443.794536037538</v>
      </c>
      <c r="AJ181">
        <v>28776.047577262205</v>
      </c>
      <c r="AK181">
        <v>28153.615517721828</v>
      </c>
      <c r="AL181">
        <v>28348.865838637492</v>
      </c>
      <c r="AM181">
        <v>29460.814186485444</v>
      </c>
      <c r="AN181">
        <v>30378.755775639067</v>
      </c>
      <c r="AO181">
        <v>31574.402197912415</v>
      </c>
      <c r="AP181">
        <v>32925.663872586061</v>
      </c>
      <c r="AQ181">
        <v>34018.963706650793</v>
      </c>
      <c r="AR181">
        <v>35069.827570513342</v>
      </c>
      <c r="AS181">
        <v>35500.226680409331</v>
      </c>
      <c r="AT181">
        <v>35578.520030900043</v>
      </c>
      <c r="AU181">
        <v>35115.379514413049</v>
      </c>
      <c r="AV181">
        <v>35658.129825750671</v>
      </c>
      <c r="AW181">
        <v>35870.309274150204</v>
      </c>
      <c r="AX181">
        <v>36387.536737952287</v>
      </c>
      <c r="AY181">
        <v>37226.470262670395</v>
      </c>
      <c r="AZ181">
        <v>37291.504896966377</v>
      </c>
      <c r="BA181">
        <v>36092.810931468804</v>
      </c>
      <c r="BB181">
        <v>36703.114188282489</v>
      </c>
      <c r="BC181">
        <v>36127.294976615703</v>
      </c>
      <c r="BD181">
        <v>34804.633334048442</v>
      </c>
      <c r="BE181">
        <v>34651.771945505854</v>
      </c>
      <c r="BF181">
        <v>35097.409826323179</v>
      </c>
      <c r="BG181">
        <v>35803.357564977203</v>
      </c>
      <c r="BH181">
        <v>36636.297844163644</v>
      </c>
      <c r="BI181">
        <v>37943.115050567692</v>
      </c>
      <c r="BJ181">
        <v>39123.615128257487</v>
      </c>
      <c r="BK181">
        <v>40188.286879922307</v>
      </c>
      <c r="BL181">
        <v>36852.228733810305</v>
      </c>
      <c r="BM181">
        <v>38657.667722342863</v>
      </c>
      <c r="BN181">
        <v>41070.861152974401</v>
      </c>
      <c r="BO181">
        <v>41768.258309687371</v>
      </c>
      <c r="BP181">
        <v>42228.158044650212</v>
      </c>
      <c r="BQ181">
        <v>42576.81396735445</v>
      </c>
      <c r="BR181">
        <f t="shared" si="5"/>
        <v>2.4434929211896605</v>
      </c>
    </row>
    <row r="182" spans="1:70" x14ac:dyDescent="0.25">
      <c r="A182" t="s">
        <v>457</v>
      </c>
      <c r="B182" t="s">
        <v>458</v>
      </c>
      <c r="C182" t="s">
        <v>434</v>
      </c>
      <c r="AH182">
        <v>36519.945513405633</v>
      </c>
      <c r="AI182">
        <v>36552.22892980255</v>
      </c>
      <c r="AJ182">
        <v>36849.620012658335</v>
      </c>
      <c r="AK182">
        <v>36865.599197141477</v>
      </c>
      <c r="AL182">
        <v>37634.816321191764</v>
      </c>
      <c r="AM182">
        <v>38400.023048794559</v>
      </c>
      <c r="AN182">
        <v>39231.843892860838</v>
      </c>
      <c r="AO182">
        <v>40326.942725772169</v>
      </c>
      <c r="AP182">
        <v>41168.255918004412</v>
      </c>
      <c r="AQ182">
        <v>42376.716895796701</v>
      </c>
      <c r="AR182">
        <v>43905.492095484988</v>
      </c>
      <c r="AS182">
        <v>44417.508802847995</v>
      </c>
      <c r="AT182">
        <v>44901.660090288067</v>
      </c>
      <c r="AU182">
        <v>45591.775938949584</v>
      </c>
      <c r="AV182">
        <v>46849.019192799053</v>
      </c>
      <c r="AW182">
        <v>47910.72706160161</v>
      </c>
      <c r="AX182">
        <v>49124.601754587777</v>
      </c>
      <c r="AY182">
        <v>50178.52926151525</v>
      </c>
      <c r="AZ182">
        <v>50097.11391204191</v>
      </c>
      <c r="BA182">
        <v>48022.281955449784</v>
      </c>
      <c r="BB182">
        <v>49202.497760528684</v>
      </c>
      <c r="BC182">
        <v>49888.788205840785</v>
      </c>
      <c r="BD182">
        <v>50202.386227753639</v>
      </c>
      <c r="BE182">
        <v>50706.405097172748</v>
      </c>
      <c r="BF182">
        <v>51441.740593510709</v>
      </c>
      <c r="BG182">
        <v>52274.798195744348</v>
      </c>
      <c r="BH182">
        <v>52980.667169255707</v>
      </c>
      <c r="BI182">
        <v>54108.24078671779</v>
      </c>
      <c r="BJ182">
        <v>55143.3332401636</v>
      </c>
      <c r="BK182">
        <v>55954.605696472623</v>
      </c>
      <c r="BL182">
        <v>53484.386473394996</v>
      </c>
      <c r="BM182">
        <v>56629.442865439865</v>
      </c>
      <c r="BN182">
        <v>58044.495390355063</v>
      </c>
      <c r="BO182">
        <v>58864.507314358605</v>
      </c>
      <c r="BP182">
        <v>59533.894561119727</v>
      </c>
      <c r="BQ182">
        <v>60280.289255030075</v>
      </c>
      <c r="BR182">
        <f t="shared" si="5"/>
        <v>1.5741647218115551</v>
      </c>
    </row>
    <row r="183" spans="1:70" x14ac:dyDescent="0.25">
      <c r="A183" t="s">
        <v>667</v>
      </c>
      <c r="B183" t="s">
        <v>668</v>
      </c>
      <c r="C183" t="s">
        <v>434</v>
      </c>
      <c r="AH183">
        <v>3606.54398991268</v>
      </c>
      <c r="AI183">
        <v>3248.5983941783529</v>
      </c>
      <c r="AJ183">
        <v>3233.3324028651009</v>
      </c>
      <c r="AK183">
        <v>3110.5397759115135</v>
      </c>
      <c r="AL183">
        <v>3007.413106137808</v>
      </c>
      <c r="AM183">
        <v>3002.2924993550409</v>
      </c>
      <c r="AN183">
        <v>3085.4695219749801</v>
      </c>
      <c r="AO183">
        <v>3188.3665261471297</v>
      </c>
      <c r="AP183">
        <v>3308.6083960755095</v>
      </c>
      <c r="AQ183">
        <v>3345.8540432463615</v>
      </c>
      <c r="AR183">
        <v>3431.9905852322618</v>
      </c>
      <c r="AS183">
        <v>3480.908906142306</v>
      </c>
      <c r="AT183">
        <v>3596.8839900262487</v>
      </c>
      <c r="AU183">
        <v>3488.3329073079312</v>
      </c>
      <c r="AV183">
        <v>3785.5831212712869</v>
      </c>
      <c r="AW183">
        <v>3897.9942455998112</v>
      </c>
      <c r="AX183">
        <v>4024.2761654164688</v>
      </c>
      <c r="AY183">
        <v>4156.3127543146402</v>
      </c>
      <c r="AZ183">
        <v>4296.5165782414279</v>
      </c>
      <c r="BA183">
        <v>4380.7745578382692</v>
      </c>
      <c r="BB183">
        <v>4542.9669929119618</v>
      </c>
      <c r="BC183">
        <v>4601.8026332349154</v>
      </c>
      <c r="BD183">
        <v>4699.8157799983965</v>
      </c>
      <c r="BE183">
        <v>4836.1636704651792</v>
      </c>
      <c r="BF183">
        <v>4943.9390959322564</v>
      </c>
      <c r="BG183">
        <v>4955.0436870521617</v>
      </c>
      <c r="BH183">
        <v>4937.9868786651259</v>
      </c>
      <c r="BI183">
        <v>4883.5188820216881</v>
      </c>
      <c r="BJ183">
        <v>4877.525261988224</v>
      </c>
      <c r="BK183">
        <v>4894.8691066517895</v>
      </c>
      <c r="BL183">
        <v>4560.447746667629</v>
      </c>
      <c r="BM183">
        <v>4534.6781725559413</v>
      </c>
      <c r="BN183">
        <v>4622.8466215436174</v>
      </c>
      <c r="BO183">
        <v>4616.904500890907</v>
      </c>
      <c r="BP183">
        <v>4654.296447064823</v>
      </c>
      <c r="BQ183">
        <v>4703.9090540438556</v>
      </c>
      <c r="BR183">
        <f t="shared" si="5"/>
        <v>0.92020208569079109</v>
      </c>
    </row>
    <row r="184" spans="1:70" x14ac:dyDescent="0.25">
      <c r="A184" t="s">
        <v>488</v>
      </c>
      <c r="B184" t="s">
        <v>489</v>
      </c>
      <c r="C184" t="s">
        <v>434</v>
      </c>
      <c r="AH184">
        <v>26738.814440527316</v>
      </c>
      <c r="AI184">
        <v>27162.150788061481</v>
      </c>
      <c r="AJ184">
        <v>28219.116049829299</v>
      </c>
      <c r="AK184">
        <v>29282.112179243111</v>
      </c>
      <c r="AL184">
        <v>30225.780760262758</v>
      </c>
      <c r="AM184">
        <v>31310.180164269335</v>
      </c>
      <c r="AN184">
        <v>31677.230254164439</v>
      </c>
      <c r="AO184">
        <v>32915.790570556819</v>
      </c>
      <c r="AP184">
        <v>34537.185185947244</v>
      </c>
      <c r="AQ184">
        <v>36216.838089622535</v>
      </c>
      <c r="AR184">
        <v>37298.545044713326</v>
      </c>
      <c r="AS184">
        <v>39568.552838303243</v>
      </c>
      <c r="AT184">
        <v>39879.729556696737</v>
      </c>
      <c r="AU184">
        <v>39876.067023777323</v>
      </c>
      <c r="AV184">
        <v>43355.822636526878</v>
      </c>
      <c r="AW184">
        <v>42555.708118966897</v>
      </c>
      <c r="AX184">
        <v>42133.968274877312</v>
      </c>
      <c r="AY184">
        <v>41888.623271647783</v>
      </c>
      <c r="AZ184">
        <v>41358.068913666844</v>
      </c>
      <c r="BA184">
        <v>40772.351424961205</v>
      </c>
      <c r="BB184">
        <v>40777.689282568674</v>
      </c>
      <c r="BC184">
        <v>40972.536407495943</v>
      </c>
      <c r="BD184">
        <v>41347.454201358574</v>
      </c>
      <c r="BE184">
        <v>41556.785235007424</v>
      </c>
      <c r="BF184">
        <v>41593.679828070795</v>
      </c>
      <c r="BG184">
        <v>41737.606857115265</v>
      </c>
      <c r="BH184">
        <v>41858.262669846219</v>
      </c>
      <c r="BI184">
        <v>41479.99777320338</v>
      </c>
      <c r="BJ184">
        <v>41119.308805164816</v>
      </c>
      <c r="BK184">
        <v>41656.329158136941</v>
      </c>
      <c r="BL184">
        <v>40171.374446173839</v>
      </c>
      <c r="BM184">
        <v>40559.226188956985</v>
      </c>
      <c r="BN184">
        <v>42310.81397257185</v>
      </c>
      <c r="BO184">
        <v>42837.872737144957</v>
      </c>
      <c r="BP184">
        <v>44216.433336713315</v>
      </c>
      <c r="BQ184">
        <v>44603.218055883022</v>
      </c>
      <c r="BR184">
        <f t="shared" si="5"/>
        <v>2.4045216423232985</v>
      </c>
    </row>
    <row r="185" spans="1:70" x14ac:dyDescent="0.25">
      <c r="A185" t="s">
        <v>173</v>
      </c>
      <c r="B185" t="s">
        <v>438</v>
      </c>
      <c r="C185" t="s">
        <v>434</v>
      </c>
      <c r="AH185">
        <v>75303.560170822006</v>
      </c>
      <c r="AI185">
        <v>71662.204298194571</v>
      </c>
      <c r="AJ185">
        <v>77267.114545922319</v>
      </c>
      <c r="AK185">
        <v>73900.591361577579</v>
      </c>
      <c r="AL185">
        <v>72711.024208821327</v>
      </c>
      <c r="AM185">
        <v>72303.477962085206</v>
      </c>
      <c r="AN185">
        <v>73369.82924393643</v>
      </c>
      <c r="AO185">
        <v>91667.423983093526</v>
      </c>
      <c r="AP185">
        <v>96675.812471166268</v>
      </c>
      <c r="AQ185">
        <v>95556.852249087358</v>
      </c>
      <c r="AR185">
        <v>98028.523291852558</v>
      </c>
      <c r="AS185">
        <v>96901.594372560619</v>
      </c>
      <c r="AT185">
        <v>99001.493997746074</v>
      </c>
      <c r="AU185">
        <v>98068.123249249853</v>
      </c>
      <c r="AV185">
        <v>112583.9299246064</v>
      </c>
      <c r="AW185">
        <v>113384.26700170609</v>
      </c>
      <c r="AX185">
        <v>121378.43895737022</v>
      </c>
      <c r="AY185">
        <v>115272.51000323831</v>
      </c>
      <c r="AZ185">
        <v>114879.22172767429</v>
      </c>
      <c r="BA185">
        <v>114069.65233528358</v>
      </c>
      <c r="BB185">
        <v>132502.28182831343</v>
      </c>
      <c r="BC185">
        <v>149025.11632502364</v>
      </c>
      <c r="BD185">
        <v>147077.40609263661</v>
      </c>
      <c r="BE185">
        <v>138046.59631545836</v>
      </c>
      <c r="BF185">
        <v>128013.98705089105</v>
      </c>
      <c r="BG185">
        <v>123070.88787656504</v>
      </c>
      <c r="BH185">
        <v>120054.40873651773</v>
      </c>
      <c r="BI185">
        <v>115064.94366285289</v>
      </c>
      <c r="BJ185">
        <v>114909.94548512687</v>
      </c>
      <c r="BK185">
        <v>113160.97377933396</v>
      </c>
      <c r="BL185">
        <v>103061.91342250239</v>
      </c>
      <c r="BM185">
        <v>116832.57029409787</v>
      </c>
      <c r="BN185">
        <v>114740.12361423005</v>
      </c>
      <c r="BO185">
        <v>116159.14256408774</v>
      </c>
      <c r="BP185">
        <v>111314.25035589114</v>
      </c>
      <c r="BQ185">
        <v>110135.69629769235</v>
      </c>
      <c r="BR185">
        <f t="shared" ref="BR185:BR206" si="6">(((BQ185/BM185)^(1/4))-1)*100</f>
        <v>-1.4648816259083097</v>
      </c>
    </row>
    <row r="186" spans="1:70" x14ac:dyDescent="0.25">
      <c r="A186" t="s">
        <v>174</v>
      </c>
      <c r="B186" t="s">
        <v>497</v>
      </c>
      <c r="C186" t="s">
        <v>434</v>
      </c>
      <c r="AH186">
        <v>16316.844668041915</v>
      </c>
      <c r="AI186">
        <v>14332.970680334869</v>
      </c>
      <c r="AJ186">
        <v>13195.041806506722</v>
      </c>
      <c r="AK186">
        <v>13415.018804018455</v>
      </c>
      <c r="AL186">
        <v>13962.773862523871</v>
      </c>
      <c r="AM186">
        <v>14863.185593729761</v>
      </c>
      <c r="AN186">
        <v>15488.557478306984</v>
      </c>
      <c r="AO186">
        <v>14779.997726232052</v>
      </c>
      <c r="AP186">
        <v>14509.99318435088</v>
      </c>
      <c r="AQ186">
        <v>14478.04935383916</v>
      </c>
      <c r="AR186">
        <v>14853.606368153134</v>
      </c>
      <c r="AS186">
        <v>15848.303914316226</v>
      </c>
      <c r="AT186">
        <v>17061.629369541199</v>
      </c>
      <c r="AU186">
        <v>17587.462617763958</v>
      </c>
      <c r="AV186">
        <v>19532.480020518433</v>
      </c>
      <c r="AW186">
        <v>20570.925514681036</v>
      </c>
      <c r="AX186">
        <v>22354.563786005332</v>
      </c>
      <c r="AY186">
        <v>24328.393133278827</v>
      </c>
      <c r="AZ186">
        <v>27039.600086429087</v>
      </c>
      <c r="BA186">
        <v>25761.630551720482</v>
      </c>
      <c r="BB186">
        <v>24902.904489146575</v>
      </c>
      <c r="BC186">
        <v>26150.74762317356</v>
      </c>
      <c r="BD186">
        <v>26767.455648718089</v>
      </c>
      <c r="BE186">
        <v>26941.931884959464</v>
      </c>
      <c r="BF186">
        <v>28156.130784329307</v>
      </c>
      <c r="BG186">
        <v>29181.878172244131</v>
      </c>
      <c r="BH186">
        <v>30189.147723023973</v>
      </c>
      <c r="BI186">
        <v>32852.635567225465</v>
      </c>
      <c r="BJ186">
        <v>34828.895863788384</v>
      </c>
      <c r="BK186">
        <v>36399.474608079297</v>
      </c>
      <c r="BL186">
        <v>35283.606035824057</v>
      </c>
      <c r="BM186">
        <v>37534.000264354872</v>
      </c>
      <c r="BN186">
        <v>39256.826085497712</v>
      </c>
      <c r="BO186">
        <v>40116.689141690411</v>
      </c>
      <c r="BP186">
        <v>40503.832325378884</v>
      </c>
      <c r="BQ186">
        <v>40845.984344011318</v>
      </c>
      <c r="BR186">
        <f t="shared" si="6"/>
        <v>2.1365369295930137</v>
      </c>
    </row>
    <row r="187" spans="1:70" x14ac:dyDescent="0.25">
      <c r="A187" t="s">
        <v>175</v>
      </c>
      <c r="B187" t="s">
        <v>494</v>
      </c>
      <c r="C187" t="s">
        <v>434</v>
      </c>
      <c r="AH187">
        <v>29643.595703125</v>
      </c>
      <c r="AI187">
        <v>28066.921875</v>
      </c>
      <c r="AJ187">
        <v>23965.244140625</v>
      </c>
      <c r="AK187">
        <v>21899.517578125</v>
      </c>
      <c r="AL187">
        <v>19153.36328125</v>
      </c>
      <c r="AM187">
        <v>18363.712890625</v>
      </c>
      <c r="AN187">
        <v>17699.869140625</v>
      </c>
      <c r="AO187">
        <v>17977.3515625</v>
      </c>
      <c r="AP187">
        <v>17052.755859375</v>
      </c>
      <c r="AQ187">
        <v>18200.3203125</v>
      </c>
      <c r="AR187">
        <v>20104.75</v>
      </c>
      <c r="AS187">
        <v>21219.904296875</v>
      </c>
      <c r="AT187">
        <v>22319.677734375</v>
      </c>
      <c r="AU187">
        <v>24057.927734375</v>
      </c>
      <c r="AV187">
        <v>25894.146484375</v>
      </c>
      <c r="AW187">
        <v>27656.658203125</v>
      </c>
      <c r="AX187">
        <v>30022.671875</v>
      </c>
      <c r="AY187">
        <v>32630.369140625</v>
      </c>
      <c r="AZ187">
        <v>34342.2265625</v>
      </c>
      <c r="BA187">
        <v>31654.00390625</v>
      </c>
      <c r="BB187">
        <v>33063.5859375</v>
      </c>
      <c r="BC187">
        <v>34444.64453125</v>
      </c>
      <c r="BD187">
        <v>35740.69921875</v>
      </c>
      <c r="BE187">
        <v>36260.06640625</v>
      </c>
      <c r="BF187">
        <v>35853.24609375</v>
      </c>
      <c r="BG187">
        <v>35037.15234375</v>
      </c>
      <c r="BH187">
        <v>35005.4453125</v>
      </c>
      <c r="BI187">
        <v>35570.703125</v>
      </c>
      <c r="BJ187">
        <v>36536.6953125</v>
      </c>
      <c r="BK187">
        <v>37319.3203125</v>
      </c>
      <c r="BL187">
        <v>36376.3359375</v>
      </c>
      <c r="BM187">
        <v>38638.4296875</v>
      </c>
      <c r="BN187">
        <v>38214.69140625</v>
      </c>
      <c r="BO187">
        <v>39881.44921875</v>
      </c>
      <c r="BP187">
        <v>41891.171875</v>
      </c>
      <c r="BQ187">
        <v>42357.98828125</v>
      </c>
      <c r="BR187">
        <f t="shared" si="6"/>
        <v>2.3243429242493452</v>
      </c>
    </row>
    <row r="188" spans="1:70" x14ac:dyDescent="0.25">
      <c r="A188" t="s">
        <v>176</v>
      </c>
      <c r="B188" t="s">
        <v>688</v>
      </c>
      <c r="C188" t="s">
        <v>434</v>
      </c>
      <c r="AH188">
        <v>1165.7260525350321</v>
      </c>
      <c r="AI188">
        <v>1113.5179199818494</v>
      </c>
      <c r="AJ188">
        <v>1154.9292702189505</v>
      </c>
      <c r="AK188">
        <v>1021.6713088587989</v>
      </c>
      <c r="AL188">
        <v>597.26279859360397</v>
      </c>
      <c r="AM188">
        <v>966.81040541934283</v>
      </c>
      <c r="AN188">
        <v>921.92827675501974</v>
      </c>
      <c r="AO188">
        <v>907.9806859252451</v>
      </c>
      <c r="AP188">
        <v>948.4906605013955</v>
      </c>
      <c r="AQ188">
        <v>981.72250155468453</v>
      </c>
      <c r="AR188">
        <v>1055.3504233977558</v>
      </c>
      <c r="AS188">
        <v>1134.7845315346806</v>
      </c>
      <c r="AT188">
        <v>1267.1939654021803</v>
      </c>
      <c r="AU188">
        <v>1266.9444948719638</v>
      </c>
      <c r="AV188">
        <v>1325.7955731250286</v>
      </c>
      <c r="AW188">
        <v>1412.0610794996687</v>
      </c>
      <c r="AX188">
        <v>1501.7646218592979</v>
      </c>
      <c r="AY188">
        <v>1573.9681121801132</v>
      </c>
      <c r="AZ188">
        <v>1704.2544905772691</v>
      </c>
      <c r="BA188">
        <v>1764.6348496109406</v>
      </c>
      <c r="BB188">
        <v>1846.8632684006609</v>
      </c>
      <c r="BC188">
        <v>1945.537053838781</v>
      </c>
      <c r="BD188">
        <v>2063.664748230311</v>
      </c>
      <c r="BE188">
        <v>2109.7466881156711</v>
      </c>
      <c r="BF188">
        <v>2176.0949201466592</v>
      </c>
      <c r="BG188">
        <v>2313.0971694096156</v>
      </c>
      <c r="BH188">
        <v>2386.7484100282554</v>
      </c>
      <c r="BI188">
        <v>2441.0854081650859</v>
      </c>
      <c r="BJ188">
        <v>2577.6973036607501</v>
      </c>
      <c r="BK188">
        <v>2753.539598108564</v>
      </c>
      <c r="BL188">
        <v>2617.7070603436364</v>
      </c>
      <c r="BM188">
        <v>2776.3927638792316</v>
      </c>
      <c r="BN188">
        <v>2983.1077400730433</v>
      </c>
      <c r="BO188">
        <v>3168.0307528151538</v>
      </c>
      <c r="BP188">
        <v>3325.0076968381459</v>
      </c>
      <c r="BQ188">
        <v>3558.6800375380835</v>
      </c>
      <c r="BR188">
        <f t="shared" si="6"/>
        <v>6.4025434765306199</v>
      </c>
    </row>
    <row r="189" spans="1:70" x14ac:dyDescent="0.25">
      <c r="A189" t="s">
        <v>177</v>
      </c>
      <c r="B189" t="s">
        <v>633</v>
      </c>
      <c r="C189" t="s">
        <v>434</v>
      </c>
      <c r="AH189">
        <v>3991.4380656163935</v>
      </c>
      <c r="AI189">
        <v>3892.1284683279314</v>
      </c>
      <c r="AJ189">
        <v>3862.3838005699076</v>
      </c>
      <c r="AK189">
        <v>3986.9646599169387</v>
      </c>
      <c r="AL189">
        <v>3854.5332195872111</v>
      </c>
      <c r="AM189">
        <v>4078.5133647746911</v>
      </c>
      <c r="AN189">
        <v>4334.0681198526645</v>
      </c>
      <c r="AO189">
        <v>4325.6923969220588</v>
      </c>
      <c r="AP189">
        <v>4387.0811989878657</v>
      </c>
      <c r="AQ189">
        <v>4448.8897369400365</v>
      </c>
      <c r="AR189">
        <v>4639.1888025025228</v>
      </c>
      <c r="AS189">
        <v>4941.7483245031617</v>
      </c>
      <c r="AT189">
        <v>5184.118712181521</v>
      </c>
      <c r="AU189">
        <v>5426.1389911108436</v>
      </c>
      <c r="AV189">
        <v>5569.0608118066857</v>
      </c>
      <c r="AW189">
        <v>5915.6475736790971</v>
      </c>
      <c r="AX189">
        <v>6018.2480546696961</v>
      </c>
      <c r="AY189">
        <v>6014.0467620659983</v>
      </c>
      <c r="AZ189">
        <v>6183.5554684994158</v>
      </c>
      <c r="BA189">
        <v>6104.9096293604071</v>
      </c>
      <c r="BB189">
        <v>6428.1350859033282</v>
      </c>
      <c r="BC189">
        <v>6617.6188950958831</v>
      </c>
      <c r="BD189">
        <v>6312.7694462114478</v>
      </c>
      <c r="BE189">
        <v>6263.1261041135895</v>
      </c>
      <c r="BF189">
        <v>6248.7053455041296</v>
      </c>
      <c r="BG189">
        <v>6433.1839621351046</v>
      </c>
      <c r="BH189">
        <v>6888.1876975100131</v>
      </c>
      <c r="BI189">
        <v>6919.9022536691446</v>
      </c>
      <c r="BJ189">
        <v>6805.9170939279738</v>
      </c>
      <c r="BK189">
        <v>7034.4223303681474</v>
      </c>
      <c r="BL189">
        <v>6746.1566796310917</v>
      </c>
      <c r="BM189">
        <v>6350.9278703371128</v>
      </c>
      <c r="BN189">
        <v>6450.1915167784191</v>
      </c>
      <c r="BO189">
        <v>7384.6916368861293</v>
      </c>
      <c r="BP189">
        <v>7687.2342555248506</v>
      </c>
      <c r="BQ189">
        <v>7963.4274905215261</v>
      </c>
      <c r="BR189">
        <f t="shared" si="6"/>
        <v>5.8195017727400877</v>
      </c>
    </row>
    <row r="190" spans="1:70" x14ac:dyDescent="0.25">
      <c r="A190" t="s">
        <v>178</v>
      </c>
      <c r="B190" t="s">
        <v>724</v>
      </c>
      <c r="C190" t="s">
        <v>434</v>
      </c>
      <c r="AO190">
        <v>66923.032583392836</v>
      </c>
      <c r="AP190">
        <v>71024.561877507425</v>
      </c>
      <c r="AQ190">
        <v>76474.132276763499</v>
      </c>
      <c r="AR190">
        <v>77149.418579829333</v>
      </c>
      <c r="AS190">
        <v>80420.772545151631</v>
      </c>
      <c r="AT190">
        <v>79649.535049875296</v>
      </c>
      <c r="AU190">
        <v>81688.381418830861</v>
      </c>
      <c r="AV190">
        <v>80724.811471172827</v>
      </c>
      <c r="AW190">
        <v>81632.177632472201</v>
      </c>
      <c r="AX190">
        <v>83781.55019910101</v>
      </c>
      <c r="AY190">
        <v>86785.021020827364</v>
      </c>
      <c r="AZ190">
        <v>85120.289727588315</v>
      </c>
      <c r="BA190">
        <v>73093.834148944414</v>
      </c>
      <c r="BB190">
        <v>68669.254948575704</v>
      </c>
      <c r="BC190">
        <v>64214.120906595024</v>
      </c>
      <c r="BD190">
        <v>58176.379745476064</v>
      </c>
      <c r="BE190">
        <v>58467.97891284855</v>
      </c>
      <c r="BF190">
        <v>58743.586389015065</v>
      </c>
      <c r="BG190">
        <v>59647.660014693356</v>
      </c>
      <c r="BH190">
        <v>60669.822894796642</v>
      </c>
      <c r="BI190">
        <v>59524.56068272017</v>
      </c>
      <c r="BJ190">
        <v>59194.044407940033</v>
      </c>
      <c r="BK190">
        <v>60171.050603392803</v>
      </c>
      <c r="BL190">
        <v>55998.073462527827</v>
      </c>
      <c r="BM190">
        <v>64745.132279590107</v>
      </c>
      <c r="BN190">
        <v>70887.578056598169</v>
      </c>
      <c r="BO190">
        <v>70951.791969071492</v>
      </c>
      <c r="BP190" s="200">
        <v>70951.791969071492</v>
      </c>
      <c r="BQ190" s="200">
        <v>70951.791969071492</v>
      </c>
      <c r="BR190">
        <f t="shared" si="6"/>
        <v>2.3149417910501846</v>
      </c>
    </row>
    <row r="191" spans="1:70" x14ac:dyDescent="0.25">
      <c r="A191" t="s">
        <v>179</v>
      </c>
      <c r="B191" t="s">
        <v>655</v>
      </c>
      <c r="C191" t="s">
        <v>434</v>
      </c>
      <c r="AH191">
        <v>3883.2042984226632</v>
      </c>
      <c r="AI191">
        <v>3844.8963771481976</v>
      </c>
      <c r="AJ191">
        <v>3798.8835292951417</v>
      </c>
      <c r="AK191">
        <v>3771.286124160622</v>
      </c>
      <c r="AL191">
        <v>3788.4837044215242</v>
      </c>
      <c r="AM191">
        <v>3802.2913230217364</v>
      </c>
      <c r="AN191">
        <v>3801.0816493385742</v>
      </c>
      <c r="AO191">
        <v>3784.7902343177971</v>
      </c>
      <c r="AP191">
        <v>3828.9982383908296</v>
      </c>
      <c r="AQ191">
        <v>3878.1310852524616</v>
      </c>
      <c r="AR191">
        <v>3852.8904272145337</v>
      </c>
      <c r="AS191">
        <v>3907.0192818698029</v>
      </c>
      <c r="AT191">
        <v>3942.7604069511485</v>
      </c>
      <c r="AU191">
        <v>4161.6383316754163</v>
      </c>
      <c r="AV191">
        <v>4202.561868987751</v>
      </c>
      <c r="AW191">
        <v>4371.4972164412757</v>
      </c>
      <c r="AX191">
        <v>4644.1804466999138</v>
      </c>
      <c r="AY191">
        <v>4698.0841696183943</v>
      </c>
      <c r="AZ191">
        <v>4873.1813112046048</v>
      </c>
      <c r="BA191">
        <v>4919.1952982286493</v>
      </c>
      <c r="BB191">
        <v>4882.047964663413</v>
      </c>
      <c r="BC191">
        <v>4876.4731579214549</v>
      </c>
      <c r="BD191">
        <v>4919.5529438657686</v>
      </c>
      <c r="BE191">
        <v>5072.1120019586588</v>
      </c>
      <c r="BF191">
        <v>5223.0957288638792</v>
      </c>
      <c r="BG191">
        <v>5210.203775543102</v>
      </c>
      <c r="BH191">
        <v>5388.5091334890976</v>
      </c>
      <c r="BI191">
        <v>5521.2024959741284</v>
      </c>
      <c r="BJ191">
        <v>5674.7237909401128</v>
      </c>
      <c r="BK191">
        <v>5702.0834707123613</v>
      </c>
      <c r="BL191">
        <v>5742.9472485882607</v>
      </c>
      <c r="BM191">
        <v>5732.6945606153558</v>
      </c>
      <c r="BN191">
        <v>5632.1389071504727</v>
      </c>
      <c r="BO191">
        <v>5541.3016760534974</v>
      </c>
      <c r="BP191">
        <v>5511.8778546975163</v>
      </c>
      <c r="BQ191">
        <v>5459.2131176633466</v>
      </c>
      <c r="BR191">
        <f t="shared" si="6"/>
        <v>-1.2145889271115373</v>
      </c>
    </row>
    <row r="192" spans="1:70" x14ac:dyDescent="0.25">
      <c r="A192" t="s">
        <v>180</v>
      </c>
      <c r="B192" t="s">
        <v>454</v>
      </c>
      <c r="C192" t="s">
        <v>434</v>
      </c>
      <c r="AH192">
        <v>65196.573386052973</v>
      </c>
      <c r="AI192">
        <v>67268.551848876305</v>
      </c>
      <c r="AJ192">
        <v>67183.910029094477</v>
      </c>
      <c r="AK192">
        <v>64517.665289105178</v>
      </c>
      <c r="AL192">
        <v>62403.693732012158</v>
      </c>
      <c r="AM192">
        <v>60058.31745035106</v>
      </c>
      <c r="AN192">
        <v>59612.812599366538</v>
      </c>
      <c r="AO192">
        <v>58875.5473738828</v>
      </c>
      <c r="AP192">
        <v>58306.62280972302</v>
      </c>
      <c r="AQ192">
        <v>55878.173649442615</v>
      </c>
      <c r="AR192">
        <v>55962.266134278943</v>
      </c>
      <c r="AS192">
        <v>53309.111388543955</v>
      </c>
      <c r="AT192">
        <v>50371.978307983365</v>
      </c>
      <c r="AU192">
        <v>52234.649280791018</v>
      </c>
      <c r="AV192">
        <v>54196.551415295326</v>
      </c>
      <c r="AW192">
        <v>54931.794245084508</v>
      </c>
      <c r="AX192">
        <v>54373.737695386</v>
      </c>
      <c r="AY192">
        <v>53318.419160183359</v>
      </c>
      <c r="AZ192">
        <v>54407.708167324658</v>
      </c>
      <c r="BA192">
        <v>51760.764398756575</v>
      </c>
      <c r="BB192">
        <v>54911.547517012019</v>
      </c>
      <c r="BC192">
        <v>58645.445941653081</v>
      </c>
      <c r="BD192">
        <v>59471.700190939431</v>
      </c>
      <c r="BE192">
        <v>57998.464461915544</v>
      </c>
      <c r="BF192">
        <v>58872.26714001262</v>
      </c>
      <c r="BG192">
        <v>58498.53990406989</v>
      </c>
      <c r="BH192">
        <v>57308.448412749705</v>
      </c>
      <c r="BI192">
        <v>57942.548498304415</v>
      </c>
      <c r="BJ192">
        <v>61359.465374038773</v>
      </c>
      <c r="BK192">
        <v>62647.729948784225</v>
      </c>
      <c r="BL192">
        <v>57420.733573642363</v>
      </c>
      <c r="BM192">
        <v>62690.496664592858</v>
      </c>
      <c r="BN192">
        <v>67178.590227490626</v>
      </c>
      <c r="BO192">
        <v>64481.844192728786</v>
      </c>
      <c r="BP192">
        <v>63194.433252883231</v>
      </c>
      <c r="BQ192">
        <v>63051.046725798646</v>
      </c>
      <c r="BR192">
        <f t="shared" si="6"/>
        <v>0.14347272350185847</v>
      </c>
    </row>
    <row r="193" spans="1:70" x14ac:dyDescent="0.25">
      <c r="A193" t="s">
        <v>181</v>
      </c>
      <c r="B193" t="s">
        <v>669</v>
      </c>
      <c r="C193" t="s">
        <v>434</v>
      </c>
      <c r="AH193">
        <v>2923.3441247039732</v>
      </c>
      <c r="AI193">
        <v>2917.0142778574941</v>
      </c>
      <c r="AJ193">
        <v>2874.0029796702288</v>
      </c>
      <c r="AK193">
        <v>2834.0279728202054</v>
      </c>
      <c r="AL193">
        <v>2757.8608751452766</v>
      </c>
      <c r="AM193">
        <v>2835.0327287519835</v>
      </c>
      <c r="AN193">
        <v>2822.4683732455569</v>
      </c>
      <c r="AO193">
        <v>2840.608088605356</v>
      </c>
      <c r="AP193">
        <v>2938.6916255225342</v>
      </c>
      <c r="AQ193">
        <v>3050.1780099945199</v>
      </c>
      <c r="AR193">
        <v>3093.2879160338175</v>
      </c>
      <c r="AS193">
        <v>3149.3311370428291</v>
      </c>
      <c r="AT193">
        <v>3075.2315750387379</v>
      </c>
      <c r="AU193">
        <v>3170.0349468926461</v>
      </c>
      <c r="AV193">
        <v>3240.3020167064251</v>
      </c>
      <c r="AW193">
        <v>3301.8207616163295</v>
      </c>
      <c r="AX193">
        <v>3301.031524150108</v>
      </c>
      <c r="AY193">
        <v>3316.4203783559606</v>
      </c>
      <c r="AZ193">
        <v>3359.7056709114386</v>
      </c>
      <c r="BA193">
        <v>3371.4616668945127</v>
      </c>
      <c r="BB193">
        <v>3403.5670716676223</v>
      </c>
      <c r="BC193">
        <v>3362.8794053816482</v>
      </c>
      <c r="BD193">
        <v>3405.1086446166801</v>
      </c>
      <c r="BE193">
        <v>3385.4259068740048</v>
      </c>
      <c r="BF193">
        <v>3484.0121975066072</v>
      </c>
      <c r="BG193">
        <v>3593.7947712127921</v>
      </c>
      <c r="BH193">
        <v>3710.0553159155884</v>
      </c>
      <c r="BI193">
        <v>3871.4514678637402</v>
      </c>
      <c r="BJ193">
        <v>3998.2863530386721</v>
      </c>
      <c r="BK193">
        <v>4070.6122705955004</v>
      </c>
      <c r="BL193">
        <v>4018.0412927904413</v>
      </c>
      <c r="BM193">
        <v>4173.6774139961663</v>
      </c>
      <c r="BN193">
        <v>4228.733826436619</v>
      </c>
      <c r="BO193">
        <v>4304.7614872177328</v>
      </c>
      <c r="BP193">
        <v>4477.8173683625846</v>
      </c>
      <c r="BQ193">
        <v>4668.5416765872587</v>
      </c>
      <c r="BR193">
        <f t="shared" si="6"/>
        <v>2.8408340719140224</v>
      </c>
    </row>
    <row r="194" spans="1:70" x14ac:dyDescent="0.25">
      <c r="A194" t="s">
        <v>182</v>
      </c>
      <c r="B194" t="s">
        <v>522</v>
      </c>
      <c r="C194" t="s">
        <v>434</v>
      </c>
      <c r="AM194">
        <v>9444.7516249474938</v>
      </c>
      <c r="AN194">
        <v>10035.013975002137</v>
      </c>
      <c r="AO194">
        <v>10965.482411752671</v>
      </c>
      <c r="AP194">
        <v>11598.330749238952</v>
      </c>
      <c r="AQ194">
        <v>10438.461015395389</v>
      </c>
      <c r="AR194">
        <v>11105.948823733126</v>
      </c>
      <c r="AS194">
        <v>11879.176390971117</v>
      </c>
      <c r="AT194">
        <v>12661.939611532487</v>
      </c>
      <c r="AU194">
        <v>13273.690065632696</v>
      </c>
      <c r="AV194">
        <v>14194.365131793278</v>
      </c>
      <c r="AW194">
        <v>15077.558646257774</v>
      </c>
      <c r="AX194">
        <v>15727.403368368476</v>
      </c>
      <c r="AY194">
        <v>17028.0866985832</v>
      </c>
      <c r="AZ194">
        <v>17983.281185569544</v>
      </c>
      <c r="BA194">
        <v>17488.122724158093</v>
      </c>
      <c r="BB194">
        <v>17841.431259901841</v>
      </c>
      <c r="BC194">
        <v>17986.584028353889</v>
      </c>
      <c r="BD194">
        <v>17993.814716999295</v>
      </c>
      <c r="BE194">
        <v>18163.204733024573</v>
      </c>
      <c r="BF194">
        <v>17922.435768575666</v>
      </c>
      <c r="BG194">
        <v>18247.809105796849</v>
      </c>
      <c r="BH194">
        <v>18889.381641554832</v>
      </c>
      <c r="BI194">
        <v>19438.991712977626</v>
      </c>
      <c r="BJ194">
        <v>20454.225884367035</v>
      </c>
      <c r="BK194">
        <v>21541.126403718445</v>
      </c>
      <c r="BL194">
        <v>21479.078855334676</v>
      </c>
      <c r="BM194">
        <v>23406.306565711737</v>
      </c>
      <c r="BN194">
        <v>24651.847818352915</v>
      </c>
      <c r="BO194">
        <v>25735.133477419517</v>
      </c>
      <c r="BP194">
        <v>26900.741534064633</v>
      </c>
      <c r="BQ194">
        <v>27603.391630928716</v>
      </c>
      <c r="BR194">
        <f t="shared" si="6"/>
        <v>4.2095185738314722</v>
      </c>
    </row>
    <row r="195" spans="1:70" x14ac:dyDescent="0.25">
      <c r="A195" t="s">
        <v>183</v>
      </c>
      <c r="B195" t="s">
        <v>515</v>
      </c>
      <c r="C195" t="s">
        <v>434</v>
      </c>
      <c r="AH195">
        <v>15478.847544422761</v>
      </c>
      <c r="AI195">
        <v>15695.670838946027</v>
      </c>
      <c r="AJ195">
        <v>16744.50808160341</v>
      </c>
      <c r="AK195">
        <v>17596.897761717071</v>
      </c>
      <c r="AL195">
        <v>16716.520718892283</v>
      </c>
      <c r="AM195">
        <v>16552.454781523076</v>
      </c>
      <c r="AN195">
        <v>17942.173303662712</v>
      </c>
      <c r="AO195">
        <v>19895.14221884307</v>
      </c>
      <c r="AP195">
        <v>19991.2293154949</v>
      </c>
      <c r="AQ195">
        <v>19969.351374617439</v>
      </c>
      <c r="AR195">
        <v>20633.674695076068</v>
      </c>
      <c r="AS195">
        <v>20147.418765616727</v>
      </c>
      <c r="AT195">
        <v>19777.752524972137</v>
      </c>
      <c r="AU195">
        <v>18825.220693618936</v>
      </c>
      <c r="AV195">
        <v>18356.47114472117</v>
      </c>
      <c r="AW195">
        <v>19917.11945342207</v>
      </c>
      <c r="AX195">
        <v>21341.859752600278</v>
      </c>
      <c r="AY195">
        <v>23117.855522477108</v>
      </c>
      <c r="AZ195">
        <v>21990.368526970535</v>
      </c>
      <c r="BA195">
        <v>21361.130787528353</v>
      </c>
      <c r="BB195">
        <v>21708.755450656572</v>
      </c>
      <c r="BC195">
        <v>24406.412976410549</v>
      </c>
      <c r="BD195">
        <v>24919.955210327953</v>
      </c>
      <c r="BE195">
        <v>24770.651459179448</v>
      </c>
      <c r="BF195">
        <v>25379.418070701322</v>
      </c>
      <c r="BG195">
        <v>27032.208388000239</v>
      </c>
      <c r="BH195">
        <v>29905.134738995184</v>
      </c>
      <c r="BI195">
        <v>31595.668057050523</v>
      </c>
      <c r="BJ195">
        <v>32841.424246738126</v>
      </c>
      <c r="BK195">
        <v>34346.070892348289</v>
      </c>
      <c r="BL195">
        <v>30056.199430096807</v>
      </c>
      <c r="BM195">
        <v>29979.827268609057</v>
      </c>
      <c r="BN195">
        <v>27275.688381980275</v>
      </c>
      <c r="BO195">
        <v>28713.66723530876</v>
      </c>
      <c r="BP195">
        <v>29288.019181519008</v>
      </c>
      <c r="BQ195">
        <v>30638.72171945226</v>
      </c>
      <c r="BR195">
        <f t="shared" si="6"/>
        <v>0.54497696513171601</v>
      </c>
    </row>
    <row r="196" spans="1:70" x14ac:dyDescent="0.25">
      <c r="A196" t="s">
        <v>184</v>
      </c>
      <c r="B196" t="s">
        <v>693</v>
      </c>
      <c r="C196" t="s">
        <v>434</v>
      </c>
      <c r="AH196">
        <v>2703.5991862987094</v>
      </c>
      <c r="AI196">
        <v>2734.9686246411106</v>
      </c>
      <c r="AJ196">
        <v>2257.4493979954505</v>
      </c>
      <c r="AK196">
        <v>2293.5635396867442</v>
      </c>
      <c r="AL196">
        <v>2240.2900503009078</v>
      </c>
      <c r="AM196">
        <v>2058.0768325499853</v>
      </c>
      <c r="AN196">
        <v>2084.1822258605157</v>
      </c>
      <c r="AO196">
        <v>1936.5565304783929</v>
      </c>
      <c r="AP196">
        <v>1951.8209105792635</v>
      </c>
      <c r="AQ196">
        <v>1903.3269604941129</v>
      </c>
      <c r="AR196">
        <v>1981.5060863596009</v>
      </c>
      <c r="AS196">
        <v>1749.3508627042925</v>
      </c>
      <c r="AT196">
        <v>2089.261526726516</v>
      </c>
      <c r="AU196">
        <v>2196.2813448071747</v>
      </c>
      <c r="AV196">
        <v>2260.8381889217694</v>
      </c>
      <c r="AW196">
        <v>2296.6576781658086</v>
      </c>
      <c r="AX196">
        <v>2342.7546106465761</v>
      </c>
      <c r="AY196">
        <v>2377.8053004040385</v>
      </c>
      <c r="AZ196">
        <v>2404.651987105718</v>
      </c>
      <c r="BA196">
        <v>2376.5825444603856</v>
      </c>
      <c r="BB196">
        <v>2459.7681434323604</v>
      </c>
      <c r="BC196">
        <v>2590.5283940416698</v>
      </c>
      <c r="BD196">
        <v>2792.9262645923209</v>
      </c>
      <c r="BE196">
        <v>3124.7283235506616</v>
      </c>
      <c r="BF196">
        <v>2812.5283210882003</v>
      </c>
      <c r="BG196">
        <v>2628.1705806574587</v>
      </c>
      <c r="BH196">
        <v>2732.2609391321498</v>
      </c>
      <c r="BI196">
        <v>2753.4271976222167</v>
      </c>
      <c r="BJ196">
        <v>2767.3800329668766</v>
      </c>
      <c r="BK196">
        <v>2852.662698299674</v>
      </c>
      <c r="BL196">
        <v>2752.6261535566341</v>
      </c>
      <c r="BM196">
        <v>2849.3886583900926</v>
      </c>
      <c r="BN196">
        <v>2934.7332634038976</v>
      </c>
      <c r="BO196">
        <v>3034.9460819250471</v>
      </c>
      <c r="BP196">
        <v>3098.7629044667633</v>
      </c>
      <c r="BQ196">
        <v>3176.2368129299612</v>
      </c>
      <c r="BR196">
        <f t="shared" si="6"/>
        <v>2.7520028449816047</v>
      </c>
    </row>
    <row r="197" spans="1:70" x14ac:dyDescent="0.25">
      <c r="A197" t="s">
        <v>185</v>
      </c>
      <c r="B197" t="s">
        <v>433</v>
      </c>
      <c r="C197" t="s">
        <v>434</v>
      </c>
      <c r="AH197">
        <v>45961.059827109391</v>
      </c>
      <c r="AI197">
        <v>47659.496688695275</v>
      </c>
      <c r="AJ197">
        <v>49319.819269952524</v>
      </c>
      <c r="AK197">
        <v>53598.463961951937</v>
      </c>
      <c r="AL197">
        <v>57706.871164823002</v>
      </c>
      <c r="AM197">
        <v>59997.007444282804</v>
      </c>
      <c r="AN197">
        <v>61911.503035808273</v>
      </c>
      <c r="AO197">
        <v>64846.062927779094</v>
      </c>
      <c r="AP197">
        <v>61306.773454267626</v>
      </c>
      <c r="AQ197">
        <v>64296.638487438446</v>
      </c>
      <c r="AR197">
        <v>68904.128015451133</v>
      </c>
      <c r="AS197">
        <v>66352.149286589105</v>
      </c>
      <c r="AT197">
        <v>68328.932172058019</v>
      </c>
      <c r="AU197">
        <v>72497.868601209993</v>
      </c>
      <c r="AV197">
        <v>78712.534729738778</v>
      </c>
      <c r="AW197">
        <v>82547.482835778021</v>
      </c>
      <c r="AX197">
        <v>87210.048046764583</v>
      </c>
      <c r="AY197">
        <v>91198.15157084557</v>
      </c>
      <c r="AZ197">
        <v>88083.285366458251</v>
      </c>
      <c r="BA197">
        <v>85575.755106675031</v>
      </c>
      <c r="BB197">
        <v>96280.016875644826</v>
      </c>
      <c r="BC197">
        <v>100153.72940594527</v>
      </c>
      <c r="BD197">
        <v>102061.11936105019</v>
      </c>
      <c r="BE197">
        <v>105259.69356105399</v>
      </c>
      <c r="BF197">
        <v>107990.89120262518</v>
      </c>
      <c r="BG197">
        <v>109894.04133734055</v>
      </c>
      <c r="BH197">
        <v>112719.94795111142</v>
      </c>
      <c r="BI197">
        <v>117492.9679945258</v>
      </c>
      <c r="BJ197">
        <v>120668.88872615836</v>
      </c>
      <c r="BK197">
        <v>120678.34197855699</v>
      </c>
      <c r="BL197">
        <v>116684.21359657156</v>
      </c>
      <c r="BM197">
        <v>133990.18678210382</v>
      </c>
      <c r="BN197">
        <v>134828.00139261369</v>
      </c>
      <c r="BO197">
        <v>130296.84378926073</v>
      </c>
      <c r="BP197">
        <v>134548.76413848196</v>
      </c>
      <c r="BQ197">
        <v>139592.61221076077</v>
      </c>
      <c r="BR197">
        <f t="shared" si="6"/>
        <v>1.0293038474918914</v>
      </c>
    </row>
    <row r="198" spans="1:70" x14ac:dyDescent="0.25">
      <c r="A198" t="s">
        <v>480</v>
      </c>
      <c r="B198" t="s">
        <v>481</v>
      </c>
      <c r="C198" t="s">
        <v>434</v>
      </c>
      <c r="BA198">
        <v>50980.940083898342</v>
      </c>
      <c r="BB198">
        <v>52140.599657789979</v>
      </c>
      <c r="BC198">
        <v>53786.24620003267</v>
      </c>
      <c r="BD198">
        <v>53357.003462796994</v>
      </c>
      <c r="BE198">
        <v>52801.40310547917</v>
      </c>
      <c r="BF198">
        <v>52439.473675604779</v>
      </c>
      <c r="BG198">
        <v>51375.603250373693</v>
      </c>
      <c r="BH198">
        <v>50817.681494268072</v>
      </c>
      <c r="BI198">
        <v>46088.358383915227</v>
      </c>
      <c r="BJ198">
        <v>42154.102026750421</v>
      </c>
      <c r="BK198">
        <v>45996.791234692158</v>
      </c>
      <c r="BL198">
        <v>39265.761679056828</v>
      </c>
      <c r="BM198">
        <v>40507.067241171724</v>
      </c>
      <c r="BN198">
        <v>45515.652843002586</v>
      </c>
      <c r="BO198">
        <v>46571.08813424001</v>
      </c>
      <c r="BP198">
        <v>47303.19464532772</v>
      </c>
      <c r="BQ198">
        <v>48273.425459615806</v>
      </c>
      <c r="BR198">
        <f t="shared" si="6"/>
        <v>4.4826860818423242</v>
      </c>
    </row>
    <row r="199" spans="1:70" x14ac:dyDescent="0.25">
      <c r="A199" t="s">
        <v>186</v>
      </c>
      <c r="B199" t="s">
        <v>498</v>
      </c>
      <c r="C199" t="s">
        <v>434</v>
      </c>
      <c r="AH199">
        <v>17521.025057578961</v>
      </c>
      <c r="AI199">
        <v>14955.954207806028</v>
      </c>
      <c r="AJ199">
        <v>13946.163079391945</v>
      </c>
      <c r="AK199">
        <v>14157.181437420415</v>
      </c>
      <c r="AL199">
        <v>14976.577355412934</v>
      </c>
      <c r="AM199">
        <v>15805.413329874178</v>
      </c>
      <c r="AN199">
        <v>16737.17221990434</v>
      </c>
      <c r="AO199">
        <v>17622.779747789788</v>
      </c>
      <c r="AP199">
        <v>18272.522445553433</v>
      </c>
      <c r="AQ199">
        <v>18167.495717332717</v>
      </c>
      <c r="AR199">
        <v>18335.68345069369</v>
      </c>
      <c r="AS199">
        <v>18906.601427903755</v>
      </c>
      <c r="AT199">
        <v>19748.931873705649</v>
      </c>
      <c r="AU199">
        <v>20721.712810753477</v>
      </c>
      <c r="AV199">
        <v>21842.956375262063</v>
      </c>
      <c r="AW199">
        <v>23257.175852164211</v>
      </c>
      <c r="AX199">
        <v>25331.874021742093</v>
      </c>
      <c r="AY199">
        <v>28064.245726466779</v>
      </c>
      <c r="AZ199">
        <v>29544.090596762038</v>
      </c>
      <c r="BA199">
        <v>27880.411122763802</v>
      </c>
      <c r="BB199">
        <v>29745.91966621664</v>
      </c>
      <c r="BC199">
        <v>30468.825704945481</v>
      </c>
      <c r="BD199">
        <v>30894.311801092608</v>
      </c>
      <c r="BE199">
        <v>31078.184821569466</v>
      </c>
      <c r="BF199">
        <v>31888.805351531031</v>
      </c>
      <c r="BG199">
        <v>33507.791360377356</v>
      </c>
      <c r="BH199">
        <v>34116.450203927299</v>
      </c>
      <c r="BI199">
        <v>35042.785892561842</v>
      </c>
      <c r="BJ199">
        <v>36415.792052950746</v>
      </c>
      <c r="BK199">
        <v>37194.210454869797</v>
      </c>
      <c r="BL199">
        <v>36201.486380553295</v>
      </c>
      <c r="BM199">
        <v>38330.302743446962</v>
      </c>
      <c r="BN199">
        <v>38648.985574691884</v>
      </c>
      <c r="BO199">
        <v>39501.947423196158</v>
      </c>
      <c r="BP199">
        <v>40302.451428842447</v>
      </c>
      <c r="BQ199">
        <v>40689.817955742656</v>
      </c>
      <c r="BR199">
        <f t="shared" si="6"/>
        <v>1.5046351133345848</v>
      </c>
    </row>
    <row r="200" spans="1:70" x14ac:dyDescent="0.25">
      <c r="A200" t="s">
        <v>187</v>
      </c>
      <c r="B200" t="s">
        <v>477</v>
      </c>
      <c r="C200" t="s">
        <v>434</v>
      </c>
      <c r="AH200">
        <v>25349.797718710011</v>
      </c>
      <c r="AI200">
        <v>23078.992950178283</v>
      </c>
      <c r="AJ200">
        <v>21850.057102159029</v>
      </c>
      <c r="AK200">
        <v>22524.95918762256</v>
      </c>
      <c r="AL200">
        <v>23752.437724541283</v>
      </c>
      <c r="AM200">
        <v>24722.656916759093</v>
      </c>
      <c r="AN200">
        <v>25458.896670123919</v>
      </c>
      <c r="AO200">
        <v>26811.487322664914</v>
      </c>
      <c r="AP200">
        <v>27693.282742419695</v>
      </c>
      <c r="AQ200">
        <v>29131.350613532013</v>
      </c>
      <c r="AR200">
        <v>30061.206191008911</v>
      </c>
      <c r="AS200">
        <v>30862.895987450389</v>
      </c>
      <c r="AT200">
        <v>31836.521565618794</v>
      </c>
      <c r="AU200">
        <v>32833.904596945395</v>
      </c>
      <c r="AV200">
        <v>34304.556502333071</v>
      </c>
      <c r="AW200">
        <v>35565.042718963843</v>
      </c>
      <c r="AX200">
        <v>37546.495607886311</v>
      </c>
      <c r="AY200">
        <v>40002.701899199121</v>
      </c>
      <c r="AZ200">
        <v>41286.346249122333</v>
      </c>
      <c r="BA200">
        <v>37809.173551392669</v>
      </c>
      <c r="BB200">
        <v>38063.314683571953</v>
      </c>
      <c r="BC200">
        <v>38233.290562285147</v>
      </c>
      <c r="BD200">
        <v>37040.708274610646</v>
      </c>
      <c r="BE200">
        <v>36685.749664509429</v>
      </c>
      <c r="BF200">
        <v>37662.255989809782</v>
      </c>
      <c r="BG200">
        <v>38534.643742595101</v>
      </c>
      <c r="BH200">
        <v>39674.893156196777</v>
      </c>
      <c r="BI200">
        <v>41700.651085028039</v>
      </c>
      <c r="BJ200">
        <v>43369.221946980986</v>
      </c>
      <c r="BK200">
        <v>44577.941858306949</v>
      </c>
      <c r="BL200">
        <v>42471.522803127664</v>
      </c>
      <c r="BM200">
        <v>45922.663260013418</v>
      </c>
      <c r="BN200">
        <v>47058.886596002812</v>
      </c>
      <c r="BO200">
        <v>47986.419585582138</v>
      </c>
      <c r="BP200">
        <v>48658.026518026731</v>
      </c>
      <c r="BQ200">
        <v>49091.01844059016</v>
      </c>
      <c r="BR200">
        <f t="shared" si="6"/>
        <v>1.6819213259746002</v>
      </c>
    </row>
    <row r="201" spans="1:70" x14ac:dyDescent="0.25">
      <c r="A201" t="s">
        <v>527</v>
      </c>
      <c r="B201" t="s">
        <v>528</v>
      </c>
      <c r="C201" t="s">
        <v>434</v>
      </c>
      <c r="AH201">
        <v>12972.869613627854</v>
      </c>
      <c r="AI201">
        <v>12772.707011119608</v>
      </c>
      <c r="AJ201">
        <v>12548.478495492351</v>
      </c>
      <c r="AK201">
        <v>12511.829662735729</v>
      </c>
      <c r="AL201">
        <v>12769.542925409014</v>
      </c>
      <c r="AM201">
        <v>13164.012511431287</v>
      </c>
      <c r="AN201">
        <v>13504.626482743548</v>
      </c>
      <c r="AO201">
        <v>14087.304845414445</v>
      </c>
      <c r="AP201">
        <v>14352.978378354559</v>
      </c>
      <c r="AQ201">
        <v>14708.770363625388</v>
      </c>
      <c r="AR201">
        <v>15514.53638181783</v>
      </c>
      <c r="AS201">
        <v>15729.085414462535</v>
      </c>
      <c r="AT201">
        <v>16095.295319844741</v>
      </c>
      <c r="AU201">
        <v>16725.598009505404</v>
      </c>
      <c r="AV201">
        <v>17308.161953778781</v>
      </c>
      <c r="AW201">
        <v>17926.736186369948</v>
      </c>
      <c r="AX201">
        <v>18934.033975099235</v>
      </c>
      <c r="AY201">
        <v>19592.563953872432</v>
      </c>
      <c r="AZ201">
        <v>19636.955011586731</v>
      </c>
      <c r="BA201">
        <v>18696.674049248872</v>
      </c>
      <c r="BB201">
        <v>19016.765931886614</v>
      </c>
      <c r="BC201">
        <v>19390.380818953618</v>
      </c>
      <c r="BD201">
        <v>19647.964319146318</v>
      </c>
      <c r="BE201">
        <v>19725.129238047761</v>
      </c>
      <c r="BF201">
        <v>19992.283797100379</v>
      </c>
      <c r="BG201">
        <v>20214.630677170677</v>
      </c>
      <c r="BH201">
        <v>20323.029217536496</v>
      </c>
      <c r="BI201">
        <v>20732.838495046079</v>
      </c>
      <c r="BJ201">
        <v>21165.137091277651</v>
      </c>
      <c r="BK201">
        <v>21662.77397956614</v>
      </c>
      <c r="BL201">
        <v>20101.650308545402</v>
      </c>
      <c r="BM201">
        <v>21262.594821868206</v>
      </c>
      <c r="BN201">
        <v>22478.884533169716</v>
      </c>
      <c r="BO201">
        <v>23393.346679663246</v>
      </c>
      <c r="BP201">
        <v>24725.389582177613</v>
      </c>
      <c r="BQ201">
        <v>25668.705411756699</v>
      </c>
      <c r="BR201">
        <f t="shared" si="6"/>
        <v>4.820668617988022</v>
      </c>
    </row>
    <row r="202" spans="1:70" x14ac:dyDescent="0.25">
      <c r="A202" t="s">
        <v>188</v>
      </c>
      <c r="B202" t="s">
        <v>705</v>
      </c>
      <c r="C202" t="s">
        <v>434</v>
      </c>
      <c r="AH202">
        <v>2352.7006203652036</v>
      </c>
      <c r="AI202">
        <v>2418.6756769840804</v>
      </c>
      <c r="AJ202">
        <v>2644.8393712487473</v>
      </c>
      <c r="AK202">
        <v>2670.0180332595978</v>
      </c>
      <c r="AL202">
        <v>2802.5915712253109</v>
      </c>
      <c r="AM202">
        <v>2996.6555526112215</v>
      </c>
      <c r="AN202">
        <v>2958.1981804683232</v>
      </c>
      <c r="AO202">
        <v>2848.6846560670633</v>
      </c>
      <c r="AP202">
        <v>2805.625632489222</v>
      </c>
      <c r="AQ202">
        <v>2717.8753397964988</v>
      </c>
      <c r="AR202">
        <v>2277.1136383122443</v>
      </c>
      <c r="AS202">
        <v>2055.5377137515916</v>
      </c>
      <c r="AT202">
        <v>1960.6750479332616</v>
      </c>
      <c r="AU202">
        <v>2050.5714038982196</v>
      </c>
      <c r="AV202">
        <v>2168.7837164801776</v>
      </c>
      <c r="AW202">
        <v>2287.5666882271521</v>
      </c>
      <c r="AX202">
        <v>2340.9514366249264</v>
      </c>
      <c r="AY202">
        <v>2384.623330409454</v>
      </c>
      <c r="AZ202">
        <v>2490.1020749575791</v>
      </c>
      <c r="BA202">
        <v>2515.2132403650653</v>
      </c>
      <c r="BB202">
        <v>2682.6290014051597</v>
      </c>
      <c r="BC202">
        <v>2777.8343900789309</v>
      </c>
      <c r="BD202">
        <v>2743.8100151450976</v>
      </c>
      <c r="BE202">
        <v>2783.9485666636338</v>
      </c>
      <c r="BF202">
        <v>2716.7700540312162</v>
      </c>
      <c r="BG202">
        <v>2665.0662067979874</v>
      </c>
      <c r="BH202">
        <v>2715.5815225265887</v>
      </c>
      <c r="BI202">
        <v>2704.0098801555459</v>
      </c>
      <c r="BJ202">
        <v>2686.4631702798383</v>
      </c>
      <c r="BK202">
        <v>2661.9577089358763</v>
      </c>
      <c r="BL202">
        <v>2515.4636941330541</v>
      </c>
      <c r="BM202">
        <v>2450.1839970955325</v>
      </c>
      <c r="BN202">
        <v>2330.4016452340084</v>
      </c>
      <c r="BO202">
        <v>2339.8746999234722</v>
      </c>
      <c r="BP202">
        <v>2353.5496011118639</v>
      </c>
      <c r="BQ202">
        <v>2382.1314520674023</v>
      </c>
      <c r="BR202">
        <f t="shared" si="6"/>
        <v>-0.70171310502646911</v>
      </c>
    </row>
    <row r="203" spans="1:70" x14ac:dyDescent="0.25">
      <c r="A203" t="s">
        <v>189</v>
      </c>
      <c r="B203" t="s">
        <v>713</v>
      </c>
      <c r="C203" t="s">
        <v>434</v>
      </c>
      <c r="AI203">
        <v>837.26702279496294</v>
      </c>
      <c r="AJ203">
        <v>803.787078571081</v>
      </c>
      <c r="AK203">
        <v>812.55729115965437</v>
      </c>
      <c r="AL203">
        <v>634.72773412930474</v>
      </c>
      <c r="AM203">
        <v>636.6620713081038</v>
      </c>
      <c r="AN203">
        <v>663.3511315489003</v>
      </c>
      <c r="AO203">
        <v>648.01716355068686</v>
      </c>
      <c r="AP203">
        <v>662.67485718598323</v>
      </c>
      <c r="AQ203">
        <v>682.97912334361536</v>
      </c>
      <c r="AR203">
        <v>702.85007111766117</v>
      </c>
      <c r="AS203">
        <v>723.37973295059032</v>
      </c>
      <c r="AT203">
        <v>749.91355091252399</v>
      </c>
      <c r="AU203">
        <v>777.88455273312786</v>
      </c>
      <c r="AV203">
        <v>803.05978058022561</v>
      </c>
      <c r="AW203">
        <v>830.80724593950185</v>
      </c>
      <c r="AX203">
        <v>857.99365590212153</v>
      </c>
      <c r="AY203">
        <v>887.36935223560704</v>
      </c>
      <c r="AZ203">
        <v>919.13208345310659</v>
      </c>
      <c r="BA203">
        <v>956.22032539259305</v>
      </c>
      <c r="BB203">
        <v>995.22555551201663</v>
      </c>
      <c r="BC203">
        <v>1054.3621497909289</v>
      </c>
      <c r="BD203">
        <v>1114.8041489282971</v>
      </c>
      <c r="BE203">
        <v>1197.7216645972221</v>
      </c>
      <c r="BF203">
        <v>1259.274328826051</v>
      </c>
      <c r="BG203">
        <v>1343.9251743959385</v>
      </c>
      <c r="BH203">
        <v>1384.1551741012354</v>
      </c>
      <c r="BI203">
        <v>1527.6602907164763</v>
      </c>
      <c r="BJ203">
        <v>1504.979082034806</v>
      </c>
      <c r="BK203">
        <v>1491.2949391840541</v>
      </c>
      <c r="BL203">
        <v>1396.0554467497757</v>
      </c>
      <c r="BM203">
        <v>1392.3178205337053</v>
      </c>
      <c r="BN203">
        <v>1387.5475373219112</v>
      </c>
      <c r="BO203">
        <v>1401.6473522845545</v>
      </c>
      <c r="BP203">
        <v>1409.3349223328275</v>
      </c>
      <c r="BQ203">
        <v>1403.8138906446641</v>
      </c>
      <c r="BR203">
        <f t="shared" si="6"/>
        <v>0.20578357176508355</v>
      </c>
    </row>
    <row r="204" spans="1:70" x14ac:dyDescent="0.25">
      <c r="A204" t="s">
        <v>190</v>
      </c>
      <c r="B204" t="s">
        <v>600</v>
      </c>
      <c r="C204" t="s">
        <v>434</v>
      </c>
      <c r="AH204">
        <v>10811.151532829606</v>
      </c>
      <c r="AI204">
        <v>10459.355981856401</v>
      </c>
      <c r="AJ204">
        <v>10053.61012122922</v>
      </c>
      <c r="AK204">
        <v>9976.965064583741</v>
      </c>
      <c r="AL204">
        <v>10130.805823300396</v>
      </c>
      <c r="AM204">
        <v>10318.838598435334</v>
      </c>
      <c r="AN204">
        <v>10623.860359315122</v>
      </c>
      <c r="AO204">
        <v>10770.277962482814</v>
      </c>
      <c r="AP204">
        <v>10693.688232662216</v>
      </c>
      <c r="AQ204">
        <v>10831.658961794894</v>
      </c>
      <c r="AR204">
        <v>11183.825503143025</v>
      </c>
      <c r="AS204">
        <v>11387.492366781962</v>
      </c>
      <c r="AT204">
        <v>11697.565726168685</v>
      </c>
      <c r="AU204">
        <v>11923.121101363264</v>
      </c>
      <c r="AV204">
        <v>12341.210265582842</v>
      </c>
      <c r="AW204">
        <v>12861.563308911373</v>
      </c>
      <c r="AX204">
        <v>13444.233212605763</v>
      </c>
      <c r="AY204">
        <v>14016.244471638598</v>
      </c>
      <c r="AZ204">
        <v>14297.688780263246</v>
      </c>
      <c r="BA204">
        <v>13910.701709339375</v>
      </c>
      <c r="BB204">
        <v>14164.995836311546</v>
      </c>
      <c r="BC204">
        <v>14434.261145604813</v>
      </c>
      <c r="BD204">
        <v>14563.762404103238</v>
      </c>
      <c r="BE204">
        <v>14681.096638957037</v>
      </c>
      <c r="BF204">
        <v>14643.338478293632</v>
      </c>
      <c r="BG204">
        <v>14541.674861366873</v>
      </c>
      <c r="BH204">
        <v>14501.280782340202</v>
      </c>
      <c r="BI204">
        <v>14573.598084000421</v>
      </c>
      <c r="BJ204">
        <v>14553.561566895734</v>
      </c>
      <c r="BK204">
        <v>14352.669870987076</v>
      </c>
      <c r="BL204">
        <v>13250.566659445636</v>
      </c>
      <c r="BM204">
        <v>13681.954814481312</v>
      </c>
      <c r="BN204">
        <v>13767.496758993606</v>
      </c>
      <c r="BO204">
        <v>13695.375569407595</v>
      </c>
      <c r="BP204">
        <v>13597.653849599776</v>
      </c>
      <c r="BQ204">
        <v>13592.048402092945</v>
      </c>
      <c r="BR204">
        <f t="shared" si="6"/>
        <v>-0.1646855529193525</v>
      </c>
    </row>
    <row r="205" spans="1:70" x14ac:dyDescent="0.25">
      <c r="A205" t="s">
        <v>11</v>
      </c>
      <c r="B205" t="s">
        <v>625</v>
      </c>
      <c r="C205" t="s">
        <v>434</v>
      </c>
      <c r="AH205">
        <v>2167.0530782503242</v>
      </c>
      <c r="AI205">
        <v>2153.6785133653852</v>
      </c>
      <c r="AJ205">
        <v>2223.0649927514423</v>
      </c>
      <c r="AK205">
        <v>2281.9836568014707</v>
      </c>
      <c r="AL205">
        <v>2378.2985561402243</v>
      </c>
      <c r="AM205">
        <v>2498.6832772344724</v>
      </c>
      <c r="AN205">
        <v>2622.8961240483436</v>
      </c>
      <c r="AO205">
        <v>2679.9915460243824</v>
      </c>
      <c r="AP205">
        <v>2786.0155052047817</v>
      </c>
      <c r="AQ205">
        <v>2957.7977568617762</v>
      </c>
      <c r="AR205">
        <v>3021.6327943904384</v>
      </c>
      <c r="AS205">
        <v>3103.9232136744472</v>
      </c>
      <c r="AT205">
        <v>3164.4211118904236</v>
      </c>
      <c r="AU205">
        <v>3343.1793657719836</v>
      </c>
      <c r="AV205">
        <v>3536.634929794363</v>
      </c>
      <c r="AW205">
        <v>3748.3584447721205</v>
      </c>
      <c r="AX205">
        <v>3983.25023893144</v>
      </c>
      <c r="AY205">
        <v>4222.2410390172508</v>
      </c>
      <c r="AZ205">
        <v>4309.9480683507554</v>
      </c>
      <c r="BA205">
        <v>4566.5069576256483</v>
      </c>
      <c r="BB205">
        <v>4872.7106489973448</v>
      </c>
      <c r="BC205">
        <v>5069.4539650304787</v>
      </c>
      <c r="BD205">
        <v>5285.9068417055914</v>
      </c>
      <c r="BE205">
        <v>5548.1610552648599</v>
      </c>
      <c r="BF205">
        <v>5878.6747979121792</v>
      </c>
      <c r="BG205">
        <v>6259.3171731052571</v>
      </c>
      <c r="BH205">
        <v>6681.4460157568355</v>
      </c>
      <c r="BI205">
        <v>7055.8346951219846</v>
      </c>
      <c r="BJ205">
        <v>7430.4638428757116</v>
      </c>
      <c r="BK205">
        <v>7660.4189901130558</v>
      </c>
      <c r="BL205">
        <v>7215.2073619188805</v>
      </c>
      <c r="BM205">
        <v>7815.2127844287061</v>
      </c>
      <c r="BN205">
        <v>8308.3801418184557</v>
      </c>
      <c r="BO205">
        <v>8796.7294206367587</v>
      </c>
      <c r="BP205">
        <v>9307.0675250841268</v>
      </c>
      <c r="BQ205">
        <v>9880.3562481906411</v>
      </c>
      <c r="BR205">
        <f t="shared" si="6"/>
        <v>6.037126240714219</v>
      </c>
    </row>
    <row r="206" spans="1:70" x14ac:dyDescent="0.25">
      <c r="A206" t="s">
        <v>623</v>
      </c>
      <c r="B206" t="s">
        <v>624</v>
      </c>
      <c r="C206" t="s">
        <v>434</v>
      </c>
      <c r="AH206">
        <v>2167.0530782503238</v>
      </c>
      <c r="AI206">
        <v>2153.6785133653848</v>
      </c>
      <c r="AJ206">
        <v>2223.0649927514423</v>
      </c>
      <c r="AK206">
        <v>2281.9836568014698</v>
      </c>
      <c r="AL206">
        <v>2378.2985561402243</v>
      </c>
      <c r="AM206">
        <v>2498.6832772344728</v>
      </c>
      <c r="AN206">
        <v>2622.8961240483436</v>
      </c>
      <c r="AO206">
        <v>2679.9915460243824</v>
      </c>
      <c r="AP206">
        <v>2786.0155052047812</v>
      </c>
      <c r="AQ206">
        <v>2957.7977568617757</v>
      </c>
      <c r="AR206">
        <v>3021.632794390438</v>
      </c>
      <c r="AS206">
        <v>3103.9232136744467</v>
      </c>
      <c r="AT206">
        <v>3164.4211118904232</v>
      </c>
      <c r="AU206">
        <v>3343.1793657719836</v>
      </c>
      <c r="AV206">
        <v>3536.634929794363</v>
      </c>
      <c r="AW206">
        <v>3748.3584447721205</v>
      </c>
      <c r="AX206">
        <v>3983.25023893144</v>
      </c>
      <c r="AY206">
        <v>4222.2410390172508</v>
      </c>
      <c r="AZ206">
        <v>4309.9480683507554</v>
      </c>
      <c r="BA206">
        <v>4566.5069576256483</v>
      </c>
      <c r="BB206">
        <v>4872.7106489973448</v>
      </c>
      <c r="BC206">
        <v>5069.4539650304787</v>
      </c>
      <c r="BD206">
        <v>5285.9068417055914</v>
      </c>
      <c r="BE206">
        <v>5548.1610552648599</v>
      </c>
      <c r="BF206">
        <v>5878.6747979121792</v>
      </c>
      <c r="BG206">
        <v>6259.3171731052571</v>
      </c>
      <c r="BH206">
        <v>6681.4460157568355</v>
      </c>
      <c r="BI206">
        <v>7055.8346951219846</v>
      </c>
      <c r="BJ206">
        <v>7430.4638428757116</v>
      </c>
      <c r="BK206">
        <v>7660.4189901130558</v>
      </c>
      <c r="BL206">
        <v>7215.2073619188814</v>
      </c>
      <c r="BM206">
        <v>7815.2127844287079</v>
      </c>
      <c r="BN206">
        <v>8308.3801418184576</v>
      </c>
      <c r="BO206">
        <v>8796.7294206367606</v>
      </c>
      <c r="BP206">
        <v>9307.0675250841286</v>
      </c>
      <c r="BQ206">
        <v>9880.3562481906429</v>
      </c>
      <c r="BR206">
        <f t="shared" si="6"/>
        <v>6.037126240714219</v>
      </c>
    </row>
    <row r="207" spans="1:70" x14ac:dyDescent="0.25">
      <c r="A207" t="s">
        <v>191</v>
      </c>
      <c r="B207" t="s">
        <v>725</v>
      </c>
      <c r="C207" t="s">
        <v>434</v>
      </c>
      <c r="BQ207" s="200"/>
      <c r="BR207">
        <v>0</v>
      </c>
    </row>
    <row r="208" spans="1:70" x14ac:dyDescent="0.25">
      <c r="A208" t="s">
        <v>192</v>
      </c>
      <c r="B208" t="s">
        <v>475</v>
      </c>
      <c r="C208" t="s">
        <v>434</v>
      </c>
      <c r="AH208">
        <v>31773.226742004164</v>
      </c>
      <c r="AI208">
        <v>32499.348137190191</v>
      </c>
      <c r="AJ208">
        <v>32641.082719935959</v>
      </c>
      <c r="AK208">
        <v>32137.313843772732</v>
      </c>
      <c r="AL208">
        <v>32746.928782659823</v>
      </c>
      <c r="AM208">
        <v>33501.731418292919</v>
      </c>
      <c r="AN208">
        <v>34232.378686860247</v>
      </c>
      <c r="AO208">
        <v>35312.086285438942</v>
      </c>
      <c r="AP208">
        <v>36679.094233469797</v>
      </c>
      <c r="AQ208">
        <v>38141.316878688958</v>
      </c>
      <c r="AR208">
        <v>39945.897129817829</v>
      </c>
      <c r="AS208">
        <v>41224.292405739317</v>
      </c>
      <c r="AT208">
        <v>41766.037818879064</v>
      </c>
      <c r="AU208">
        <v>42223.130174522026</v>
      </c>
      <c r="AV208">
        <v>42793.390232600563</v>
      </c>
      <c r="AW208">
        <v>43570.765257403269</v>
      </c>
      <c r="AX208">
        <v>44572.681545993066</v>
      </c>
      <c r="AY208">
        <v>45301.284341637445</v>
      </c>
      <c r="AZ208">
        <v>44926.348951812033</v>
      </c>
      <c r="BA208">
        <v>42852.220888453987</v>
      </c>
      <c r="BB208">
        <v>42695.527418993253</v>
      </c>
      <c r="BC208">
        <v>42271.83467882382</v>
      </c>
      <c r="BD208">
        <v>41034.048156635632</v>
      </c>
      <c r="BE208">
        <v>40594.914008768021</v>
      </c>
      <c r="BF208">
        <v>41339.411116941657</v>
      </c>
      <c r="BG208">
        <v>43053.761430314022</v>
      </c>
      <c r="BH208">
        <v>44274.667614992191</v>
      </c>
      <c r="BI208">
        <v>45446.250857569532</v>
      </c>
      <c r="BJ208">
        <v>46325.209944114082</v>
      </c>
      <c r="BK208">
        <v>46896.41711414235</v>
      </c>
      <c r="BL208">
        <v>41553.447794567459</v>
      </c>
      <c r="BM208">
        <v>44251.665822262141</v>
      </c>
      <c r="BN208">
        <v>46733.480978053587</v>
      </c>
      <c r="BO208">
        <v>47322.593700450358</v>
      </c>
      <c r="BP208">
        <v>48460.291406966113</v>
      </c>
      <c r="BQ208">
        <v>49318.105559036994</v>
      </c>
      <c r="BR208">
        <f t="shared" ref="BR208:BR240" si="7">(((BQ208/BM208)^(1/4))-1)*100</f>
        <v>2.7470095136947092</v>
      </c>
    </row>
    <row r="209" spans="1:70" x14ac:dyDescent="0.25">
      <c r="A209" t="s">
        <v>193</v>
      </c>
      <c r="B209" t="s">
        <v>591</v>
      </c>
      <c r="C209" t="s">
        <v>434</v>
      </c>
      <c r="AH209">
        <v>4561.579132604912</v>
      </c>
      <c r="AI209">
        <v>4735.8194002269411</v>
      </c>
      <c r="AJ209">
        <v>4866.2394115212592</v>
      </c>
      <c r="AK209">
        <v>5114.4363039588861</v>
      </c>
      <c r="AL209">
        <v>5322.7296312604285</v>
      </c>
      <c r="AM209">
        <v>5523.312253928174</v>
      </c>
      <c r="AN209">
        <v>5624.02393649431</v>
      </c>
      <c r="AO209">
        <v>5871.722975560484</v>
      </c>
      <c r="AP209">
        <v>6032.6221262924573</v>
      </c>
      <c r="AQ209">
        <v>6176.235484546668</v>
      </c>
      <c r="AR209">
        <v>6428.6134188912811</v>
      </c>
      <c r="AS209">
        <v>6230.030518635589</v>
      </c>
      <c r="AT209">
        <v>6409.8627889211484</v>
      </c>
      <c r="AU209">
        <v>6741.0124884802372</v>
      </c>
      <c r="AV209">
        <v>7059.9109806710194</v>
      </c>
      <c r="AW209">
        <v>7452.7423412297039</v>
      </c>
      <c r="AX209">
        <v>7970.6649101939011</v>
      </c>
      <c r="AY209">
        <v>8454.2067533150457</v>
      </c>
      <c r="AZ209">
        <v>8897.8268600501615</v>
      </c>
      <c r="BA209">
        <v>9156.319064812642</v>
      </c>
      <c r="BB209">
        <v>9832.1862233526535</v>
      </c>
      <c r="BC209">
        <v>10618.492599972198</v>
      </c>
      <c r="BD209">
        <v>11447.693773778228</v>
      </c>
      <c r="BE209">
        <v>12249.722334784601</v>
      </c>
      <c r="BF209">
        <v>12909.966306811311</v>
      </c>
      <c r="BG209">
        <v>13329.779343882034</v>
      </c>
      <c r="BH209">
        <v>13845.614678221817</v>
      </c>
      <c r="BI209">
        <v>14572.485821461642</v>
      </c>
      <c r="BJ209">
        <v>14759.824894522641</v>
      </c>
      <c r="BK209">
        <v>14637.444291267593</v>
      </c>
      <c r="BL209">
        <v>13886.651372868899</v>
      </c>
      <c r="BM209">
        <v>14316.135222556668</v>
      </c>
      <c r="BN209">
        <v>13249.065050520132</v>
      </c>
      <c r="BO209">
        <v>13065.069830572234</v>
      </c>
      <c r="BP209">
        <v>13793.066982767717</v>
      </c>
      <c r="BQ209">
        <v>14582.760374037367</v>
      </c>
      <c r="BR209">
        <f t="shared" si="7"/>
        <v>0.46238562626437218</v>
      </c>
    </row>
    <row r="210" spans="1:70" x14ac:dyDescent="0.25">
      <c r="A210" t="s">
        <v>194</v>
      </c>
      <c r="B210" t="s">
        <v>513</v>
      </c>
      <c r="C210" t="s">
        <v>434</v>
      </c>
      <c r="AH210">
        <v>14326.041065650657</v>
      </c>
      <c r="AI210">
        <v>14084.683194010207</v>
      </c>
      <c r="AJ210">
        <v>14557.184258304989</v>
      </c>
      <c r="AK210">
        <v>15348.688779984663</v>
      </c>
      <c r="AL210">
        <v>15955.837501002799</v>
      </c>
      <c r="AM210">
        <v>16596.265626628669</v>
      </c>
      <c r="AN210">
        <v>17340.223462422127</v>
      </c>
      <c r="AO210">
        <v>18288.494367165742</v>
      </c>
      <c r="AP210">
        <v>17963.699237934747</v>
      </c>
      <c r="AQ210">
        <v>18291.422918867604</v>
      </c>
      <c r="AR210">
        <v>19840.580064526712</v>
      </c>
      <c r="AS210">
        <v>20648.788974147214</v>
      </c>
      <c r="AT210">
        <v>20813.405002980569</v>
      </c>
      <c r="AU210">
        <v>19927.181831413745</v>
      </c>
      <c r="AV210">
        <v>20661.345864299343</v>
      </c>
      <c r="AW210">
        <v>22612.712655945539</v>
      </c>
      <c r="AX210">
        <v>23258.984225321092</v>
      </c>
      <c r="AY210">
        <v>23330.044240419513</v>
      </c>
      <c r="AZ210">
        <v>25898.782362098078</v>
      </c>
      <c r="BA210">
        <v>24973.804528630342</v>
      </c>
      <c r="BB210">
        <v>24997.567251342789</v>
      </c>
      <c r="BC210">
        <v>25380.008734821451</v>
      </c>
      <c r="BD210">
        <v>25114.057260324444</v>
      </c>
      <c r="BE210">
        <v>26532.10165617253</v>
      </c>
      <c r="BF210">
        <v>28530.307224901331</v>
      </c>
      <c r="BG210">
        <v>28729.566447667039</v>
      </c>
      <c r="BH210">
        <v>29867.026558979083</v>
      </c>
      <c r="BI210">
        <v>29948.920006568227</v>
      </c>
      <c r="BJ210">
        <v>30576.248674924409</v>
      </c>
      <c r="BK210">
        <v>31512.194310568411</v>
      </c>
      <c r="BL210">
        <v>26736.928356377088</v>
      </c>
      <c r="BM210">
        <v>26896.617706597837</v>
      </c>
      <c r="BN210">
        <v>29749.870086482322</v>
      </c>
      <c r="BO210">
        <v>30616.577281385988</v>
      </c>
      <c r="BP210">
        <v>30656.441010936665</v>
      </c>
      <c r="BQ210">
        <v>31427.663082571715</v>
      </c>
      <c r="BR210">
        <f t="shared" si="7"/>
        <v>3.9689372258042477</v>
      </c>
    </row>
    <row r="211" spans="1:70" x14ac:dyDescent="0.25">
      <c r="A211" t="s">
        <v>195</v>
      </c>
      <c r="B211" t="s">
        <v>537</v>
      </c>
      <c r="C211" t="s">
        <v>434</v>
      </c>
      <c r="AH211">
        <v>17056.718490470455</v>
      </c>
      <c r="AI211">
        <v>16916.726557698363</v>
      </c>
      <c r="AJ211">
        <v>17991.70932131062</v>
      </c>
      <c r="AK211">
        <v>17831.091323980494</v>
      </c>
      <c r="AL211">
        <v>17847.413767175534</v>
      </c>
      <c r="AM211">
        <v>17875.410141116987</v>
      </c>
      <c r="AN211">
        <v>18125.357553767266</v>
      </c>
      <c r="AO211">
        <v>17747.900285912892</v>
      </c>
      <c r="AP211">
        <v>18606.536014992402</v>
      </c>
      <c r="AQ211">
        <v>18856.576335562972</v>
      </c>
      <c r="AR211">
        <v>18638.117705755045</v>
      </c>
      <c r="AS211">
        <v>17820.796431295079</v>
      </c>
      <c r="AT211">
        <v>17739.576677972338</v>
      </c>
      <c r="AU211">
        <v>18344.591925807144</v>
      </c>
      <c r="AV211">
        <v>19526.446136971823</v>
      </c>
      <c r="AW211">
        <v>19303.992131512652</v>
      </c>
      <c r="AX211">
        <v>20353.653372018765</v>
      </c>
      <c r="AY211">
        <v>20559.897483011875</v>
      </c>
      <c r="AZ211">
        <v>21443.25929778409</v>
      </c>
      <c r="BA211">
        <v>20706.505527623034</v>
      </c>
      <c r="BB211">
        <v>20648.786104576466</v>
      </c>
      <c r="BC211">
        <v>21430.022594801481</v>
      </c>
      <c r="BD211">
        <v>21309.225129629482</v>
      </c>
      <c r="BE211">
        <v>20827.288602584915</v>
      </c>
      <c r="BF211">
        <v>21010.698191989461</v>
      </c>
      <c r="BG211">
        <v>20939.881031236415</v>
      </c>
      <c r="BH211">
        <v>21566.305879957457</v>
      </c>
      <c r="BI211">
        <v>22207.213104126306</v>
      </c>
      <c r="BJ211">
        <v>22761.16134614472</v>
      </c>
      <c r="BK211">
        <v>22445.208050787398</v>
      </c>
      <c r="BL211">
        <v>17247.957867475299</v>
      </c>
      <c r="BM211">
        <v>19141.327225316796</v>
      </c>
      <c r="BN211">
        <v>22811.252448038311</v>
      </c>
      <c r="BO211">
        <v>23636.02659402529</v>
      </c>
      <c r="BP211">
        <v>24699.969471158904</v>
      </c>
      <c r="BQ211">
        <v>24502.962864127647</v>
      </c>
      <c r="BR211">
        <f t="shared" si="7"/>
        <v>6.3681579994902648</v>
      </c>
    </row>
    <row r="212" spans="1:70" x14ac:dyDescent="0.25">
      <c r="A212" t="s">
        <v>196</v>
      </c>
      <c r="B212" t="s">
        <v>560</v>
      </c>
      <c r="C212" t="s">
        <v>434</v>
      </c>
      <c r="AH212">
        <v>7467.3787465723854</v>
      </c>
      <c r="AI212">
        <v>7524.5847781596312</v>
      </c>
      <c r="AJ212">
        <v>7984.0795966208789</v>
      </c>
      <c r="AK212">
        <v>8306.7752713918817</v>
      </c>
      <c r="AL212">
        <v>8189.8436271109822</v>
      </c>
      <c r="AM212">
        <v>8815.8487182574827</v>
      </c>
      <c r="AN212">
        <v>8923.7055551429603</v>
      </c>
      <c r="AO212">
        <v>9234.6988836876444</v>
      </c>
      <c r="AP212">
        <v>9609.1037862050198</v>
      </c>
      <c r="AQ212">
        <v>9853.3473655196158</v>
      </c>
      <c r="AR212">
        <v>9999.0587920368471</v>
      </c>
      <c r="AS212">
        <v>10177.809458389584</v>
      </c>
      <c r="AT212">
        <v>10736.087871416399</v>
      </c>
      <c r="AU212">
        <v>11475.331241453063</v>
      </c>
      <c r="AV212">
        <v>11979.907294500983</v>
      </c>
      <c r="AW212">
        <v>12320.07100110767</v>
      </c>
      <c r="AX212">
        <v>13233.406893043126</v>
      </c>
      <c r="AY212">
        <v>13732.36225914954</v>
      </c>
      <c r="AZ212">
        <v>13850.393679006254</v>
      </c>
      <c r="BA212">
        <v>13723.783825262162</v>
      </c>
      <c r="BB212">
        <v>13175.723015422833</v>
      </c>
      <c r="BC212">
        <v>13168.89642917426</v>
      </c>
      <c r="BD212">
        <v>13397.963298270053</v>
      </c>
      <c r="BE212">
        <v>13804.183795188657</v>
      </c>
      <c r="BF212">
        <v>14040.246069045219</v>
      </c>
      <c r="BG212">
        <v>14508.860946545867</v>
      </c>
      <c r="BH212">
        <v>15197.748251335168</v>
      </c>
      <c r="BI212">
        <v>15533.221282154393</v>
      </c>
      <c r="BJ212">
        <v>16139.066108496465</v>
      </c>
      <c r="BK212">
        <v>16365.325578512407</v>
      </c>
      <c r="BL212">
        <v>15763.705438253877</v>
      </c>
      <c r="BM212">
        <v>16200.899459784525</v>
      </c>
      <c r="BN212">
        <v>16835.023514540953</v>
      </c>
      <c r="BO212">
        <v>17858.244646870233</v>
      </c>
      <c r="BP212">
        <v>18714.198849352968</v>
      </c>
      <c r="BQ212">
        <v>19483.012763899369</v>
      </c>
      <c r="BR212">
        <f t="shared" si="7"/>
        <v>4.719906805353058</v>
      </c>
    </row>
    <row r="213" spans="1:70" x14ac:dyDescent="0.25">
      <c r="A213" t="s">
        <v>298</v>
      </c>
      <c r="B213" t="s">
        <v>663</v>
      </c>
      <c r="C213" t="s">
        <v>434</v>
      </c>
      <c r="AH213">
        <v>3778.0627829832174</v>
      </c>
      <c r="AI213">
        <v>3695.4966947532521</v>
      </c>
      <c r="AJ213">
        <v>3588.3805277532128</v>
      </c>
      <c r="AK213">
        <v>3448.8210575479702</v>
      </c>
      <c r="AL213">
        <v>3384.9525174494925</v>
      </c>
      <c r="AM213">
        <v>3402.7826746148266</v>
      </c>
      <c r="AN213">
        <v>3484.7669500221778</v>
      </c>
      <c r="AO213">
        <v>3533.1959441737163</v>
      </c>
      <c r="AP213">
        <v>3531.5183834096706</v>
      </c>
      <c r="AQ213">
        <v>3511.4539403102513</v>
      </c>
      <c r="AR213">
        <v>3536.7416455224911</v>
      </c>
      <c r="AS213">
        <v>3594.4926893558354</v>
      </c>
      <c r="AT213">
        <v>3734.5481564775901</v>
      </c>
      <c r="AU213">
        <v>3789.7022104834145</v>
      </c>
      <c r="AV213">
        <v>3941.1429102473835</v>
      </c>
      <c r="AW213">
        <v>4067.546864950627</v>
      </c>
      <c r="AX213">
        <v>4198.8592282545569</v>
      </c>
      <c r="AY213">
        <v>4337.7984470461051</v>
      </c>
      <c r="AZ213">
        <v>4445.5273501556967</v>
      </c>
      <c r="BA213">
        <v>4479.1406301997986</v>
      </c>
      <c r="BB213">
        <v>4632.8440819143771</v>
      </c>
      <c r="BC213">
        <v>4713.4223313110615</v>
      </c>
      <c r="BD213">
        <v>4775.8739329677983</v>
      </c>
      <c r="BE213">
        <v>4896.3254306707095</v>
      </c>
      <c r="BF213">
        <v>5002.9669514038187</v>
      </c>
      <c r="BG213">
        <v>5019.9501903899409</v>
      </c>
      <c r="BH213">
        <v>4956.5848680732588</v>
      </c>
      <c r="BI213">
        <v>4953.2648572016014</v>
      </c>
      <c r="BJ213">
        <v>4963.2088249255094</v>
      </c>
      <c r="BK213">
        <v>4962.5529068223659</v>
      </c>
      <c r="BL213">
        <v>4677.9221976892768</v>
      </c>
      <c r="BM213">
        <v>4720.4840780867517</v>
      </c>
      <c r="BN213">
        <v>4795.2471562459887</v>
      </c>
      <c r="BO213">
        <v>4809.4842282472464</v>
      </c>
      <c r="BP213">
        <v>4872.91556737875</v>
      </c>
      <c r="BQ213">
        <v>4963.3760177896029</v>
      </c>
      <c r="BR213">
        <f t="shared" si="7"/>
        <v>1.262270337392013</v>
      </c>
    </row>
    <row r="214" spans="1:70" x14ac:dyDescent="0.25">
      <c r="A214" t="s">
        <v>664</v>
      </c>
      <c r="B214" t="s">
        <v>665</v>
      </c>
      <c r="C214" t="s">
        <v>434</v>
      </c>
      <c r="AH214">
        <v>3776.5084598451062</v>
      </c>
      <c r="AI214">
        <v>3693.9236513248347</v>
      </c>
      <c r="AJ214">
        <v>3586.6923374759999</v>
      </c>
      <c r="AK214">
        <v>3447.0155075053331</v>
      </c>
      <c r="AL214">
        <v>3383.2517472886962</v>
      </c>
      <c r="AM214">
        <v>3401.1253885278302</v>
      </c>
      <c r="AN214">
        <v>3482.9657524371983</v>
      </c>
      <c r="AO214">
        <v>3531.1851207890509</v>
      </c>
      <c r="AP214">
        <v>3529.5097245031702</v>
      </c>
      <c r="AQ214">
        <v>3509.4595642865061</v>
      </c>
      <c r="AR214">
        <v>3534.7058718906383</v>
      </c>
      <c r="AS214">
        <v>3592.5734471293913</v>
      </c>
      <c r="AT214">
        <v>3732.6823899659598</v>
      </c>
      <c r="AU214">
        <v>3788.0216720561398</v>
      </c>
      <c r="AV214">
        <v>3939.5829814143676</v>
      </c>
      <c r="AW214">
        <v>4065.8693864409879</v>
      </c>
      <c r="AX214">
        <v>4197.0557765638223</v>
      </c>
      <c r="AY214">
        <v>4335.8656884026987</v>
      </c>
      <c r="AZ214">
        <v>4443.7335154347384</v>
      </c>
      <c r="BA214">
        <v>4477.4566945111037</v>
      </c>
      <c r="BB214">
        <v>4631.1407701495109</v>
      </c>
      <c r="BC214">
        <v>4711.5590012070525</v>
      </c>
      <c r="BD214">
        <v>4774.0011869995269</v>
      </c>
      <c r="BE214">
        <v>4894.4954231404281</v>
      </c>
      <c r="BF214">
        <v>5001.1125366210017</v>
      </c>
      <c r="BG214">
        <v>5017.9542421979768</v>
      </c>
      <c r="BH214">
        <v>4954.3486184636886</v>
      </c>
      <c r="BI214">
        <v>4950.9087329326976</v>
      </c>
      <c r="BJ214">
        <v>4960.7841592740142</v>
      </c>
      <c r="BK214">
        <v>4960.0399122174267</v>
      </c>
      <c r="BL214">
        <v>4675.7913272743072</v>
      </c>
      <c r="BM214">
        <v>4718.4003193993549</v>
      </c>
      <c r="BN214">
        <v>4793.0608556033339</v>
      </c>
      <c r="BO214">
        <v>4807.2172371309152</v>
      </c>
      <c r="BP214">
        <v>4870.6262991830426</v>
      </c>
      <c r="BQ214">
        <v>4960.9992554411301</v>
      </c>
      <c r="BR214">
        <f t="shared" si="7"/>
        <v>1.261322318688296</v>
      </c>
    </row>
    <row r="215" spans="1:70" x14ac:dyDescent="0.25">
      <c r="A215" t="s">
        <v>661</v>
      </c>
      <c r="B215" t="s">
        <v>662</v>
      </c>
      <c r="C215" t="s">
        <v>434</v>
      </c>
      <c r="AH215">
        <v>3778.0627829832165</v>
      </c>
      <c r="AI215">
        <v>3695.4966947532507</v>
      </c>
      <c r="AJ215">
        <v>3588.380527753211</v>
      </c>
      <c r="AK215">
        <v>3448.8210575479702</v>
      </c>
      <c r="AL215">
        <v>3384.9525174494911</v>
      </c>
      <c r="AM215">
        <v>3402.7826746148262</v>
      </c>
      <c r="AN215">
        <v>3484.7669500221764</v>
      </c>
      <c r="AO215">
        <v>3533.1959441737131</v>
      </c>
      <c r="AP215">
        <v>3531.5183834096679</v>
      </c>
      <c r="AQ215">
        <v>3511.4539403102494</v>
      </c>
      <c r="AR215">
        <v>3536.7416455224884</v>
      </c>
      <c r="AS215">
        <v>3594.4926893558363</v>
      </c>
      <c r="AT215">
        <v>3734.5481564775887</v>
      </c>
      <c r="AU215">
        <v>3789.7022104834136</v>
      </c>
      <c r="AV215">
        <v>3941.1429102473844</v>
      </c>
      <c r="AW215">
        <v>4067.546864950627</v>
      </c>
      <c r="AX215">
        <v>4198.859228254556</v>
      </c>
      <c r="AY215">
        <v>4337.7984470461051</v>
      </c>
      <c r="AZ215">
        <v>4445.5273501556985</v>
      </c>
      <c r="BA215">
        <v>4479.1406301998004</v>
      </c>
      <c r="BB215">
        <v>4632.844081914378</v>
      </c>
      <c r="BC215">
        <v>4713.4223313110624</v>
      </c>
      <c r="BD215">
        <v>4775.8739329677974</v>
      </c>
      <c r="BE215">
        <v>4896.3254306707113</v>
      </c>
      <c r="BF215">
        <v>5002.9669514038187</v>
      </c>
      <c r="BG215">
        <v>5019.95019038994</v>
      </c>
      <c r="BH215">
        <v>4956.5848680732597</v>
      </c>
      <c r="BI215">
        <v>4953.2648572016014</v>
      </c>
      <c r="BJ215">
        <v>4963.2088249255094</v>
      </c>
      <c r="BK215">
        <v>4962.5529068223677</v>
      </c>
      <c r="BL215">
        <v>4677.9221976892759</v>
      </c>
      <c r="BM215">
        <v>4720.4840780867526</v>
      </c>
      <c r="BN215">
        <v>4795.2471562459896</v>
      </c>
      <c r="BO215">
        <v>4809.4842282472464</v>
      </c>
      <c r="BP215">
        <v>4872.9155673787518</v>
      </c>
      <c r="BQ215">
        <v>4963.3760177896038</v>
      </c>
      <c r="BR215">
        <f t="shared" si="7"/>
        <v>1.262270337392013</v>
      </c>
    </row>
    <row r="216" spans="1:70" x14ac:dyDescent="0.25">
      <c r="A216" t="s">
        <v>197</v>
      </c>
      <c r="B216" t="s">
        <v>706</v>
      </c>
      <c r="C216" t="s">
        <v>434</v>
      </c>
      <c r="AH216">
        <v>2460.18872070313</v>
      </c>
      <c r="AI216">
        <v>2591.869140625</v>
      </c>
      <c r="AJ216">
        <v>2709.7900390625</v>
      </c>
      <c r="AK216">
        <v>2777.27490234375</v>
      </c>
      <c r="AL216">
        <v>2736.47192382813</v>
      </c>
      <c r="AM216">
        <v>2824.63208007813</v>
      </c>
      <c r="AN216">
        <v>2924.29077148438</v>
      </c>
      <c r="AO216">
        <v>3380.18676757813</v>
      </c>
      <c r="AP216">
        <v>3441.17919921875</v>
      </c>
      <c r="AQ216">
        <v>3459.22998046875</v>
      </c>
      <c r="AR216">
        <v>3575.85205078125</v>
      </c>
      <c r="AS216">
        <v>3701.548828125</v>
      </c>
      <c r="AT216">
        <v>3814.31323242188</v>
      </c>
      <c r="AU216">
        <v>3946.92260742188</v>
      </c>
      <c r="AV216">
        <v>4041.05712890625</v>
      </c>
      <c r="AW216">
        <v>4152.32275390625</v>
      </c>
      <c r="AX216">
        <v>4299.97412109375</v>
      </c>
      <c r="AY216">
        <v>4415.78515625</v>
      </c>
      <c r="AZ216">
        <v>4446.40966796875</v>
      </c>
      <c r="BA216">
        <v>4188.0546875</v>
      </c>
      <c r="BB216">
        <v>4219.8369140625</v>
      </c>
      <c r="BC216">
        <v>4467.6259765625</v>
      </c>
      <c r="BD216">
        <v>4145.931640625</v>
      </c>
      <c r="BE216">
        <v>4130.48583984375</v>
      </c>
      <c r="BF216">
        <v>4207.50048828125</v>
      </c>
      <c r="BG216">
        <v>4159.1943359375</v>
      </c>
      <c r="BH216">
        <v>4174.56103515625</v>
      </c>
      <c r="BI216">
        <v>4061.01831054688</v>
      </c>
      <c r="BJ216">
        <v>3816.65991210938</v>
      </c>
      <c r="BK216">
        <v>3625.52319335938</v>
      </c>
      <c r="BL216">
        <v>3401.24975585938</v>
      </c>
      <c r="BM216">
        <v>3248.9755859375</v>
      </c>
      <c r="BN216">
        <v>3132.0771484375</v>
      </c>
      <c r="BO216">
        <v>2181.0791015625</v>
      </c>
      <c r="BP216">
        <v>1861.39794921875</v>
      </c>
      <c r="BQ216">
        <v>1873.38562011719</v>
      </c>
      <c r="BR216">
        <f t="shared" si="7"/>
        <v>-12.859472696611085</v>
      </c>
    </row>
    <row r="217" spans="1:70" x14ac:dyDescent="0.25">
      <c r="A217" t="s">
        <v>198</v>
      </c>
      <c r="B217" t="s">
        <v>564</v>
      </c>
      <c r="C217" t="s">
        <v>434</v>
      </c>
      <c r="AH217">
        <v>17137.650970055591</v>
      </c>
      <c r="AI217">
        <v>17493.496225742572</v>
      </c>
      <c r="AJ217">
        <v>17455.125645432156</v>
      </c>
      <c r="AK217">
        <v>16217.166034710264</v>
      </c>
      <c r="AL217">
        <v>16648.534525893327</v>
      </c>
      <c r="AM217">
        <v>16368.311360582007</v>
      </c>
      <c r="AN217">
        <v>16184.499929506499</v>
      </c>
      <c r="AO217">
        <v>16754.351142706353</v>
      </c>
      <c r="AP217">
        <v>16789.754900535558</v>
      </c>
      <c r="AQ217">
        <v>16217.517303143763</v>
      </c>
      <c r="AR217">
        <v>16220.179060326236</v>
      </c>
      <c r="AS217">
        <v>16556.944060992679</v>
      </c>
      <c r="AT217">
        <v>16678.071870658216</v>
      </c>
      <c r="AU217">
        <v>17383.501550561221</v>
      </c>
      <c r="AV217">
        <v>18585.517086417614</v>
      </c>
      <c r="AW217">
        <v>19220.283969660544</v>
      </c>
      <c r="AX217">
        <v>20113.67075476946</v>
      </c>
      <c r="AY217">
        <v>20902.139158927865</v>
      </c>
      <c r="AZ217">
        <v>21515.811955109275</v>
      </c>
      <c r="BA217">
        <v>21906.410544749808</v>
      </c>
      <c r="BB217">
        <v>22772.475454368949</v>
      </c>
      <c r="BC217">
        <v>23829.533285639318</v>
      </c>
      <c r="BD217">
        <v>24193.841237392193</v>
      </c>
      <c r="BE217">
        <v>24624.021985460102</v>
      </c>
      <c r="BF217">
        <v>24414.355475973389</v>
      </c>
      <c r="BG217">
        <v>23327.525249744667</v>
      </c>
      <c r="BH217">
        <v>21950.412214862521</v>
      </c>
      <c r="BI217">
        <v>22070.513757083536</v>
      </c>
      <c r="BJ217">
        <v>22938.535371554521</v>
      </c>
      <c r="BK217">
        <v>22966.740599912449</v>
      </c>
      <c r="BL217">
        <v>19091.361718422617</v>
      </c>
      <c r="BM217">
        <v>18458.234999681041</v>
      </c>
      <c r="BN217">
        <v>18742.587376036852</v>
      </c>
      <c r="BO217">
        <v>19020.866375100912</v>
      </c>
      <c r="BP217">
        <v>19179.101839105962</v>
      </c>
      <c r="BQ217">
        <v>19357.390796931806</v>
      </c>
      <c r="BR217">
        <f t="shared" si="7"/>
        <v>1.196189994615704</v>
      </c>
    </row>
    <row r="218" spans="1:70" x14ac:dyDescent="0.25">
      <c r="A218" t="s">
        <v>199</v>
      </c>
      <c r="B218" t="s">
        <v>453</v>
      </c>
      <c r="C218" t="s">
        <v>434</v>
      </c>
      <c r="AH218">
        <v>40199.707421983141</v>
      </c>
      <c r="AI218">
        <v>39469.071647282828</v>
      </c>
      <c r="AJ218">
        <v>38783.639767639601</v>
      </c>
      <c r="AK218">
        <v>37762.540822135838</v>
      </c>
      <c r="AL218">
        <v>39000.827723398426</v>
      </c>
      <c r="AM218">
        <v>40385.213971118515</v>
      </c>
      <c r="AN218">
        <v>41008.353174672673</v>
      </c>
      <c r="AO218">
        <v>42241.060774225778</v>
      </c>
      <c r="AP218">
        <v>44010.10743582782</v>
      </c>
      <c r="AQ218">
        <v>45823.301841811714</v>
      </c>
      <c r="AR218">
        <v>47868.507729257122</v>
      </c>
      <c r="AS218">
        <v>48389.818513259146</v>
      </c>
      <c r="AT218">
        <v>49331.203255573797</v>
      </c>
      <c r="AU218">
        <v>50072.473646292543</v>
      </c>
      <c r="AV218">
        <v>51960.532190295315</v>
      </c>
      <c r="AW218">
        <v>53198.671200010001</v>
      </c>
      <c r="AX218">
        <v>55373.933811539311</v>
      </c>
      <c r="AY218">
        <v>56737.368917930151</v>
      </c>
      <c r="AZ218">
        <v>55777.397305009392</v>
      </c>
      <c r="BA218">
        <v>52950.710333246709</v>
      </c>
      <c r="BB218">
        <v>55520.432417853357</v>
      </c>
      <c r="BC218">
        <v>56846.136829062525</v>
      </c>
      <c r="BD218">
        <v>56193.328748824606</v>
      </c>
      <c r="BE218">
        <v>56353.085634789735</v>
      </c>
      <c r="BF218">
        <v>57077.669354419573</v>
      </c>
      <c r="BG218">
        <v>58955.641236146097</v>
      </c>
      <c r="BH218">
        <v>59460.287272268928</v>
      </c>
      <c r="BI218">
        <v>59769.013623699961</v>
      </c>
      <c r="BJ218">
        <v>60124.571199417893</v>
      </c>
      <c r="BK218">
        <v>61070.524344583799</v>
      </c>
      <c r="BL218">
        <v>59458.280529196934</v>
      </c>
      <c r="BM218">
        <v>62190.852698382521</v>
      </c>
      <c r="BN218">
        <v>62544.500224864409</v>
      </c>
      <c r="BO218">
        <v>62122.5116950792</v>
      </c>
      <c r="BP218">
        <v>62558.406587604055</v>
      </c>
      <c r="BQ218">
        <v>63362.461280807896</v>
      </c>
      <c r="BR218">
        <f t="shared" si="7"/>
        <v>0.4676818969035379</v>
      </c>
    </row>
    <row r="219" spans="1:70" x14ac:dyDescent="0.25">
      <c r="A219" t="s">
        <v>200</v>
      </c>
      <c r="B219" t="s">
        <v>440</v>
      </c>
      <c r="C219" t="s">
        <v>434</v>
      </c>
      <c r="AH219">
        <v>63921.422733420091</v>
      </c>
      <c r="AI219">
        <v>62404.06277973629</v>
      </c>
      <c r="AJ219">
        <v>61004.742353969545</v>
      </c>
      <c r="AK219">
        <v>59202.985016516155</v>
      </c>
      <c r="AL219">
        <v>61091.496085237319</v>
      </c>
      <c r="AM219">
        <v>63169.282723241158</v>
      </c>
      <c r="AN219">
        <v>63243.213431028584</v>
      </c>
      <c r="AO219">
        <v>64414.45789156817</v>
      </c>
      <c r="AP219">
        <v>66006.256636956576</v>
      </c>
      <c r="AQ219">
        <v>66795.887965515547</v>
      </c>
      <c r="AR219">
        <v>68834.81799065911</v>
      </c>
      <c r="AS219">
        <v>69489.699505010285</v>
      </c>
      <c r="AT219">
        <v>69228.368332073253</v>
      </c>
      <c r="AU219">
        <v>68521.342029294261</v>
      </c>
      <c r="AV219">
        <v>69812.378758031045</v>
      </c>
      <c r="AW219">
        <v>71414.349558236805</v>
      </c>
      <c r="AX219">
        <v>73901.614962857668</v>
      </c>
      <c r="AY219">
        <v>76161.560023211612</v>
      </c>
      <c r="AZ219">
        <v>77103.718832063154</v>
      </c>
      <c r="BA219">
        <v>74672.951272580656</v>
      </c>
      <c r="BB219">
        <v>76308.806452080215</v>
      </c>
      <c r="BC219">
        <v>76527.336153994518</v>
      </c>
      <c r="BD219">
        <v>76570.23789871209</v>
      </c>
      <c r="BE219">
        <v>77084.665645673871</v>
      </c>
      <c r="BF219">
        <v>78086.680524984069</v>
      </c>
      <c r="BG219">
        <v>78325.748741769523</v>
      </c>
      <c r="BH219">
        <v>78956.06673150415</v>
      </c>
      <c r="BI219">
        <v>79333.743781088124</v>
      </c>
      <c r="BJ219">
        <v>81371.894412085501</v>
      </c>
      <c r="BK219">
        <v>81694.63065231395</v>
      </c>
      <c r="BL219">
        <v>79270.871368714099</v>
      </c>
      <c r="BM219">
        <v>83524.983288019532</v>
      </c>
      <c r="BN219">
        <v>85762.282917430377</v>
      </c>
      <c r="BO219">
        <v>85383.35645040081</v>
      </c>
      <c r="BP219">
        <v>85448.058557700715</v>
      </c>
      <c r="BQ219">
        <v>85732.109753523182</v>
      </c>
      <c r="BR219">
        <f t="shared" si="7"/>
        <v>0.65417150347948372</v>
      </c>
    </row>
    <row r="220" spans="1:70" x14ac:dyDescent="0.25">
      <c r="A220" t="s">
        <v>201</v>
      </c>
      <c r="B220" t="s">
        <v>726</v>
      </c>
      <c r="C220" t="s">
        <v>434</v>
      </c>
      <c r="AH220">
        <v>5952.3583016800994</v>
      </c>
      <c r="AI220">
        <v>6210.4156814690396</v>
      </c>
      <c r="AJ220">
        <v>6803.9291649879115</v>
      </c>
      <c r="AK220">
        <v>7007.7249428425439</v>
      </c>
      <c r="AL220">
        <v>7294.8631046936944</v>
      </c>
      <c r="AM220">
        <v>7589.396929088145</v>
      </c>
      <c r="AN220">
        <v>8112.3738727403324</v>
      </c>
      <c r="AO220">
        <v>8299.1893165821893</v>
      </c>
      <c r="AP220">
        <v>8636.6334006455145</v>
      </c>
      <c r="AQ220">
        <v>8120.4924779739758</v>
      </c>
      <c r="AR220">
        <v>7973.9813163247782</v>
      </c>
      <c r="AS220">
        <v>8075.7840992402162</v>
      </c>
      <c r="AT220">
        <v>8502.4934721632926</v>
      </c>
      <c r="AU220">
        <v>8351.46523749691</v>
      </c>
      <c r="AV220">
        <v>8710.008929679072</v>
      </c>
      <c r="AW220">
        <v>9016.720351221782</v>
      </c>
      <c r="AX220">
        <v>9074.7724814994272</v>
      </c>
      <c r="AY220">
        <v>9017.0871830355918</v>
      </c>
      <c r="AZ220">
        <v>9093.1295689146264</v>
      </c>
      <c r="BA220">
        <v>9481.5699789574901</v>
      </c>
      <c r="BB220">
        <v>9749.5744521982469</v>
      </c>
      <c r="BC220">
        <v>9854.0338016275746</v>
      </c>
      <c r="BD220">
        <v>7296.328867942284</v>
      </c>
      <c r="BE220">
        <v>5648.6021302587405</v>
      </c>
      <c r="BF220">
        <v>5414.3750968824243</v>
      </c>
      <c r="BG220">
        <v>5414.8390524280785</v>
      </c>
      <c r="BH220">
        <v>5128.9182286229552</v>
      </c>
      <c r="BI220">
        <v>5083.6517388842158</v>
      </c>
      <c r="BJ220">
        <v>5061.4939942456194</v>
      </c>
      <c r="BK220">
        <v>4928.0288541202817</v>
      </c>
      <c r="BL220">
        <v>4810.6107263259846</v>
      </c>
      <c r="BM220">
        <v>4765.5291135770249</v>
      </c>
      <c r="BN220">
        <v>4579.4397363334092</v>
      </c>
      <c r="BO220" s="200">
        <v>4579.4397363334092</v>
      </c>
      <c r="BP220" s="200">
        <v>4579.4397363334092</v>
      </c>
      <c r="BQ220" s="200">
        <v>4579.4397363334092</v>
      </c>
      <c r="BR220">
        <f t="shared" si="7"/>
        <v>-0.99085610777408517</v>
      </c>
    </row>
    <row r="221" spans="1:70" x14ac:dyDescent="0.25">
      <c r="A221" t="s">
        <v>203</v>
      </c>
      <c r="B221" t="s">
        <v>660</v>
      </c>
      <c r="C221" t="s">
        <v>434</v>
      </c>
      <c r="AH221">
        <v>4173.0460798224922</v>
      </c>
      <c r="AI221">
        <v>3777.1075063218318</v>
      </c>
      <c r="AJ221">
        <v>2630.3865806618637</v>
      </c>
      <c r="AK221">
        <v>2169.9674735392778</v>
      </c>
      <c r="AL221">
        <v>1678.338517339181</v>
      </c>
      <c r="AM221">
        <v>1439.5027758406497</v>
      </c>
      <c r="AN221">
        <v>1175.7940723524177</v>
      </c>
      <c r="AO221">
        <v>1181.2811013363325</v>
      </c>
      <c r="AP221">
        <v>1236.6755289555633</v>
      </c>
      <c r="AQ221">
        <v>1275.8224902604506</v>
      </c>
      <c r="AR221">
        <v>1365.233274471293</v>
      </c>
      <c r="AS221">
        <v>1467.3988247463799</v>
      </c>
      <c r="AT221">
        <v>1594.93890470219</v>
      </c>
      <c r="AU221">
        <v>1736.640397498551</v>
      </c>
      <c r="AV221">
        <v>1878.28696227255</v>
      </c>
      <c r="AW221">
        <v>1965.3002045825647</v>
      </c>
      <c r="AX221">
        <v>2063.2885082430021</v>
      </c>
      <c r="AY221">
        <v>2181.8979805653585</v>
      </c>
      <c r="AZ221">
        <v>2308.0943004033425</v>
      </c>
      <c r="BA221">
        <v>2349.5003026941645</v>
      </c>
      <c r="BB221">
        <v>2449.2735874535856</v>
      </c>
      <c r="BC221">
        <v>2572.4807489549789</v>
      </c>
      <c r="BD221">
        <v>2700.0954603735836</v>
      </c>
      <c r="BE221">
        <v>2828.3854207514746</v>
      </c>
      <c r="BF221">
        <v>2943.0886791731673</v>
      </c>
      <c r="BG221">
        <v>3041.44479553257</v>
      </c>
      <c r="BH221">
        <v>3169.9667820523964</v>
      </c>
      <c r="BI221">
        <v>3312.7120224350565</v>
      </c>
      <c r="BJ221">
        <v>3479.6923596604056</v>
      </c>
      <c r="BK221">
        <v>3649.8837551864631</v>
      </c>
      <c r="BL221">
        <v>3724.7489591465974</v>
      </c>
      <c r="BM221">
        <v>3985.9124761121852</v>
      </c>
      <c r="BN221">
        <v>4213.7561836268687</v>
      </c>
      <c r="BO221">
        <v>4472.3241378777047</v>
      </c>
      <c r="BP221">
        <v>4755.932967047187</v>
      </c>
      <c r="BQ221">
        <v>5061.8470062364886</v>
      </c>
      <c r="BR221">
        <f t="shared" si="7"/>
        <v>6.1561878050490293</v>
      </c>
    </row>
    <row r="222" spans="1:70" x14ac:dyDescent="0.25">
      <c r="A222" t="s">
        <v>684</v>
      </c>
      <c r="B222" t="s">
        <v>685</v>
      </c>
      <c r="C222" t="s">
        <v>434</v>
      </c>
      <c r="AH222">
        <v>1794.20458984375</v>
      </c>
      <c r="AI222">
        <v>1785.66394042969</v>
      </c>
      <c r="AJ222">
        <v>1751.91845703125</v>
      </c>
      <c r="AK222">
        <v>1718.39306640625</v>
      </c>
      <c r="AL222">
        <v>1679.66235351563</v>
      </c>
      <c r="AM222">
        <v>1685.85107421875</v>
      </c>
      <c r="AN222">
        <v>1730.55456542969</v>
      </c>
      <c r="AO222">
        <v>1755.8037109375</v>
      </c>
      <c r="AP222">
        <v>1773.72424316406</v>
      </c>
      <c r="AQ222">
        <v>1810.97155761719</v>
      </c>
      <c r="AR222">
        <v>1839.93664550781</v>
      </c>
      <c r="AS222">
        <v>1899.74536132813</v>
      </c>
      <c r="AT222">
        <v>1982.64428710938</v>
      </c>
      <c r="AU222">
        <v>2059.83740234375</v>
      </c>
      <c r="AV222">
        <v>2155.24145507813</v>
      </c>
      <c r="AW222">
        <v>2253.09326171875</v>
      </c>
      <c r="AX222">
        <v>2334.1044921875</v>
      </c>
      <c r="AY222">
        <v>2423.61596679688</v>
      </c>
      <c r="AZ222">
        <v>2493.25927734375</v>
      </c>
      <c r="BA222">
        <v>2560.81103515625</v>
      </c>
      <c r="BB222">
        <v>2654.80346679688</v>
      </c>
      <c r="BC222">
        <v>2779.70776367188</v>
      </c>
      <c r="BD222">
        <v>2822.4853515625</v>
      </c>
      <c r="BE222">
        <v>2924.86328125</v>
      </c>
      <c r="BF222">
        <v>3027.56909179688</v>
      </c>
      <c r="BG222">
        <v>3111.44458007813</v>
      </c>
      <c r="BH222">
        <v>3214.24682617188</v>
      </c>
      <c r="BI222">
        <v>3318.28833007813</v>
      </c>
      <c r="BJ222">
        <v>3392.68872070313</v>
      </c>
      <c r="BK222">
        <v>3484.63256835938</v>
      </c>
      <c r="BL222">
        <v>3449.82153320313</v>
      </c>
      <c r="BM222">
        <v>3493.0830078125</v>
      </c>
      <c r="BN222">
        <v>3546.98095703125</v>
      </c>
      <c r="BO222">
        <v>3620.79345703125</v>
      </c>
      <c r="BP222">
        <v>3713.26293945313</v>
      </c>
      <c r="BQ222">
        <v>3820.61181640625</v>
      </c>
      <c r="BR222">
        <f t="shared" si="7"/>
        <v>2.265937053387046</v>
      </c>
    </row>
    <row r="223" spans="1:70" x14ac:dyDescent="0.25">
      <c r="A223" t="s">
        <v>204</v>
      </c>
      <c r="B223" t="s">
        <v>540</v>
      </c>
      <c r="C223" t="s">
        <v>434</v>
      </c>
      <c r="AH223">
        <v>8702.8995604689953</v>
      </c>
      <c r="AI223">
        <v>9295.0405734299475</v>
      </c>
      <c r="AJ223">
        <v>9887.9737365402198</v>
      </c>
      <c r="AK223">
        <v>10539.961108100128</v>
      </c>
      <c r="AL223">
        <v>11216.254828563571</v>
      </c>
      <c r="AM223">
        <v>11955.218808981139</v>
      </c>
      <c r="AN223">
        <v>12457.682083122801</v>
      </c>
      <c r="AO223">
        <v>11954.147433591934</v>
      </c>
      <c r="AP223">
        <v>10898.337023987231</v>
      </c>
      <c r="AQ223">
        <v>11254.609830333278</v>
      </c>
      <c r="AR223">
        <v>11623.787458046098</v>
      </c>
      <c r="AS223">
        <v>11902.61092297048</v>
      </c>
      <c r="AT223">
        <v>12513.542196703173</v>
      </c>
      <c r="AU223">
        <v>13288.748156113725</v>
      </c>
      <c r="AV223">
        <v>13998.521730811986</v>
      </c>
      <c r="AW223">
        <v>14459.825626203005</v>
      </c>
      <c r="AX223">
        <v>15052.695510105854</v>
      </c>
      <c r="AY223">
        <v>15744.365244914668</v>
      </c>
      <c r="AZ223">
        <v>15893.508494796755</v>
      </c>
      <c r="BA223">
        <v>15667.604734316363</v>
      </c>
      <c r="BB223">
        <v>16732.187029014029</v>
      </c>
      <c r="BC223">
        <v>16768.168854248648</v>
      </c>
      <c r="BD223">
        <v>17871.578647756483</v>
      </c>
      <c r="BE223">
        <v>18244.40715050881</v>
      </c>
      <c r="BF223">
        <v>18326.60487374703</v>
      </c>
      <c r="BG223">
        <v>18814.040855456573</v>
      </c>
      <c r="BH223">
        <v>19372.712802410726</v>
      </c>
      <c r="BI223">
        <v>20096.860545516436</v>
      </c>
      <c r="BJ223">
        <v>20882.170741957634</v>
      </c>
      <c r="BK223">
        <v>21280.150451860092</v>
      </c>
      <c r="BL223">
        <v>19950.284406314742</v>
      </c>
      <c r="BM223">
        <v>20236.976040878446</v>
      </c>
      <c r="BN223">
        <v>20768.480009357656</v>
      </c>
      <c r="BO223">
        <v>21245.270677187928</v>
      </c>
      <c r="BP223">
        <v>21882.214247483254</v>
      </c>
      <c r="BQ223">
        <v>22431.751838084761</v>
      </c>
      <c r="BR223">
        <f t="shared" si="7"/>
        <v>2.6075678699394533</v>
      </c>
    </row>
    <row r="224" spans="1:70" x14ac:dyDescent="0.25">
      <c r="A224" t="s">
        <v>205</v>
      </c>
      <c r="B224" t="s">
        <v>679</v>
      </c>
      <c r="C224" t="s">
        <v>434</v>
      </c>
      <c r="AH224">
        <v>2143.7919364789113</v>
      </c>
      <c r="AI224">
        <v>2318.7942531368467</v>
      </c>
      <c r="AJ224">
        <v>2493.9085641367924</v>
      </c>
      <c r="AK224">
        <v>2674.3991996497602</v>
      </c>
      <c r="AL224">
        <v>2786.6762205055543</v>
      </c>
      <c r="AM224">
        <v>2891.8645850855737</v>
      </c>
      <c r="AN224">
        <v>3038.2303683013574</v>
      </c>
      <c r="AO224">
        <v>3073.9703677262792</v>
      </c>
      <c r="AP224">
        <v>2931.4808200707807</v>
      </c>
      <c r="AQ224">
        <v>2136.649451877604</v>
      </c>
      <c r="AR224">
        <v>3783.7832954573928</v>
      </c>
      <c r="AS224">
        <v>4038.3357101776901</v>
      </c>
      <c r="AT224">
        <v>3480.9884722921979</v>
      </c>
      <c r="AU224">
        <v>3264.9464716182802</v>
      </c>
      <c r="AV224">
        <v>3234.9758367433806</v>
      </c>
      <c r="AW224">
        <v>3263.9444600557281</v>
      </c>
      <c r="AX224">
        <v>3038.9523176563034</v>
      </c>
      <c r="AY224">
        <v>3256.5698011812869</v>
      </c>
      <c r="AZ224">
        <v>3530.8821747907414</v>
      </c>
      <c r="BA224">
        <v>3792.3583161298666</v>
      </c>
      <c r="BB224">
        <v>4047.2494061431357</v>
      </c>
      <c r="BC224">
        <v>4189.7997848101468</v>
      </c>
      <c r="BD224">
        <v>4297.9148244913167</v>
      </c>
      <c r="BE224">
        <v>4340.2783950351068</v>
      </c>
      <c r="BF224">
        <v>4445.3592688703284</v>
      </c>
      <c r="BG224">
        <v>4467.8000718489593</v>
      </c>
      <c r="BH224">
        <v>4515.4224598939963</v>
      </c>
      <c r="BI224">
        <v>4290.0270929656181</v>
      </c>
      <c r="BJ224">
        <v>4188.8409919133746</v>
      </c>
      <c r="BK224">
        <v>5103.1496429220742</v>
      </c>
      <c r="BL224">
        <v>6594.8817078451966</v>
      </c>
      <c r="BM224">
        <v>6825.0458085995033</v>
      </c>
      <c r="BN224">
        <v>5348.4918270135304</v>
      </c>
      <c r="BO224">
        <v>4331.077925603865</v>
      </c>
      <c r="BP224">
        <v>3890.9575465345279</v>
      </c>
      <c r="BQ224">
        <v>4109.9044785289034</v>
      </c>
      <c r="BR224">
        <f t="shared" si="7"/>
        <v>-11.90900013894275</v>
      </c>
    </row>
    <row r="225" spans="1:70" x14ac:dyDescent="0.25">
      <c r="A225" t="s">
        <v>206</v>
      </c>
      <c r="B225" t="s">
        <v>689</v>
      </c>
      <c r="C225" t="s">
        <v>434</v>
      </c>
      <c r="AH225">
        <v>2409.1481959307794</v>
      </c>
      <c r="AI225">
        <v>2324.3114205172874</v>
      </c>
      <c r="AJ225">
        <v>2169.3927287826937</v>
      </c>
      <c r="AK225">
        <v>1863.0372504210411</v>
      </c>
      <c r="AL225">
        <v>2133.2715814751932</v>
      </c>
      <c r="AM225">
        <v>2185.1955668285977</v>
      </c>
      <c r="AN225">
        <v>2278.1421428420635</v>
      </c>
      <c r="AO225">
        <v>2519.0004295627714</v>
      </c>
      <c r="AP225">
        <v>2400.0534625470855</v>
      </c>
      <c r="AQ225">
        <v>2399.4574129151083</v>
      </c>
      <c r="AR225">
        <v>2321.950418846805</v>
      </c>
      <c r="AS225">
        <v>2283.5849230071017</v>
      </c>
      <c r="AT225">
        <v>2312.9646303507384</v>
      </c>
      <c r="AU225">
        <v>2407.5857838237025</v>
      </c>
      <c r="AV225">
        <v>2326.6010246328096</v>
      </c>
      <c r="AW225">
        <v>2164.0159955272757</v>
      </c>
      <c r="AX225">
        <v>2158.9439399576909</v>
      </c>
      <c r="AY225">
        <v>2067.2183613501461</v>
      </c>
      <c r="AZ225">
        <v>2082.6420155318151</v>
      </c>
      <c r="BA225">
        <v>2126.4413192509046</v>
      </c>
      <c r="BB225">
        <v>2181.5988926203759</v>
      </c>
      <c r="BC225">
        <v>2246.5620452267895</v>
      </c>
      <c r="BD225">
        <v>2333.1927673788568</v>
      </c>
      <c r="BE225">
        <v>2416.3780510115239</v>
      </c>
      <c r="BF225">
        <v>2501.4325309291735</v>
      </c>
      <c r="BG225">
        <v>2588.2726098049902</v>
      </c>
      <c r="BH225">
        <v>2648.9008483507628</v>
      </c>
      <c r="BI225">
        <v>2708.6112239684639</v>
      </c>
      <c r="BJ225">
        <v>2787.5639840975896</v>
      </c>
      <c r="BK225">
        <v>2862.6266116033139</v>
      </c>
      <c r="BL225">
        <v>2861.2979624051295</v>
      </c>
      <c r="BM225">
        <v>2952.0973006698491</v>
      </c>
      <c r="BN225">
        <v>3086.4087874233428</v>
      </c>
      <c r="BO225">
        <v>3215.8230002248797</v>
      </c>
      <c r="BP225">
        <v>3351.2499311193878</v>
      </c>
      <c r="BQ225">
        <v>3485.9818451207384</v>
      </c>
      <c r="BR225">
        <f t="shared" si="7"/>
        <v>4.2434109111801899</v>
      </c>
    </row>
    <row r="226" spans="1:70" x14ac:dyDescent="0.25">
      <c r="A226" t="s">
        <v>207</v>
      </c>
      <c r="B226" t="s">
        <v>639</v>
      </c>
      <c r="C226" t="s">
        <v>434</v>
      </c>
      <c r="AH226">
        <v>4488.3942374303087</v>
      </c>
      <c r="AI226">
        <v>4766.9990246328289</v>
      </c>
      <c r="AJ226">
        <v>4772.942585462346</v>
      </c>
      <c r="AK226">
        <v>4947.3514793920431</v>
      </c>
      <c r="AL226">
        <v>5189.1043404149359</v>
      </c>
      <c r="AM226">
        <v>5509.0451231093775</v>
      </c>
      <c r="AN226">
        <v>5511.4145065696794</v>
      </c>
      <c r="AO226">
        <v>5456.6042342437167</v>
      </c>
      <c r="AP226">
        <v>5542.3933068854467</v>
      </c>
      <c r="AQ226">
        <v>5633.4442378636732</v>
      </c>
      <c r="AR226">
        <v>5809.0092973872261</v>
      </c>
      <c r="AS226">
        <v>5860.8316229040402</v>
      </c>
      <c r="AT226">
        <v>6085.8929101060521</v>
      </c>
      <c r="AU226">
        <v>6054.655542340447</v>
      </c>
      <c r="AV226">
        <v>5901.2134313578517</v>
      </c>
      <c r="AW226">
        <v>5829.1173260211035</v>
      </c>
      <c r="AX226">
        <v>5671.6407916356466</v>
      </c>
      <c r="AY226">
        <v>5507.3573389436388</v>
      </c>
      <c r="AZ226">
        <v>5759.3061250146384</v>
      </c>
      <c r="BA226">
        <v>5454.5739438890669</v>
      </c>
      <c r="BB226">
        <v>5489.4536701906218</v>
      </c>
      <c r="BC226">
        <v>5848.1931200938179</v>
      </c>
      <c r="BD226">
        <v>5908.0240069979764</v>
      </c>
      <c r="BE226">
        <v>5952.4569044791324</v>
      </c>
      <c r="BF226">
        <v>6097.6504186163547</v>
      </c>
      <c r="BG226">
        <v>6195.4330273378591</v>
      </c>
      <c r="BH226">
        <v>6639.9871969956057</v>
      </c>
      <c r="BI226">
        <v>6863.5479643008657</v>
      </c>
      <c r="BJ226">
        <v>6885.984904697184</v>
      </c>
      <c r="BK226">
        <v>6859.7173985178642</v>
      </c>
      <c r="BL226">
        <v>6981.3043645362914</v>
      </c>
      <c r="BM226">
        <v>6930.0648251866332</v>
      </c>
      <c r="BN226">
        <v>6811.4823464152296</v>
      </c>
      <c r="BO226">
        <v>7031.3202170468812</v>
      </c>
      <c r="BP226">
        <v>7180.9874333287798</v>
      </c>
      <c r="BQ226">
        <v>7412.8664196882855</v>
      </c>
      <c r="BR226">
        <f t="shared" si="7"/>
        <v>1.6979548352805685</v>
      </c>
    </row>
    <row r="227" spans="1:70" x14ac:dyDescent="0.25">
      <c r="A227" t="s">
        <v>208</v>
      </c>
      <c r="B227" t="s">
        <v>512</v>
      </c>
      <c r="C227" t="s">
        <v>434</v>
      </c>
      <c r="AH227">
        <v>11869.52872663167</v>
      </c>
      <c r="AI227">
        <v>12142.348150297012</v>
      </c>
      <c r="AJ227">
        <v>13267.977058170678</v>
      </c>
      <c r="AK227">
        <v>13088.707385516849</v>
      </c>
      <c r="AL227">
        <v>13472.746415503108</v>
      </c>
      <c r="AM227">
        <v>13912.313329904469</v>
      </c>
      <c r="AN227">
        <v>14838.90265296757</v>
      </c>
      <c r="AO227">
        <v>15895.24387631643</v>
      </c>
      <c r="AP227">
        <v>17129.091144468628</v>
      </c>
      <c r="AQ227">
        <v>18440.574131290763</v>
      </c>
      <c r="AR227">
        <v>19637.554541072081</v>
      </c>
      <c r="AS227">
        <v>20366.753132211954</v>
      </c>
      <c r="AT227">
        <v>21876.852907040266</v>
      </c>
      <c r="AU227">
        <v>24910.823196151985</v>
      </c>
      <c r="AV227">
        <v>26757.907560142939</v>
      </c>
      <c r="AW227">
        <v>29536.439410109608</v>
      </c>
      <c r="AX227">
        <v>33348.750747088561</v>
      </c>
      <c r="AY227">
        <v>34793.645752110482</v>
      </c>
      <c r="AZ227">
        <v>35825.333345636223</v>
      </c>
      <c r="BA227">
        <v>34212.268305700818</v>
      </c>
      <c r="BB227">
        <v>35145.125363906183</v>
      </c>
      <c r="BC227">
        <v>34769.762025137607</v>
      </c>
      <c r="BD227">
        <v>36903.68985740943</v>
      </c>
      <c r="BE227">
        <v>37994.068648047265</v>
      </c>
      <c r="BF227">
        <v>39248.657051602298</v>
      </c>
      <c r="BG227">
        <v>38963.964178301117</v>
      </c>
      <c r="BH227">
        <v>35914.990197098305</v>
      </c>
      <c r="BI227">
        <v>34095.989925615169</v>
      </c>
      <c r="BJ227">
        <v>33710.017854000784</v>
      </c>
      <c r="BK227">
        <v>33748.706084992446</v>
      </c>
      <c r="BL227">
        <v>30720.887693604225</v>
      </c>
      <c r="BM227">
        <v>30482.120179863054</v>
      </c>
      <c r="BN227">
        <v>30784.111258035569</v>
      </c>
      <c r="BO227">
        <v>31196.603554717982</v>
      </c>
      <c r="BP227">
        <v>31960.156888898287</v>
      </c>
      <c r="BQ227">
        <v>31721.575741123605</v>
      </c>
      <c r="BR227">
        <f t="shared" si="7"/>
        <v>1.0014003897130808</v>
      </c>
    </row>
    <row r="228" spans="1:70" x14ac:dyDescent="0.25">
      <c r="A228" t="s">
        <v>209</v>
      </c>
      <c r="B228" t="s">
        <v>601</v>
      </c>
      <c r="C228" t="s">
        <v>434</v>
      </c>
      <c r="AH228">
        <v>6742.5842642055113</v>
      </c>
      <c r="AI228">
        <v>6859.7342715377699</v>
      </c>
      <c r="AJ228">
        <v>7241.291058947385</v>
      </c>
      <c r="AK228">
        <v>7253.3361457988094</v>
      </c>
      <c r="AL228">
        <v>7350.6560047149414</v>
      </c>
      <c r="AM228">
        <v>7406.2390093084241</v>
      </c>
      <c r="AN228">
        <v>7821.7921910735859</v>
      </c>
      <c r="AO228">
        <v>8136.3376111407979</v>
      </c>
      <c r="AP228">
        <v>8417.9849326468466</v>
      </c>
      <c r="AQ228">
        <v>8821.9879128825723</v>
      </c>
      <c r="AR228">
        <v>9134.4150632700494</v>
      </c>
      <c r="AS228">
        <v>9380.5631761702425</v>
      </c>
      <c r="AT228">
        <v>9407.5567667159303</v>
      </c>
      <c r="AU228">
        <v>9752.024423358238</v>
      </c>
      <c r="AV228">
        <v>10263.805542240823</v>
      </c>
      <c r="AW228">
        <v>10529.159895684455</v>
      </c>
      <c r="AX228">
        <v>10983.922190399127</v>
      </c>
      <c r="AY228">
        <v>11613.924751142824</v>
      </c>
      <c r="AZ228">
        <v>11990.196237171582</v>
      </c>
      <c r="BA228">
        <v>12229.775253669271</v>
      </c>
      <c r="BB228">
        <v>12458.271036655111</v>
      </c>
      <c r="BC228">
        <v>12068.713625766673</v>
      </c>
      <c r="BD228">
        <v>12436.395811573506</v>
      </c>
      <c r="BE228">
        <v>12587.995064559633</v>
      </c>
      <c r="BF228">
        <v>12824.002891444126</v>
      </c>
      <c r="BG228">
        <v>12802.791721143314</v>
      </c>
      <c r="BH228">
        <v>12803.879737154333</v>
      </c>
      <c r="BI228">
        <v>12955.401481424073</v>
      </c>
      <c r="BJ228">
        <v>13163.195223035675</v>
      </c>
      <c r="BK228">
        <v>13243.902423324596</v>
      </c>
      <c r="BL228">
        <v>11955.59836984789</v>
      </c>
      <c r="BM228">
        <v>12444.326402688701</v>
      </c>
      <c r="BN228">
        <v>12712.223454530023</v>
      </c>
      <c r="BO228">
        <v>12650.961515816594</v>
      </c>
      <c r="BP228">
        <v>12774.915856802114</v>
      </c>
      <c r="BQ228">
        <v>13017.634042297692</v>
      </c>
      <c r="BR228">
        <f t="shared" si="7"/>
        <v>1.132365634506427</v>
      </c>
    </row>
    <row r="229" spans="1:70" x14ac:dyDescent="0.25">
      <c r="A229" t="s">
        <v>210</v>
      </c>
      <c r="B229" t="s">
        <v>503</v>
      </c>
      <c r="C229" t="s">
        <v>434</v>
      </c>
      <c r="AH229">
        <v>12184.199594530304</v>
      </c>
      <c r="AI229">
        <v>12057.935436438156</v>
      </c>
      <c r="AJ229">
        <v>12451.045119794779</v>
      </c>
      <c r="AK229">
        <v>13174.467116411983</v>
      </c>
      <c r="AL229">
        <v>12343.004184898808</v>
      </c>
      <c r="AM229">
        <v>13099.257526761219</v>
      </c>
      <c r="AN229">
        <v>13826.920109707196</v>
      </c>
      <c r="AO229">
        <v>14631.295881473921</v>
      </c>
      <c r="AP229">
        <v>14704.338574420659</v>
      </c>
      <c r="AQ229">
        <v>14066.18962572332</v>
      </c>
      <c r="AR229">
        <v>14856.914625256999</v>
      </c>
      <c r="AS229">
        <v>13872.128728456584</v>
      </c>
      <c r="AT229">
        <v>14587.894621655971</v>
      </c>
      <c r="AU229">
        <v>15255.717796068884</v>
      </c>
      <c r="AV229">
        <v>16583.883709406215</v>
      </c>
      <c r="AW229">
        <v>17902.596600448669</v>
      </c>
      <c r="AX229">
        <v>18972.008956363203</v>
      </c>
      <c r="AY229">
        <v>19909.083519674987</v>
      </c>
      <c r="AZ229">
        <v>19839.584546226881</v>
      </c>
      <c r="BA229">
        <v>18612.19252319049</v>
      </c>
      <c r="BB229">
        <v>19897.446483688651</v>
      </c>
      <c r="BC229">
        <v>21760.429192363361</v>
      </c>
      <c r="BD229">
        <v>22517.714828787513</v>
      </c>
      <c r="BE229">
        <v>24117.312109983872</v>
      </c>
      <c r="BF229">
        <v>24888.852174257572</v>
      </c>
      <c r="BG229">
        <v>25984.802730617721</v>
      </c>
      <c r="BH229">
        <v>26489.643681604568</v>
      </c>
      <c r="BI229">
        <v>28194.688309381043</v>
      </c>
      <c r="BJ229">
        <v>28780.30364581514</v>
      </c>
      <c r="BK229">
        <v>28741.05350827015</v>
      </c>
      <c r="BL229">
        <v>28976.717916161066</v>
      </c>
      <c r="BM229">
        <v>32105.547440050563</v>
      </c>
      <c r="BN229">
        <v>33520.811138420824</v>
      </c>
      <c r="BO229">
        <v>35069.170171468468</v>
      </c>
      <c r="BP229">
        <v>36154.490436557004</v>
      </c>
      <c r="BQ229">
        <v>37300.748573935431</v>
      </c>
      <c r="BR229">
        <f t="shared" si="7"/>
        <v>3.8207990318745999</v>
      </c>
    </row>
    <row r="230" spans="1:70" x14ac:dyDescent="0.25">
      <c r="A230" t="s">
        <v>211</v>
      </c>
      <c r="B230" t="s">
        <v>565</v>
      </c>
      <c r="C230" t="s">
        <v>434</v>
      </c>
      <c r="AH230">
        <v>7850.7132894321112</v>
      </c>
      <c r="AI230">
        <v>7304.0072888914792</v>
      </c>
      <c r="AJ230">
        <v>6071.08330709863</v>
      </c>
      <c r="AK230">
        <v>6028.1027314614039</v>
      </c>
      <c r="AL230">
        <v>4883.217141930144</v>
      </c>
      <c r="AM230">
        <v>4451.0280934950188</v>
      </c>
      <c r="AN230">
        <v>4668.3634267005855</v>
      </c>
      <c r="AO230">
        <v>4066.6308925201429</v>
      </c>
      <c r="AP230">
        <v>4282.5071457128179</v>
      </c>
      <c r="AQ230">
        <v>4898.4237536003529</v>
      </c>
      <c r="AR230">
        <v>5064.287824186852</v>
      </c>
      <c r="AS230">
        <v>5179.4644667610601</v>
      </c>
      <c r="AT230">
        <v>5090.3809518374383</v>
      </c>
      <c r="AU230">
        <v>5154.750981461405</v>
      </c>
      <c r="AV230">
        <v>5309.6453938248651</v>
      </c>
      <c r="AW230">
        <v>5889.8465774261604</v>
      </c>
      <c r="AX230">
        <v>6415.7129085497736</v>
      </c>
      <c r="AY230">
        <v>6993.5291156707626</v>
      </c>
      <c r="AZ230">
        <v>7870.0271753063025</v>
      </c>
      <c r="BA230">
        <v>8186.8783325304503</v>
      </c>
      <c r="BB230">
        <v>8758.8968668050838</v>
      </c>
      <c r="BC230">
        <v>9837.5634551345829</v>
      </c>
      <c r="BD230">
        <v>10689.35373472846</v>
      </c>
      <c r="BE230">
        <v>11516.374123452684</v>
      </c>
      <c r="BF230">
        <v>12423.924641774463</v>
      </c>
      <c r="BG230">
        <v>12926.663730696631</v>
      </c>
      <c r="BH230">
        <v>13420.384971747111</v>
      </c>
      <c r="BI230">
        <v>13963.404587729548</v>
      </c>
      <c r="BJ230">
        <v>14499.168437760627</v>
      </c>
      <c r="BK230">
        <v>15080.903400769335</v>
      </c>
      <c r="BL230">
        <v>15630.914519252932</v>
      </c>
      <c r="BM230">
        <v>16259.870005188437</v>
      </c>
      <c r="BN230">
        <v>16943.604603714073</v>
      </c>
      <c r="BO230">
        <v>17685.858592928169</v>
      </c>
      <c r="BP230">
        <v>18470.743845074405</v>
      </c>
      <c r="BQ230">
        <v>19313.943026202469</v>
      </c>
      <c r="BR230">
        <f t="shared" si="7"/>
        <v>4.397108277533035</v>
      </c>
    </row>
    <row r="231" spans="1:70" x14ac:dyDescent="0.25">
      <c r="A231" t="s">
        <v>212</v>
      </c>
      <c r="B231" t="s">
        <v>652</v>
      </c>
      <c r="C231" t="s">
        <v>434</v>
      </c>
      <c r="AH231">
        <v>3120.2811318454469</v>
      </c>
      <c r="AI231">
        <v>3185.8237790901876</v>
      </c>
      <c r="AJ231">
        <v>3234.8142165489871</v>
      </c>
      <c r="AK231">
        <v>3335.3168572806435</v>
      </c>
      <c r="AL231">
        <v>3645.9396466258622</v>
      </c>
      <c r="AM231">
        <v>3436.2352957840108</v>
      </c>
      <c r="AN231">
        <v>3209.9428406168599</v>
      </c>
      <c r="AO231">
        <v>3509.2558546393675</v>
      </c>
      <c r="AP231">
        <v>4031.3591666361281</v>
      </c>
      <c r="AQ231">
        <v>3949.5087223941123</v>
      </c>
      <c r="AR231">
        <v>3893.2967661441148</v>
      </c>
      <c r="AS231">
        <v>3903.2031013316087</v>
      </c>
      <c r="AT231">
        <v>4211.5899321432062</v>
      </c>
      <c r="AU231">
        <v>3998.4360743815978</v>
      </c>
      <c r="AV231">
        <v>3874.5826682284437</v>
      </c>
      <c r="AW231">
        <v>3682.8917592623238</v>
      </c>
      <c r="AX231">
        <v>3687.7712331277835</v>
      </c>
      <c r="AY231">
        <v>3893.6425997540759</v>
      </c>
      <c r="AZ231">
        <v>4093.9247395163229</v>
      </c>
      <c r="BA231">
        <v>3812.1392957082739</v>
      </c>
      <c r="BB231">
        <v>3664.4503459878924</v>
      </c>
      <c r="BC231">
        <v>3879.3490996994951</v>
      </c>
      <c r="BD231">
        <v>3715.6004695661341</v>
      </c>
      <c r="BE231">
        <v>3833.489554561806</v>
      </c>
      <c r="BF231">
        <v>3903.4345149877986</v>
      </c>
      <c r="BG231">
        <v>4277.7146690272975</v>
      </c>
      <c r="BH231">
        <v>4495.5721569248562</v>
      </c>
      <c r="BI231">
        <v>4668.5437668472723</v>
      </c>
      <c r="BJ231">
        <v>4785.2328996507749</v>
      </c>
      <c r="BK231">
        <v>5515.8995372079353</v>
      </c>
      <c r="BL231">
        <v>5442.3632112129344</v>
      </c>
      <c r="BM231">
        <v>5551.808419992477</v>
      </c>
      <c r="BN231">
        <v>5044.5398457891133</v>
      </c>
      <c r="BO231">
        <v>5315.1630102810386</v>
      </c>
      <c r="BP231">
        <v>5592.1872360265943</v>
      </c>
      <c r="BQ231">
        <v>5776.0784938484458</v>
      </c>
      <c r="BR231">
        <f t="shared" si="7"/>
        <v>0.9949489046402471</v>
      </c>
    </row>
    <row r="232" spans="1:70" x14ac:dyDescent="0.25">
      <c r="A232" t="s">
        <v>213</v>
      </c>
      <c r="B232" t="s">
        <v>697</v>
      </c>
      <c r="C232" t="s">
        <v>434</v>
      </c>
      <c r="AH232">
        <v>1080.0383098039811</v>
      </c>
      <c r="AI232">
        <v>1103.2289727883465</v>
      </c>
      <c r="AJ232">
        <v>1102.7299214570101</v>
      </c>
      <c r="AK232">
        <v>1153.9936907031818</v>
      </c>
      <c r="AL232">
        <v>1187.3678054173429</v>
      </c>
      <c r="AM232">
        <v>1288.508866743482</v>
      </c>
      <c r="AN232">
        <v>1367.9457376493572</v>
      </c>
      <c r="AO232">
        <v>1396.6310691521821</v>
      </c>
      <c r="AP232">
        <v>1422.2078918470515</v>
      </c>
      <c r="AQ232">
        <v>1487.7579617887397</v>
      </c>
      <c r="AR232">
        <v>1487.0049885351191</v>
      </c>
      <c r="AS232">
        <v>1516.9642375569515</v>
      </c>
      <c r="AT232">
        <v>1598.5828380848989</v>
      </c>
      <c r="AU232">
        <v>1649.1482601447972</v>
      </c>
      <c r="AV232">
        <v>1709.3615921685739</v>
      </c>
      <c r="AW232">
        <v>1765.0378845706573</v>
      </c>
      <c r="AX232">
        <v>1898.9791528047851</v>
      </c>
      <c r="AY232">
        <v>1999.0624896434049</v>
      </c>
      <c r="AZ232">
        <v>2110.1004927150311</v>
      </c>
      <c r="BA232">
        <v>2188.2991624632741</v>
      </c>
      <c r="BB232">
        <v>2244.6059519458368</v>
      </c>
      <c r="BC232">
        <v>2384.4653273154049</v>
      </c>
      <c r="BD232">
        <v>2405.0945593276738</v>
      </c>
      <c r="BE232">
        <v>2420.8880808726617</v>
      </c>
      <c r="BF232">
        <v>2470.5038090959815</v>
      </c>
      <c r="BG232">
        <v>2520.0201028842985</v>
      </c>
      <c r="BH232">
        <v>2554.2276906207285</v>
      </c>
      <c r="BI232">
        <v>2543.8475439495646</v>
      </c>
      <c r="BJ232">
        <v>2613.8797641396313</v>
      </c>
      <c r="BK232">
        <v>2689.4100914491924</v>
      </c>
      <c r="BL232">
        <v>2678.0090720229268</v>
      </c>
      <c r="BM232">
        <v>2684.9203593974353</v>
      </c>
      <c r="BN232">
        <v>2724.9060956840863</v>
      </c>
      <c r="BO232">
        <v>2791.0557688586127</v>
      </c>
      <c r="BP232">
        <v>2879.6700929037611</v>
      </c>
      <c r="BQ232">
        <v>2980.3794213550145</v>
      </c>
      <c r="BR232">
        <f t="shared" si="7"/>
        <v>2.644347191692531</v>
      </c>
    </row>
    <row r="233" spans="1:70" x14ac:dyDescent="0.25">
      <c r="A233" t="s">
        <v>214</v>
      </c>
      <c r="B233" t="s">
        <v>582</v>
      </c>
      <c r="C233" t="s">
        <v>434</v>
      </c>
      <c r="AH233">
        <v>22815.798828125</v>
      </c>
      <c r="AI233">
        <v>20784.16015625</v>
      </c>
      <c r="AJ233">
        <v>18671.873046875</v>
      </c>
      <c r="AK233">
        <v>16012.3720703125</v>
      </c>
      <c r="AL233">
        <v>12410.525390625</v>
      </c>
      <c r="AM233">
        <v>10983.0087890625</v>
      </c>
      <c r="AN233">
        <v>9969.5009765625</v>
      </c>
      <c r="AO233">
        <v>9754.0498046875</v>
      </c>
      <c r="AP233">
        <v>9646.0546875</v>
      </c>
      <c r="AQ233">
        <v>9704.4453125</v>
      </c>
      <c r="AR233">
        <v>10364.0625</v>
      </c>
      <c r="AS233">
        <v>11379.3857421875</v>
      </c>
      <c r="AT233">
        <v>12092.7890625</v>
      </c>
      <c r="AU233">
        <v>13342.8798828125</v>
      </c>
      <c r="AV233">
        <v>15021.06640625</v>
      </c>
      <c r="AW233">
        <v>15610.5732421875</v>
      </c>
      <c r="AX233">
        <v>16901.5078125</v>
      </c>
      <c r="AY233">
        <v>18374.013671875</v>
      </c>
      <c r="AZ233">
        <v>18883.986328125</v>
      </c>
      <c r="BA233">
        <v>16092.7958984375</v>
      </c>
      <c r="BB233">
        <v>16811.794921875</v>
      </c>
      <c r="BC233">
        <v>17783.95703125</v>
      </c>
      <c r="BD233">
        <v>17848.740234375</v>
      </c>
      <c r="BE233">
        <v>17889.091796875</v>
      </c>
      <c r="BF233">
        <v>16978.8125</v>
      </c>
      <c r="BG233">
        <v>15403.7099609375</v>
      </c>
      <c r="BH233">
        <v>15856.8125</v>
      </c>
      <c r="BI233">
        <v>16310.3603515625</v>
      </c>
      <c r="BJ233">
        <v>16978.984375</v>
      </c>
      <c r="BK233">
        <v>17636.5546875</v>
      </c>
      <c r="BL233">
        <v>17092.5390625</v>
      </c>
      <c r="BM233">
        <v>17846.408203125</v>
      </c>
      <c r="BN233">
        <v>13787.12109375</v>
      </c>
      <c r="BO233">
        <v>15916.9580078125</v>
      </c>
      <c r="BP233">
        <v>16371.44140625</v>
      </c>
      <c r="BQ233">
        <v>16155.0732421875</v>
      </c>
      <c r="BR233">
        <f t="shared" si="7"/>
        <v>-2.4584781460589844</v>
      </c>
    </row>
    <row r="234" spans="1:70" x14ac:dyDescent="0.25">
      <c r="A234" t="s">
        <v>215</v>
      </c>
      <c r="B234" t="s">
        <v>727</v>
      </c>
      <c r="C234" t="s">
        <v>434</v>
      </c>
      <c r="AH234">
        <v>111376.98437342494</v>
      </c>
      <c r="AI234">
        <v>106266.15762522527</v>
      </c>
      <c r="AJ234">
        <v>104207.05913355396</v>
      </c>
      <c r="AK234">
        <v>100422.8324704774</v>
      </c>
      <c r="AL234">
        <v>102456.23994258065</v>
      </c>
      <c r="AM234">
        <v>104527.84824057725</v>
      </c>
      <c r="AN234">
        <v>103653.54271010422</v>
      </c>
      <c r="AO234">
        <v>103392.37945713819</v>
      </c>
      <c r="AP234">
        <v>96088.658727197166</v>
      </c>
      <c r="AQ234">
        <v>92047.610465598525</v>
      </c>
      <c r="AR234">
        <v>95390.832885832089</v>
      </c>
      <c r="AS234">
        <v>90750.325792645439</v>
      </c>
      <c r="AT234">
        <v>87479.154535086243</v>
      </c>
      <c r="AU234">
        <v>89828.493399274012</v>
      </c>
      <c r="AV234">
        <v>93166.15688637839</v>
      </c>
      <c r="AW234">
        <v>92750.922634199407</v>
      </c>
      <c r="AX234">
        <v>94872.512132957767</v>
      </c>
      <c r="AY234">
        <v>87180.600163354611</v>
      </c>
      <c r="AZ234">
        <v>80285.161306210342</v>
      </c>
      <c r="BA234">
        <v>71488.969679210059</v>
      </c>
      <c r="BB234">
        <v>70913.756927249502</v>
      </c>
      <c r="BC234">
        <v>73190.405630001405</v>
      </c>
      <c r="BD234">
        <v>73644.054992888356</v>
      </c>
      <c r="BE234">
        <v>74237.203800031872</v>
      </c>
      <c r="BF234">
        <v>74145.117544895125</v>
      </c>
      <c r="BG234">
        <v>75238.557185845377</v>
      </c>
      <c r="BH234">
        <v>75671.036861385015</v>
      </c>
      <c r="BI234">
        <v>72529.042351236494</v>
      </c>
      <c r="BJ234">
        <v>72671.07872887644</v>
      </c>
      <c r="BK234">
        <v>72822.946643892152</v>
      </c>
      <c r="BL234">
        <v>66808.620925602823</v>
      </c>
      <c r="BM234">
        <v>68580.131291267637</v>
      </c>
      <c r="BN234">
        <v>70075.638373949987</v>
      </c>
      <c r="BO234">
        <v>70239.832833722845</v>
      </c>
      <c r="BP234">
        <v>69701.785835525021</v>
      </c>
      <c r="BQ234" s="200">
        <v>69701.785835525021</v>
      </c>
      <c r="BR234">
        <f t="shared" si="7"/>
        <v>0.40640051941513988</v>
      </c>
    </row>
    <row r="235" spans="1:70" x14ac:dyDescent="0.25">
      <c r="A235" t="s">
        <v>216</v>
      </c>
      <c r="B235" t="s">
        <v>473</v>
      </c>
      <c r="C235" t="s">
        <v>434</v>
      </c>
      <c r="AH235">
        <v>33530.957815154557</v>
      </c>
      <c r="AI235">
        <v>32995.394874905454</v>
      </c>
      <c r="AJ235">
        <v>33332.33263890227</v>
      </c>
      <c r="AK235">
        <v>34413.190491646172</v>
      </c>
      <c r="AL235">
        <v>36025.983096367687</v>
      </c>
      <c r="AM235">
        <v>37200.378996948377</v>
      </c>
      <c r="AN235">
        <v>38076.062447056254</v>
      </c>
      <c r="AO235">
        <v>39831.449255582338</v>
      </c>
      <c r="AP235">
        <v>41004.838633528729</v>
      </c>
      <c r="AQ235">
        <v>42071.705536965128</v>
      </c>
      <c r="AR235">
        <v>43818.346307944346</v>
      </c>
      <c r="AS235">
        <v>44693.661262175519</v>
      </c>
      <c r="AT235">
        <v>45265.456516994396</v>
      </c>
      <c r="AU235">
        <v>46505.279880678798</v>
      </c>
      <c r="AV235">
        <v>47317.027070979006</v>
      </c>
      <c r="AW235">
        <v>48304.675320593189</v>
      </c>
      <c r="AX235">
        <v>49000.953538224072</v>
      </c>
      <c r="AY235">
        <v>50045.91630925193</v>
      </c>
      <c r="AZ235">
        <v>49629.049869734918</v>
      </c>
      <c r="BA235">
        <v>46995.544996194512</v>
      </c>
      <c r="BB235">
        <v>47682.652515044261</v>
      </c>
      <c r="BC235">
        <v>47714.289426282689</v>
      </c>
      <c r="BD235">
        <v>48099.659440194227</v>
      </c>
      <c r="BE235">
        <v>48600.510080726577</v>
      </c>
      <c r="BF235">
        <v>49763.173879879992</v>
      </c>
      <c r="BG235">
        <v>50462.832999247694</v>
      </c>
      <c r="BH235">
        <v>51168.292579681351</v>
      </c>
      <c r="BI235">
        <v>52429.127553898805</v>
      </c>
      <c r="BJ235">
        <v>52983.03954119698</v>
      </c>
      <c r="BK235">
        <v>53374.092762848173</v>
      </c>
      <c r="BL235">
        <v>47930.549037893099</v>
      </c>
      <c r="BM235">
        <v>51840.442424551533</v>
      </c>
      <c r="BN235">
        <v>53979.767911623363</v>
      </c>
      <c r="BO235">
        <v>53423.422633829156</v>
      </c>
      <c r="BP235">
        <v>53412.064716358909</v>
      </c>
      <c r="BQ235">
        <v>53993.117260788495</v>
      </c>
      <c r="BR235">
        <f t="shared" si="7"/>
        <v>1.0223403995800018</v>
      </c>
    </row>
    <row r="236" spans="1:70" x14ac:dyDescent="0.25">
      <c r="A236" t="s">
        <v>217</v>
      </c>
      <c r="B236" t="s">
        <v>443</v>
      </c>
      <c r="C236" t="s">
        <v>434</v>
      </c>
      <c r="AH236">
        <v>44384.210191260609</v>
      </c>
      <c r="AI236">
        <v>43747.630735174913</v>
      </c>
      <c r="AJ236">
        <v>44664.873585595997</v>
      </c>
      <c r="AK236">
        <v>45292.738068309176</v>
      </c>
      <c r="AL236">
        <v>46543.319920455331</v>
      </c>
      <c r="AM236">
        <v>47227.008325700823</v>
      </c>
      <c r="AN236">
        <v>48441.906112556833</v>
      </c>
      <c r="AO236">
        <v>49990.674073912465</v>
      </c>
      <c r="AP236">
        <v>51626.483829786303</v>
      </c>
      <c r="AQ236">
        <v>53480.896996241565</v>
      </c>
      <c r="AR236">
        <v>55045.674531155943</v>
      </c>
      <c r="AS236">
        <v>55024.354276628139</v>
      </c>
      <c r="AT236">
        <v>55443.219943568329</v>
      </c>
      <c r="AU236">
        <v>56505.446878411203</v>
      </c>
      <c r="AV236">
        <v>58139.082019522946</v>
      </c>
      <c r="AW236">
        <v>59612.390721555887</v>
      </c>
      <c r="AX236">
        <v>60684.339983253922</v>
      </c>
      <c r="AY236">
        <v>61314.452081636737</v>
      </c>
      <c r="AZ236">
        <v>60806.223871371323</v>
      </c>
      <c r="BA236">
        <v>58722.496767250959</v>
      </c>
      <c r="BB236">
        <v>59797.073654593652</v>
      </c>
      <c r="BC236">
        <v>60253.203579671892</v>
      </c>
      <c r="BD236">
        <v>61142.363703426468</v>
      </c>
      <c r="BE236">
        <v>61966.662137089399</v>
      </c>
      <c r="BF236">
        <v>63026.8779187814</v>
      </c>
      <c r="BG236">
        <v>64367.718891258199</v>
      </c>
      <c r="BH236">
        <v>65025.985598061583</v>
      </c>
      <c r="BI236">
        <v>66164.032001428932</v>
      </c>
      <c r="BJ236">
        <v>67728.44249210236</v>
      </c>
      <c r="BK236">
        <v>69121.45800167408</v>
      </c>
      <c r="BL236">
        <v>67406.831132550695</v>
      </c>
      <c r="BM236">
        <v>71441.231980594981</v>
      </c>
      <c r="BN236">
        <v>72828.743090718926</v>
      </c>
      <c r="BO236">
        <v>74351.6718197429</v>
      </c>
      <c r="BP236">
        <v>75698.177335462897</v>
      </c>
      <c r="BQ236">
        <v>76931.310699040827</v>
      </c>
      <c r="BR236">
        <f t="shared" si="7"/>
        <v>1.8681804916194755</v>
      </c>
    </row>
    <row r="237" spans="1:70" x14ac:dyDescent="0.25">
      <c r="A237" t="s">
        <v>546</v>
      </c>
      <c r="B237" t="s">
        <v>547</v>
      </c>
      <c r="C237" t="s">
        <v>434</v>
      </c>
      <c r="AH237">
        <v>5810.4196191022811</v>
      </c>
      <c r="AI237">
        <v>5832.2626941149265</v>
      </c>
      <c r="AJ237">
        <v>5937.9267347010618</v>
      </c>
      <c r="AK237">
        <v>6118.0618933608685</v>
      </c>
      <c r="AL237">
        <v>6270.838657132168</v>
      </c>
      <c r="AM237">
        <v>6432.6854002758182</v>
      </c>
      <c r="AN237">
        <v>6714.8088077637021</v>
      </c>
      <c r="AO237">
        <v>7003.1356321919829</v>
      </c>
      <c r="AP237">
        <v>7065.4094690857564</v>
      </c>
      <c r="AQ237">
        <v>7193.2270798724239</v>
      </c>
      <c r="AR237">
        <v>7534.4660130418615</v>
      </c>
      <c r="AS237">
        <v>7707.8333679788175</v>
      </c>
      <c r="AT237">
        <v>7995.2689587463883</v>
      </c>
      <c r="AU237">
        <v>8370.3223502501551</v>
      </c>
      <c r="AV237">
        <v>8939.4315710973005</v>
      </c>
      <c r="AW237">
        <v>9482.4731602440206</v>
      </c>
      <c r="AX237">
        <v>10156.828579811714</v>
      </c>
      <c r="AY237">
        <v>10958.71420050815</v>
      </c>
      <c r="AZ237">
        <v>11494.890338163801</v>
      </c>
      <c r="BA237">
        <v>11694.22211590181</v>
      </c>
      <c r="BB237">
        <v>12531.0895213844</v>
      </c>
      <c r="BC237">
        <v>13236.515304433973</v>
      </c>
      <c r="BD237">
        <v>13822.304687447589</v>
      </c>
      <c r="BE237">
        <v>14423.829534843504</v>
      </c>
      <c r="BF237">
        <v>14947.240347652603</v>
      </c>
      <c r="BG237">
        <v>15424.561586806358</v>
      </c>
      <c r="BH237">
        <v>15979.553621269999</v>
      </c>
      <c r="BI237">
        <v>16662.428438736806</v>
      </c>
      <c r="BJ237">
        <v>17308.085021770163</v>
      </c>
      <c r="BK237">
        <v>17882.204845781391</v>
      </c>
      <c r="BL237">
        <v>17611.743445507633</v>
      </c>
      <c r="BM237">
        <v>18796.441497947977</v>
      </c>
      <c r="BN237">
        <v>19378.709559405674</v>
      </c>
      <c r="BO237">
        <v>20194.443719540137</v>
      </c>
      <c r="BP237">
        <v>20967.358945974807</v>
      </c>
      <c r="BQ237">
        <v>21748.878185746355</v>
      </c>
      <c r="BR237">
        <f t="shared" si="7"/>
        <v>3.7146977075639853</v>
      </c>
    </row>
    <row r="238" spans="1:70" x14ac:dyDescent="0.25">
      <c r="A238" t="s">
        <v>218</v>
      </c>
      <c r="B238" t="s">
        <v>511</v>
      </c>
      <c r="C238" t="s">
        <v>434</v>
      </c>
      <c r="AH238">
        <v>14060.840153105331</v>
      </c>
      <c r="AI238">
        <v>14474.727230812827</v>
      </c>
      <c r="AJ238">
        <v>15536.481327518706</v>
      </c>
      <c r="AK238">
        <v>15865.271509200198</v>
      </c>
      <c r="AL238">
        <v>16932.022044973492</v>
      </c>
      <c r="AM238">
        <v>16600.032904195374</v>
      </c>
      <c r="AN238">
        <v>17433.686685162833</v>
      </c>
      <c r="AO238">
        <v>18823.934790748033</v>
      </c>
      <c r="AP238">
        <v>19577.782554763227</v>
      </c>
      <c r="AQ238">
        <v>19192.71030258169</v>
      </c>
      <c r="AR238">
        <v>18752.050712193781</v>
      </c>
      <c r="AS238">
        <v>17986.893950211532</v>
      </c>
      <c r="AT238">
        <v>16572.781901932496</v>
      </c>
      <c r="AU238">
        <v>16694.432603024401</v>
      </c>
      <c r="AV238">
        <v>17519.372992674402</v>
      </c>
      <c r="AW238">
        <v>18811.312475564111</v>
      </c>
      <c r="AX238">
        <v>19560.074350638242</v>
      </c>
      <c r="AY238">
        <v>20803.885306174969</v>
      </c>
      <c r="AZ238">
        <v>22249.375093442453</v>
      </c>
      <c r="BA238">
        <v>23138.073309149564</v>
      </c>
      <c r="BB238">
        <v>24879.825600321859</v>
      </c>
      <c r="BC238">
        <v>26099.311648770439</v>
      </c>
      <c r="BD238">
        <v>26953.270902638887</v>
      </c>
      <c r="BE238">
        <v>28119.472688743212</v>
      </c>
      <c r="BF238">
        <v>28935.086486756984</v>
      </c>
      <c r="BG238">
        <v>28941.618454058142</v>
      </c>
      <c r="BH238">
        <v>29332.556156881485</v>
      </c>
      <c r="BI238">
        <v>29762.422066660503</v>
      </c>
      <c r="BJ238">
        <v>29757.927605541459</v>
      </c>
      <c r="BK238">
        <v>30010.562883429426</v>
      </c>
      <c r="BL238">
        <v>27788.174960019605</v>
      </c>
      <c r="BM238">
        <v>29431.873883336113</v>
      </c>
      <c r="BN238">
        <v>30840.07098276756</v>
      </c>
      <c r="BO238">
        <v>31100.969688988171</v>
      </c>
      <c r="BP238">
        <v>32149.480073985993</v>
      </c>
      <c r="BQ238">
        <v>32741.624687790783</v>
      </c>
      <c r="BR238">
        <f t="shared" si="7"/>
        <v>2.7000317879943392</v>
      </c>
    </row>
    <row r="239" spans="1:70" x14ac:dyDescent="0.25">
      <c r="A239" t="s">
        <v>219</v>
      </c>
      <c r="B239" t="s">
        <v>609</v>
      </c>
      <c r="C239" t="s">
        <v>434</v>
      </c>
      <c r="AH239">
        <v>4239.5864910877881</v>
      </c>
      <c r="AI239">
        <v>4118.5158584812243</v>
      </c>
      <c r="AJ239">
        <v>3568.3553861045666</v>
      </c>
      <c r="AK239">
        <v>3406.5518406218271</v>
      </c>
      <c r="AL239">
        <v>3161.0749705357616</v>
      </c>
      <c r="AM239">
        <v>3070.5269044514084</v>
      </c>
      <c r="AN239">
        <v>3064.637122785367</v>
      </c>
      <c r="AO239">
        <v>3168.7727892805451</v>
      </c>
      <c r="AP239">
        <v>3253.5449358992528</v>
      </c>
      <c r="AQ239">
        <v>3346.1588710370979</v>
      </c>
      <c r="AR239">
        <v>3430.8837080889552</v>
      </c>
      <c r="AS239">
        <v>3530.5496647712048</v>
      </c>
      <c r="AT239">
        <v>3626.0778561492934</v>
      </c>
      <c r="AU239">
        <v>3733.7981934739419</v>
      </c>
      <c r="AV239">
        <v>3962.9011706112774</v>
      </c>
      <c r="AW239">
        <v>4185.6394767573374</v>
      </c>
      <c r="AX239">
        <v>4439.9066720562269</v>
      </c>
      <c r="AY239">
        <v>4792.8290951140971</v>
      </c>
      <c r="AZ239">
        <v>5145.991833784793</v>
      </c>
      <c r="BA239">
        <v>5471.8201368388827</v>
      </c>
      <c r="BB239">
        <v>5794.9803770435774</v>
      </c>
      <c r="BC239">
        <v>6170.8414974753368</v>
      </c>
      <c r="BD239">
        <v>6525.4971525888996</v>
      </c>
      <c r="BE239">
        <v>6932.9337122858597</v>
      </c>
      <c r="BF239">
        <v>7344.4430440562319</v>
      </c>
      <c r="BG239">
        <v>7792.2360598371288</v>
      </c>
      <c r="BH239">
        <v>8172.9216949615002</v>
      </c>
      <c r="BI239">
        <v>8413.2997529949444</v>
      </c>
      <c r="BJ239">
        <v>8742.5491991216022</v>
      </c>
      <c r="BK239">
        <v>9169.011475083511</v>
      </c>
      <c r="BL239">
        <v>9145.2311984423905</v>
      </c>
      <c r="BM239">
        <v>9705.6005456569237</v>
      </c>
      <c r="BN239">
        <v>10091.387786999891</v>
      </c>
      <c r="BO239">
        <v>10514.09557214471</v>
      </c>
      <c r="BP239">
        <v>10997.170729164414</v>
      </c>
      <c r="BQ239">
        <v>11622.855624353117</v>
      </c>
      <c r="BR239">
        <f t="shared" si="7"/>
        <v>4.609856784656996</v>
      </c>
    </row>
    <row r="240" spans="1:70" x14ac:dyDescent="0.25">
      <c r="A240" t="s">
        <v>220</v>
      </c>
      <c r="B240" t="s">
        <v>683</v>
      </c>
      <c r="C240" t="s">
        <v>434</v>
      </c>
      <c r="AH240">
        <v>3531.7875046593163</v>
      </c>
      <c r="AI240">
        <v>3553.4372893077466</v>
      </c>
      <c r="AJ240">
        <v>3555.9372884422819</v>
      </c>
      <c r="AK240">
        <v>3495.4927526250699</v>
      </c>
      <c r="AL240">
        <v>3723.0244358791228</v>
      </c>
      <c r="AM240">
        <v>3674.3881939310336</v>
      </c>
      <c r="AN240">
        <v>3676.8785893168897</v>
      </c>
      <c r="AO240">
        <v>3775.2358730765318</v>
      </c>
      <c r="AP240">
        <v>3740.6852165467117</v>
      </c>
      <c r="AQ240">
        <v>3676.2974160212739</v>
      </c>
      <c r="AR240">
        <v>3805.6222730935278</v>
      </c>
      <c r="AS240">
        <v>3584.9110698381569</v>
      </c>
      <c r="AT240">
        <v>3314.7125520690529</v>
      </c>
      <c r="AU240">
        <v>3372.7729724927144</v>
      </c>
      <c r="AV240">
        <v>3422.6081775937541</v>
      </c>
      <c r="AW240">
        <v>3517.8461985746135</v>
      </c>
      <c r="AX240">
        <v>3724.2474169994493</v>
      </c>
      <c r="AY240">
        <v>3738.66656241804</v>
      </c>
      <c r="AZ240">
        <v>3850.2790246862764</v>
      </c>
      <c r="BA240">
        <v>3867.7579928013492</v>
      </c>
      <c r="BB240">
        <v>3825.7565357161334</v>
      </c>
      <c r="BC240">
        <v>3861.1822300230929</v>
      </c>
      <c r="BD240">
        <v>3815.418952468156</v>
      </c>
      <c r="BE240">
        <v>3748.7650902567921</v>
      </c>
      <c r="BF240">
        <v>3779.6494116599811</v>
      </c>
      <c r="BG240">
        <v>3825.8123140022908</v>
      </c>
      <c r="BH240">
        <v>3877.0835464354845</v>
      </c>
      <c r="BI240">
        <v>3947.6782419320293</v>
      </c>
      <c r="BJ240">
        <v>3951.1845312259202</v>
      </c>
      <c r="BK240">
        <v>3986.6562002147189</v>
      </c>
      <c r="BL240">
        <v>3671.9739056530307</v>
      </c>
      <c r="BM240">
        <v>3546.080218968717</v>
      </c>
      <c r="BN240">
        <v>3658.5187118204631</v>
      </c>
      <c r="BO240">
        <v>3782.8264902941787</v>
      </c>
      <c r="BP240">
        <v>3837.0393744604821</v>
      </c>
      <c r="BQ240">
        <v>3866.9981490167361</v>
      </c>
      <c r="BR240">
        <f t="shared" si="7"/>
        <v>2.1895183193960444</v>
      </c>
    </row>
    <row r="241" spans="1:70" x14ac:dyDescent="0.25">
      <c r="A241" t="s">
        <v>221</v>
      </c>
      <c r="B241" t="s">
        <v>728</v>
      </c>
      <c r="C241" t="s">
        <v>434</v>
      </c>
      <c r="BQ241" s="200"/>
      <c r="BR241">
        <v>0</v>
      </c>
    </row>
    <row r="242" spans="1:70" x14ac:dyDescent="0.25">
      <c r="A242" t="s">
        <v>222</v>
      </c>
      <c r="B242" t="s">
        <v>587</v>
      </c>
      <c r="C242" t="s">
        <v>434</v>
      </c>
      <c r="AH242">
        <v>2467.9646008046329</v>
      </c>
      <c r="AI242">
        <v>2560.8438349616417</v>
      </c>
      <c r="AJ242">
        <v>2726.4737374848723</v>
      </c>
      <c r="AK242">
        <v>2890.4243173776131</v>
      </c>
      <c r="AL242">
        <v>3089.6093372563064</v>
      </c>
      <c r="AM242">
        <v>3328.214860395577</v>
      </c>
      <c r="AN242">
        <v>3584.028983351468</v>
      </c>
      <c r="AO242">
        <v>3820.3024948543389</v>
      </c>
      <c r="AP242">
        <v>3982.9580596560331</v>
      </c>
      <c r="AQ242">
        <v>4119.0536720823093</v>
      </c>
      <c r="AR242">
        <v>4349.2234875146223</v>
      </c>
      <c r="AS242">
        <v>4570.2684657738519</v>
      </c>
      <c r="AT242">
        <v>4809.6215111853498</v>
      </c>
      <c r="AU242">
        <v>5090.2899086988455</v>
      </c>
      <c r="AV242">
        <v>5421.0970282912149</v>
      </c>
      <c r="AW242">
        <v>5776.3630445126792</v>
      </c>
      <c r="AX242">
        <v>6098.2449543651401</v>
      </c>
      <c r="AY242">
        <v>6418.5438140287797</v>
      </c>
      <c r="AZ242">
        <v>6659.1356143206549</v>
      </c>
      <c r="BA242">
        <v>6914.3386358954549</v>
      </c>
      <c r="BB242">
        <v>7274.7331069801576</v>
      </c>
      <c r="BC242">
        <v>7652.6189567227102</v>
      </c>
      <c r="BD242">
        <v>7979.8682892685847</v>
      </c>
      <c r="BE242">
        <v>8324.1987125004689</v>
      </c>
      <c r="BF242">
        <v>8751.8828063437486</v>
      </c>
      <c r="BG242">
        <v>9248.0239606962223</v>
      </c>
      <c r="BH242">
        <v>9743.1882231455038</v>
      </c>
      <c r="BI242">
        <v>10290.54871422442</v>
      </c>
      <c r="BJ242">
        <v>10936.893785955768</v>
      </c>
      <c r="BK242">
        <v>11628.613914745056</v>
      </c>
      <c r="BL242">
        <v>11851.396568564898</v>
      </c>
      <c r="BM242">
        <v>12048.901993553598</v>
      </c>
      <c r="BN242">
        <v>12979.763898371073</v>
      </c>
      <c r="BO242">
        <v>13534.799784301644</v>
      </c>
      <c r="BP242">
        <v>14396.421736947304</v>
      </c>
      <c r="BQ242">
        <v>15457.349940354665</v>
      </c>
      <c r="BR242">
        <f>(((BQ242/BM242)^(1/4))-1)*100</f>
        <v>6.4257922491439912</v>
      </c>
    </row>
    <row r="243" spans="1:70" x14ac:dyDescent="0.25">
      <c r="A243" t="s">
        <v>673</v>
      </c>
      <c r="B243" t="s">
        <v>674</v>
      </c>
      <c r="C243" t="s">
        <v>434</v>
      </c>
      <c r="AL243">
        <v>3966.6887505215232</v>
      </c>
      <c r="AM243">
        <v>4062.9629033587698</v>
      </c>
      <c r="AN243">
        <v>3932.2269473285382</v>
      </c>
      <c r="AO243">
        <v>4311.5387674063622</v>
      </c>
      <c r="AP243">
        <v>4805.191568786443</v>
      </c>
      <c r="AQ243">
        <v>5071.8212171904252</v>
      </c>
      <c r="AR243">
        <v>4520.8899253197469</v>
      </c>
      <c r="AS243">
        <v>3996.5087800182114</v>
      </c>
      <c r="AT243">
        <v>3409.1728742269838</v>
      </c>
      <c r="AU243">
        <v>3788.9265272112807</v>
      </c>
      <c r="AV243">
        <v>4503.0803406140903</v>
      </c>
      <c r="AW243">
        <v>4885.0725218444441</v>
      </c>
      <c r="AX243">
        <v>4714.3733179334176</v>
      </c>
      <c r="AY243">
        <v>4769.5232809680065</v>
      </c>
      <c r="AZ243">
        <v>4984.8057989069466</v>
      </c>
      <c r="BA243">
        <v>5270.6633164321947</v>
      </c>
      <c r="BB243">
        <v>5432.2436307252174</v>
      </c>
      <c r="BC243">
        <v>5805.3211532925088</v>
      </c>
      <c r="BD243">
        <v>6009.1092582204219</v>
      </c>
      <c r="BE243">
        <v>6142.2020434259084</v>
      </c>
      <c r="BF243">
        <v>5990.4266152377822</v>
      </c>
      <c r="BG243">
        <v>6072.650317685494</v>
      </c>
      <c r="BH243">
        <v>6464.1335253737134</v>
      </c>
      <c r="BI243">
        <v>6426.7952161533458</v>
      </c>
      <c r="BJ243">
        <v>6342.937480085202</v>
      </c>
      <c r="BK243">
        <v>6269.8913452798488</v>
      </c>
      <c r="BL243">
        <v>5423.6825465312568</v>
      </c>
      <c r="BM243">
        <v>5663.1216074358426</v>
      </c>
      <c r="BN243">
        <v>5753.0839589930729</v>
      </c>
      <c r="BO243">
        <v>5562.4244256395305</v>
      </c>
      <c r="BP243">
        <v>4190.9091133362617</v>
      </c>
      <c r="BQ243">
        <v>4272.4576207701939</v>
      </c>
      <c r="BR243">
        <f>(((BQ243/BM243)^(1/4))-1)*100</f>
        <v>-6.8022411268444998</v>
      </c>
    </row>
    <row r="244" spans="1:70" x14ac:dyDescent="0.25">
      <c r="A244" t="s">
        <v>543</v>
      </c>
      <c r="B244" t="s">
        <v>544</v>
      </c>
      <c r="C244" t="s">
        <v>434</v>
      </c>
      <c r="AH244">
        <v>11275.13397758248</v>
      </c>
      <c r="AI244">
        <v>11183.410692338926</v>
      </c>
      <c r="AJ244">
        <v>11147.557598000007</v>
      </c>
      <c r="AK244">
        <v>11138.332185864501</v>
      </c>
      <c r="AL244">
        <v>11264.777829910663</v>
      </c>
      <c r="AM244">
        <v>11442.8041494803</v>
      </c>
      <c r="AN244">
        <v>11691.707859497321</v>
      </c>
      <c r="AO244">
        <v>11979.723795136812</v>
      </c>
      <c r="AP244">
        <v>12098.403188088047</v>
      </c>
      <c r="AQ244">
        <v>12360.743327420498</v>
      </c>
      <c r="AR244">
        <v>12780.638139149072</v>
      </c>
      <c r="AS244">
        <v>12915.055323879131</v>
      </c>
      <c r="AT244">
        <v>13104.346804387325</v>
      </c>
      <c r="AU244">
        <v>13410.597826656429</v>
      </c>
      <c r="AV244">
        <v>13921.340095510084</v>
      </c>
      <c r="AW244">
        <v>14377.205363834331</v>
      </c>
      <c r="AX244">
        <v>14934.693299132525</v>
      </c>
      <c r="AY244">
        <v>15519.537511647961</v>
      </c>
      <c r="AZ244">
        <v>15756.197391827744</v>
      </c>
      <c r="BA244">
        <v>15456.592508115938</v>
      </c>
      <c r="BB244">
        <v>16050.85284593309</v>
      </c>
      <c r="BC244">
        <v>16478.650872196074</v>
      </c>
      <c r="BD244">
        <v>16785.053881018663</v>
      </c>
      <c r="BE244">
        <v>17121.723178937522</v>
      </c>
      <c r="BF244">
        <v>17502.780459017511</v>
      </c>
      <c r="BG244">
        <v>17870.979740524537</v>
      </c>
      <c r="BH244">
        <v>18234.018766830097</v>
      </c>
      <c r="BI244">
        <v>18714.573677774322</v>
      </c>
      <c r="BJ244">
        <v>19189.492226344624</v>
      </c>
      <c r="BK244">
        <v>19551.085372005204</v>
      </c>
      <c r="BL244">
        <v>18812.492184635095</v>
      </c>
      <c r="BM244">
        <v>19875.56691606087</v>
      </c>
      <c r="BN244">
        <v>20421.733679962017</v>
      </c>
      <c r="BO244">
        <v>20894.866374764926</v>
      </c>
      <c r="BP244">
        <v>21393.184359422608</v>
      </c>
      <c r="BQ244">
        <v>21913.509493453068</v>
      </c>
      <c r="BR244">
        <f>(((BQ244/BM244)^(1/4))-1)*100</f>
        <v>2.4703224473684005</v>
      </c>
    </row>
    <row r="245" spans="1:70" x14ac:dyDescent="0.25">
      <c r="A245" t="s">
        <v>223</v>
      </c>
      <c r="B245" t="s">
        <v>729</v>
      </c>
      <c r="C245" t="s">
        <v>434</v>
      </c>
      <c r="BR245">
        <v>0</v>
      </c>
    </row>
    <row r="246" spans="1:70" x14ac:dyDescent="0.25">
      <c r="A246" t="s">
        <v>224</v>
      </c>
      <c r="B246" t="s">
        <v>686</v>
      </c>
      <c r="C246" t="s">
        <v>434</v>
      </c>
      <c r="AH246">
        <v>2425.1112867838174</v>
      </c>
      <c r="AI246">
        <v>2364.862340399563</v>
      </c>
      <c r="AJ246">
        <v>2268.4981219537804</v>
      </c>
      <c r="AK246">
        <v>2365.6295363077843</v>
      </c>
      <c r="AL246">
        <v>2110.5832556480973</v>
      </c>
      <c r="AM246">
        <v>2119.9564292869727</v>
      </c>
      <c r="AN246">
        <v>2197.1956492524155</v>
      </c>
      <c r="AO246">
        <v>2223.4574544573074</v>
      </c>
      <c r="AP246">
        <v>2157.5733933566721</v>
      </c>
      <c r="AQ246">
        <v>2198.1891299864765</v>
      </c>
      <c r="AR246">
        <v>2220.5653712714038</v>
      </c>
      <c r="AS246">
        <v>2268.9696556459685</v>
      </c>
      <c r="AT246">
        <v>2299.3328918811426</v>
      </c>
      <c r="AU246">
        <v>2383.876117410889</v>
      </c>
      <c r="AV246">
        <v>2471.720733286847</v>
      </c>
      <c r="AW246">
        <v>2564.4756096591168</v>
      </c>
      <c r="AX246">
        <v>2673.4615192852852</v>
      </c>
      <c r="AY246">
        <v>2796.3529332184025</v>
      </c>
      <c r="AZ246">
        <v>2908.1436251066807</v>
      </c>
      <c r="BA246">
        <v>3065.8442010899753</v>
      </c>
      <c r="BB246">
        <v>3266.5074929382849</v>
      </c>
      <c r="BC246">
        <v>3335.6433950065702</v>
      </c>
      <c r="BD246">
        <v>3474.5525284409214</v>
      </c>
      <c r="BE246">
        <v>3535.2244904314402</v>
      </c>
      <c r="BF246">
        <v>3585.5774850713128</v>
      </c>
      <c r="BG246">
        <v>3576.9254483412501</v>
      </c>
      <c r="BH246">
        <v>3598.1716602338947</v>
      </c>
      <c r="BI246">
        <v>3612.5059766459258</v>
      </c>
      <c r="BJ246">
        <v>3646.9596648165461</v>
      </c>
      <c r="BK246">
        <v>3591.5641888310797</v>
      </c>
      <c r="BL246">
        <v>3391.5954115609516</v>
      </c>
      <c r="BM246">
        <v>3503.034914183715</v>
      </c>
      <c r="BN246">
        <v>3585.1237908434655</v>
      </c>
      <c r="BO246">
        <v>3673.4841969922013</v>
      </c>
      <c r="BP246">
        <v>3708.0690429564679</v>
      </c>
      <c r="BQ246">
        <v>3742.2564631649175</v>
      </c>
      <c r="BR246">
        <f>(((BQ246/BM246)^(1/4))-1)*100</f>
        <v>1.665188519901073</v>
      </c>
    </row>
    <row r="247" spans="1:70" x14ac:dyDescent="0.25">
      <c r="A247" t="s">
        <v>225</v>
      </c>
      <c r="B247" t="s">
        <v>654</v>
      </c>
      <c r="C247" t="s">
        <v>434</v>
      </c>
      <c r="AH247">
        <v>6082.8687981761877</v>
      </c>
      <c r="AI247">
        <v>6254.3018248962562</v>
      </c>
      <c r="AJ247">
        <v>5532.061364916718</v>
      </c>
      <c r="AK247">
        <v>5509.1069746081812</v>
      </c>
      <c r="AL247">
        <v>6010.7684523905145</v>
      </c>
      <c r="AM247">
        <v>5964.6152154859719</v>
      </c>
      <c r="AN247">
        <v>6474.1882251418501</v>
      </c>
      <c r="AO247">
        <v>6524.090916152205</v>
      </c>
      <c r="AP247">
        <v>6582.3769301249167</v>
      </c>
      <c r="AQ247">
        <v>6423.7366919837123</v>
      </c>
      <c r="AR247">
        <v>6170.3606345055059</v>
      </c>
      <c r="AS247">
        <v>6217.4387243486317</v>
      </c>
      <c r="AT247">
        <v>5610.2157685969669</v>
      </c>
      <c r="AU247">
        <v>4601.6806784578657</v>
      </c>
      <c r="AV247">
        <v>4287.6168632635181</v>
      </c>
      <c r="AW247">
        <v>4004.6817830124764</v>
      </c>
      <c r="AX247">
        <v>3819.2499711660748</v>
      </c>
      <c r="AY247">
        <v>3631.5533453041148</v>
      </c>
      <c r="AZ247">
        <v>2954.1121191646926</v>
      </c>
      <c r="BA247">
        <v>3299.4280870292173</v>
      </c>
      <c r="BB247">
        <v>3885.4106137375643</v>
      </c>
      <c r="BC247">
        <v>4358.944706743855</v>
      </c>
      <c r="BD247">
        <v>5003.5087339706906</v>
      </c>
      <c r="BE247">
        <v>5031.7092382542487</v>
      </c>
      <c r="BF247">
        <v>5081.1344123218578</v>
      </c>
      <c r="BG247">
        <v>5102.7364253722299</v>
      </c>
      <c r="BH247">
        <v>5070.4241320998126</v>
      </c>
      <c r="BI247">
        <v>5234.4065377843999</v>
      </c>
      <c r="BJ247">
        <v>5415.4932202819264</v>
      </c>
      <c r="BK247">
        <v>4993.8654692820764</v>
      </c>
      <c r="BL247">
        <v>4527.7394921925425</v>
      </c>
      <c r="BM247">
        <v>4827.1096016599413</v>
      </c>
      <c r="BN247">
        <v>5036.7831773223925</v>
      </c>
      <c r="BO247">
        <v>5218.0452659639795</v>
      </c>
      <c r="BP247">
        <v>5211.8975558795419</v>
      </c>
      <c r="BQ247">
        <v>5529.2331001615375</v>
      </c>
      <c r="BR247">
        <f>(((BQ247/BM247)^(1/4))-1)*100</f>
        <v>3.4533205610355555</v>
      </c>
    </row>
    <row r="248" spans="1:70" x14ac:dyDescent="0.25">
      <c r="A248" t="s">
        <v>743</v>
      </c>
      <c r="BM248">
        <v>64420</v>
      </c>
      <c r="BQ248">
        <v>71066</v>
      </c>
      <c r="BR248">
        <f>(((BQ248/BM248)^(1/4))-1)*100</f>
        <v>2.4849958273613915</v>
      </c>
    </row>
  </sheetData>
  <autoFilter ref="A1:BR1" xr:uid="{9BD07D92-B320-4439-8CA9-A4755A47F778}">
    <sortState ref="A2:BR247">
      <sortCondition ref="A1"/>
    </sortState>
  </autoFilter>
  <conditionalFormatting sqref="D1:BL65536">
    <cfRule type="colorScale" priority="2">
      <colorScale>
        <cfvo type="min"/>
        <cfvo type="percentile" val="50"/>
        <cfvo type="max"/>
        <color rgb="FFF8696B"/>
        <color rgb="FFFFEB84"/>
        <color rgb="FF63BE7B"/>
      </colorScale>
    </cfRule>
  </conditionalFormatting>
  <conditionalFormatting sqref="BR1:BR104857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0C3A1-BE5E-45B7-9B2C-599D6520E871}">
  <dimension ref="A1:M283"/>
  <sheetViews>
    <sheetView workbookViewId="0">
      <selection activeCell="N32" sqref="N32"/>
    </sheetView>
  </sheetViews>
  <sheetFormatPr baseColWidth="10" defaultRowHeight="15" x14ac:dyDescent="0.25"/>
  <cols>
    <col min="1" max="1" width="3.85546875" style="52" customWidth="1"/>
    <col min="2" max="2" width="9.85546875" style="30" customWidth="1"/>
    <col min="3" max="3" width="20" style="30" customWidth="1"/>
    <col min="4" max="4" width="31.28515625" style="51" customWidth="1"/>
    <col min="5" max="5" width="13.42578125" style="324" customWidth="1"/>
    <col min="6" max="9" width="7.140625" style="27" customWidth="1"/>
    <col min="10" max="10" width="6.42578125" style="30" customWidth="1"/>
    <col min="11" max="11" width="6.42578125" style="156" customWidth="1"/>
    <col min="12" max="12" width="7.140625" customWidth="1"/>
    <col min="13" max="13" width="0.5703125" customWidth="1"/>
  </cols>
  <sheetData>
    <row r="1" spans="1:13" ht="15" customHeight="1" x14ac:dyDescent="0.25">
      <c r="A1" s="515" t="s">
        <v>875</v>
      </c>
      <c r="B1" s="518" t="s">
        <v>0</v>
      </c>
      <c r="C1" s="518" t="s">
        <v>1</v>
      </c>
      <c r="D1" s="521" t="s">
        <v>2</v>
      </c>
      <c r="E1" s="513" t="s">
        <v>876</v>
      </c>
      <c r="F1" s="514"/>
      <c r="G1" s="514"/>
      <c r="H1" s="514"/>
      <c r="I1" s="514"/>
      <c r="J1" s="514"/>
      <c r="K1" s="514"/>
      <c r="L1" s="514"/>
      <c r="M1" s="325"/>
    </row>
    <row r="2" spans="1:13" ht="24.75" customHeight="1" x14ac:dyDescent="0.25">
      <c r="A2" s="516"/>
      <c r="B2" s="519"/>
      <c r="C2" s="519"/>
      <c r="D2" s="522"/>
      <c r="E2" s="524" t="s">
        <v>877</v>
      </c>
      <c r="F2" s="526" t="s">
        <v>878</v>
      </c>
      <c r="G2" s="526" t="s">
        <v>879</v>
      </c>
      <c r="H2" s="526" t="s">
        <v>880</v>
      </c>
      <c r="I2" s="526" t="s">
        <v>881</v>
      </c>
      <c r="J2" s="511" t="s">
        <v>882</v>
      </c>
      <c r="K2" s="512"/>
      <c r="L2" s="509" t="s">
        <v>885</v>
      </c>
      <c r="M2" s="284"/>
    </row>
    <row r="3" spans="1:13" ht="105.75" customHeight="1" x14ac:dyDescent="0.25">
      <c r="A3" s="517"/>
      <c r="B3" s="520"/>
      <c r="C3" s="520"/>
      <c r="D3" s="523"/>
      <c r="E3" s="525"/>
      <c r="F3" s="527"/>
      <c r="G3" s="527"/>
      <c r="H3" s="527"/>
      <c r="I3" s="527"/>
      <c r="J3" s="285" t="s">
        <v>883</v>
      </c>
      <c r="K3" s="285" t="s">
        <v>884</v>
      </c>
      <c r="L3" s="510"/>
      <c r="M3" s="286"/>
    </row>
    <row r="4" spans="1:13" s="5" customFormat="1" ht="15.75" customHeight="1" x14ac:dyDescent="0.2">
      <c r="A4" s="287">
        <v>1</v>
      </c>
      <c r="B4" s="326" t="s">
        <v>13</v>
      </c>
      <c r="C4" s="327" t="s">
        <v>19</v>
      </c>
      <c r="D4" s="289" t="s">
        <v>20</v>
      </c>
      <c r="E4" s="290">
        <f t="shared" ref="E4:E35" si="0">(F4+G4+H4+I4+L4)/5</f>
        <v>100</v>
      </c>
      <c r="F4" s="291">
        <v>100</v>
      </c>
      <c r="G4" s="291">
        <v>100</v>
      </c>
      <c r="H4" s="291">
        <v>100</v>
      </c>
      <c r="I4" s="291">
        <v>100</v>
      </c>
      <c r="J4" s="292">
        <v>0</v>
      </c>
      <c r="K4" s="292">
        <v>0</v>
      </c>
      <c r="L4" s="291">
        <f t="shared" ref="L4:L35" si="1">(1-((LN((AVERAGE(J4:K4))+1))/(LN(150))))*100</f>
        <v>100</v>
      </c>
      <c r="M4" s="293"/>
    </row>
    <row r="5" spans="1:13" s="5" customFormat="1" ht="15.75" customHeight="1" x14ac:dyDescent="0.2">
      <c r="A5" s="294">
        <v>2</v>
      </c>
      <c r="B5" s="295" t="s">
        <v>13</v>
      </c>
      <c r="C5" s="299" t="s">
        <v>19</v>
      </c>
      <c r="D5" s="177" t="s">
        <v>140</v>
      </c>
      <c r="E5" s="290">
        <f t="shared" si="0"/>
        <v>100</v>
      </c>
      <c r="F5" s="291">
        <v>100</v>
      </c>
      <c r="G5" s="291">
        <v>100</v>
      </c>
      <c r="H5" s="291">
        <v>100</v>
      </c>
      <c r="I5" s="291">
        <v>100</v>
      </c>
      <c r="J5" s="292">
        <v>0</v>
      </c>
      <c r="K5" s="292">
        <v>0</v>
      </c>
      <c r="L5" s="291">
        <f t="shared" si="1"/>
        <v>100</v>
      </c>
      <c r="M5" s="293"/>
    </row>
    <row r="6" spans="1:13" s="5" customFormat="1" ht="15.75" customHeight="1" x14ac:dyDescent="0.2">
      <c r="A6" s="294">
        <v>3</v>
      </c>
      <c r="B6" s="295" t="s">
        <v>13</v>
      </c>
      <c r="C6" s="299" t="s">
        <v>19</v>
      </c>
      <c r="D6" s="177" t="s">
        <v>146</v>
      </c>
      <c r="E6" s="290">
        <f t="shared" si="0"/>
        <v>100</v>
      </c>
      <c r="F6" s="291">
        <v>100</v>
      </c>
      <c r="G6" s="291">
        <v>100</v>
      </c>
      <c r="H6" s="291">
        <v>100</v>
      </c>
      <c r="I6" s="291">
        <v>100</v>
      </c>
      <c r="J6" s="292">
        <v>0</v>
      </c>
      <c r="K6" s="292">
        <v>0</v>
      </c>
      <c r="L6" s="291">
        <f t="shared" si="1"/>
        <v>100</v>
      </c>
      <c r="M6" s="293"/>
    </row>
    <row r="7" spans="1:13" s="5" customFormat="1" ht="15.75" customHeight="1" x14ac:dyDescent="0.2">
      <c r="A7" s="294">
        <v>4</v>
      </c>
      <c r="B7" s="295" t="s">
        <v>13</v>
      </c>
      <c r="C7" s="299" t="s">
        <v>19</v>
      </c>
      <c r="D7" s="317" t="s">
        <v>178</v>
      </c>
      <c r="E7" s="290">
        <f t="shared" si="0"/>
        <v>99.999998473825713</v>
      </c>
      <c r="F7" s="291">
        <v>100</v>
      </c>
      <c r="G7" s="291">
        <v>99.999996184564296</v>
      </c>
      <c r="H7" s="291">
        <v>99.999996184564296</v>
      </c>
      <c r="I7" s="291">
        <v>100</v>
      </c>
      <c r="J7" s="292">
        <v>0</v>
      </c>
      <c r="K7" s="292">
        <v>0</v>
      </c>
      <c r="L7" s="291">
        <f t="shared" si="1"/>
        <v>100</v>
      </c>
      <c r="M7" s="293"/>
    </row>
    <row r="8" spans="1:13" s="13" customFormat="1" ht="15.75" customHeight="1" x14ac:dyDescent="0.2">
      <c r="A8" s="294">
        <v>5</v>
      </c>
      <c r="B8" s="295" t="s">
        <v>13</v>
      </c>
      <c r="C8" s="299" t="s">
        <v>19</v>
      </c>
      <c r="D8" s="177" t="s">
        <v>131</v>
      </c>
      <c r="E8" s="290">
        <f t="shared" si="0"/>
        <v>99.99</v>
      </c>
      <c r="F8" s="291">
        <v>100</v>
      </c>
      <c r="G8" s="291">
        <v>100</v>
      </c>
      <c r="H8" s="291">
        <v>100</v>
      </c>
      <c r="I8" s="291">
        <v>99.95</v>
      </c>
      <c r="J8" s="292">
        <v>0</v>
      </c>
      <c r="K8" s="292">
        <v>0</v>
      </c>
      <c r="L8" s="291">
        <f t="shared" si="1"/>
        <v>100</v>
      </c>
      <c r="M8" s="293"/>
    </row>
    <row r="9" spans="1:13" s="5" customFormat="1" ht="15.75" customHeight="1" x14ac:dyDescent="0.2">
      <c r="A9" s="294">
        <v>6</v>
      </c>
      <c r="B9" s="307" t="s">
        <v>10</v>
      </c>
      <c r="C9" s="308" t="s">
        <v>35</v>
      </c>
      <c r="D9" s="177" t="s">
        <v>173</v>
      </c>
      <c r="E9" s="290">
        <f t="shared" si="0"/>
        <v>99.982897873450085</v>
      </c>
      <c r="F9" s="291">
        <v>100</v>
      </c>
      <c r="G9" s="291">
        <v>99.988972141731196</v>
      </c>
      <c r="H9" s="291">
        <v>99.98897214173121</v>
      </c>
      <c r="I9" s="291">
        <v>99.936545083788005</v>
      </c>
      <c r="J9" s="292">
        <v>0</v>
      </c>
      <c r="K9" s="292">
        <v>0</v>
      </c>
      <c r="L9" s="291">
        <f t="shared" si="1"/>
        <v>100</v>
      </c>
      <c r="M9" s="293"/>
    </row>
    <row r="10" spans="1:13" s="5" customFormat="1" ht="15.75" customHeight="1" x14ac:dyDescent="0.2">
      <c r="A10" s="294">
        <v>7</v>
      </c>
      <c r="B10" s="307" t="s">
        <v>10</v>
      </c>
      <c r="C10" s="311" t="s">
        <v>887</v>
      </c>
      <c r="D10" s="177" t="s">
        <v>50</v>
      </c>
      <c r="E10" s="290">
        <f t="shared" si="0"/>
        <v>99.981412701597833</v>
      </c>
      <c r="F10" s="291">
        <v>100</v>
      </c>
      <c r="G10" s="291">
        <v>100</v>
      </c>
      <c r="H10" s="291">
        <v>99.90706350798915</v>
      </c>
      <c r="I10" s="291">
        <v>100</v>
      </c>
      <c r="J10" s="292">
        <v>0</v>
      </c>
      <c r="K10" s="292">
        <v>0</v>
      </c>
      <c r="L10" s="291">
        <f t="shared" si="1"/>
        <v>100</v>
      </c>
      <c r="M10" s="293"/>
    </row>
    <row r="11" spans="1:13" s="5" customFormat="1" ht="15.75" customHeight="1" x14ac:dyDescent="0.2">
      <c r="A11" s="294">
        <v>8</v>
      </c>
      <c r="B11" s="295" t="s">
        <v>13</v>
      </c>
      <c r="C11" s="299" t="s">
        <v>19</v>
      </c>
      <c r="D11" s="177" t="s">
        <v>200</v>
      </c>
      <c r="E11" s="290">
        <f t="shared" si="0"/>
        <v>99.979972899784002</v>
      </c>
      <c r="F11" s="291">
        <v>100</v>
      </c>
      <c r="G11" s="291">
        <v>99.999996781999698</v>
      </c>
      <c r="H11" s="291">
        <v>99.999996781999712</v>
      </c>
      <c r="I11" s="291">
        <v>99.8998709349206</v>
      </c>
      <c r="J11" s="292">
        <v>0</v>
      </c>
      <c r="K11" s="292">
        <v>0</v>
      </c>
      <c r="L11" s="291">
        <f t="shared" si="1"/>
        <v>100</v>
      </c>
      <c r="M11" s="293"/>
    </row>
    <row r="12" spans="1:13" s="5" customFormat="1" ht="15.75" customHeight="1" x14ac:dyDescent="0.2">
      <c r="A12" s="294">
        <v>9</v>
      </c>
      <c r="B12" s="295" t="s">
        <v>13</v>
      </c>
      <c r="C12" s="299" t="s">
        <v>19</v>
      </c>
      <c r="D12" s="177" t="s">
        <v>87</v>
      </c>
      <c r="E12" s="290">
        <f t="shared" si="0"/>
        <v>99.889587785567514</v>
      </c>
      <c r="F12" s="291">
        <v>100</v>
      </c>
      <c r="G12" s="291">
        <v>99.999996696873097</v>
      </c>
      <c r="H12" s="291">
        <v>99.999996696873097</v>
      </c>
      <c r="I12" s="291">
        <v>99.447945534091403</v>
      </c>
      <c r="J12" s="292">
        <v>0</v>
      </c>
      <c r="K12" s="292">
        <v>0</v>
      </c>
      <c r="L12" s="291">
        <f t="shared" si="1"/>
        <v>100</v>
      </c>
      <c r="M12" s="293"/>
    </row>
    <row r="13" spans="1:13" s="5" customFormat="1" ht="15.75" customHeight="1" x14ac:dyDescent="0.2">
      <c r="A13" s="294">
        <v>10</v>
      </c>
      <c r="B13" s="295" t="s">
        <v>13</v>
      </c>
      <c r="C13" s="299" t="s">
        <v>19</v>
      </c>
      <c r="D13" s="177" t="s">
        <v>216</v>
      </c>
      <c r="E13" s="290">
        <f t="shared" si="0"/>
        <v>99.8205318577361</v>
      </c>
      <c r="F13" s="291">
        <v>100</v>
      </c>
      <c r="G13" s="291">
        <v>99.999999141212697</v>
      </c>
      <c r="H13" s="291">
        <v>99.999999141212726</v>
      </c>
      <c r="I13" s="291">
        <v>99.102661006255104</v>
      </c>
      <c r="J13" s="292">
        <v>0</v>
      </c>
      <c r="K13" s="292">
        <v>0</v>
      </c>
      <c r="L13" s="291">
        <f t="shared" si="1"/>
        <v>100</v>
      </c>
      <c r="M13" s="293"/>
    </row>
    <row r="14" spans="1:13" s="5" customFormat="1" ht="15.75" customHeight="1" x14ac:dyDescent="0.2">
      <c r="A14" s="294">
        <v>11</v>
      </c>
      <c r="B14" s="295" t="s">
        <v>13</v>
      </c>
      <c r="C14" s="299" t="s">
        <v>19</v>
      </c>
      <c r="D14" s="177" t="s">
        <v>94</v>
      </c>
      <c r="E14" s="290">
        <f t="shared" si="0"/>
        <v>99.801452625600703</v>
      </c>
      <c r="F14" s="291">
        <v>100</v>
      </c>
      <c r="G14" s="291">
        <v>100</v>
      </c>
      <c r="H14" s="291">
        <v>100</v>
      </c>
      <c r="I14" s="291">
        <v>99.007263128003501</v>
      </c>
      <c r="J14" s="292">
        <v>0</v>
      </c>
      <c r="K14" s="292">
        <v>0</v>
      </c>
      <c r="L14" s="291">
        <f t="shared" si="1"/>
        <v>100</v>
      </c>
      <c r="M14" s="293"/>
    </row>
    <row r="15" spans="1:13" s="5" customFormat="1" ht="15.75" customHeight="1" x14ac:dyDescent="0.2">
      <c r="A15" s="294">
        <v>12</v>
      </c>
      <c r="B15" s="307" t="s">
        <v>10</v>
      </c>
      <c r="C15" s="308" t="s">
        <v>35</v>
      </c>
      <c r="D15" s="177" t="s">
        <v>110</v>
      </c>
      <c r="E15" s="290">
        <f t="shared" si="0"/>
        <v>99.789268943813312</v>
      </c>
      <c r="F15" s="291">
        <v>100</v>
      </c>
      <c r="G15" s="291">
        <v>99.999999308178701</v>
      </c>
      <c r="H15" s="291">
        <v>99.999999308178744</v>
      </c>
      <c r="I15" s="291">
        <v>99.920078200651304</v>
      </c>
      <c r="J15" s="292">
        <v>0.1</v>
      </c>
      <c r="K15" s="292">
        <v>0</v>
      </c>
      <c r="L15" s="291">
        <f t="shared" si="1"/>
        <v>99.026267902057867</v>
      </c>
      <c r="M15" s="293"/>
    </row>
    <row r="16" spans="1:13" s="5" customFormat="1" ht="15.75" customHeight="1" x14ac:dyDescent="0.2">
      <c r="A16" s="294">
        <v>13</v>
      </c>
      <c r="B16" s="295" t="s">
        <v>13</v>
      </c>
      <c r="C16" s="299" t="s">
        <v>19</v>
      </c>
      <c r="D16" s="177" t="s">
        <v>192</v>
      </c>
      <c r="E16" s="290">
        <f t="shared" si="0"/>
        <v>99.758757420004713</v>
      </c>
      <c r="F16" s="291">
        <v>100</v>
      </c>
      <c r="G16" s="291">
        <v>99.924700139670904</v>
      </c>
      <c r="H16" s="291">
        <v>99.92470013967089</v>
      </c>
      <c r="I16" s="291">
        <v>99.918118918623904</v>
      </c>
      <c r="J16" s="292">
        <v>0.1</v>
      </c>
      <c r="K16" s="292">
        <v>0</v>
      </c>
      <c r="L16" s="291">
        <f t="shared" si="1"/>
        <v>99.026267902057867</v>
      </c>
      <c r="M16" s="293"/>
    </row>
    <row r="17" spans="1:13" s="5" customFormat="1" ht="15.75" customHeight="1" x14ac:dyDescent="0.2">
      <c r="A17" s="294">
        <v>14</v>
      </c>
      <c r="B17" s="295" t="s">
        <v>13</v>
      </c>
      <c r="C17" s="299" t="s">
        <v>19</v>
      </c>
      <c r="D17" s="177" t="s">
        <v>104</v>
      </c>
      <c r="E17" s="290">
        <f t="shared" si="0"/>
        <v>99.755600372589086</v>
      </c>
      <c r="F17" s="291">
        <v>100</v>
      </c>
      <c r="G17" s="291">
        <v>100</v>
      </c>
      <c r="H17" s="291">
        <v>100</v>
      </c>
      <c r="I17" s="291">
        <v>98.778001862945402</v>
      </c>
      <c r="J17" s="292">
        <v>0</v>
      </c>
      <c r="K17" s="292">
        <v>0</v>
      </c>
      <c r="L17" s="291">
        <f t="shared" si="1"/>
        <v>100</v>
      </c>
      <c r="M17" s="293"/>
    </row>
    <row r="18" spans="1:13" s="5" customFormat="1" ht="15.75" customHeight="1" x14ac:dyDescent="0.2">
      <c r="A18" s="294">
        <v>15</v>
      </c>
      <c r="B18" s="295" t="s">
        <v>13</v>
      </c>
      <c r="C18" s="296" t="s">
        <v>14</v>
      </c>
      <c r="D18" s="177" t="s">
        <v>82</v>
      </c>
      <c r="E18" s="290">
        <f t="shared" si="0"/>
        <v>99.753730672442956</v>
      </c>
      <c r="F18" s="291">
        <v>100</v>
      </c>
      <c r="G18" s="291">
        <v>99.999997021244099</v>
      </c>
      <c r="H18" s="291">
        <v>99.747162813658221</v>
      </c>
      <c r="I18" s="291">
        <v>99.021493527312401</v>
      </c>
      <c r="J18" s="292">
        <v>0</v>
      </c>
      <c r="K18" s="292">
        <v>0</v>
      </c>
      <c r="L18" s="291">
        <f t="shared" si="1"/>
        <v>100</v>
      </c>
      <c r="M18" s="293"/>
    </row>
    <row r="19" spans="1:13" s="13" customFormat="1" ht="15.75" customHeight="1" x14ac:dyDescent="0.2">
      <c r="A19" s="294">
        <v>16</v>
      </c>
      <c r="B19" s="295" t="s">
        <v>13</v>
      </c>
      <c r="C19" s="299" t="s">
        <v>19</v>
      </c>
      <c r="D19" s="177" t="s">
        <v>88</v>
      </c>
      <c r="E19" s="290">
        <f t="shared" si="0"/>
        <v>99.728874222875191</v>
      </c>
      <c r="F19" s="291">
        <v>100</v>
      </c>
      <c r="G19" s="291">
        <v>99.999997475996096</v>
      </c>
      <c r="H19" s="291">
        <v>99.999997475996096</v>
      </c>
      <c r="I19" s="291">
        <v>98.644376162383693</v>
      </c>
      <c r="J19" s="292">
        <v>0</v>
      </c>
      <c r="K19" s="292">
        <v>0</v>
      </c>
      <c r="L19" s="291">
        <f t="shared" si="1"/>
        <v>100</v>
      </c>
      <c r="M19" s="293"/>
    </row>
    <row r="20" spans="1:13" s="5" customFormat="1" ht="15.75" customHeight="1" x14ac:dyDescent="0.2">
      <c r="A20" s="294">
        <v>17</v>
      </c>
      <c r="B20" s="307" t="s">
        <v>10</v>
      </c>
      <c r="C20" s="311" t="s">
        <v>887</v>
      </c>
      <c r="D20" s="177" t="s">
        <v>134</v>
      </c>
      <c r="E20" s="290">
        <f t="shared" si="0"/>
        <v>99.677946062109271</v>
      </c>
      <c r="F20" s="291">
        <v>100</v>
      </c>
      <c r="G20" s="291">
        <v>100</v>
      </c>
      <c r="H20" s="291">
        <v>100</v>
      </c>
      <c r="I20" s="291">
        <v>100</v>
      </c>
      <c r="J20" s="314">
        <v>0.16805818637226899</v>
      </c>
      <c r="K20" s="314">
        <v>0</v>
      </c>
      <c r="L20" s="291">
        <f t="shared" si="1"/>
        <v>98.389730310546355</v>
      </c>
      <c r="M20" s="293"/>
    </row>
    <row r="21" spans="1:13" s="5" customFormat="1" ht="15.75" customHeight="1" x14ac:dyDescent="0.2">
      <c r="A21" s="294">
        <v>18</v>
      </c>
      <c r="B21" s="295" t="s">
        <v>13</v>
      </c>
      <c r="C21" s="299" t="s">
        <v>19</v>
      </c>
      <c r="D21" s="177" t="s">
        <v>32</v>
      </c>
      <c r="E21" s="290">
        <f t="shared" si="0"/>
        <v>99.659301867008409</v>
      </c>
      <c r="F21" s="291">
        <v>100</v>
      </c>
      <c r="G21" s="291">
        <v>99.999997194774494</v>
      </c>
      <c r="H21" s="306">
        <v>98.324409732824705</v>
      </c>
      <c r="I21" s="291">
        <v>99.972102407442904</v>
      </c>
      <c r="J21" s="292">
        <v>0</v>
      </c>
      <c r="K21" s="292">
        <v>0</v>
      </c>
      <c r="L21" s="291">
        <f t="shared" si="1"/>
        <v>100</v>
      </c>
      <c r="M21" s="293"/>
    </row>
    <row r="22" spans="1:13" s="5" customFormat="1" ht="15.75" customHeight="1" x14ac:dyDescent="0.2">
      <c r="A22" s="294">
        <v>19</v>
      </c>
      <c r="B22" s="295" t="s">
        <v>13</v>
      </c>
      <c r="C22" s="299" t="s">
        <v>19</v>
      </c>
      <c r="D22" s="177" t="s">
        <v>92</v>
      </c>
      <c r="E22" s="290">
        <f t="shared" si="0"/>
        <v>99.650644158767108</v>
      </c>
      <c r="F22" s="291">
        <v>100</v>
      </c>
      <c r="G22" s="291">
        <v>100</v>
      </c>
      <c r="H22" s="291">
        <v>100</v>
      </c>
      <c r="I22" s="291">
        <v>99.2269528917777</v>
      </c>
      <c r="J22" s="292">
        <v>0.1</v>
      </c>
      <c r="K22" s="292">
        <v>0</v>
      </c>
      <c r="L22" s="291">
        <f t="shared" si="1"/>
        <v>99.026267902057867</v>
      </c>
      <c r="M22" s="293"/>
    </row>
    <row r="23" spans="1:13" s="5" customFormat="1" ht="15.75" customHeight="1" x14ac:dyDescent="0.2">
      <c r="A23" s="294">
        <v>20</v>
      </c>
      <c r="B23" s="295" t="s">
        <v>13</v>
      </c>
      <c r="C23" s="296" t="s">
        <v>14</v>
      </c>
      <c r="D23" s="177" t="s">
        <v>39</v>
      </c>
      <c r="E23" s="290">
        <f t="shared" si="0"/>
        <v>99.648438610388254</v>
      </c>
      <c r="F23" s="291">
        <v>100</v>
      </c>
      <c r="G23" s="291">
        <v>99.892492042961194</v>
      </c>
      <c r="H23" s="291">
        <v>98.602348309056424</v>
      </c>
      <c r="I23" s="291">
        <v>99.747352699923695</v>
      </c>
      <c r="J23" s="292">
        <v>0</v>
      </c>
      <c r="K23" s="292">
        <v>0</v>
      </c>
      <c r="L23" s="291">
        <f t="shared" si="1"/>
        <v>100</v>
      </c>
      <c r="M23" s="293"/>
    </row>
    <row r="24" spans="1:13" s="5" customFormat="1" ht="15.75" customHeight="1" x14ac:dyDescent="0.2">
      <c r="A24" s="294">
        <v>21</v>
      </c>
      <c r="B24" s="304" t="s">
        <v>29</v>
      </c>
      <c r="C24" s="305" t="s">
        <v>30</v>
      </c>
      <c r="D24" s="177" t="s">
        <v>156</v>
      </c>
      <c r="E24" s="290">
        <f t="shared" si="0"/>
        <v>99.6195684810003</v>
      </c>
      <c r="F24" s="291">
        <v>100</v>
      </c>
      <c r="G24" s="291">
        <v>100</v>
      </c>
      <c r="H24" s="291">
        <v>100</v>
      </c>
      <c r="I24" s="291">
        <v>100</v>
      </c>
      <c r="J24" s="292">
        <v>0.2</v>
      </c>
      <c r="K24" s="292">
        <v>0</v>
      </c>
      <c r="L24" s="291">
        <f t="shared" si="1"/>
        <v>98.097842405001543</v>
      </c>
      <c r="M24" s="293"/>
    </row>
    <row r="25" spans="1:13" s="5" customFormat="1" ht="15.75" customHeight="1" x14ac:dyDescent="0.2">
      <c r="A25" s="294">
        <v>22</v>
      </c>
      <c r="B25" s="307" t="s">
        <v>10</v>
      </c>
      <c r="C25" s="311" t="s">
        <v>887</v>
      </c>
      <c r="D25" s="177" t="s">
        <v>185</v>
      </c>
      <c r="E25" s="290">
        <f t="shared" si="0"/>
        <v>99.6195684810003</v>
      </c>
      <c r="F25" s="291">
        <v>100</v>
      </c>
      <c r="G25" s="291">
        <v>100</v>
      </c>
      <c r="H25" s="291">
        <v>100</v>
      </c>
      <c r="I25" s="291">
        <v>100</v>
      </c>
      <c r="J25" s="292">
        <v>0.2</v>
      </c>
      <c r="K25" s="292">
        <v>0</v>
      </c>
      <c r="L25" s="291">
        <f t="shared" si="1"/>
        <v>98.097842405001543</v>
      </c>
      <c r="M25" s="293"/>
    </row>
    <row r="26" spans="1:13" s="5" customFormat="1" ht="15.75" customHeight="1" x14ac:dyDescent="0.2">
      <c r="A26" s="294">
        <v>23</v>
      </c>
      <c r="B26" s="295" t="s">
        <v>13</v>
      </c>
      <c r="C26" s="299" t="s">
        <v>19</v>
      </c>
      <c r="D26" s="177" t="s">
        <v>111</v>
      </c>
      <c r="E26" s="290">
        <f t="shared" si="0"/>
        <v>99.606930266059209</v>
      </c>
      <c r="F26" s="291">
        <v>100</v>
      </c>
      <c r="G26" s="291">
        <v>99.917034074092797</v>
      </c>
      <c r="H26" s="291">
        <v>98.232712915345587</v>
      </c>
      <c r="I26" s="291">
        <v>99.884904340857702</v>
      </c>
      <c r="J26" s="292">
        <v>0</v>
      </c>
      <c r="K26" s="292">
        <v>0</v>
      </c>
      <c r="L26" s="291">
        <f t="shared" si="1"/>
        <v>100</v>
      </c>
      <c r="M26" s="293"/>
    </row>
    <row r="27" spans="1:13" s="5" customFormat="1" ht="15.75" customHeight="1" x14ac:dyDescent="0.2">
      <c r="A27" s="294">
        <v>24</v>
      </c>
      <c r="B27" s="295" t="s">
        <v>13</v>
      </c>
      <c r="C27" s="299" t="s">
        <v>19</v>
      </c>
      <c r="D27" s="177" t="s">
        <v>155</v>
      </c>
      <c r="E27" s="290">
        <f t="shared" si="0"/>
        <v>99.531333791011875</v>
      </c>
      <c r="F27" s="291">
        <v>100</v>
      </c>
      <c r="G27" s="291">
        <v>100</v>
      </c>
      <c r="H27" s="291">
        <v>100</v>
      </c>
      <c r="I27" s="291">
        <v>97.656668955059402</v>
      </c>
      <c r="J27" s="292">
        <v>0</v>
      </c>
      <c r="K27" s="292">
        <v>0</v>
      </c>
      <c r="L27" s="291">
        <f t="shared" si="1"/>
        <v>100</v>
      </c>
      <c r="M27" s="293"/>
    </row>
    <row r="28" spans="1:13" s="5" customFormat="1" ht="15.75" customHeight="1" x14ac:dyDescent="0.2">
      <c r="A28" s="294">
        <v>25</v>
      </c>
      <c r="B28" s="307" t="s">
        <v>10</v>
      </c>
      <c r="C28" s="308" t="s">
        <v>35</v>
      </c>
      <c r="D28" s="177" t="s">
        <v>215</v>
      </c>
      <c r="E28" s="290">
        <f t="shared" si="0"/>
        <v>99.526752404453902</v>
      </c>
      <c r="F28" s="291">
        <v>100</v>
      </c>
      <c r="G28" s="291">
        <v>100</v>
      </c>
      <c r="H28" s="291">
        <v>99.520615772726231</v>
      </c>
      <c r="I28" s="291">
        <v>99.086878347485396</v>
      </c>
      <c r="J28" s="292">
        <v>0.1</v>
      </c>
      <c r="K28" s="292">
        <v>0</v>
      </c>
      <c r="L28" s="291">
        <f t="shared" si="1"/>
        <v>99.026267902057867</v>
      </c>
      <c r="M28" s="293"/>
    </row>
    <row r="29" spans="1:13" s="5" customFormat="1" ht="15.75" customHeight="1" x14ac:dyDescent="0.2">
      <c r="A29" s="294">
        <v>26</v>
      </c>
      <c r="B29" s="301" t="s">
        <v>23</v>
      </c>
      <c r="C29" s="312" t="s">
        <v>57</v>
      </c>
      <c r="D29" s="177" t="s">
        <v>217</v>
      </c>
      <c r="E29" s="290">
        <f t="shared" si="0"/>
        <v>99.485507204110789</v>
      </c>
      <c r="F29" s="291">
        <v>100</v>
      </c>
      <c r="G29" s="291">
        <v>99.980444346581194</v>
      </c>
      <c r="H29" s="291">
        <v>98.802550295853933</v>
      </c>
      <c r="I29" s="291">
        <v>99.618273476060907</v>
      </c>
      <c r="J29" s="292">
        <v>0.1</v>
      </c>
      <c r="K29" s="292">
        <v>0</v>
      </c>
      <c r="L29" s="291">
        <f t="shared" si="1"/>
        <v>99.026267902057867</v>
      </c>
      <c r="M29" s="293"/>
    </row>
    <row r="30" spans="1:13" s="5" customFormat="1" ht="15.75" customHeight="1" x14ac:dyDescent="0.2">
      <c r="A30" s="294">
        <v>27</v>
      </c>
      <c r="B30" s="295" t="s">
        <v>13</v>
      </c>
      <c r="C30" s="299" t="s">
        <v>19</v>
      </c>
      <c r="D30" s="177" t="s">
        <v>133</v>
      </c>
      <c r="E30" s="290">
        <f t="shared" si="0"/>
        <v>99.473137311066012</v>
      </c>
      <c r="F30" s="291">
        <v>100</v>
      </c>
      <c r="G30" s="291">
        <v>100</v>
      </c>
      <c r="H30" s="291">
        <v>99.764512645736488</v>
      </c>
      <c r="I30" s="291">
        <v>97.601173909593598</v>
      </c>
      <c r="J30" s="292">
        <v>0</v>
      </c>
      <c r="K30" s="292">
        <v>0</v>
      </c>
      <c r="L30" s="291">
        <f t="shared" si="1"/>
        <v>100</v>
      </c>
      <c r="M30" s="293"/>
    </row>
    <row r="31" spans="1:13" s="5" customFormat="1" ht="15.75" customHeight="1" x14ac:dyDescent="0.2">
      <c r="A31" s="294">
        <v>28</v>
      </c>
      <c r="B31" s="307" t="s">
        <v>10</v>
      </c>
      <c r="C31" s="308" t="s">
        <v>35</v>
      </c>
      <c r="D31" s="177" t="s">
        <v>36</v>
      </c>
      <c r="E31" s="290">
        <f t="shared" si="0"/>
        <v>99.410098442405541</v>
      </c>
      <c r="F31" s="291">
        <v>100</v>
      </c>
      <c r="G31" s="291">
        <v>99.919899020982896</v>
      </c>
      <c r="H31" s="291">
        <v>99.919899020982882</v>
      </c>
      <c r="I31" s="291">
        <v>100</v>
      </c>
      <c r="J31" s="292">
        <v>0.2</v>
      </c>
      <c r="K31" s="292">
        <v>0.1</v>
      </c>
      <c r="L31" s="291">
        <f t="shared" si="1"/>
        <v>97.210694170061984</v>
      </c>
      <c r="M31" s="293"/>
    </row>
    <row r="32" spans="1:13" s="5" customFormat="1" ht="15.75" customHeight="1" x14ac:dyDescent="0.2">
      <c r="A32" s="294">
        <v>29</v>
      </c>
      <c r="B32" s="295" t="s">
        <v>13</v>
      </c>
      <c r="C32" s="299" t="s">
        <v>19</v>
      </c>
      <c r="D32" s="177" t="s">
        <v>71</v>
      </c>
      <c r="E32" s="290">
        <f t="shared" si="0"/>
        <v>99.399920983774365</v>
      </c>
      <c r="F32" s="291">
        <v>100</v>
      </c>
      <c r="G32" s="291">
        <v>99.7211088299984</v>
      </c>
      <c r="H32" s="291">
        <v>99.70297744125989</v>
      </c>
      <c r="I32" s="291">
        <v>99.477676242612006</v>
      </c>
      <c r="J32" s="292">
        <v>0.2</v>
      </c>
      <c r="K32" s="292">
        <v>0</v>
      </c>
      <c r="L32" s="291">
        <f t="shared" si="1"/>
        <v>98.097842405001543</v>
      </c>
      <c r="M32" s="293"/>
    </row>
    <row r="33" spans="1:13" s="13" customFormat="1" ht="15.75" customHeight="1" x14ac:dyDescent="0.2">
      <c r="A33" s="294">
        <v>30</v>
      </c>
      <c r="B33" s="307" t="s">
        <v>10</v>
      </c>
      <c r="C33" s="311" t="s">
        <v>887</v>
      </c>
      <c r="D33" s="177" t="s">
        <v>202</v>
      </c>
      <c r="E33" s="290">
        <f t="shared" si="0"/>
        <v>99.386260144647821</v>
      </c>
      <c r="F33" s="306">
        <v>100</v>
      </c>
      <c r="G33" s="306">
        <v>99.794812517432533</v>
      </c>
      <c r="H33" s="306">
        <v>99.477701534770773</v>
      </c>
      <c r="I33" s="306">
        <v>98.632518768978002</v>
      </c>
      <c r="J33" s="292">
        <v>0.1</v>
      </c>
      <c r="K33" s="292">
        <v>0</v>
      </c>
      <c r="L33" s="291">
        <f t="shared" si="1"/>
        <v>99.026267902057867</v>
      </c>
      <c r="M33" s="293"/>
    </row>
    <row r="34" spans="1:13" s="13" customFormat="1" ht="15.75" customHeight="1" x14ac:dyDescent="0.2">
      <c r="A34" s="294">
        <v>31</v>
      </c>
      <c r="B34" s="295" t="s">
        <v>13</v>
      </c>
      <c r="C34" s="299" t="s">
        <v>19</v>
      </c>
      <c r="D34" s="177" t="s">
        <v>73</v>
      </c>
      <c r="E34" s="290">
        <f t="shared" si="0"/>
        <v>99.361583977774302</v>
      </c>
      <c r="F34" s="291">
        <v>100</v>
      </c>
      <c r="G34" s="291">
        <v>99.999999787611898</v>
      </c>
      <c r="H34" s="291">
        <v>99.999999787611898</v>
      </c>
      <c r="I34" s="291">
        <v>99.5972261435858</v>
      </c>
      <c r="J34" s="292">
        <v>0.3</v>
      </c>
      <c r="K34" s="292">
        <v>0</v>
      </c>
      <c r="L34" s="291">
        <f t="shared" si="1"/>
        <v>97.210694170061984</v>
      </c>
      <c r="M34" s="293"/>
    </row>
    <row r="35" spans="1:13" s="13" customFormat="1" ht="15.75" customHeight="1" x14ac:dyDescent="0.2">
      <c r="A35" s="294">
        <v>32</v>
      </c>
      <c r="B35" s="295" t="s">
        <v>13</v>
      </c>
      <c r="C35" s="299" t="s">
        <v>19</v>
      </c>
      <c r="D35" s="170" t="s">
        <v>40</v>
      </c>
      <c r="E35" s="290">
        <f t="shared" si="0"/>
        <v>99.339382966839196</v>
      </c>
      <c r="F35" s="291">
        <v>100</v>
      </c>
      <c r="G35" s="291">
        <v>100</v>
      </c>
      <c r="H35" s="291">
        <v>100</v>
      </c>
      <c r="I35" s="291">
        <v>99.486220664133995</v>
      </c>
      <c r="J35" s="292">
        <v>0.3</v>
      </c>
      <c r="K35" s="292">
        <v>0</v>
      </c>
      <c r="L35" s="291">
        <f t="shared" si="1"/>
        <v>97.210694170061984</v>
      </c>
      <c r="M35" s="293"/>
    </row>
    <row r="36" spans="1:13" s="13" customFormat="1" ht="15.75" customHeight="1" x14ac:dyDescent="0.2">
      <c r="A36" s="294">
        <v>33</v>
      </c>
      <c r="B36" s="307" t="s">
        <v>10</v>
      </c>
      <c r="C36" s="311" t="s">
        <v>887</v>
      </c>
      <c r="D36" s="177" t="s">
        <v>121</v>
      </c>
      <c r="E36" s="290">
        <f t="shared" ref="E36:E67" si="2">(F36+G36+H36+I36+L36)/5</f>
        <v>99.3209286186312</v>
      </c>
      <c r="F36" s="291">
        <v>100</v>
      </c>
      <c r="G36" s="291">
        <v>100</v>
      </c>
      <c r="H36" s="291">
        <v>99.664595317495198</v>
      </c>
      <c r="I36" s="291">
        <v>99.729353605598902</v>
      </c>
      <c r="J36" s="292">
        <v>0.3</v>
      </c>
      <c r="K36" s="292">
        <v>0</v>
      </c>
      <c r="L36" s="291">
        <f t="shared" ref="L36:L67" si="3">(1-((LN((AVERAGE(J36:K36))+1))/(LN(150))))*100</f>
        <v>97.210694170061984</v>
      </c>
      <c r="M36" s="293"/>
    </row>
    <row r="37" spans="1:13" s="13" customFormat="1" ht="15.75" customHeight="1" x14ac:dyDescent="0.2">
      <c r="A37" s="294">
        <v>34</v>
      </c>
      <c r="B37" s="304" t="s">
        <v>29</v>
      </c>
      <c r="C37" s="305" t="s">
        <v>30</v>
      </c>
      <c r="D37" s="177" t="s">
        <v>31</v>
      </c>
      <c r="E37" s="290">
        <f t="shared" si="2"/>
        <v>99.244927513678206</v>
      </c>
      <c r="F37" s="291">
        <v>100</v>
      </c>
      <c r="G37" s="291">
        <v>99.969635964933403</v>
      </c>
      <c r="H37" s="291">
        <v>98.1571591984561</v>
      </c>
      <c r="I37" s="291">
        <v>100</v>
      </c>
      <c r="J37" s="292">
        <v>0.2</v>
      </c>
      <c r="K37" s="292">
        <v>0</v>
      </c>
      <c r="L37" s="291">
        <f t="shared" si="3"/>
        <v>98.097842405001543</v>
      </c>
      <c r="M37" s="293"/>
    </row>
    <row r="38" spans="1:13" s="13" customFormat="1" ht="15.75" customHeight="1" x14ac:dyDescent="0.2">
      <c r="A38" s="294">
        <v>35</v>
      </c>
      <c r="B38" s="295" t="s">
        <v>13</v>
      </c>
      <c r="C38" s="299" t="s">
        <v>19</v>
      </c>
      <c r="D38" s="177" t="s">
        <v>161</v>
      </c>
      <c r="E38" s="290">
        <f t="shared" si="2"/>
        <v>99.228978444445829</v>
      </c>
      <c r="F38" s="291">
        <v>100</v>
      </c>
      <c r="G38" s="291">
        <v>100</v>
      </c>
      <c r="H38" s="291">
        <v>100</v>
      </c>
      <c r="I38" s="291">
        <v>98.047049817227602</v>
      </c>
      <c r="J38" s="292">
        <v>0.2</v>
      </c>
      <c r="K38" s="292">
        <v>0</v>
      </c>
      <c r="L38" s="291">
        <f t="shared" si="3"/>
        <v>98.097842405001543</v>
      </c>
      <c r="M38" s="293"/>
    </row>
    <row r="39" spans="1:13" s="13" customFormat="1" ht="15.75" customHeight="1" x14ac:dyDescent="0.2">
      <c r="A39" s="294">
        <v>36</v>
      </c>
      <c r="B39" s="295" t="s">
        <v>13</v>
      </c>
      <c r="C39" s="299" t="s">
        <v>19</v>
      </c>
      <c r="D39" s="177" t="s">
        <v>172</v>
      </c>
      <c r="E39" s="290">
        <f t="shared" si="2"/>
        <v>99.064632467133151</v>
      </c>
      <c r="F39" s="291">
        <v>100</v>
      </c>
      <c r="G39" s="291">
        <v>99.287612173498999</v>
      </c>
      <c r="H39" s="291">
        <v>98.278526173131539</v>
      </c>
      <c r="I39" s="291">
        <v>99.659181584033703</v>
      </c>
      <c r="J39" s="292">
        <v>0.2</v>
      </c>
      <c r="K39" s="292">
        <v>0</v>
      </c>
      <c r="L39" s="291">
        <f t="shared" si="3"/>
        <v>98.097842405001543</v>
      </c>
      <c r="M39" s="293"/>
    </row>
    <row r="40" spans="1:13" s="5" customFormat="1" ht="15.75" customHeight="1" x14ac:dyDescent="0.2">
      <c r="A40" s="294">
        <v>37</v>
      </c>
      <c r="B40" s="295" t="s">
        <v>13</v>
      </c>
      <c r="C40" s="296" t="s">
        <v>14</v>
      </c>
      <c r="D40" s="177" t="s">
        <v>187</v>
      </c>
      <c r="E40" s="290">
        <f t="shared" si="2"/>
        <v>99.02116909790459</v>
      </c>
      <c r="F40" s="291">
        <v>100</v>
      </c>
      <c r="G40" s="291">
        <v>99.574594201005198</v>
      </c>
      <c r="H40" s="291">
        <v>99.122251132637601</v>
      </c>
      <c r="I40" s="291">
        <v>98.311157750878607</v>
      </c>
      <c r="J40" s="292">
        <v>0.2</v>
      </c>
      <c r="K40" s="292">
        <v>0</v>
      </c>
      <c r="L40" s="291">
        <f t="shared" si="3"/>
        <v>98.097842405001543</v>
      </c>
      <c r="M40" s="293"/>
    </row>
    <row r="41" spans="1:13" s="5" customFormat="1" ht="15.75" customHeight="1" x14ac:dyDescent="0.2">
      <c r="A41" s="294">
        <v>38</v>
      </c>
      <c r="B41" s="307" t="s">
        <v>10</v>
      </c>
      <c r="C41" s="308" t="s">
        <v>35</v>
      </c>
      <c r="D41" s="177" t="s">
        <v>123</v>
      </c>
      <c r="E41" s="290">
        <f t="shared" si="2"/>
        <v>99.020299306609303</v>
      </c>
      <c r="F41" s="291">
        <v>100</v>
      </c>
      <c r="G41" s="291">
        <v>100</v>
      </c>
      <c r="H41" s="306">
        <v>95.101496533046571</v>
      </c>
      <c r="I41" s="291">
        <v>100</v>
      </c>
      <c r="J41" s="292">
        <v>0</v>
      </c>
      <c r="K41" s="292">
        <v>0</v>
      </c>
      <c r="L41" s="291">
        <f t="shared" si="3"/>
        <v>100</v>
      </c>
      <c r="M41" s="293"/>
    </row>
    <row r="42" spans="1:13" s="5" customFormat="1" ht="15.75" customHeight="1" x14ac:dyDescent="0.2">
      <c r="A42" s="294">
        <v>39</v>
      </c>
      <c r="B42" s="301" t="s">
        <v>23</v>
      </c>
      <c r="C42" s="303" t="s">
        <v>26</v>
      </c>
      <c r="D42" s="177" t="s">
        <v>67</v>
      </c>
      <c r="E42" s="290">
        <f t="shared" si="2"/>
        <v>98.830170578753581</v>
      </c>
      <c r="F42" s="291">
        <v>100</v>
      </c>
      <c r="G42" s="291">
        <v>99.815412340624803</v>
      </c>
      <c r="H42" s="291">
        <v>99.999998286702393</v>
      </c>
      <c r="I42" s="291">
        <v>98.788840652412404</v>
      </c>
      <c r="J42" s="292">
        <v>0.5</v>
      </c>
      <c r="K42" s="292">
        <v>0</v>
      </c>
      <c r="L42" s="291">
        <f t="shared" si="3"/>
        <v>95.546601614028333</v>
      </c>
      <c r="M42" s="293"/>
    </row>
    <row r="43" spans="1:13" s="13" customFormat="1" ht="15.75" customHeight="1" x14ac:dyDescent="0.2">
      <c r="A43" s="294">
        <v>40</v>
      </c>
      <c r="B43" s="295" t="s">
        <v>13</v>
      </c>
      <c r="C43" s="296" t="s">
        <v>14</v>
      </c>
      <c r="D43" s="177" t="s">
        <v>132</v>
      </c>
      <c r="E43" s="290">
        <f t="shared" si="2"/>
        <v>98.809638395447962</v>
      </c>
      <c r="F43" s="291">
        <v>100</v>
      </c>
      <c r="G43" s="291">
        <v>99.918202679109299</v>
      </c>
      <c r="H43" s="291">
        <v>99.635582296890775</v>
      </c>
      <c r="I43" s="291">
        <v>96.396564596238207</v>
      </c>
      <c r="J43" s="292">
        <v>0.2</v>
      </c>
      <c r="K43" s="292">
        <v>0</v>
      </c>
      <c r="L43" s="291">
        <f t="shared" si="3"/>
        <v>98.097842405001543</v>
      </c>
      <c r="M43" s="293"/>
    </row>
    <row r="44" spans="1:13" s="5" customFormat="1" ht="15.75" customHeight="1" x14ac:dyDescent="0.2">
      <c r="A44" s="294">
        <v>41</v>
      </c>
      <c r="B44" s="295" t="s">
        <v>13</v>
      </c>
      <c r="C44" s="296" t="s">
        <v>14</v>
      </c>
      <c r="D44" s="177" t="s">
        <v>186</v>
      </c>
      <c r="E44" s="290">
        <f t="shared" si="2"/>
        <v>98.777095340666179</v>
      </c>
      <c r="F44" s="291">
        <v>100</v>
      </c>
      <c r="G44" s="291">
        <v>99.786071747356303</v>
      </c>
      <c r="H44" s="291">
        <v>99.345751148297197</v>
      </c>
      <c r="I44" s="291">
        <v>97.542959637615397</v>
      </c>
      <c r="J44" s="292">
        <v>0.3</v>
      </c>
      <c r="K44" s="292">
        <v>0</v>
      </c>
      <c r="L44" s="291">
        <f t="shared" si="3"/>
        <v>97.210694170061984</v>
      </c>
      <c r="M44" s="293"/>
    </row>
    <row r="45" spans="1:13" s="13" customFormat="1" ht="15.75" customHeight="1" x14ac:dyDescent="0.2">
      <c r="A45" s="294">
        <v>42</v>
      </c>
      <c r="B45" s="307" t="s">
        <v>10</v>
      </c>
      <c r="C45" s="311" t="s">
        <v>887</v>
      </c>
      <c r="D45" s="177" t="s">
        <v>113</v>
      </c>
      <c r="E45" s="290">
        <f t="shared" si="2"/>
        <v>98.751631317773217</v>
      </c>
      <c r="F45" s="291">
        <v>100</v>
      </c>
      <c r="G45" s="291">
        <v>99.183167967545401</v>
      </c>
      <c r="H45" s="291">
        <v>98.270369625769575</v>
      </c>
      <c r="I45" s="291">
        <v>99.9433104207437</v>
      </c>
      <c r="J45" s="292">
        <v>0.4</v>
      </c>
      <c r="K45" s="292">
        <v>0</v>
      </c>
      <c r="L45" s="291">
        <f t="shared" si="3"/>
        <v>96.361308574807396</v>
      </c>
      <c r="M45" s="293"/>
    </row>
    <row r="46" spans="1:13" s="5" customFormat="1" ht="15.75" customHeight="1" x14ac:dyDescent="0.2">
      <c r="A46" s="294">
        <v>43</v>
      </c>
      <c r="B46" s="301" t="s">
        <v>23</v>
      </c>
      <c r="C46" s="303" t="s">
        <v>26</v>
      </c>
      <c r="D46" s="177" t="s">
        <v>61</v>
      </c>
      <c r="E46" s="290">
        <f t="shared" si="2"/>
        <v>98.740999870776278</v>
      </c>
      <c r="F46" s="291">
        <v>100</v>
      </c>
      <c r="G46" s="291">
        <v>99.081161215096898</v>
      </c>
      <c r="H46" s="291">
        <v>99.077240926004706</v>
      </c>
      <c r="I46" s="291">
        <v>99.999995598751397</v>
      </c>
      <c r="J46" s="292">
        <v>0.4</v>
      </c>
      <c r="K46" s="292">
        <v>0.1</v>
      </c>
      <c r="L46" s="291">
        <f t="shared" si="3"/>
        <v>95.546601614028333</v>
      </c>
      <c r="M46" s="293"/>
    </row>
    <row r="47" spans="1:13" s="5" customFormat="1" ht="15.75" customHeight="1" x14ac:dyDescent="0.2">
      <c r="A47" s="294">
        <v>44</v>
      </c>
      <c r="B47" s="301" t="s">
        <v>23</v>
      </c>
      <c r="C47" s="312" t="s">
        <v>57</v>
      </c>
      <c r="D47" s="177" t="s">
        <v>58</v>
      </c>
      <c r="E47" s="290">
        <f t="shared" si="2"/>
        <v>98.653249525774228</v>
      </c>
      <c r="F47" s="291">
        <v>100</v>
      </c>
      <c r="G47" s="291">
        <v>98.290260862425896</v>
      </c>
      <c r="H47" s="291">
        <v>98.290260862425939</v>
      </c>
      <c r="I47" s="291">
        <v>98.587883499017806</v>
      </c>
      <c r="J47" s="292">
        <v>0.2</v>
      </c>
      <c r="K47" s="292">
        <v>0</v>
      </c>
      <c r="L47" s="291">
        <f t="shared" si="3"/>
        <v>98.097842405001543</v>
      </c>
      <c r="M47" s="293"/>
    </row>
    <row r="48" spans="1:13" s="5" customFormat="1" ht="15.75" customHeight="1" x14ac:dyDescent="0.2">
      <c r="A48" s="294">
        <v>45</v>
      </c>
      <c r="B48" s="301" t="s">
        <v>23</v>
      </c>
      <c r="C48" s="303" t="s">
        <v>26</v>
      </c>
      <c r="D48" s="177" t="s">
        <v>27</v>
      </c>
      <c r="E48" s="290">
        <f t="shared" si="2"/>
        <v>98.632364492911464</v>
      </c>
      <c r="F48" s="291">
        <v>100</v>
      </c>
      <c r="G48" s="291">
        <v>100</v>
      </c>
      <c r="H48" s="291">
        <v>100</v>
      </c>
      <c r="I48" s="291">
        <v>98.397970159773053</v>
      </c>
      <c r="J48" s="292">
        <v>0.4</v>
      </c>
      <c r="K48" s="292">
        <v>0.2</v>
      </c>
      <c r="L48" s="291">
        <f t="shared" si="3"/>
        <v>94.763852304784194</v>
      </c>
      <c r="M48" s="293"/>
    </row>
    <row r="49" spans="1:13" s="5" customFormat="1" ht="15.75" customHeight="1" x14ac:dyDescent="0.2">
      <c r="A49" s="294">
        <v>46</v>
      </c>
      <c r="B49" s="301" t="s">
        <v>23</v>
      </c>
      <c r="C49" s="303" t="s">
        <v>26</v>
      </c>
      <c r="D49" s="177" t="s">
        <v>218</v>
      </c>
      <c r="E49" s="290">
        <f t="shared" si="2"/>
        <v>98.413664471391485</v>
      </c>
      <c r="F49" s="291">
        <v>100</v>
      </c>
      <c r="G49" s="291">
        <v>99.632691387983598</v>
      </c>
      <c r="H49" s="291">
        <v>99.999999924305001</v>
      </c>
      <c r="I49" s="291">
        <v>99.150792234262099</v>
      </c>
      <c r="J49" s="292">
        <v>0.7</v>
      </c>
      <c r="K49" s="292">
        <v>0.1</v>
      </c>
      <c r="L49" s="291">
        <f t="shared" si="3"/>
        <v>93.284838810406754</v>
      </c>
      <c r="M49" s="293"/>
    </row>
    <row r="50" spans="1:13" s="5" customFormat="1" ht="15.75" customHeight="1" x14ac:dyDescent="0.2">
      <c r="A50" s="294">
        <v>47</v>
      </c>
      <c r="B50" s="307" t="s">
        <v>10</v>
      </c>
      <c r="C50" s="311" t="s">
        <v>887</v>
      </c>
      <c r="D50" s="177" t="s">
        <v>102</v>
      </c>
      <c r="E50" s="290">
        <f t="shared" si="2"/>
        <v>98.381403767408216</v>
      </c>
      <c r="F50" s="291">
        <v>100</v>
      </c>
      <c r="G50" s="291">
        <v>100</v>
      </c>
      <c r="H50" s="291">
        <v>100</v>
      </c>
      <c r="I50" s="291">
        <v>94.834373461349003</v>
      </c>
      <c r="J50" s="314">
        <v>0.31596453035671601</v>
      </c>
      <c r="K50" s="314">
        <v>0</v>
      </c>
      <c r="L50" s="291">
        <f t="shared" si="3"/>
        <v>97.07264537569209</v>
      </c>
      <c r="M50" s="293"/>
    </row>
    <row r="51" spans="1:13" s="13" customFormat="1" ht="15.75" customHeight="1" x14ac:dyDescent="0.2">
      <c r="A51" s="294">
        <v>48</v>
      </c>
      <c r="B51" s="295" t="s">
        <v>13</v>
      </c>
      <c r="C51" s="296" t="s">
        <v>14</v>
      </c>
      <c r="D51" s="177" t="s">
        <v>28</v>
      </c>
      <c r="E51" s="290">
        <f t="shared" si="2"/>
        <v>98.101376012247599</v>
      </c>
      <c r="F51" s="291">
        <v>100</v>
      </c>
      <c r="G51" s="291">
        <v>99.931572150916793</v>
      </c>
      <c r="H51" s="291">
        <v>98.812522853310142</v>
      </c>
      <c r="I51" s="291">
        <v>93.664942652009501</v>
      </c>
      <c r="J51" s="292">
        <v>0.1</v>
      </c>
      <c r="K51" s="292">
        <v>0.1</v>
      </c>
      <c r="L51" s="291">
        <f t="shared" si="3"/>
        <v>98.097842405001543</v>
      </c>
      <c r="M51" s="293"/>
    </row>
    <row r="52" spans="1:13" s="5" customFormat="1" ht="15.75" customHeight="1" x14ac:dyDescent="0.2">
      <c r="A52" s="294">
        <v>49</v>
      </c>
      <c r="B52" s="295" t="s">
        <v>13</v>
      </c>
      <c r="C52" s="296" t="s">
        <v>14</v>
      </c>
      <c r="D52" s="177" t="s">
        <v>330</v>
      </c>
      <c r="E52" s="290">
        <f t="shared" si="2"/>
        <v>98.062533011329108</v>
      </c>
      <c r="F52" s="291">
        <v>100</v>
      </c>
      <c r="G52" s="291">
        <v>98.734148352210596</v>
      </c>
      <c r="H52" s="291">
        <v>99.923960240291294</v>
      </c>
      <c r="I52" s="291">
        <v>99.070054392525606</v>
      </c>
      <c r="J52" s="292">
        <v>0.9</v>
      </c>
      <c r="K52" s="292">
        <v>0</v>
      </c>
      <c r="L52" s="291">
        <f t="shared" si="3"/>
        <v>92.584502071618047</v>
      </c>
      <c r="M52" s="293"/>
    </row>
    <row r="53" spans="1:13" s="5" customFormat="1" ht="15.75" customHeight="1" x14ac:dyDescent="0.2">
      <c r="A53" s="294">
        <v>50</v>
      </c>
      <c r="B53" s="301" t="s">
        <v>23</v>
      </c>
      <c r="C53" s="302" t="s">
        <v>24</v>
      </c>
      <c r="D53" s="177" t="s">
        <v>25</v>
      </c>
      <c r="E53" s="290">
        <f t="shared" si="2"/>
        <v>97.740935715114261</v>
      </c>
      <c r="F53" s="291">
        <v>100</v>
      </c>
      <c r="G53" s="291">
        <v>98.922726932404302</v>
      </c>
      <c r="H53" s="291">
        <v>98.92272693240426</v>
      </c>
      <c r="I53" s="291">
        <v>99.605719021524607</v>
      </c>
      <c r="J53" s="292">
        <v>0.7</v>
      </c>
      <c r="K53" s="292">
        <v>0.4</v>
      </c>
      <c r="L53" s="291">
        <f t="shared" si="3"/>
        <v>91.253505689238139</v>
      </c>
      <c r="M53" s="293"/>
    </row>
    <row r="54" spans="1:13" s="5" customFormat="1" ht="15.75" customHeight="1" x14ac:dyDescent="0.2">
      <c r="A54" s="294">
        <v>51</v>
      </c>
      <c r="B54" s="301" t="s">
        <v>23</v>
      </c>
      <c r="C54" s="302" t="s">
        <v>24</v>
      </c>
      <c r="D54" s="177" t="s">
        <v>38</v>
      </c>
      <c r="E54" s="290">
        <f t="shared" si="2"/>
        <v>97.719000653556151</v>
      </c>
      <c r="F54" s="291">
        <v>100</v>
      </c>
      <c r="G54" s="291">
        <v>99.162634745081405</v>
      </c>
      <c r="H54" s="291">
        <v>99.431996022305839</v>
      </c>
      <c r="I54" s="291">
        <v>98.092462311557796</v>
      </c>
      <c r="J54" s="292">
        <v>0.8</v>
      </c>
      <c r="K54" s="292">
        <v>0.2</v>
      </c>
      <c r="L54" s="291">
        <f t="shared" si="3"/>
        <v>91.907910188835714</v>
      </c>
      <c r="M54" s="293"/>
    </row>
    <row r="55" spans="1:13" s="5" customFormat="1" ht="15.75" customHeight="1" x14ac:dyDescent="0.2">
      <c r="A55" s="294">
        <v>52</v>
      </c>
      <c r="B55" s="307" t="s">
        <v>10</v>
      </c>
      <c r="C55" s="315" t="s">
        <v>115</v>
      </c>
      <c r="D55" s="177" t="s">
        <v>116</v>
      </c>
      <c r="E55" s="290">
        <f t="shared" si="2"/>
        <v>97.716598715665526</v>
      </c>
      <c r="F55" s="291">
        <v>100</v>
      </c>
      <c r="G55" s="291">
        <v>97.833652824668505</v>
      </c>
      <c r="H55" s="291">
        <v>95.593904250443956</v>
      </c>
      <c r="I55" s="291">
        <v>97.9447423331533</v>
      </c>
      <c r="J55" s="292">
        <v>0.2</v>
      </c>
      <c r="K55" s="292">
        <v>0.1</v>
      </c>
      <c r="L55" s="291">
        <f t="shared" si="3"/>
        <v>97.210694170061984</v>
      </c>
      <c r="M55" s="293"/>
    </row>
    <row r="56" spans="1:13" s="5" customFormat="1" ht="15.75" customHeight="1" x14ac:dyDescent="0.2">
      <c r="A56" s="294">
        <v>53</v>
      </c>
      <c r="B56" s="295" t="s">
        <v>13</v>
      </c>
      <c r="C56" s="296" t="s">
        <v>14</v>
      </c>
      <c r="D56" s="177" t="s">
        <v>126</v>
      </c>
      <c r="E56" s="290">
        <f t="shared" si="2"/>
        <v>97.442300050265246</v>
      </c>
      <c r="F56" s="291">
        <v>100</v>
      </c>
      <c r="G56" s="291">
        <v>98.772603277730795</v>
      </c>
      <c r="H56" s="291">
        <v>95.904282692956698</v>
      </c>
      <c r="I56" s="291">
        <v>92.534614280638706</v>
      </c>
      <c r="J56" s="292">
        <v>0</v>
      </c>
      <c r="K56" s="292">
        <v>0</v>
      </c>
      <c r="L56" s="291">
        <f t="shared" si="3"/>
        <v>100</v>
      </c>
      <c r="M56" s="293"/>
    </row>
    <row r="57" spans="1:13" s="5" customFormat="1" ht="15.75" customHeight="1" x14ac:dyDescent="0.2">
      <c r="A57" s="294">
        <v>54</v>
      </c>
      <c r="B57" s="295" t="s">
        <v>13</v>
      </c>
      <c r="C57" s="296" t="s">
        <v>14</v>
      </c>
      <c r="D57" s="177" t="s">
        <v>69</v>
      </c>
      <c r="E57" s="290">
        <f t="shared" si="2"/>
        <v>97.386574838740827</v>
      </c>
      <c r="F57" s="291">
        <v>100</v>
      </c>
      <c r="G57" s="291">
        <v>99.903181204483005</v>
      </c>
      <c r="H57" s="306">
        <v>95.808068527658449</v>
      </c>
      <c r="I57" s="291">
        <v>95.675022847534336</v>
      </c>
      <c r="J57" s="292">
        <v>0.5</v>
      </c>
      <c r="K57" s="292">
        <v>0</v>
      </c>
      <c r="L57" s="291">
        <f t="shared" si="3"/>
        <v>95.546601614028333</v>
      </c>
      <c r="M57" s="293"/>
    </row>
    <row r="58" spans="1:13" s="5" customFormat="1" ht="15.75" customHeight="1" x14ac:dyDescent="0.2">
      <c r="A58" s="294">
        <v>55</v>
      </c>
      <c r="B58" s="295" t="s">
        <v>13</v>
      </c>
      <c r="C58" s="296" t="s">
        <v>14</v>
      </c>
      <c r="D58" s="177" t="s">
        <v>148</v>
      </c>
      <c r="E58" s="290">
        <f t="shared" si="2"/>
        <v>97.369407911025576</v>
      </c>
      <c r="F58" s="291">
        <v>100</v>
      </c>
      <c r="G58" s="291">
        <v>99.280138211787303</v>
      </c>
      <c r="H58" s="291">
        <v>89.717773890759489</v>
      </c>
      <c r="I58" s="291">
        <v>97.849127452581101</v>
      </c>
      <c r="J58" s="292">
        <v>0</v>
      </c>
      <c r="K58" s="292">
        <v>0</v>
      </c>
      <c r="L58" s="291">
        <f t="shared" si="3"/>
        <v>100</v>
      </c>
      <c r="M58" s="293"/>
    </row>
    <row r="59" spans="1:13" s="5" customFormat="1" ht="15.75" customHeight="1" x14ac:dyDescent="0.2">
      <c r="A59" s="294">
        <v>56</v>
      </c>
      <c r="B59" s="295" t="s">
        <v>13</v>
      </c>
      <c r="C59" s="296" t="s">
        <v>14</v>
      </c>
      <c r="D59" s="177" t="s">
        <v>103</v>
      </c>
      <c r="E59" s="290">
        <f t="shared" si="2"/>
        <v>97.31911294550693</v>
      </c>
      <c r="F59" s="291">
        <v>100</v>
      </c>
      <c r="G59" s="291">
        <v>100</v>
      </c>
      <c r="H59" s="291">
        <v>97.368431482157888</v>
      </c>
      <c r="I59" s="291">
        <v>97.973627556138595</v>
      </c>
      <c r="J59" s="292">
        <v>0.9</v>
      </c>
      <c r="K59" s="292">
        <v>0.2</v>
      </c>
      <c r="L59" s="291">
        <f t="shared" si="3"/>
        <v>91.253505689238139</v>
      </c>
      <c r="M59" s="293"/>
    </row>
    <row r="60" spans="1:13" s="5" customFormat="1" ht="15.75" customHeight="1" x14ac:dyDescent="0.2">
      <c r="A60" s="294">
        <v>57</v>
      </c>
      <c r="B60" s="301" t="s">
        <v>23</v>
      </c>
      <c r="C60" s="302" t="s">
        <v>24</v>
      </c>
      <c r="D60" s="177" t="s">
        <v>34</v>
      </c>
      <c r="E60" s="290">
        <f t="shared" si="2"/>
        <v>97.245303461105294</v>
      </c>
      <c r="F60" s="291">
        <v>100</v>
      </c>
      <c r="G60" s="291">
        <v>99.110987737212582</v>
      </c>
      <c r="H60" s="291">
        <v>97.635629447147323</v>
      </c>
      <c r="I60" s="291">
        <v>93.933298507138289</v>
      </c>
      <c r="J60" s="292">
        <v>0.4</v>
      </c>
      <c r="K60" s="292">
        <v>0.1</v>
      </c>
      <c r="L60" s="291">
        <f t="shared" si="3"/>
        <v>95.546601614028333</v>
      </c>
      <c r="M60" s="293"/>
    </row>
    <row r="61" spans="1:13" s="5" customFormat="1" ht="15.75" customHeight="1" x14ac:dyDescent="0.2">
      <c r="A61" s="294">
        <v>58</v>
      </c>
      <c r="B61" s="295" t="s">
        <v>13</v>
      </c>
      <c r="C61" s="296" t="s">
        <v>14</v>
      </c>
      <c r="D61" s="177" t="s">
        <v>46</v>
      </c>
      <c r="E61" s="290">
        <f t="shared" si="2"/>
        <v>97.066953450022169</v>
      </c>
      <c r="F61" s="291">
        <v>100</v>
      </c>
      <c r="G61" s="291">
        <v>96.087312723121897</v>
      </c>
      <c r="H61" s="291">
        <v>98.205228523172892</v>
      </c>
      <c r="I61" s="291">
        <v>95.495624389787736</v>
      </c>
      <c r="J61" s="292">
        <v>0.4</v>
      </c>
      <c r="K61" s="292">
        <v>0.1</v>
      </c>
      <c r="L61" s="291">
        <f t="shared" si="3"/>
        <v>95.546601614028333</v>
      </c>
      <c r="M61" s="293"/>
    </row>
    <row r="62" spans="1:13" s="5" customFormat="1" ht="15.75" customHeight="1" x14ac:dyDescent="0.2">
      <c r="A62" s="294">
        <v>59</v>
      </c>
      <c r="B62" s="297" t="s">
        <v>16</v>
      </c>
      <c r="C62" s="300" t="s">
        <v>21</v>
      </c>
      <c r="D62" s="177" t="s">
        <v>143</v>
      </c>
      <c r="E62" s="290">
        <f t="shared" si="2"/>
        <v>96.964736626362111</v>
      </c>
      <c r="F62" s="291">
        <v>100</v>
      </c>
      <c r="G62" s="291">
        <v>99.926545826313401</v>
      </c>
      <c r="H62" s="291">
        <v>99.800995800862893</v>
      </c>
      <c r="I62" s="291">
        <v>97.373739114164394</v>
      </c>
      <c r="J62" s="292">
        <v>1.3</v>
      </c>
      <c r="K62" s="292">
        <v>0.4</v>
      </c>
      <c r="L62" s="291">
        <f t="shared" si="3"/>
        <v>87.722402390469895</v>
      </c>
      <c r="M62" s="293"/>
    </row>
    <row r="63" spans="1:13" s="5" customFormat="1" ht="15.75" customHeight="1" x14ac:dyDescent="0.2">
      <c r="A63" s="294">
        <v>60</v>
      </c>
      <c r="B63" s="295" t="s">
        <v>13</v>
      </c>
      <c r="C63" s="299" t="s">
        <v>19</v>
      </c>
      <c r="D63" s="177" t="s">
        <v>199</v>
      </c>
      <c r="E63" s="290">
        <f t="shared" si="2"/>
        <v>96.957707521498293</v>
      </c>
      <c r="F63" s="291">
        <v>100</v>
      </c>
      <c r="G63" s="291">
        <v>99.760796667304504</v>
      </c>
      <c r="H63" s="291">
        <v>88.186710311911455</v>
      </c>
      <c r="I63" s="291">
        <v>98.743188223274004</v>
      </c>
      <c r="J63" s="292">
        <v>0.2</v>
      </c>
      <c r="K63" s="292">
        <v>0</v>
      </c>
      <c r="L63" s="291">
        <f t="shared" si="3"/>
        <v>98.097842405001543</v>
      </c>
      <c r="M63" s="293"/>
    </row>
    <row r="64" spans="1:13" s="5" customFormat="1" ht="15.75" customHeight="1" x14ac:dyDescent="0.2">
      <c r="A64" s="294">
        <v>61</v>
      </c>
      <c r="B64" s="307" t="s">
        <v>10</v>
      </c>
      <c r="C64" s="308" t="s">
        <v>35</v>
      </c>
      <c r="D64" s="177" t="s">
        <v>210</v>
      </c>
      <c r="E64" s="290">
        <f t="shared" si="2"/>
        <v>96.916192619364622</v>
      </c>
      <c r="F64" s="291">
        <v>100</v>
      </c>
      <c r="G64" s="291">
        <v>95.986625779469904</v>
      </c>
      <c r="H64" s="291">
        <v>95.305987785804064</v>
      </c>
      <c r="I64" s="291">
        <v>99.277701676254907</v>
      </c>
      <c r="J64" s="292">
        <v>0.5</v>
      </c>
      <c r="K64" s="292">
        <v>0.2</v>
      </c>
      <c r="L64" s="291">
        <f t="shared" si="3"/>
        <v>94.010647855294238</v>
      </c>
      <c r="M64" s="293"/>
    </row>
    <row r="65" spans="1:13" s="5" customFormat="1" ht="15.75" customHeight="1" x14ac:dyDescent="0.2">
      <c r="A65" s="294">
        <v>62</v>
      </c>
      <c r="B65" s="307" t="s">
        <v>10</v>
      </c>
      <c r="C65" s="308" t="s">
        <v>35</v>
      </c>
      <c r="D65" s="177" t="s">
        <v>162</v>
      </c>
      <c r="E65" s="290">
        <f t="shared" si="2"/>
        <v>96.842023420973391</v>
      </c>
      <c r="F65" s="291">
        <v>100</v>
      </c>
      <c r="G65" s="291">
        <v>92.670218709367305</v>
      </c>
      <c r="H65" s="291">
        <v>95.857656889495573</v>
      </c>
      <c r="I65" s="291">
        <v>99.320932931196694</v>
      </c>
      <c r="J65" s="292">
        <v>0.3</v>
      </c>
      <c r="K65" s="292">
        <v>0.1</v>
      </c>
      <c r="L65" s="291">
        <f t="shared" si="3"/>
        <v>96.361308574807396</v>
      </c>
      <c r="M65" s="293"/>
    </row>
    <row r="66" spans="1:13" s="5" customFormat="1" ht="15.75" customHeight="1" x14ac:dyDescent="0.2">
      <c r="A66" s="294">
        <v>63</v>
      </c>
      <c r="B66" s="295" t="s">
        <v>13</v>
      </c>
      <c r="C66" s="299" t="s">
        <v>19</v>
      </c>
      <c r="D66" s="177" t="s">
        <v>109</v>
      </c>
      <c r="E66" s="290">
        <f t="shared" si="2"/>
        <v>96.775826556478293</v>
      </c>
      <c r="F66" s="291">
        <v>100</v>
      </c>
      <c r="G66" s="291">
        <v>97.098033700701293</v>
      </c>
      <c r="H66" s="291">
        <v>97.055492661751501</v>
      </c>
      <c r="I66" s="291">
        <v>89.7256064199387</v>
      </c>
      <c r="J66" s="292">
        <v>0</v>
      </c>
      <c r="K66" s="292">
        <v>0</v>
      </c>
      <c r="L66" s="291">
        <f t="shared" si="3"/>
        <v>100</v>
      </c>
      <c r="M66" s="293"/>
    </row>
    <row r="67" spans="1:13" s="5" customFormat="1" ht="15.75" customHeight="1" x14ac:dyDescent="0.2">
      <c r="A67" s="294">
        <v>64</v>
      </c>
      <c r="B67" s="295" t="s">
        <v>13</v>
      </c>
      <c r="C67" s="296" t="s">
        <v>14</v>
      </c>
      <c r="D67" s="177" t="s">
        <v>175</v>
      </c>
      <c r="E67" s="290">
        <f t="shared" si="2"/>
        <v>96.603508043613857</v>
      </c>
      <c r="F67" s="291">
        <v>100</v>
      </c>
      <c r="G67" s="291">
        <v>96.900261607464202</v>
      </c>
      <c r="H67" s="291">
        <v>94.873422878863138</v>
      </c>
      <c r="I67" s="291">
        <v>92.217587829684106</v>
      </c>
      <c r="J67" s="292">
        <v>0.1</v>
      </c>
      <c r="K67" s="292">
        <v>0</v>
      </c>
      <c r="L67" s="291">
        <f t="shared" si="3"/>
        <v>99.026267902057867</v>
      </c>
      <c r="M67" s="293"/>
    </row>
    <row r="68" spans="1:13" s="5" customFormat="1" ht="15.75" customHeight="1" x14ac:dyDescent="0.2">
      <c r="A68" s="294">
        <v>65</v>
      </c>
      <c r="B68" s="307" t="s">
        <v>10</v>
      </c>
      <c r="C68" s="315" t="s">
        <v>115</v>
      </c>
      <c r="D68" s="177" t="s">
        <v>124</v>
      </c>
      <c r="E68" s="290">
        <f t="shared" ref="E68:E99" si="4">(F68+G68+H68+I68+L68)/5</f>
        <v>96.517462063470418</v>
      </c>
      <c r="F68" s="291">
        <v>100</v>
      </c>
      <c r="G68" s="291">
        <v>94.943059160487095</v>
      </c>
      <c r="H68" s="291">
        <v>97.196441371147813</v>
      </c>
      <c r="I68" s="291">
        <v>98.539899596881497</v>
      </c>
      <c r="J68" s="292">
        <v>0.5</v>
      </c>
      <c r="K68" s="292">
        <v>0.5</v>
      </c>
      <c r="L68" s="291">
        <f t="shared" ref="L68:L99" si="5">(1-((LN((AVERAGE(J68:K68))+1))/(LN(150))))*100</f>
        <v>91.907910188835714</v>
      </c>
      <c r="M68" s="293"/>
    </row>
    <row r="69" spans="1:13" s="5" customFormat="1" ht="15.75" customHeight="1" x14ac:dyDescent="0.2">
      <c r="A69" s="294">
        <v>66</v>
      </c>
      <c r="B69" s="295" t="s">
        <v>13</v>
      </c>
      <c r="C69" s="296" t="s">
        <v>14</v>
      </c>
      <c r="D69" s="177" t="s">
        <v>160</v>
      </c>
      <c r="E69" s="290">
        <f t="shared" si="4"/>
        <v>96.50945454940036</v>
      </c>
      <c r="F69" s="291">
        <v>100</v>
      </c>
      <c r="G69" s="291">
        <v>98.187331404617296</v>
      </c>
      <c r="H69" s="291">
        <v>91.351706922853552</v>
      </c>
      <c r="I69" s="291">
        <v>98.997586564236698</v>
      </c>
      <c r="J69" s="292">
        <v>0.5</v>
      </c>
      <c r="K69" s="292">
        <v>0.2</v>
      </c>
      <c r="L69" s="291">
        <f t="shared" si="5"/>
        <v>94.010647855294238</v>
      </c>
      <c r="M69" s="293"/>
    </row>
    <row r="70" spans="1:13" s="5" customFormat="1" ht="15.75" customHeight="1" x14ac:dyDescent="0.2">
      <c r="A70" s="294">
        <v>67</v>
      </c>
      <c r="B70" s="307" t="s">
        <v>10</v>
      </c>
      <c r="C70" s="311" t="s">
        <v>887</v>
      </c>
      <c r="D70" s="177" t="s">
        <v>62</v>
      </c>
      <c r="E70" s="290">
        <f t="shared" si="4"/>
        <v>96.385022883048549</v>
      </c>
      <c r="F70" s="291">
        <v>100</v>
      </c>
      <c r="G70" s="291">
        <v>96.122415186751596</v>
      </c>
      <c r="H70" s="291">
        <v>89.504552568607053</v>
      </c>
      <c r="I70" s="291">
        <v>97.2718787578263</v>
      </c>
      <c r="J70" s="292">
        <v>0.1</v>
      </c>
      <c r="K70" s="292">
        <v>0</v>
      </c>
      <c r="L70" s="291">
        <f t="shared" si="5"/>
        <v>99.026267902057867</v>
      </c>
      <c r="M70" s="293"/>
    </row>
    <row r="71" spans="1:13" s="13" customFormat="1" ht="15.75" customHeight="1" x14ac:dyDescent="0.2">
      <c r="A71" s="294">
        <v>68</v>
      </c>
      <c r="B71" s="295" t="s">
        <v>13</v>
      </c>
      <c r="C71" s="296" t="s">
        <v>14</v>
      </c>
      <c r="D71" s="177" t="s">
        <v>182</v>
      </c>
      <c r="E71" s="290">
        <f t="shared" si="4"/>
        <v>96.364661880343235</v>
      </c>
      <c r="F71" s="291">
        <v>100</v>
      </c>
      <c r="G71" s="291">
        <v>95.398382021060002</v>
      </c>
      <c r="H71" s="291">
        <v>91.271934859932927</v>
      </c>
      <c r="I71" s="291">
        <v>97.942298350661304</v>
      </c>
      <c r="J71" s="292">
        <v>0.3</v>
      </c>
      <c r="K71" s="292">
        <v>0</v>
      </c>
      <c r="L71" s="291">
        <f t="shared" si="5"/>
        <v>97.210694170061984</v>
      </c>
      <c r="M71" s="293"/>
    </row>
    <row r="72" spans="1:13" s="5" customFormat="1" ht="15.75" customHeight="1" x14ac:dyDescent="0.2">
      <c r="A72" s="294">
        <v>69</v>
      </c>
      <c r="B72" s="301" t="s">
        <v>23</v>
      </c>
      <c r="C72" s="303" t="s">
        <v>26</v>
      </c>
      <c r="D72" s="177" t="s">
        <v>168</v>
      </c>
      <c r="E72" s="290">
        <f t="shared" si="4"/>
        <v>96.300966602949487</v>
      </c>
      <c r="F72" s="291">
        <v>99.8</v>
      </c>
      <c r="G72" s="291">
        <v>99.603595665135501</v>
      </c>
      <c r="H72" s="291">
        <v>99.999997575912204</v>
      </c>
      <c r="I72" s="291">
        <v>95.934758676515102</v>
      </c>
      <c r="J72" s="292">
        <v>1.1000000000000001</v>
      </c>
      <c r="K72" s="292">
        <v>0.9</v>
      </c>
      <c r="L72" s="291">
        <f t="shared" si="5"/>
        <v>86.166481097184615</v>
      </c>
      <c r="M72" s="293"/>
    </row>
    <row r="73" spans="1:13" s="5" customFormat="1" ht="15.75" customHeight="1" x14ac:dyDescent="0.2">
      <c r="A73" s="294">
        <v>70</v>
      </c>
      <c r="B73" s="307" t="s">
        <v>10</v>
      </c>
      <c r="C73" s="308" t="s">
        <v>35</v>
      </c>
      <c r="D73" s="177" t="s">
        <v>114</v>
      </c>
      <c r="E73" s="290">
        <f t="shared" si="4"/>
        <v>96.233183650308845</v>
      </c>
      <c r="F73" s="291">
        <v>100</v>
      </c>
      <c r="G73" s="291">
        <v>99.286108923671705</v>
      </c>
      <c r="H73" s="291">
        <v>88.254324408861862</v>
      </c>
      <c r="I73" s="291">
        <v>96.414790748948704</v>
      </c>
      <c r="J73" s="292">
        <v>0.2</v>
      </c>
      <c r="K73" s="292">
        <v>0.1</v>
      </c>
      <c r="L73" s="291">
        <f t="shared" si="5"/>
        <v>97.210694170061984</v>
      </c>
      <c r="M73" s="293"/>
    </row>
    <row r="74" spans="1:13" s="5" customFormat="1" ht="15.75" customHeight="1" x14ac:dyDescent="0.2">
      <c r="A74" s="294">
        <v>71</v>
      </c>
      <c r="B74" s="307" t="s">
        <v>10</v>
      </c>
      <c r="C74" s="308" t="s">
        <v>35</v>
      </c>
      <c r="D74" s="177" t="s">
        <v>107</v>
      </c>
      <c r="E74" s="290">
        <f t="shared" si="4"/>
        <v>96.18827657697932</v>
      </c>
      <c r="F74" s="291">
        <v>100</v>
      </c>
      <c r="G74" s="291">
        <v>97.852063592089806</v>
      </c>
      <c r="H74" s="291">
        <v>99.346192466240979</v>
      </c>
      <c r="I74" s="291">
        <v>90.458288016159003</v>
      </c>
      <c r="J74" s="292">
        <v>0.4</v>
      </c>
      <c r="K74" s="292">
        <v>0.4</v>
      </c>
      <c r="L74" s="291">
        <f t="shared" si="5"/>
        <v>93.284838810406754</v>
      </c>
      <c r="M74" s="293"/>
    </row>
    <row r="75" spans="1:13" s="5" customFormat="1" ht="15.75" customHeight="1" x14ac:dyDescent="0.2">
      <c r="A75" s="294">
        <v>72</v>
      </c>
      <c r="B75" s="307" t="s">
        <v>10</v>
      </c>
      <c r="C75" s="308" t="s">
        <v>35</v>
      </c>
      <c r="D75" s="177" t="s">
        <v>180</v>
      </c>
      <c r="E75" s="290">
        <f t="shared" si="4"/>
        <v>96.027147922082506</v>
      </c>
      <c r="F75" s="291">
        <v>100</v>
      </c>
      <c r="G75" s="291">
        <v>99.040781771352499</v>
      </c>
      <c r="H75" s="291">
        <v>89.476811621835907</v>
      </c>
      <c r="I75" s="291">
        <v>97.607498361929899</v>
      </c>
      <c r="J75" s="292">
        <v>0.4</v>
      </c>
      <c r="K75" s="292">
        <v>0.3</v>
      </c>
      <c r="L75" s="291">
        <f t="shared" si="5"/>
        <v>94.010647855294238</v>
      </c>
      <c r="M75" s="293"/>
    </row>
    <row r="76" spans="1:13" s="13" customFormat="1" ht="15.75" customHeight="1" x14ac:dyDescent="0.2">
      <c r="A76" s="294">
        <v>73</v>
      </c>
      <c r="B76" s="295" t="s">
        <v>13</v>
      </c>
      <c r="C76" s="296" t="s">
        <v>14</v>
      </c>
      <c r="D76" s="177" t="s">
        <v>51</v>
      </c>
      <c r="E76" s="290">
        <f t="shared" si="4"/>
        <v>95.99873309261109</v>
      </c>
      <c r="F76" s="291">
        <v>100</v>
      </c>
      <c r="G76" s="291">
        <v>99.185251571345802</v>
      </c>
      <c r="H76" s="291">
        <v>99.185251571345759</v>
      </c>
      <c r="I76" s="291">
        <v>86.076560706335499</v>
      </c>
      <c r="J76" s="292">
        <v>0.5</v>
      </c>
      <c r="K76" s="292">
        <v>0</v>
      </c>
      <c r="L76" s="291">
        <f t="shared" si="5"/>
        <v>95.546601614028333</v>
      </c>
      <c r="M76" s="293"/>
    </row>
    <row r="77" spans="1:13" s="5" customFormat="1" ht="15.75" customHeight="1" x14ac:dyDescent="0.2">
      <c r="A77" s="294">
        <v>74</v>
      </c>
      <c r="B77" s="297" t="s">
        <v>16</v>
      </c>
      <c r="C77" s="298" t="s">
        <v>17</v>
      </c>
      <c r="D77" s="177" t="s">
        <v>78</v>
      </c>
      <c r="E77" s="290">
        <f t="shared" si="4"/>
        <v>95.937757379431702</v>
      </c>
      <c r="F77" s="291">
        <v>100</v>
      </c>
      <c r="G77" s="291">
        <v>97.298242628019395</v>
      </c>
      <c r="H77" s="291">
        <v>97.582012459471173</v>
      </c>
      <c r="I77" s="291">
        <v>97.086129419198002</v>
      </c>
      <c r="J77" s="292">
        <v>0.8</v>
      </c>
      <c r="K77" s="292">
        <v>0.9</v>
      </c>
      <c r="L77" s="291">
        <f t="shared" si="5"/>
        <v>87.722402390469895</v>
      </c>
      <c r="M77" s="293"/>
    </row>
    <row r="78" spans="1:13" s="13" customFormat="1" ht="15.75" customHeight="1" x14ac:dyDescent="0.2">
      <c r="A78" s="294">
        <v>75</v>
      </c>
      <c r="B78" s="301" t="s">
        <v>23</v>
      </c>
      <c r="C78" s="302" t="s">
        <v>24</v>
      </c>
      <c r="D78" s="177" t="s">
        <v>194</v>
      </c>
      <c r="E78" s="290">
        <f t="shared" si="4"/>
        <v>95.849257661403769</v>
      </c>
      <c r="F78" s="291">
        <v>100</v>
      </c>
      <c r="G78" s="291">
        <v>98.672387619276506</v>
      </c>
      <c r="H78" s="291">
        <v>98.178038814193556</v>
      </c>
      <c r="I78" s="291">
        <v>98.131538371362694</v>
      </c>
      <c r="J78" s="292">
        <v>1.8</v>
      </c>
      <c r="K78" s="292">
        <v>0.6</v>
      </c>
      <c r="L78" s="291">
        <f t="shared" si="5"/>
        <v>84.264323502186159</v>
      </c>
      <c r="M78" s="293"/>
    </row>
    <row r="79" spans="1:13" s="13" customFormat="1" ht="15.75" customHeight="1" x14ac:dyDescent="0.2">
      <c r="A79" s="294">
        <v>76</v>
      </c>
      <c r="B79" s="301" t="s">
        <v>23</v>
      </c>
      <c r="C79" s="303" t="s">
        <v>26</v>
      </c>
      <c r="D79" s="177" t="s">
        <v>48</v>
      </c>
      <c r="E79" s="290">
        <f t="shared" si="4"/>
        <v>95.451992379658563</v>
      </c>
      <c r="F79" s="291">
        <v>99.8</v>
      </c>
      <c r="G79" s="291">
        <v>99.999998732302799</v>
      </c>
      <c r="H79" s="291">
        <v>99.385015936972252</v>
      </c>
      <c r="I79" s="291">
        <v>92.401270160485296</v>
      </c>
      <c r="J79" s="292">
        <v>1.3</v>
      </c>
      <c r="K79" s="292">
        <v>0.8</v>
      </c>
      <c r="L79" s="291">
        <f t="shared" si="5"/>
        <v>85.673677068532484</v>
      </c>
      <c r="M79" s="293"/>
    </row>
    <row r="80" spans="1:13" s="13" customFormat="1" ht="15.75" customHeight="1" x14ac:dyDescent="0.2">
      <c r="A80" s="294">
        <v>77</v>
      </c>
      <c r="B80" s="301" t="s">
        <v>23</v>
      </c>
      <c r="C80" s="303" t="s">
        <v>26</v>
      </c>
      <c r="D80" s="177" t="s">
        <v>144</v>
      </c>
      <c r="E80" s="290">
        <f t="shared" si="4"/>
        <v>95.243894286827043</v>
      </c>
      <c r="F80" s="291">
        <v>99.7</v>
      </c>
      <c r="G80" s="291">
        <v>99.541367628329297</v>
      </c>
      <c r="H80" s="291">
        <v>97.820340472903737</v>
      </c>
      <c r="I80" s="291">
        <v>92.991282235717605</v>
      </c>
      <c r="J80" s="292">
        <v>1.4</v>
      </c>
      <c r="K80" s="292">
        <v>0.6</v>
      </c>
      <c r="L80" s="291">
        <f t="shared" si="5"/>
        <v>86.166481097184615</v>
      </c>
      <c r="M80" s="293"/>
    </row>
    <row r="81" spans="1:13" s="13" customFormat="1" ht="15.75" customHeight="1" x14ac:dyDescent="0.2">
      <c r="A81" s="294">
        <v>78</v>
      </c>
      <c r="B81" s="301" t="s">
        <v>23</v>
      </c>
      <c r="C81" s="302" t="s">
        <v>24</v>
      </c>
      <c r="D81" s="177" t="s">
        <v>196</v>
      </c>
      <c r="E81" s="290">
        <f t="shared" si="4"/>
        <v>95.008352964030223</v>
      </c>
      <c r="F81" s="291">
        <v>100</v>
      </c>
      <c r="G81" s="291">
        <v>98.354840150352601</v>
      </c>
      <c r="H81" s="291">
        <v>95.507056707221878</v>
      </c>
      <c r="I81" s="291">
        <v>95.987118963334112</v>
      </c>
      <c r="J81" s="292">
        <v>1.5</v>
      </c>
      <c r="K81" s="292">
        <v>0.7</v>
      </c>
      <c r="L81" s="291">
        <f t="shared" si="5"/>
        <v>85.192748999242468</v>
      </c>
      <c r="M81" s="293"/>
    </row>
    <row r="82" spans="1:13" s="13" customFormat="1" ht="15.75" customHeight="1" x14ac:dyDescent="0.2">
      <c r="A82" s="294">
        <v>79</v>
      </c>
      <c r="B82" s="307" t="s">
        <v>10</v>
      </c>
      <c r="C82" s="311" t="s">
        <v>887</v>
      </c>
      <c r="D82" s="177" t="s">
        <v>137</v>
      </c>
      <c r="E82" s="290">
        <f t="shared" si="4"/>
        <v>94.982843119152037</v>
      </c>
      <c r="F82" s="291">
        <v>100</v>
      </c>
      <c r="G82" s="291">
        <v>97.942465775140306</v>
      </c>
      <c r="H82" s="291">
        <v>96.687426949555672</v>
      </c>
      <c r="I82" s="291">
        <v>96.019999368878004</v>
      </c>
      <c r="J82" s="292">
        <v>1.8</v>
      </c>
      <c r="K82" s="292">
        <v>0.6</v>
      </c>
      <c r="L82" s="291">
        <f t="shared" si="5"/>
        <v>84.264323502186159</v>
      </c>
      <c r="M82" s="293"/>
    </row>
    <row r="83" spans="1:13" s="13" customFormat="1" ht="15.75" customHeight="1" x14ac:dyDescent="0.2">
      <c r="A83" s="294">
        <v>80</v>
      </c>
      <c r="B83" s="304" t="s">
        <v>29</v>
      </c>
      <c r="C83" s="316" t="s">
        <v>888</v>
      </c>
      <c r="D83" s="177" t="s">
        <v>207</v>
      </c>
      <c r="E83" s="290">
        <f t="shared" si="4"/>
        <v>94.804538807348393</v>
      </c>
      <c r="F83" s="291">
        <v>100</v>
      </c>
      <c r="G83" s="291">
        <v>98.858346660262299</v>
      </c>
      <c r="H83" s="291">
        <v>94.040723484810215</v>
      </c>
      <c r="I83" s="291">
        <v>93.933454352262999</v>
      </c>
      <c r="J83" s="292">
        <v>1.4</v>
      </c>
      <c r="K83" s="292">
        <v>0.4</v>
      </c>
      <c r="L83" s="291">
        <f t="shared" si="5"/>
        <v>87.190169539406426</v>
      </c>
      <c r="M83" s="293"/>
    </row>
    <row r="84" spans="1:13" s="13" customFormat="1" ht="15.75" customHeight="1" x14ac:dyDescent="0.2">
      <c r="A84" s="294">
        <v>81</v>
      </c>
      <c r="B84" s="301" t="s">
        <v>23</v>
      </c>
      <c r="C84" s="302" t="s">
        <v>24</v>
      </c>
      <c r="D84" s="177" t="s">
        <v>208</v>
      </c>
      <c r="E84" s="290">
        <f t="shared" si="4"/>
        <v>94.775336309113797</v>
      </c>
      <c r="F84" s="291">
        <v>98.7</v>
      </c>
      <c r="G84" s="291">
        <v>99.250307749503904</v>
      </c>
      <c r="H84" s="291">
        <v>93.479086862626048</v>
      </c>
      <c r="I84" s="291">
        <v>94.178068169795907</v>
      </c>
      <c r="J84" s="292">
        <v>1.2</v>
      </c>
      <c r="K84" s="292">
        <v>0.4</v>
      </c>
      <c r="L84" s="291">
        <f t="shared" si="5"/>
        <v>88.269218763643124</v>
      </c>
      <c r="M84" s="293"/>
    </row>
    <row r="85" spans="1:13" s="5" customFormat="1" ht="15.75" customHeight="1" x14ac:dyDescent="0.2">
      <c r="A85" s="294">
        <v>82</v>
      </c>
      <c r="B85" s="295" t="s">
        <v>13</v>
      </c>
      <c r="C85" s="296" t="s">
        <v>14</v>
      </c>
      <c r="D85" s="177" t="s">
        <v>15</v>
      </c>
      <c r="E85" s="290">
        <f t="shared" si="4"/>
        <v>94.691729495743715</v>
      </c>
      <c r="F85" s="291">
        <v>100</v>
      </c>
      <c r="G85" s="291">
        <v>95.119427068006203</v>
      </c>
      <c r="H85" s="291">
        <v>80.941662861808339</v>
      </c>
      <c r="I85" s="291">
        <v>99.299715143902503</v>
      </c>
      <c r="J85" s="292">
        <v>0.2</v>
      </c>
      <c r="K85" s="292">
        <v>0</v>
      </c>
      <c r="L85" s="291">
        <f t="shared" si="5"/>
        <v>98.097842405001543</v>
      </c>
      <c r="M85" s="293"/>
    </row>
    <row r="86" spans="1:13" s="13" customFormat="1" ht="15.75" customHeight="1" x14ac:dyDescent="0.2">
      <c r="A86" s="294">
        <v>83</v>
      </c>
      <c r="B86" s="295" t="s">
        <v>13</v>
      </c>
      <c r="C86" s="296" t="s">
        <v>14</v>
      </c>
      <c r="D86" s="177" t="s">
        <v>91</v>
      </c>
      <c r="E86" s="290">
        <f t="shared" si="4"/>
        <v>94.677139369464072</v>
      </c>
      <c r="F86" s="291">
        <v>100</v>
      </c>
      <c r="G86" s="291">
        <v>97.290016659581397</v>
      </c>
      <c r="H86" s="291">
        <v>86.388725797669821</v>
      </c>
      <c r="I86" s="291">
        <v>90.680686488011204</v>
      </c>
      <c r="J86" s="292">
        <v>0.1</v>
      </c>
      <c r="K86" s="292">
        <v>0</v>
      </c>
      <c r="L86" s="291">
        <f t="shared" si="5"/>
        <v>99.026267902057867</v>
      </c>
      <c r="M86" s="293"/>
    </row>
    <row r="87" spans="1:13" s="13" customFormat="1" ht="15.75" customHeight="1" x14ac:dyDescent="0.2">
      <c r="A87" s="294">
        <v>84</v>
      </c>
      <c r="B87" s="297" t="s">
        <v>16</v>
      </c>
      <c r="C87" s="300" t="s">
        <v>21</v>
      </c>
      <c r="D87" s="177" t="s">
        <v>183</v>
      </c>
      <c r="E87" s="290">
        <f t="shared" si="4"/>
        <v>94.656007427305241</v>
      </c>
      <c r="F87" s="291">
        <v>100</v>
      </c>
      <c r="G87" s="291">
        <v>97.727329021542303</v>
      </c>
      <c r="H87" s="291">
        <v>96.041782998769463</v>
      </c>
      <c r="I87" s="291">
        <v>99.7</v>
      </c>
      <c r="J87" s="292">
        <v>2.9</v>
      </c>
      <c r="K87" s="292">
        <v>0.6</v>
      </c>
      <c r="L87" s="291">
        <f t="shared" si="5"/>
        <v>79.810925116214477</v>
      </c>
      <c r="M87" s="293"/>
    </row>
    <row r="88" spans="1:13" s="13" customFormat="1" ht="15.75" customHeight="1" x14ac:dyDescent="0.2">
      <c r="A88" s="294">
        <v>85</v>
      </c>
      <c r="B88" s="295" t="s">
        <v>13</v>
      </c>
      <c r="C88" s="296" t="s">
        <v>14</v>
      </c>
      <c r="D88" s="177" t="s">
        <v>171</v>
      </c>
      <c r="E88" s="290">
        <f t="shared" si="4"/>
        <v>94.222601952641583</v>
      </c>
      <c r="F88" s="291">
        <v>100</v>
      </c>
      <c r="G88" s="291">
        <v>90.124463310463</v>
      </c>
      <c r="H88" s="291">
        <v>90.124463310462986</v>
      </c>
      <c r="I88" s="291">
        <v>98.956172953446199</v>
      </c>
      <c r="J88" s="292">
        <v>0.9</v>
      </c>
      <c r="K88" s="292">
        <v>0.1</v>
      </c>
      <c r="L88" s="291">
        <f t="shared" si="5"/>
        <v>91.907910188835714</v>
      </c>
      <c r="M88" s="293"/>
    </row>
    <row r="89" spans="1:13" s="5" customFormat="1" ht="15.75" customHeight="1" x14ac:dyDescent="0.2">
      <c r="A89" s="294">
        <v>86</v>
      </c>
      <c r="B89" s="307" t="s">
        <v>10</v>
      </c>
      <c r="C89" s="308" t="s">
        <v>35</v>
      </c>
      <c r="D89" s="177" t="s">
        <v>108</v>
      </c>
      <c r="E89" s="290">
        <f t="shared" si="4"/>
        <v>94.109341683043169</v>
      </c>
      <c r="F89" s="291">
        <v>100</v>
      </c>
      <c r="G89" s="291">
        <v>98.407693828776701</v>
      </c>
      <c r="H89" s="291">
        <v>83.628510607036617</v>
      </c>
      <c r="I89" s="291">
        <v>98.504751385565299</v>
      </c>
      <c r="J89" s="292">
        <v>0.8</v>
      </c>
      <c r="K89" s="292">
        <v>0.5</v>
      </c>
      <c r="L89" s="291">
        <f t="shared" si="5"/>
        <v>90.005752593837272</v>
      </c>
      <c r="M89" s="293"/>
    </row>
    <row r="90" spans="1:13" s="5" customFormat="1" ht="15.75" customHeight="1" x14ac:dyDescent="0.2">
      <c r="A90" s="294">
        <v>87</v>
      </c>
      <c r="B90" s="301" t="s">
        <v>23</v>
      </c>
      <c r="C90" s="303" t="s">
        <v>26</v>
      </c>
      <c r="D90" s="177" t="s">
        <v>63</v>
      </c>
      <c r="E90" s="290">
        <f t="shared" si="4"/>
        <v>94.049310086500753</v>
      </c>
      <c r="F90" s="291">
        <v>98.7</v>
      </c>
      <c r="G90" s="291">
        <v>97.096571108473796</v>
      </c>
      <c r="H90" s="291">
        <v>89.598745362587351</v>
      </c>
      <c r="I90" s="291">
        <v>96.582015197799507</v>
      </c>
      <c r="J90" s="292">
        <v>1.2</v>
      </c>
      <c r="K90" s="292">
        <v>0.4</v>
      </c>
      <c r="L90" s="291">
        <f t="shared" si="5"/>
        <v>88.269218763643124</v>
      </c>
      <c r="M90" s="293"/>
    </row>
    <row r="91" spans="1:13" s="5" customFormat="1" ht="15.75" customHeight="1" x14ac:dyDescent="0.2">
      <c r="A91" s="294">
        <v>88</v>
      </c>
      <c r="B91" s="307" t="s">
        <v>10</v>
      </c>
      <c r="C91" s="308" t="s">
        <v>35</v>
      </c>
      <c r="D91" s="177" t="s">
        <v>127</v>
      </c>
      <c r="E91" s="290">
        <f t="shared" si="4"/>
        <v>94.048889371776227</v>
      </c>
      <c r="F91" s="291">
        <v>100</v>
      </c>
      <c r="G91" s="291">
        <v>92.6</v>
      </c>
      <c r="H91" s="291">
        <v>90.175228095238026</v>
      </c>
      <c r="I91" s="291">
        <v>99.2</v>
      </c>
      <c r="J91" s="292">
        <v>1.4</v>
      </c>
      <c r="K91" s="292">
        <v>0.2</v>
      </c>
      <c r="L91" s="291">
        <f t="shared" si="5"/>
        <v>88.269218763643124</v>
      </c>
      <c r="M91" s="293"/>
    </row>
    <row r="92" spans="1:13" s="5" customFormat="1" ht="15.75" customHeight="1" x14ac:dyDescent="0.2">
      <c r="A92" s="294">
        <v>89</v>
      </c>
      <c r="B92" s="295" t="s">
        <v>13</v>
      </c>
      <c r="C92" s="296" t="s">
        <v>14</v>
      </c>
      <c r="D92" s="177" t="s">
        <v>33</v>
      </c>
      <c r="E92" s="290">
        <f t="shared" si="4"/>
        <v>93.961445252914444</v>
      </c>
      <c r="F92" s="291">
        <v>100</v>
      </c>
      <c r="G92" s="291">
        <v>97.688084166533898</v>
      </c>
      <c r="H92" s="291">
        <v>91.427552473140054</v>
      </c>
      <c r="I92" s="291">
        <v>98.978506913685393</v>
      </c>
      <c r="J92" s="292">
        <v>1.2</v>
      </c>
      <c r="K92" s="292">
        <v>1.8</v>
      </c>
      <c r="L92" s="291">
        <f t="shared" si="5"/>
        <v>81.71308271121292</v>
      </c>
      <c r="M92" s="293"/>
    </row>
    <row r="93" spans="1:13" s="5" customFormat="1" ht="15.75" customHeight="1" x14ac:dyDescent="0.2">
      <c r="A93" s="294">
        <v>90</v>
      </c>
      <c r="B93" s="304" t="s">
        <v>29</v>
      </c>
      <c r="C93" s="316" t="s">
        <v>888</v>
      </c>
      <c r="D93" s="177" t="s">
        <v>177</v>
      </c>
      <c r="E93" s="290">
        <f t="shared" si="4"/>
        <v>93.883278855736009</v>
      </c>
      <c r="F93" s="291">
        <v>100</v>
      </c>
      <c r="G93" s="291">
        <v>99.440929034498495</v>
      </c>
      <c r="H93" s="291">
        <v>91.9460278836725</v>
      </c>
      <c r="I93" s="291">
        <v>97.099103958540297</v>
      </c>
      <c r="J93" s="292">
        <v>2.6</v>
      </c>
      <c r="K93" s="292">
        <v>0.6</v>
      </c>
      <c r="L93" s="291">
        <f t="shared" si="5"/>
        <v>80.930333401968795</v>
      </c>
      <c r="M93" s="293"/>
    </row>
    <row r="94" spans="1:13" s="5" customFormat="1" ht="15.75" customHeight="1" x14ac:dyDescent="0.2">
      <c r="A94" s="294">
        <v>91</v>
      </c>
      <c r="B94" s="301" t="s">
        <v>23</v>
      </c>
      <c r="C94" s="302" t="s">
        <v>24</v>
      </c>
      <c r="D94" s="177" t="s">
        <v>95</v>
      </c>
      <c r="E94" s="290">
        <f t="shared" si="4"/>
        <v>93.438761998647053</v>
      </c>
      <c r="F94" s="291">
        <v>94.4</v>
      </c>
      <c r="G94" s="291">
        <v>96.404918415063605</v>
      </c>
      <c r="H94" s="291">
        <v>92.516146198494255</v>
      </c>
      <c r="I94" s="291">
        <v>92.619239690439301</v>
      </c>
      <c r="J94" s="292">
        <v>0.8</v>
      </c>
      <c r="K94" s="292">
        <v>0.3</v>
      </c>
      <c r="L94" s="291">
        <f t="shared" si="5"/>
        <v>91.253505689238139</v>
      </c>
      <c r="M94" s="293"/>
    </row>
    <row r="95" spans="1:13" s="5" customFormat="1" ht="15.75" customHeight="1" x14ac:dyDescent="0.2">
      <c r="A95" s="294">
        <v>92</v>
      </c>
      <c r="B95" s="301" t="s">
        <v>23</v>
      </c>
      <c r="C95" s="302" t="s">
        <v>24</v>
      </c>
      <c r="D95" s="177" t="s">
        <v>195</v>
      </c>
      <c r="E95" s="290">
        <f t="shared" si="4"/>
        <v>93.43776900004859</v>
      </c>
      <c r="F95" s="291">
        <v>100</v>
      </c>
      <c r="G95" s="291">
        <v>98.095681657606804</v>
      </c>
      <c r="H95" s="291">
        <v>97.472394553404811</v>
      </c>
      <c r="I95" s="291">
        <v>83.351550025588182</v>
      </c>
      <c r="J95" s="292">
        <v>1.1000000000000001</v>
      </c>
      <c r="K95" s="292">
        <v>0.5</v>
      </c>
      <c r="L95" s="291">
        <f t="shared" si="5"/>
        <v>88.269218763643124</v>
      </c>
      <c r="M95" s="293"/>
    </row>
    <row r="96" spans="1:13" s="5" customFormat="1" ht="15.75" customHeight="1" x14ac:dyDescent="0.2">
      <c r="A96" s="294">
        <v>93</v>
      </c>
      <c r="B96" s="301" t="s">
        <v>23</v>
      </c>
      <c r="C96" s="302" t="s">
        <v>24</v>
      </c>
      <c r="D96" s="177" t="s">
        <v>75</v>
      </c>
      <c r="E96" s="290">
        <f t="shared" si="4"/>
        <v>92.876996509115983</v>
      </c>
      <c r="F96" s="291">
        <v>100</v>
      </c>
      <c r="G96" s="291">
        <v>96.995311326236603</v>
      </c>
      <c r="H96" s="291">
        <v>93.731944776639907</v>
      </c>
      <c r="I96" s="291">
        <v>86.467556903296924</v>
      </c>
      <c r="J96" s="292">
        <v>1.4</v>
      </c>
      <c r="K96" s="292">
        <v>0.4</v>
      </c>
      <c r="L96" s="291">
        <f t="shared" si="5"/>
        <v>87.190169539406426</v>
      </c>
      <c r="M96" s="293"/>
    </row>
    <row r="97" spans="1:13" s="5" customFormat="1" ht="15.75" customHeight="1" x14ac:dyDescent="0.2">
      <c r="A97" s="294">
        <v>94</v>
      </c>
      <c r="B97" s="301" t="s">
        <v>23</v>
      </c>
      <c r="C97" s="303" t="s">
        <v>26</v>
      </c>
      <c r="D97" s="177" t="s">
        <v>77</v>
      </c>
      <c r="E97" s="290">
        <f t="shared" si="4"/>
        <v>92.65867055016804</v>
      </c>
      <c r="F97" s="291">
        <v>98.7</v>
      </c>
      <c r="G97" s="291">
        <v>92.070870969755404</v>
      </c>
      <c r="H97" s="291">
        <v>90.698262154712538</v>
      </c>
      <c r="I97" s="291">
        <v>91.204340143216001</v>
      </c>
      <c r="J97" s="292">
        <v>0.8</v>
      </c>
      <c r="K97" s="292">
        <v>0.4</v>
      </c>
      <c r="L97" s="291">
        <f t="shared" si="5"/>
        <v>90.619879483156268</v>
      </c>
      <c r="M97" s="293"/>
    </row>
    <row r="98" spans="1:13" s="5" customFormat="1" ht="15.75" customHeight="1" x14ac:dyDescent="0.2">
      <c r="A98" s="294">
        <v>95</v>
      </c>
      <c r="B98" s="307" t="s">
        <v>10</v>
      </c>
      <c r="C98" s="315" t="s">
        <v>115</v>
      </c>
      <c r="D98" s="177" t="s">
        <v>219</v>
      </c>
      <c r="E98" s="290">
        <f t="shared" si="4"/>
        <v>92.612814375703607</v>
      </c>
      <c r="F98" s="291">
        <v>100</v>
      </c>
      <c r="G98" s="291">
        <v>97.290486975603301</v>
      </c>
      <c r="H98" s="291">
        <v>72.86445029563825</v>
      </c>
      <c r="I98" s="291">
        <v>96.547826032469004</v>
      </c>
      <c r="J98" s="292">
        <v>0.2</v>
      </c>
      <c r="K98" s="292">
        <v>0.2</v>
      </c>
      <c r="L98" s="291">
        <f t="shared" si="5"/>
        <v>96.361308574807396</v>
      </c>
      <c r="M98" s="293"/>
    </row>
    <row r="99" spans="1:13" s="5" customFormat="1" ht="15.75" customHeight="1" x14ac:dyDescent="0.2">
      <c r="A99" s="294">
        <v>96</v>
      </c>
      <c r="B99" s="297" t="s">
        <v>16</v>
      </c>
      <c r="C99" s="298" t="s">
        <v>17</v>
      </c>
      <c r="D99" s="177" t="s">
        <v>209</v>
      </c>
      <c r="E99" s="290">
        <f t="shared" si="4"/>
        <v>92.573004402985276</v>
      </c>
      <c r="F99" s="291">
        <v>100</v>
      </c>
      <c r="G99" s="291">
        <v>96.732787328801393</v>
      </c>
      <c r="H99" s="291">
        <v>84.217718493389043</v>
      </c>
      <c r="I99" s="291">
        <v>98.537340925489303</v>
      </c>
      <c r="J99" s="292">
        <v>1.7</v>
      </c>
      <c r="K99" s="292">
        <v>0.9</v>
      </c>
      <c r="L99" s="291">
        <f t="shared" si="5"/>
        <v>83.377175267246599</v>
      </c>
      <c r="M99" s="293"/>
    </row>
    <row r="100" spans="1:13" s="5" customFormat="1" ht="15.75" customHeight="1" x14ac:dyDescent="0.2">
      <c r="A100" s="294">
        <v>97</v>
      </c>
      <c r="B100" s="307" t="s">
        <v>10</v>
      </c>
      <c r="C100" s="311" t="s">
        <v>887</v>
      </c>
      <c r="D100" s="177" t="s">
        <v>204</v>
      </c>
      <c r="E100" s="290">
        <f t="shared" ref="E100:E131" si="6">(F100+G100+H100+I100+L100)/5</f>
        <v>91.871821350046574</v>
      </c>
      <c r="F100" s="291">
        <v>100</v>
      </c>
      <c r="G100" s="291">
        <v>100</v>
      </c>
      <c r="H100" s="291">
        <v>92.911804432014364</v>
      </c>
      <c r="I100" s="291">
        <v>99.350487819065094</v>
      </c>
      <c r="J100" s="292">
        <v>7.9</v>
      </c>
      <c r="K100" s="292">
        <v>0.5</v>
      </c>
      <c r="L100" s="291">
        <f t="shared" ref="L100:L131" si="7">(1-((LN((AVERAGE(J100:K100))+1))/(LN(150))))*100</f>
        <v>67.096814499153396</v>
      </c>
      <c r="M100" s="293"/>
    </row>
    <row r="101" spans="1:13" s="5" customFormat="1" ht="15.75" customHeight="1" x14ac:dyDescent="0.2">
      <c r="A101" s="294">
        <v>98</v>
      </c>
      <c r="B101" s="301" t="s">
        <v>23</v>
      </c>
      <c r="C101" s="303" t="s">
        <v>26</v>
      </c>
      <c r="D101" s="177" t="s">
        <v>166</v>
      </c>
      <c r="E101" s="290">
        <f t="shared" si="6"/>
        <v>91.734424637639549</v>
      </c>
      <c r="F101" s="291">
        <v>97</v>
      </c>
      <c r="G101" s="291">
        <v>95.262823881570498</v>
      </c>
      <c r="H101" s="291">
        <v>93.53943868144097</v>
      </c>
      <c r="I101" s="291">
        <v>89.054040247514806</v>
      </c>
      <c r="J101" s="292">
        <v>1.6</v>
      </c>
      <c r="K101" s="292">
        <v>0.9</v>
      </c>
      <c r="L101" s="291">
        <f t="shared" si="7"/>
        <v>83.815820377671443</v>
      </c>
      <c r="M101" s="293"/>
    </row>
    <row r="102" spans="1:13" s="5" customFormat="1" ht="15.75" customHeight="1" x14ac:dyDescent="0.2">
      <c r="A102" s="294">
        <v>99</v>
      </c>
      <c r="B102" s="295" t="s">
        <v>13</v>
      </c>
      <c r="C102" s="296" t="s">
        <v>14</v>
      </c>
      <c r="D102" s="177" t="s">
        <v>214</v>
      </c>
      <c r="E102" s="290">
        <f t="shared" si="6"/>
        <v>91.407981023502288</v>
      </c>
      <c r="F102" s="291">
        <v>100</v>
      </c>
      <c r="G102" s="291">
        <v>93.479092259753898</v>
      </c>
      <c r="H102" s="291">
        <v>65.834986409956514</v>
      </c>
      <c r="I102" s="291">
        <v>97.725826447801097</v>
      </c>
      <c r="J102" s="292">
        <v>0</v>
      </c>
      <c r="K102" s="292">
        <v>0</v>
      </c>
      <c r="L102" s="291">
        <f t="shared" si="7"/>
        <v>100</v>
      </c>
      <c r="M102" s="293"/>
    </row>
    <row r="103" spans="1:13" s="5" customFormat="1" ht="15.75" customHeight="1" x14ac:dyDescent="0.2">
      <c r="A103" s="294">
        <v>100</v>
      </c>
      <c r="B103" s="295" t="s">
        <v>13</v>
      </c>
      <c r="C103" s="296" t="s">
        <v>14</v>
      </c>
      <c r="D103" s="177" t="s">
        <v>324</v>
      </c>
      <c r="E103" s="290">
        <f t="shared" si="6"/>
        <v>91.227135039713431</v>
      </c>
      <c r="F103" s="291">
        <v>100</v>
      </c>
      <c r="G103" s="291">
        <v>92.707916275794602</v>
      </c>
      <c r="H103" s="291">
        <v>80.183593927957205</v>
      </c>
      <c r="I103" s="291">
        <v>86.882856420007897</v>
      </c>
      <c r="J103" s="292">
        <v>0.2</v>
      </c>
      <c r="K103" s="292">
        <v>0.2</v>
      </c>
      <c r="L103" s="291">
        <f t="shared" si="7"/>
        <v>96.361308574807396</v>
      </c>
      <c r="M103" s="293"/>
    </row>
    <row r="104" spans="1:13" s="5" customFormat="1" ht="15.75" customHeight="1" x14ac:dyDescent="0.2">
      <c r="A104" s="294">
        <v>101</v>
      </c>
      <c r="B104" s="301" t="s">
        <v>23</v>
      </c>
      <c r="C104" s="303" t="s">
        <v>26</v>
      </c>
      <c r="D104" s="177" t="s">
        <v>70</v>
      </c>
      <c r="E104" s="290">
        <f t="shared" si="6"/>
        <v>91.105856136267377</v>
      </c>
      <c r="F104" s="291">
        <v>100</v>
      </c>
      <c r="G104" s="291">
        <v>95.146406434770398</v>
      </c>
      <c r="H104" s="291">
        <v>79.938846509203913</v>
      </c>
      <c r="I104" s="291">
        <v>94.770350668830105</v>
      </c>
      <c r="J104" s="292">
        <v>1.6</v>
      </c>
      <c r="K104" s="292">
        <v>0.5</v>
      </c>
      <c r="L104" s="291">
        <f t="shared" si="7"/>
        <v>85.673677068532484</v>
      </c>
      <c r="M104" s="293"/>
    </row>
    <row r="105" spans="1:13" s="5" customFormat="1" ht="15.75" customHeight="1" x14ac:dyDescent="0.2">
      <c r="A105" s="294">
        <v>102</v>
      </c>
      <c r="B105" s="301" t="s">
        <v>23</v>
      </c>
      <c r="C105" s="302" t="s">
        <v>24</v>
      </c>
      <c r="D105" s="177" t="s">
        <v>41</v>
      </c>
      <c r="E105" s="290">
        <f t="shared" si="6"/>
        <v>90.611321461123822</v>
      </c>
      <c r="F105" s="291">
        <v>99.6</v>
      </c>
      <c r="G105" s="291">
        <v>94.847325306734106</v>
      </c>
      <c r="H105" s="291">
        <v>88.141035084541272</v>
      </c>
      <c r="I105" s="291">
        <v>84.301765817159094</v>
      </c>
      <c r="J105" s="292">
        <v>1.2</v>
      </c>
      <c r="K105" s="292">
        <v>0.8</v>
      </c>
      <c r="L105" s="291">
        <f t="shared" si="7"/>
        <v>86.166481097184615</v>
      </c>
      <c r="M105" s="293"/>
    </row>
    <row r="106" spans="1:13" s="5" customFormat="1" ht="15.75" customHeight="1" x14ac:dyDescent="0.2">
      <c r="A106" s="294">
        <v>103</v>
      </c>
      <c r="B106" s="297" t="s">
        <v>16</v>
      </c>
      <c r="C106" s="298" t="s">
        <v>17</v>
      </c>
      <c r="D106" s="177" t="s">
        <v>149</v>
      </c>
      <c r="E106" s="290">
        <f t="shared" si="6"/>
        <v>90.599278544090652</v>
      </c>
      <c r="F106" s="291">
        <v>100</v>
      </c>
      <c r="G106" s="291">
        <v>92.212026720965298</v>
      </c>
      <c r="H106" s="291">
        <v>84.737126689794025</v>
      </c>
      <c r="I106" s="291">
        <v>87.778020546050797</v>
      </c>
      <c r="J106" s="292">
        <v>1</v>
      </c>
      <c r="K106" s="292">
        <v>0.6</v>
      </c>
      <c r="L106" s="291">
        <f t="shared" si="7"/>
        <v>88.269218763643124</v>
      </c>
      <c r="M106" s="293"/>
    </row>
    <row r="107" spans="1:13" s="5" customFormat="1" ht="15.75" customHeight="1" x14ac:dyDescent="0.2">
      <c r="A107" s="294">
        <v>104</v>
      </c>
      <c r="B107" s="307" t="s">
        <v>10</v>
      </c>
      <c r="C107" s="308" t="s">
        <v>35</v>
      </c>
      <c r="D107" s="177" t="s">
        <v>201</v>
      </c>
      <c r="E107" s="290">
        <f t="shared" si="6"/>
        <v>90.381854364429472</v>
      </c>
      <c r="F107" s="291">
        <v>88.4</v>
      </c>
      <c r="G107" s="291">
        <v>94.125994158002598</v>
      </c>
      <c r="H107" s="291">
        <v>78.970992902661436</v>
      </c>
      <c r="I107" s="291">
        <v>95.648432456699098</v>
      </c>
      <c r="J107" s="292">
        <v>0.3</v>
      </c>
      <c r="K107" s="292">
        <v>0.3</v>
      </c>
      <c r="L107" s="291">
        <f t="shared" si="7"/>
        <v>94.763852304784194</v>
      </c>
      <c r="M107" s="293"/>
    </row>
    <row r="108" spans="1:13" s="5" customFormat="1" ht="15.75" customHeight="1" x14ac:dyDescent="0.2">
      <c r="A108" s="294">
        <v>105</v>
      </c>
      <c r="B108" s="301" t="s">
        <v>23</v>
      </c>
      <c r="C108" s="303" t="s">
        <v>26</v>
      </c>
      <c r="D108" s="177" t="s">
        <v>79</v>
      </c>
      <c r="E108" s="290">
        <f t="shared" si="6"/>
        <v>90.054174339290938</v>
      </c>
      <c r="F108" s="291">
        <v>98.3</v>
      </c>
      <c r="G108" s="291">
        <v>91.619992734191598</v>
      </c>
      <c r="H108" s="291">
        <v>93.558779450855113</v>
      </c>
      <c r="I108" s="291">
        <v>88.041116342605306</v>
      </c>
      <c r="J108" s="292">
        <v>2.2000000000000002</v>
      </c>
      <c r="K108" s="292">
        <v>1.6</v>
      </c>
      <c r="L108" s="291">
        <f t="shared" si="7"/>
        <v>78.750983168802648</v>
      </c>
      <c r="M108" s="293"/>
    </row>
    <row r="109" spans="1:13" s="5" customFormat="1" ht="15.75" customHeight="1" x14ac:dyDescent="0.2">
      <c r="A109" s="294">
        <v>106</v>
      </c>
      <c r="B109" s="297" t="s">
        <v>16</v>
      </c>
      <c r="C109" s="298" t="s">
        <v>17</v>
      </c>
      <c r="D109" s="177" t="s">
        <v>130</v>
      </c>
      <c r="E109" s="290">
        <f t="shared" si="6"/>
        <v>89.670922670727848</v>
      </c>
      <c r="F109" s="291">
        <v>73.2</v>
      </c>
      <c r="G109" s="291">
        <v>96.354544086161894</v>
      </c>
      <c r="H109" s="291">
        <v>94.754321610170336</v>
      </c>
      <c r="I109" s="291">
        <v>88.499146043278699</v>
      </c>
      <c r="J109" s="292">
        <v>0.3</v>
      </c>
      <c r="K109" s="292">
        <v>0.2</v>
      </c>
      <c r="L109" s="291">
        <f t="shared" si="7"/>
        <v>95.546601614028333</v>
      </c>
      <c r="M109" s="293"/>
    </row>
    <row r="110" spans="1:13" s="5" customFormat="1" ht="15.75" customHeight="1" x14ac:dyDescent="0.2">
      <c r="A110" s="294">
        <v>107</v>
      </c>
      <c r="B110" s="295" t="s">
        <v>13</v>
      </c>
      <c r="C110" s="296" t="s">
        <v>14</v>
      </c>
      <c r="D110" s="177" t="s">
        <v>122</v>
      </c>
      <c r="E110" s="290">
        <f t="shared" si="6"/>
        <v>89.601837319334976</v>
      </c>
      <c r="F110" s="306">
        <v>100</v>
      </c>
      <c r="G110" s="306">
        <v>93.589350680021354</v>
      </c>
      <c r="H110" s="291">
        <v>68.135925651702721</v>
      </c>
      <c r="I110" s="306">
        <v>95.030404575712637</v>
      </c>
      <c r="J110" s="292">
        <v>0.9</v>
      </c>
      <c r="K110" s="292">
        <v>0.2</v>
      </c>
      <c r="L110" s="291">
        <f t="shared" si="7"/>
        <v>91.253505689238139</v>
      </c>
      <c r="M110" s="293"/>
    </row>
    <row r="111" spans="1:13" s="5" customFormat="1" ht="15.75" customHeight="1" x14ac:dyDescent="0.2">
      <c r="A111" s="294">
        <v>108</v>
      </c>
      <c r="B111" s="301" t="s">
        <v>23</v>
      </c>
      <c r="C111" s="303" t="s">
        <v>26</v>
      </c>
      <c r="D111" s="177" t="s">
        <v>76</v>
      </c>
      <c r="E111" s="290">
        <f t="shared" si="6"/>
        <v>89.529186875374577</v>
      </c>
      <c r="F111" s="291">
        <v>99.6</v>
      </c>
      <c r="G111" s="291">
        <v>97.457129988318201</v>
      </c>
      <c r="H111" s="291">
        <v>81.017660723464928</v>
      </c>
      <c r="I111" s="291">
        <v>90.119823757498395</v>
      </c>
      <c r="J111" s="292">
        <v>2.2999999999999998</v>
      </c>
      <c r="K111" s="292">
        <v>1.3</v>
      </c>
      <c r="L111" s="291">
        <f t="shared" si="7"/>
        <v>79.451319907591369</v>
      </c>
      <c r="M111" s="293"/>
    </row>
    <row r="112" spans="1:13" s="5" customFormat="1" ht="15.75" customHeight="1" x14ac:dyDescent="0.2">
      <c r="A112" s="294">
        <v>109</v>
      </c>
      <c r="B112" s="295" t="s">
        <v>13</v>
      </c>
      <c r="C112" s="296" t="s">
        <v>14</v>
      </c>
      <c r="D112" s="177" t="s">
        <v>174</v>
      </c>
      <c r="E112" s="290">
        <f t="shared" si="6"/>
        <v>89.488460734897245</v>
      </c>
      <c r="F112" s="291">
        <v>100</v>
      </c>
      <c r="G112" s="291">
        <v>99.999999424798901</v>
      </c>
      <c r="H112" s="291">
        <v>66.895190413566027</v>
      </c>
      <c r="I112" s="291">
        <v>90.541361242284097</v>
      </c>
      <c r="J112" s="292">
        <v>0.9</v>
      </c>
      <c r="K112" s="292">
        <v>0.4</v>
      </c>
      <c r="L112" s="291">
        <f t="shared" si="7"/>
        <v>90.005752593837272</v>
      </c>
      <c r="M112" s="293"/>
    </row>
    <row r="113" spans="1:13" s="5" customFormat="1" ht="15.75" customHeight="1" x14ac:dyDescent="0.2">
      <c r="A113" s="294">
        <v>110</v>
      </c>
      <c r="B113" s="301" t="s">
        <v>23</v>
      </c>
      <c r="C113" s="303" t="s">
        <v>26</v>
      </c>
      <c r="D113" s="177" t="s">
        <v>169</v>
      </c>
      <c r="E113" s="290">
        <f t="shared" si="6"/>
        <v>89.486530425941169</v>
      </c>
      <c r="F113" s="291">
        <v>96.2</v>
      </c>
      <c r="G113" s="291">
        <v>95.637082382638297</v>
      </c>
      <c r="H113" s="291">
        <v>91.148689021098534</v>
      </c>
      <c r="I113" s="291">
        <v>78.773203657436497</v>
      </c>
      <c r="J113" s="292">
        <v>1.2</v>
      </c>
      <c r="K113" s="292">
        <v>0.9</v>
      </c>
      <c r="L113" s="291">
        <f t="shared" si="7"/>
        <v>85.673677068532484</v>
      </c>
      <c r="M113" s="293"/>
    </row>
    <row r="114" spans="1:13" s="5" customFormat="1" ht="15.75" customHeight="1" x14ac:dyDescent="0.2">
      <c r="A114" s="294">
        <v>111</v>
      </c>
      <c r="B114" s="304" t="s">
        <v>29</v>
      </c>
      <c r="C114" s="316" t="s">
        <v>888</v>
      </c>
      <c r="D114" s="177" t="s">
        <v>164</v>
      </c>
      <c r="E114" s="290">
        <f t="shared" si="6"/>
        <v>89.437494280881367</v>
      </c>
      <c r="F114" s="291">
        <v>100</v>
      </c>
      <c r="G114" s="291">
        <v>99.532247349703695</v>
      </c>
      <c r="H114" s="291">
        <v>86.591760316158314</v>
      </c>
      <c r="I114" s="291">
        <v>99.024868126488698</v>
      </c>
      <c r="J114" s="292">
        <v>9.1</v>
      </c>
      <c r="K114" s="292">
        <v>2.2999999999999998</v>
      </c>
      <c r="L114" s="291">
        <f t="shared" si="7"/>
        <v>62.038595612056135</v>
      </c>
      <c r="M114" s="293"/>
    </row>
    <row r="115" spans="1:13" s="5" customFormat="1" ht="15.75" customHeight="1" x14ac:dyDescent="0.2">
      <c r="A115" s="294">
        <v>112</v>
      </c>
      <c r="B115" s="297" t="s">
        <v>16</v>
      </c>
      <c r="C115" s="298" t="s">
        <v>17</v>
      </c>
      <c r="D115" s="177" t="s">
        <v>18</v>
      </c>
      <c r="E115" s="290">
        <f t="shared" si="6"/>
        <v>89.420945028194978</v>
      </c>
      <c r="F115" s="291">
        <v>100</v>
      </c>
      <c r="G115" s="291">
        <v>92.420028593398598</v>
      </c>
      <c r="H115" s="291">
        <v>76.193708343411927</v>
      </c>
      <c r="I115" s="291">
        <v>85.906486132546306</v>
      </c>
      <c r="J115" s="292">
        <v>0.7</v>
      </c>
      <c r="K115" s="292">
        <v>0.2</v>
      </c>
      <c r="L115" s="291">
        <f t="shared" si="7"/>
        <v>92.584502071618047</v>
      </c>
      <c r="M115" s="293"/>
    </row>
    <row r="116" spans="1:13" s="5" customFormat="1" ht="15.75" customHeight="1" x14ac:dyDescent="0.2">
      <c r="A116" s="294">
        <v>113</v>
      </c>
      <c r="B116" s="304" t="s">
        <v>29</v>
      </c>
      <c r="C116" s="313" t="s">
        <v>85</v>
      </c>
      <c r="D116" s="177" t="s">
        <v>86</v>
      </c>
      <c r="E116" s="290">
        <f t="shared" si="6"/>
        <v>89.274458972791948</v>
      </c>
      <c r="F116" s="291">
        <v>99.3</v>
      </c>
      <c r="G116" s="291">
        <v>95.560389876294707</v>
      </c>
      <c r="H116" s="291">
        <v>89.643170011074616</v>
      </c>
      <c r="I116" s="291">
        <v>92.7542897592228</v>
      </c>
      <c r="J116" s="292">
        <v>3.8</v>
      </c>
      <c r="K116" s="292">
        <v>3.6</v>
      </c>
      <c r="L116" s="291">
        <f t="shared" si="7"/>
        <v>69.114445217367603</v>
      </c>
      <c r="M116" s="293"/>
    </row>
    <row r="117" spans="1:13" s="5" customFormat="1" ht="15.75" customHeight="1" x14ac:dyDescent="0.2">
      <c r="A117" s="294">
        <v>114</v>
      </c>
      <c r="B117" s="304" t="s">
        <v>29</v>
      </c>
      <c r="C117" s="316" t="s">
        <v>888</v>
      </c>
      <c r="D117" s="177" t="s">
        <v>212</v>
      </c>
      <c r="E117" s="290">
        <f t="shared" si="6"/>
        <v>89.262953333476631</v>
      </c>
      <c r="F117" s="291">
        <v>100</v>
      </c>
      <c r="G117" s="291">
        <v>98.741539775909104</v>
      </c>
      <c r="H117" s="291">
        <v>99.148290546660874</v>
      </c>
      <c r="I117" s="291">
        <v>89.674451389506999</v>
      </c>
      <c r="J117" s="292">
        <v>8</v>
      </c>
      <c r="K117" s="292">
        <v>5.8</v>
      </c>
      <c r="L117" s="291">
        <f t="shared" si="7"/>
        <v>58.750484955306128</v>
      </c>
      <c r="M117" s="293"/>
    </row>
    <row r="118" spans="1:13" s="5" customFormat="1" ht="15.75" customHeight="1" x14ac:dyDescent="0.2">
      <c r="A118" s="294">
        <v>115</v>
      </c>
      <c r="B118" s="307" t="s">
        <v>10</v>
      </c>
      <c r="C118" s="309" t="s">
        <v>11</v>
      </c>
      <c r="D118" s="177" t="s">
        <v>138</v>
      </c>
      <c r="E118" s="290">
        <f t="shared" si="6"/>
        <v>89.14040576691049</v>
      </c>
      <c r="F118" s="291">
        <v>100</v>
      </c>
      <c r="G118" s="291">
        <v>99.758478299840206</v>
      </c>
      <c r="H118" s="291">
        <v>62.426428626591452</v>
      </c>
      <c r="I118" s="291">
        <v>99.7013015304493</v>
      </c>
      <c r="J118" s="292">
        <v>1.9</v>
      </c>
      <c r="K118" s="292">
        <v>0.6</v>
      </c>
      <c r="L118" s="291">
        <f t="shared" si="7"/>
        <v>83.815820377671443</v>
      </c>
      <c r="M118" s="293"/>
    </row>
    <row r="119" spans="1:13" s="5" customFormat="1" ht="15.75" customHeight="1" x14ac:dyDescent="0.2">
      <c r="A119" s="294">
        <v>116</v>
      </c>
      <c r="B119" s="307" t="s">
        <v>10</v>
      </c>
      <c r="C119" s="315" t="s">
        <v>115</v>
      </c>
      <c r="D119" s="177" t="s">
        <v>211</v>
      </c>
      <c r="E119" s="290">
        <f t="shared" si="6"/>
        <v>88.329723475528482</v>
      </c>
      <c r="F119" s="291">
        <v>100</v>
      </c>
      <c r="G119" s="291">
        <v>99.9219552580212</v>
      </c>
      <c r="H119" s="291">
        <v>50.083302602021618</v>
      </c>
      <c r="I119" s="291">
        <v>99.735449328763906</v>
      </c>
      <c r="J119" s="292">
        <v>0.5</v>
      </c>
      <c r="K119" s="292">
        <v>0.5</v>
      </c>
      <c r="L119" s="291">
        <f t="shared" si="7"/>
        <v>91.907910188835714</v>
      </c>
      <c r="M119" s="293"/>
    </row>
    <row r="120" spans="1:13" s="5" customFormat="1" ht="15.75" customHeight="1" x14ac:dyDescent="0.2">
      <c r="A120" s="294">
        <v>117</v>
      </c>
      <c r="B120" s="301" t="s">
        <v>23</v>
      </c>
      <c r="C120" s="303" t="s">
        <v>26</v>
      </c>
      <c r="D120" s="177" t="s">
        <v>101</v>
      </c>
      <c r="E120" s="290">
        <f t="shared" si="6"/>
        <v>88.291101003978056</v>
      </c>
      <c r="F120" s="291">
        <v>95.6</v>
      </c>
      <c r="G120" s="291">
        <v>95.729371655166602</v>
      </c>
      <c r="H120" s="291">
        <v>92.472040684077797</v>
      </c>
      <c r="I120" s="291">
        <v>87.671791205789802</v>
      </c>
      <c r="J120" s="292">
        <v>3.2</v>
      </c>
      <c r="K120" s="292">
        <v>3.8</v>
      </c>
      <c r="L120" s="291">
        <f t="shared" si="7"/>
        <v>69.982301474856044</v>
      </c>
      <c r="M120" s="293"/>
    </row>
    <row r="121" spans="1:13" s="5" customFormat="1" ht="15.75" customHeight="1" x14ac:dyDescent="0.2">
      <c r="A121" s="294">
        <v>118</v>
      </c>
      <c r="B121" s="301" t="s">
        <v>23</v>
      </c>
      <c r="C121" s="303" t="s">
        <v>26</v>
      </c>
      <c r="D121" s="177" t="s">
        <v>221</v>
      </c>
      <c r="E121" s="290">
        <f t="shared" si="6"/>
        <v>88.051890851152933</v>
      </c>
      <c r="F121" s="291">
        <v>100</v>
      </c>
      <c r="G121" s="291">
        <v>93.331610989430402</v>
      </c>
      <c r="H121" s="291">
        <v>78.32696411719121</v>
      </c>
      <c r="I121" s="291">
        <v>98.395585978777106</v>
      </c>
      <c r="J121" s="292">
        <v>4</v>
      </c>
      <c r="K121" s="292">
        <v>2.9</v>
      </c>
      <c r="L121" s="291">
        <f t="shared" si="7"/>
        <v>70.205293170366005</v>
      </c>
      <c r="M121" s="293"/>
    </row>
    <row r="122" spans="1:13" s="5" customFormat="1" ht="15.75" customHeight="1" x14ac:dyDescent="0.2">
      <c r="A122" s="294">
        <v>119</v>
      </c>
      <c r="B122" s="301" t="s">
        <v>23</v>
      </c>
      <c r="C122" s="302" t="s">
        <v>24</v>
      </c>
      <c r="D122" s="177" t="s">
        <v>112</v>
      </c>
      <c r="E122" s="290">
        <f t="shared" si="6"/>
        <v>87.968024846965136</v>
      </c>
      <c r="F122" s="291">
        <v>97.7</v>
      </c>
      <c r="G122" s="291">
        <v>87.556262134773206</v>
      </c>
      <c r="H122" s="291">
        <v>80.841122836328836</v>
      </c>
      <c r="I122" s="291">
        <v>91.626460028881795</v>
      </c>
      <c r="J122" s="292">
        <v>1.8</v>
      </c>
      <c r="K122" s="292">
        <v>1.1000000000000001</v>
      </c>
      <c r="L122" s="291">
        <f t="shared" si="7"/>
        <v>82.116279234841841</v>
      </c>
      <c r="M122" s="293"/>
    </row>
    <row r="123" spans="1:13" s="5" customFormat="1" ht="15.75" customHeight="1" x14ac:dyDescent="0.2">
      <c r="A123" s="294">
        <v>120</v>
      </c>
      <c r="B123" s="301" t="s">
        <v>23</v>
      </c>
      <c r="C123" s="302" t="s">
        <v>24</v>
      </c>
      <c r="D123" s="177" t="s">
        <v>198</v>
      </c>
      <c r="E123" s="290">
        <f t="shared" si="6"/>
        <v>87.961508150929376</v>
      </c>
      <c r="F123" s="291">
        <v>99.6</v>
      </c>
      <c r="G123" s="291">
        <v>97.997849389327499</v>
      </c>
      <c r="H123" s="291">
        <v>80.371258619545898</v>
      </c>
      <c r="I123" s="291">
        <v>89.998274580056403</v>
      </c>
      <c r="J123" s="292">
        <v>4.4000000000000004</v>
      </c>
      <c r="K123" s="292">
        <v>1.8</v>
      </c>
      <c r="L123" s="291">
        <f t="shared" si="7"/>
        <v>71.840158165717099</v>
      </c>
      <c r="M123" s="293"/>
    </row>
    <row r="124" spans="1:13" s="5" customFormat="1" ht="15.75" customHeight="1" x14ac:dyDescent="0.2">
      <c r="A124" s="294">
        <v>121</v>
      </c>
      <c r="B124" s="307" t="s">
        <v>10</v>
      </c>
      <c r="C124" s="311" t="s">
        <v>887</v>
      </c>
      <c r="D124" s="177" t="s">
        <v>222</v>
      </c>
      <c r="E124" s="290">
        <f t="shared" si="6"/>
        <v>87.473898905167971</v>
      </c>
      <c r="F124" s="291">
        <v>99.8</v>
      </c>
      <c r="G124" s="291">
        <v>98.761246653694002</v>
      </c>
      <c r="H124" s="291">
        <v>56.689458444100929</v>
      </c>
      <c r="I124" s="291">
        <v>95.447026934424997</v>
      </c>
      <c r="J124" s="292">
        <v>1.2</v>
      </c>
      <c r="K124" s="292">
        <v>0.7</v>
      </c>
      <c r="L124" s="291">
        <f t="shared" si="7"/>
        <v>86.671762493619909</v>
      </c>
      <c r="M124" s="293"/>
    </row>
    <row r="125" spans="1:13" s="5" customFormat="1" ht="15.75" customHeight="1" x14ac:dyDescent="0.2">
      <c r="A125" s="294">
        <v>122</v>
      </c>
      <c r="B125" s="301" t="s">
        <v>23</v>
      </c>
      <c r="C125" s="302" t="s">
        <v>24</v>
      </c>
      <c r="D125" s="177" t="s">
        <v>99</v>
      </c>
      <c r="E125" s="290">
        <f t="shared" si="6"/>
        <v>86.427391506519783</v>
      </c>
      <c r="F125" s="291">
        <v>98.9</v>
      </c>
      <c r="G125" s="291">
        <v>95.644264159532099</v>
      </c>
      <c r="H125" s="291">
        <v>70.411857039249455</v>
      </c>
      <c r="I125" s="291">
        <v>91.308721818945799</v>
      </c>
      <c r="J125" s="292">
        <v>3.1</v>
      </c>
      <c r="K125" s="292">
        <v>1.6</v>
      </c>
      <c r="L125" s="291">
        <f t="shared" si="7"/>
        <v>75.872114514871527</v>
      </c>
      <c r="M125" s="293"/>
    </row>
    <row r="126" spans="1:13" s="5" customFormat="1" ht="15.75" customHeight="1" x14ac:dyDescent="0.2">
      <c r="A126" s="294">
        <v>123</v>
      </c>
      <c r="B126" s="307" t="s">
        <v>10</v>
      </c>
      <c r="C126" s="309" t="s">
        <v>11</v>
      </c>
      <c r="D126" s="177" t="s">
        <v>44</v>
      </c>
      <c r="E126" s="290">
        <f t="shared" si="6"/>
        <v>86.043091190584022</v>
      </c>
      <c r="F126" s="291">
        <v>100</v>
      </c>
      <c r="G126" s="291">
        <v>99.546579183597203</v>
      </c>
      <c r="H126" s="291">
        <v>99.835357036212557</v>
      </c>
      <c r="I126" s="291">
        <v>86.8421082075035</v>
      </c>
      <c r="J126" s="292">
        <v>9.1999999999999993</v>
      </c>
      <c r="K126" s="292">
        <v>21.9</v>
      </c>
      <c r="L126" s="291">
        <f t="shared" si="7"/>
        <v>43.991411525606829</v>
      </c>
      <c r="M126" s="293"/>
    </row>
    <row r="127" spans="1:13" s="5" customFormat="1" ht="15.75" customHeight="1" x14ac:dyDescent="0.2">
      <c r="A127" s="294">
        <v>124</v>
      </c>
      <c r="B127" s="297" t="s">
        <v>16</v>
      </c>
      <c r="C127" s="310" t="s">
        <v>886</v>
      </c>
      <c r="D127" s="177" t="s">
        <v>54</v>
      </c>
      <c r="E127" s="290">
        <f t="shared" si="6"/>
        <v>85.073494134145335</v>
      </c>
      <c r="F127" s="291">
        <v>98.6</v>
      </c>
      <c r="G127" s="291">
        <v>92.280089266191197</v>
      </c>
      <c r="H127" s="291">
        <v>88.868975834857466</v>
      </c>
      <c r="I127" s="291">
        <v>83.127921615709695</v>
      </c>
      <c r="J127" s="292">
        <v>5.6</v>
      </c>
      <c r="K127" s="292">
        <v>5.5</v>
      </c>
      <c r="L127" s="291">
        <f t="shared" si="7"/>
        <v>62.490483953968344</v>
      </c>
      <c r="M127" s="293"/>
    </row>
    <row r="128" spans="1:13" s="5" customFormat="1" ht="15.75" customHeight="1" x14ac:dyDescent="0.2">
      <c r="A128" s="294">
        <v>125</v>
      </c>
      <c r="B128" s="307" t="s">
        <v>10</v>
      </c>
      <c r="C128" s="315" t="s">
        <v>115</v>
      </c>
      <c r="D128" s="177" t="s">
        <v>203</v>
      </c>
      <c r="E128" s="290">
        <f t="shared" si="6"/>
        <v>84.879744632366183</v>
      </c>
      <c r="F128" s="291">
        <v>100</v>
      </c>
      <c r="G128" s="291">
        <v>89.191474996558895</v>
      </c>
      <c r="H128" s="291">
        <v>64.169095346002706</v>
      </c>
      <c r="I128" s="291">
        <v>96.04023129764964</v>
      </c>
      <c r="J128" s="292">
        <v>2.7</v>
      </c>
      <c r="K128" s="292">
        <v>2.2999999999999998</v>
      </c>
      <c r="L128" s="291">
        <f t="shared" si="7"/>
        <v>74.997921521619688</v>
      </c>
      <c r="M128" s="293"/>
    </row>
    <row r="129" spans="1:13" s="5" customFormat="1" ht="15.75" customHeight="1" x14ac:dyDescent="0.2">
      <c r="A129" s="294">
        <v>126</v>
      </c>
      <c r="B129" s="307" t="s">
        <v>10</v>
      </c>
      <c r="C129" s="311" t="s">
        <v>887</v>
      </c>
      <c r="D129" s="177" t="s">
        <v>170</v>
      </c>
      <c r="E129" s="290">
        <f t="shared" si="6"/>
        <v>84.635677572241249</v>
      </c>
      <c r="F129" s="291">
        <v>98</v>
      </c>
      <c r="G129" s="291">
        <v>95.859221492550603</v>
      </c>
      <c r="H129" s="291">
        <v>70.081387385693262</v>
      </c>
      <c r="I129" s="291">
        <v>87.152739841647801</v>
      </c>
      <c r="J129" s="292">
        <v>4.3</v>
      </c>
      <c r="K129" s="292">
        <v>1.8</v>
      </c>
      <c r="L129" s="291">
        <f t="shared" si="7"/>
        <v>72.085039141314567</v>
      </c>
      <c r="M129" s="293"/>
    </row>
    <row r="130" spans="1:13" s="5" customFormat="1" ht="15.75" customHeight="1" x14ac:dyDescent="0.2">
      <c r="A130" s="294">
        <v>127</v>
      </c>
      <c r="B130" s="307" t="s">
        <v>10</v>
      </c>
      <c r="C130" s="309" t="s">
        <v>11</v>
      </c>
      <c r="D130" s="177" t="s">
        <v>193</v>
      </c>
      <c r="E130" s="290">
        <f t="shared" si="6"/>
        <v>83.429332695941369</v>
      </c>
      <c r="F130" s="291">
        <v>100</v>
      </c>
      <c r="G130" s="291">
        <v>90.213844026039496</v>
      </c>
      <c r="H130" s="291">
        <v>53.835291785828353</v>
      </c>
      <c r="I130" s="291">
        <v>95.353020737414894</v>
      </c>
      <c r="J130" s="292">
        <v>3.2</v>
      </c>
      <c r="K130" s="292">
        <v>0.9</v>
      </c>
      <c r="L130" s="291">
        <f t="shared" si="7"/>
        <v>77.744506930424023</v>
      </c>
      <c r="M130" s="293"/>
    </row>
    <row r="131" spans="1:13" s="5" customFormat="1" ht="15.75" customHeight="1" x14ac:dyDescent="0.2">
      <c r="A131" s="294">
        <v>128</v>
      </c>
      <c r="B131" s="301" t="s">
        <v>23</v>
      </c>
      <c r="C131" s="303" t="s">
        <v>26</v>
      </c>
      <c r="D131" s="177" t="s">
        <v>327</v>
      </c>
      <c r="E131" s="290">
        <f t="shared" si="6"/>
        <v>83.049576702607354</v>
      </c>
      <c r="F131" s="291">
        <v>99.8</v>
      </c>
      <c r="G131" s="291">
        <v>93.387749467203093</v>
      </c>
      <c r="H131" s="291">
        <v>66.211890129347893</v>
      </c>
      <c r="I131" s="291">
        <v>71.583920414299598</v>
      </c>
      <c r="J131" s="292">
        <v>1.3</v>
      </c>
      <c r="K131" s="292">
        <v>1.1000000000000001</v>
      </c>
      <c r="L131" s="291">
        <f t="shared" si="7"/>
        <v>84.264323502186159</v>
      </c>
      <c r="M131" s="293"/>
    </row>
    <row r="132" spans="1:13" s="5" customFormat="1" ht="15.75" customHeight="1" x14ac:dyDescent="0.2">
      <c r="A132" s="294">
        <v>129</v>
      </c>
      <c r="B132" s="304" t="s">
        <v>29</v>
      </c>
      <c r="C132" s="316" t="s">
        <v>888</v>
      </c>
      <c r="D132" s="177" t="s">
        <v>145</v>
      </c>
      <c r="E132" s="290">
        <f t="shared" ref="E132:E163" si="8">(F132+G132+H132+I132+L132)/5</f>
        <v>81.83691827423516</v>
      </c>
      <c r="F132" s="291">
        <v>86.9</v>
      </c>
      <c r="G132" s="291">
        <v>89.643186659531736</v>
      </c>
      <c r="H132" s="291">
        <v>79.25474407023475</v>
      </c>
      <c r="I132" s="291">
        <v>98.629584588037801</v>
      </c>
      <c r="J132" s="292">
        <v>8.6999999999999993</v>
      </c>
      <c r="K132" s="292">
        <v>8.6</v>
      </c>
      <c r="L132" s="291">
        <f t="shared" ref="L132:L163" si="9">(1-((LN((AVERAGE(J132:K132))+1))/(LN(150))))*100</f>
        <v>54.757076053371499</v>
      </c>
      <c r="M132" s="293"/>
    </row>
    <row r="133" spans="1:13" s="5" customFormat="1" ht="15.75" customHeight="1" x14ac:dyDescent="0.2">
      <c r="A133" s="294">
        <v>130</v>
      </c>
      <c r="B133" s="304" t="s">
        <v>29</v>
      </c>
      <c r="C133" s="316" t="s">
        <v>888</v>
      </c>
      <c r="D133" s="177" t="s">
        <v>332</v>
      </c>
      <c r="E133" s="290">
        <f t="shared" si="8"/>
        <v>81.207735667103364</v>
      </c>
      <c r="F133" s="291">
        <v>100</v>
      </c>
      <c r="G133" s="291">
        <v>97.842961898889698</v>
      </c>
      <c r="H133" s="291">
        <v>67.330924936688916</v>
      </c>
      <c r="I133" s="291">
        <v>71.321135135507006</v>
      </c>
      <c r="J133" s="292">
        <v>3.4</v>
      </c>
      <c r="K133" s="292">
        <v>3.8</v>
      </c>
      <c r="L133" s="291">
        <f t="shared" si="9"/>
        <v>69.5436563644312</v>
      </c>
      <c r="M133" s="293"/>
    </row>
    <row r="134" spans="1:13" ht="15.75" customHeight="1" x14ac:dyDescent="0.25">
      <c r="A134" s="294">
        <v>131</v>
      </c>
      <c r="B134" s="307" t="s">
        <v>10</v>
      </c>
      <c r="C134" s="311" t="s">
        <v>887</v>
      </c>
      <c r="D134" s="177" t="s">
        <v>205</v>
      </c>
      <c r="E134" s="290">
        <f t="shared" si="8"/>
        <v>80.323046917802486</v>
      </c>
      <c r="F134" s="291">
        <v>100</v>
      </c>
      <c r="G134" s="291">
        <v>87.329650605733605</v>
      </c>
      <c r="H134" s="291">
        <v>73.470217894917269</v>
      </c>
      <c r="I134" s="291">
        <v>72.935802279963994</v>
      </c>
      <c r="J134" s="292">
        <v>4</v>
      </c>
      <c r="K134" s="292">
        <v>4</v>
      </c>
      <c r="L134" s="291">
        <f t="shared" si="9"/>
        <v>67.879563808397535</v>
      </c>
      <c r="M134" s="293"/>
    </row>
    <row r="135" spans="1:13" ht="15.75" customHeight="1" x14ac:dyDescent="0.25">
      <c r="A135" s="294">
        <v>132</v>
      </c>
      <c r="B135" s="307" t="s">
        <v>10</v>
      </c>
      <c r="C135" s="311" t="s">
        <v>887</v>
      </c>
      <c r="D135" s="177" t="s">
        <v>147</v>
      </c>
      <c r="E135" s="290">
        <f t="shared" si="8"/>
        <v>79.490437598233825</v>
      </c>
      <c r="F135" s="291">
        <v>100</v>
      </c>
      <c r="G135" s="291">
        <v>86.092655324442006</v>
      </c>
      <c r="H135" s="291">
        <v>39.868188208842973</v>
      </c>
      <c r="I135" s="291">
        <v>74.280650287822198</v>
      </c>
      <c r="J135" s="292">
        <v>0.2</v>
      </c>
      <c r="K135" s="292">
        <v>0.1</v>
      </c>
      <c r="L135" s="291">
        <f t="shared" si="9"/>
        <v>97.210694170061984</v>
      </c>
      <c r="M135" s="293"/>
    </row>
    <row r="136" spans="1:13" ht="15.75" customHeight="1" x14ac:dyDescent="0.25">
      <c r="A136" s="294">
        <v>133</v>
      </c>
      <c r="B136" s="307" t="s">
        <v>10</v>
      </c>
      <c r="C136" s="311" t="s">
        <v>887</v>
      </c>
      <c r="D136" s="177" t="s">
        <v>120</v>
      </c>
      <c r="E136" s="290">
        <f t="shared" si="8"/>
        <v>79.489523872276479</v>
      </c>
      <c r="F136" s="291">
        <v>57.5</v>
      </c>
      <c r="G136" s="291">
        <v>93.836932485125928</v>
      </c>
      <c r="H136" s="291">
        <v>64.720510876307046</v>
      </c>
      <c r="I136" s="291">
        <v>85.028867425142067</v>
      </c>
      <c r="J136" s="292">
        <v>0.2</v>
      </c>
      <c r="K136" s="292">
        <v>0.2</v>
      </c>
      <c r="L136" s="291">
        <f t="shared" si="9"/>
        <v>96.361308574807396</v>
      </c>
      <c r="M136" s="293"/>
    </row>
    <row r="137" spans="1:13" ht="15.75" customHeight="1" x14ac:dyDescent="0.25">
      <c r="A137" s="294">
        <v>134</v>
      </c>
      <c r="B137" s="301" t="s">
        <v>23</v>
      </c>
      <c r="C137" s="303" t="s">
        <v>26</v>
      </c>
      <c r="D137" s="177" t="s">
        <v>157</v>
      </c>
      <c r="E137" s="290">
        <f t="shared" si="8"/>
        <v>79.387352183630441</v>
      </c>
      <c r="F137" s="291">
        <v>88.3</v>
      </c>
      <c r="G137" s="306">
        <v>89.012230880686417</v>
      </c>
      <c r="H137" s="306">
        <v>66.790993798208405</v>
      </c>
      <c r="I137" s="306">
        <v>77.257094526647023</v>
      </c>
      <c r="J137" s="292">
        <v>2.2000000000000002</v>
      </c>
      <c r="K137" s="292">
        <v>2.6</v>
      </c>
      <c r="L137" s="291">
        <f t="shared" si="9"/>
        <v>75.576441712610361</v>
      </c>
      <c r="M137" s="293"/>
    </row>
    <row r="138" spans="1:13" s="28" customFormat="1" ht="15.75" customHeight="1" x14ac:dyDescent="0.25">
      <c r="A138" s="294">
        <v>135</v>
      </c>
      <c r="B138" s="301" t="s">
        <v>23</v>
      </c>
      <c r="C138" s="303" t="s">
        <v>26</v>
      </c>
      <c r="D138" s="177" t="s">
        <v>96</v>
      </c>
      <c r="E138" s="290">
        <f t="shared" si="8"/>
        <v>78.943807107215235</v>
      </c>
      <c r="F138" s="291">
        <v>100</v>
      </c>
      <c r="G138" s="291">
        <v>93.184537391803303</v>
      </c>
      <c r="H138" s="291">
        <v>76.908679387824691</v>
      </c>
      <c r="I138" s="291">
        <v>71.169695098504505</v>
      </c>
      <c r="J138" s="292">
        <v>10.3</v>
      </c>
      <c r="K138" s="292">
        <v>8.3000000000000007</v>
      </c>
      <c r="L138" s="291">
        <f t="shared" si="9"/>
        <v>53.456123657943699</v>
      </c>
      <c r="M138" s="293"/>
    </row>
    <row r="139" spans="1:13" ht="15.75" customHeight="1" x14ac:dyDescent="0.25">
      <c r="A139" s="294">
        <v>136</v>
      </c>
      <c r="B139" s="297" t="s">
        <v>16</v>
      </c>
      <c r="C139" s="300" t="s">
        <v>21</v>
      </c>
      <c r="D139" s="177" t="s">
        <v>190</v>
      </c>
      <c r="E139" s="290">
        <f t="shared" si="8"/>
        <v>78.795683814677986</v>
      </c>
      <c r="F139" s="291">
        <v>87.7</v>
      </c>
      <c r="G139" s="291">
        <v>90.191680136473906</v>
      </c>
      <c r="H139" s="291">
        <v>90.272475945695248</v>
      </c>
      <c r="I139" s="291">
        <v>77.384521067612994</v>
      </c>
      <c r="J139" s="292">
        <v>13</v>
      </c>
      <c r="K139" s="292">
        <v>11.5</v>
      </c>
      <c r="L139" s="291">
        <f t="shared" si="9"/>
        <v>48.429741923607828</v>
      </c>
      <c r="M139" s="293"/>
    </row>
    <row r="140" spans="1:13" ht="15.75" customHeight="1" x14ac:dyDescent="0.25">
      <c r="A140" s="294">
        <v>137</v>
      </c>
      <c r="B140" s="307" t="s">
        <v>10</v>
      </c>
      <c r="C140" s="309" t="s">
        <v>11</v>
      </c>
      <c r="D140" s="177" t="s">
        <v>154</v>
      </c>
      <c r="E140" s="290">
        <f t="shared" si="8"/>
        <v>77.466652305063946</v>
      </c>
      <c r="F140" s="291">
        <v>94</v>
      </c>
      <c r="G140" s="291">
        <v>93.640124684211699</v>
      </c>
      <c r="H140" s="291">
        <v>54.662431559354069</v>
      </c>
      <c r="I140" s="291">
        <v>86.025980593764899</v>
      </c>
      <c r="J140" s="292">
        <v>7.1</v>
      </c>
      <c r="K140" s="292">
        <v>6.5</v>
      </c>
      <c r="L140" s="291">
        <f t="shared" si="9"/>
        <v>59.004724687989118</v>
      </c>
      <c r="M140" s="293"/>
    </row>
    <row r="141" spans="1:13" s="28" customFormat="1" ht="15.75" customHeight="1" x14ac:dyDescent="0.25">
      <c r="A141" s="294">
        <v>138</v>
      </c>
      <c r="B141" s="297" t="s">
        <v>16</v>
      </c>
      <c r="C141" s="310" t="s">
        <v>886</v>
      </c>
      <c r="D141" s="177" t="s">
        <v>89</v>
      </c>
      <c r="E141" s="290">
        <f t="shared" si="8"/>
        <v>76.002879534108999</v>
      </c>
      <c r="F141" s="291">
        <v>94.1</v>
      </c>
      <c r="G141" s="291">
        <v>88.599500908557403</v>
      </c>
      <c r="H141" s="291">
        <v>87.58724483272681</v>
      </c>
      <c r="I141" s="291">
        <v>57.401502629383401</v>
      </c>
      <c r="J141" s="292">
        <v>10.3</v>
      </c>
      <c r="K141" s="292">
        <v>9.5</v>
      </c>
      <c r="L141" s="291">
        <f t="shared" si="9"/>
        <v>52.3261492998774</v>
      </c>
      <c r="M141" s="293"/>
    </row>
    <row r="142" spans="1:13" s="28" customFormat="1" ht="15.75" customHeight="1" x14ac:dyDescent="0.25">
      <c r="A142" s="294">
        <v>139</v>
      </c>
      <c r="B142" s="297" t="s">
        <v>16</v>
      </c>
      <c r="C142" s="300" t="s">
        <v>21</v>
      </c>
      <c r="D142" s="177" t="s">
        <v>47</v>
      </c>
      <c r="E142" s="290">
        <f t="shared" si="8"/>
        <v>75.474389797052964</v>
      </c>
      <c r="F142" s="291">
        <v>76</v>
      </c>
      <c r="G142" s="291">
        <v>91.771364080724595</v>
      </c>
      <c r="H142" s="291">
        <v>87.651542652951065</v>
      </c>
      <c r="I142" s="291">
        <v>72.115456599001007</v>
      </c>
      <c r="J142" s="292">
        <v>11</v>
      </c>
      <c r="K142" s="292">
        <v>11.7</v>
      </c>
      <c r="L142" s="291">
        <f t="shared" si="9"/>
        <v>49.833585652588141</v>
      </c>
      <c r="M142" s="293"/>
    </row>
    <row r="143" spans="1:13" ht="15.75" customHeight="1" x14ac:dyDescent="0.25">
      <c r="A143" s="294">
        <v>140</v>
      </c>
      <c r="B143" s="304" t="s">
        <v>29</v>
      </c>
      <c r="C143" s="316" t="s">
        <v>888</v>
      </c>
      <c r="D143" s="177" t="s">
        <v>141</v>
      </c>
      <c r="E143" s="290">
        <f t="shared" si="8"/>
        <v>75.296033861719067</v>
      </c>
      <c r="F143" s="291">
        <v>100</v>
      </c>
      <c r="G143" s="291">
        <v>87.444853927484701</v>
      </c>
      <c r="H143" s="291">
        <v>46.967379049798971</v>
      </c>
      <c r="I143" s="291">
        <v>78.958564054357694</v>
      </c>
      <c r="J143" s="292">
        <v>4.9000000000000004</v>
      </c>
      <c r="K143" s="292">
        <v>5.8</v>
      </c>
      <c r="L143" s="291">
        <f t="shared" si="9"/>
        <v>63.109372276954012</v>
      </c>
      <c r="M143" s="293"/>
    </row>
    <row r="144" spans="1:13" ht="15.75" customHeight="1" x14ac:dyDescent="0.25">
      <c r="A144" s="294">
        <v>141</v>
      </c>
      <c r="B144" s="307" t="s">
        <v>10</v>
      </c>
      <c r="C144" s="309" t="s">
        <v>11</v>
      </c>
      <c r="D144" s="177" t="s">
        <v>105</v>
      </c>
      <c r="E144" s="290">
        <f t="shared" si="8"/>
        <v>75.284981848293143</v>
      </c>
      <c r="F144" s="291">
        <v>99.5</v>
      </c>
      <c r="G144" s="291">
        <v>95.724737352391799</v>
      </c>
      <c r="H144" s="291">
        <v>59.326669013810907</v>
      </c>
      <c r="I144" s="291">
        <v>83.380872478200999</v>
      </c>
      <c r="J144" s="292">
        <v>21.4</v>
      </c>
      <c r="K144" s="292">
        <v>20.2</v>
      </c>
      <c r="L144" s="291">
        <f t="shared" si="9"/>
        <v>38.492630397062001</v>
      </c>
      <c r="M144" s="293"/>
    </row>
    <row r="145" spans="1:13" s="28" customFormat="1" ht="15.75" customHeight="1" x14ac:dyDescent="0.25">
      <c r="A145" s="294">
        <v>142</v>
      </c>
      <c r="B145" s="297" t="s">
        <v>16</v>
      </c>
      <c r="C145" s="310" t="s">
        <v>886</v>
      </c>
      <c r="D145" s="177" t="s">
        <v>333</v>
      </c>
      <c r="E145" s="290">
        <f t="shared" si="8"/>
        <v>74.136850676106221</v>
      </c>
      <c r="F145" s="291">
        <v>81.3</v>
      </c>
      <c r="G145" s="291">
        <v>77.957445837031997</v>
      </c>
      <c r="H145" s="291">
        <v>97.658044289678415</v>
      </c>
      <c r="I145" s="291">
        <v>48.678505275361204</v>
      </c>
      <c r="J145" s="292">
        <v>4.4000000000000004</v>
      </c>
      <c r="K145" s="292">
        <v>5.0999999999999996</v>
      </c>
      <c r="L145" s="291">
        <f t="shared" si="9"/>
        <v>65.090257978459505</v>
      </c>
      <c r="M145" s="293"/>
    </row>
    <row r="146" spans="1:13" ht="15.75" customHeight="1" x14ac:dyDescent="0.25">
      <c r="A146" s="294">
        <v>143</v>
      </c>
      <c r="B146" s="307" t="s">
        <v>10</v>
      </c>
      <c r="C146" s="311" t="s">
        <v>887</v>
      </c>
      <c r="D146" s="177" t="s">
        <v>55</v>
      </c>
      <c r="E146" s="290">
        <f t="shared" si="8"/>
        <v>72.983613910376263</v>
      </c>
      <c r="F146" s="291">
        <v>95</v>
      </c>
      <c r="G146" s="291">
        <v>82.8497572939701</v>
      </c>
      <c r="H146" s="291">
        <v>35.852815578082293</v>
      </c>
      <c r="I146" s="291">
        <v>83.335932871431396</v>
      </c>
      <c r="J146" s="292">
        <v>4</v>
      </c>
      <c r="K146" s="292">
        <v>4</v>
      </c>
      <c r="L146" s="291">
        <f t="shared" si="9"/>
        <v>67.879563808397535</v>
      </c>
      <c r="M146" s="293"/>
    </row>
    <row r="147" spans="1:13" ht="15.75" customHeight="1" x14ac:dyDescent="0.25">
      <c r="A147" s="294">
        <v>144</v>
      </c>
      <c r="B147" s="307" t="s">
        <v>10</v>
      </c>
      <c r="C147" s="308" t="s">
        <v>35</v>
      </c>
      <c r="D147" s="177" t="s">
        <v>165</v>
      </c>
      <c r="E147" s="290">
        <f t="shared" si="8"/>
        <v>71.724892254342592</v>
      </c>
      <c r="F147" s="306">
        <v>87.265065114485097</v>
      </c>
      <c r="G147" s="306">
        <v>83.796916731236692</v>
      </c>
      <c r="H147" s="306">
        <v>58.969672966819417</v>
      </c>
      <c r="I147" s="306">
        <v>65.917540077163537</v>
      </c>
      <c r="J147" s="314">
        <v>4.7659731025348702</v>
      </c>
      <c r="K147" s="314">
        <v>6.2132967329640199</v>
      </c>
      <c r="L147" s="291">
        <f t="shared" si="9"/>
        <v>62.675266382008189</v>
      </c>
      <c r="M147" s="293"/>
    </row>
    <row r="148" spans="1:13" ht="15.75" customHeight="1" x14ac:dyDescent="0.25">
      <c r="A148" s="294">
        <v>145</v>
      </c>
      <c r="B148" s="307" t="s">
        <v>10</v>
      </c>
      <c r="C148" s="311" t="s">
        <v>887</v>
      </c>
      <c r="D148" s="177" t="s">
        <v>331</v>
      </c>
      <c r="E148" s="290">
        <f t="shared" si="8"/>
        <v>71.180487894658683</v>
      </c>
      <c r="F148" s="291">
        <v>96.5</v>
      </c>
      <c r="G148" s="291">
        <v>95.863579496839805</v>
      </c>
      <c r="H148" s="291">
        <v>36.177019214659232</v>
      </c>
      <c r="I148" s="291">
        <v>88.731413160559896</v>
      </c>
      <c r="J148" s="292">
        <v>18.399999999999999</v>
      </c>
      <c r="K148" s="292">
        <v>22.9</v>
      </c>
      <c r="L148" s="291">
        <f t="shared" si="9"/>
        <v>38.630427601234487</v>
      </c>
      <c r="M148" s="293"/>
    </row>
    <row r="149" spans="1:13" ht="15.75" customHeight="1" x14ac:dyDescent="0.25">
      <c r="A149" s="294">
        <v>146</v>
      </c>
      <c r="B149" s="307" t="s">
        <v>10</v>
      </c>
      <c r="C149" s="311" t="s">
        <v>887</v>
      </c>
      <c r="D149" s="177" t="s">
        <v>106</v>
      </c>
      <c r="E149" s="290">
        <f t="shared" si="8"/>
        <v>70.672020599900577</v>
      </c>
      <c r="F149" s="291">
        <v>99.4</v>
      </c>
      <c r="G149" s="291">
        <v>89.008759557410997</v>
      </c>
      <c r="H149" s="291">
        <v>21.783205806379531</v>
      </c>
      <c r="I149" s="291">
        <v>88.203168565849893</v>
      </c>
      <c r="J149" s="292">
        <v>11</v>
      </c>
      <c r="K149" s="292">
        <v>6.1</v>
      </c>
      <c r="L149" s="291">
        <f t="shared" si="9"/>
        <v>54.964969069862413</v>
      </c>
      <c r="M149" s="293"/>
    </row>
    <row r="150" spans="1:13" ht="15.75" customHeight="1" x14ac:dyDescent="0.25">
      <c r="A150" s="294">
        <v>147</v>
      </c>
      <c r="B150" s="297" t="s">
        <v>16</v>
      </c>
      <c r="C150" s="300" t="s">
        <v>21</v>
      </c>
      <c r="D150" s="177" t="s">
        <v>83</v>
      </c>
      <c r="E150" s="290">
        <f t="shared" si="8"/>
        <v>70.239494102649843</v>
      </c>
      <c r="F150" s="291">
        <v>86.4</v>
      </c>
      <c r="G150" s="291">
        <v>80.373710719105205</v>
      </c>
      <c r="H150" s="291">
        <v>65.917212263606473</v>
      </c>
      <c r="I150" s="291">
        <v>64.460502624955396</v>
      </c>
      <c r="J150" s="292">
        <v>9.1</v>
      </c>
      <c r="K150" s="292">
        <v>8.9</v>
      </c>
      <c r="L150" s="291">
        <f t="shared" si="9"/>
        <v>54.046044905582136</v>
      </c>
      <c r="M150" s="293"/>
    </row>
    <row r="151" spans="1:13" ht="15.75" customHeight="1" x14ac:dyDescent="0.25">
      <c r="A151" s="294">
        <v>148</v>
      </c>
      <c r="B151" s="297" t="s">
        <v>16</v>
      </c>
      <c r="C151" s="310" t="s">
        <v>886</v>
      </c>
      <c r="D151" s="177" t="s">
        <v>181</v>
      </c>
      <c r="E151" s="290">
        <f t="shared" si="8"/>
        <v>69.981036172620691</v>
      </c>
      <c r="F151" s="291">
        <v>74.2</v>
      </c>
      <c r="G151" s="291">
        <v>88.043567043838095</v>
      </c>
      <c r="H151" s="291">
        <v>80.098337476734628</v>
      </c>
      <c r="I151" s="291">
        <v>62.519595266774601</v>
      </c>
      <c r="J151" s="292">
        <v>13.4</v>
      </c>
      <c r="K151" s="292">
        <v>16</v>
      </c>
      <c r="L151" s="291">
        <f t="shared" si="9"/>
        <v>45.043681075756147</v>
      </c>
      <c r="M151" s="293"/>
    </row>
    <row r="152" spans="1:13" ht="15.75" customHeight="1" x14ac:dyDescent="0.25">
      <c r="A152" s="294">
        <v>149</v>
      </c>
      <c r="B152" s="307" t="s">
        <v>10</v>
      </c>
      <c r="C152" s="308" t="s">
        <v>35</v>
      </c>
      <c r="D152" s="177" t="s">
        <v>223</v>
      </c>
      <c r="E152" s="290">
        <f t="shared" si="8"/>
        <v>69.566044513477095</v>
      </c>
      <c r="F152" s="291">
        <v>83.6</v>
      </c>
      <c r="G152" s="291">
        <v>75.035762096045701</v>
      </c>
      <c r="H152" s="291">
        <v>47.701909530411449</v>
      </c>
      <c r="I152" s="291">
        <v>63.082730765557699</v>
      </c>
      <c r="J152" s="292">
        <v>2</v>
      </c>
      <c r="K152" s="292">
        <v>1.9</v>
      </c>
      <c r="L152" s="291">
        <f t="shared" si="9"/>
        <v>78.409820175370626</v>
      </c>
      <c r="M152" s="293"/>
    </row>
    <row r="153" spans="1:13" ht="15.75" customHeight="1" x14ac:dyDescent="0.25">
      <c r="A153" s="294">
        <v>150</v>
      </c>
      <c r="B153" s="297" t="s">
        <v>16</v>
      </c>
      <c r="C153" s="300" t="s">
        <v>21</v>
      </c>
      <c r="D153" s="177" t="s">
        <v>197</v>
      </c>
      <c r="E153" s="290">
        <f t="shared" si="8"/>
        <v>68.637297930462609</v>
      </c>
      <c r="F153" s="291">
        <v>66</v>
      </c>
      <c r="G153" s="291">
        <v>64.891712950285097</v>
      </c>
      <c r="H153" s="291">
        <v>67.134860225593982</v>
      </c>
      <c r="I153" s="291">
        <v>65.708596568842594</v>
      </c>
      <c r="J153" s="292">
        <v>1.7</v>
      </c>
      <c r="K153" s="292">
        <v>1.9</v>
      </c>
      <c r="L153" s="291">
        <f t="shared" si="9"/>
        <v>79.451319907591369</v>
      </c>
      <c r="M153" s="293"/>
    </row>
    <row r="154" spans="1:13" ht="15.75" customHeight="1" x14ac:dyDescent="0.25">
      <c r="A154" s="294">
        <v>151</v>
      </c>
      <c r="B154" s="297" t="s">
        <v>16</v>
      </c>
      <c r="C154" s="300" t="s">
        <v>21</v>
      </c>
      <c r="D154" s="177" t="s">
        <v>64</v>
      </c>
      <c r="E154" s="290">
        <f t="shared" si="8"/>
        <v>67.477440093902118</v>
      </c>
      <c r="F154" s="291">
        <v>89.8</v>
      </c>
      <c r="G154" s="291">
        <v>85.053927858930194</v>
      </c>
      <c r="H154" s="291">
        <v>65.784225955610964</v>
      </c>
      <c r="I154" s="291">
        <v>57.223088815682203</v>
      </c>
      <c r="J154" s="292">
        <v>20.7</v>
      </c>
      <c r="K154" s="292">
        <v>18.7</v>
      </c>
      <c r="L154" s="291">
        <f t="shared" si="9"/>
        <v>39.525957839287237</v>
      </c>
      <c r="M154" s="293"/>
    </row>
    <row r="155" spans="1:13" ht="15.75" customHeight="1" x14ac:dyDescent="0.25">
      <c r="A155" s="294">
        <v>152</v>
      </c>
      <c r="B155" s="297" t="s">
        <v>16</v>
      </c>
      <c r="C155" s="300" t="s">
        <v>21</v>
      </c>
      <c r="D155" s="177" t="s">
        <v>74</v>
      </c>
      <c r="E155" s="290">
        <f t="shared" si="8"/>
        <v>66.481915339599567</v>
      </c>
      <c r="F155" s="291">
        <v>65.2</v>
      </c>
      <c r="G155" s="291">
        <v>79.661532568520997</v>
      </c>
      <c r="H155" s="291">
        <v>86.427504056450502</v>
      </c>
      <c r="I155" s="291">
        <v>67.480109778973357</v>
      </c>
      <c r="J155" s="292">
        <v>24.3</v>
      </c>
      <c r="K155" s="292">
        <v>29.3</v>
      </c>
      <c r="L155" s="291">
        <f t="shared" si="9"/>
        <v>33.640430294052912</v>
      </c>
      <c r="M155" s="293"/>
    </row>
    <row r="156" spans="1:13" ht="15.75" customHeight="1" x14ac:dyDescent="0.25">
      <c r="A156" s="294">
        <v>153</v>
      </c>
      <c r="B156" s="307" t="s">
        <v>10</v>
      </c>
      <c r="C156" s="309" t="s">
        <v>11</v>
      </c>
      <c r="D156" s="177" t="s">
        <v>163</v>
      </c>
      <c r="E156" s="290">
        <f t="shared" si="8"/>
        <v>66.411883573357699</v>
      </c>
      <c r="F156" s="291">
        <v>95.6</v>
      </c>
      <c r="G156" s="291">
        <v>90.6932992273275</v>
      </c>
      <c r="H156" s="291">
        <v>28.259187858963799</v>
      </c>
      <c r="I156" s="291">
        <v>71.882860041675599</v>
      </c>
      <c r="J156" s="292">
        <v>14.2</v>
      </c>
      <c r="K156" s="292">
        <v>14.3</v>
      </c>
      <c r="L156" s="291">
        <f t="shared" si="9"/>
        <v>45.624070738821551</v>
      </c>
      <c r="M156" s="293"/>
    </row>
    <row r="157" spans="1:13" ht="15.75" customHeight="1" x14ac:dyDescent="0.25">
      <c r="A157" s="294">
        <v>154</v>
      </c>
      <c r="B157" s="297" t="s">
        <v>16</v>
      </c>
      <c r="C157" s="310" t="s">
        <v>886</v>
      </c>
      <c r="D157" s="177" t="s">
        <v>90</v>
      </c>
      <c r="E157" s="290">
        <f t="shared" si="8"/>
        <v>66.334963612414867</v>
      </c>
      <c r="F157" s="291">
        <v>66.900000000000006</v>
      </c>
      <c r="G157" s="291">
        <v>87.103480037614801</v>
      </c>
      <c r="H157" s="291">
        <v>80.613388797631529</v>
      </c>
      <c r="I157" s="291">
        <v>48.171144217553802</v>
      </c>
      <c r="J157" s="292">
        <v>11</v>
      </c>
      <c r="K157" s="292">
        <v>12.9</v>
      </c>
      <c r="L157" s="291">
        <f t="shared" si="9"/>
        <v>48.886805009274191</v>
      </c>
      <c r="M157" s="293"/>
    </row>
    <row r="158" spans="1:13" ht="15.75" customHeight="1" x14ac:dyDescent="0.25">
      <c r="A158" s="294">
        <v>155</v>
      </c>
      <c r="B158" s="307" t="s">
        <v>10</v>
      </c>
      <c r="C158" s="309" t="s">
        <v>11</v>
      </c>
      <c r="D158" s="177" t="s">
        <v>37</v>
      </c>
      <c r="E158" s="290">
        <f t="shared" si="8"/>
        <v>66.199378818788716</v>
      </c>
      <c r="F158" s="291">
        <v>99.5</v>
      </c>
      <c r="G158" s="291">
        <v>98.7825421934741</v>
      </c>
      <c r="H158" s="291">
        <v>15.182627326608349</v>
      </c>
      <c r="I158" s="291">
        <v>67.617175122123697</v>
      </c>
      <c r="J158" s="292">
        <v>9.4</v>
      </c>
      <c r="K158" s="292">
        <v>13.2</v>
      </c>
      <c r="L158" s="291">
        <f t="shared" si="9"/>
        <v>49.914549451737415</v>
      </c>
      <c r="M158" s="293"/>
    </row>
    <row r="159" spans="1:13" ht="15.75" customHeight="1" x14ac:dyDescent="0.25">
      <c r="A159" s="294">
        <v>156</v>
      </c>
      <c r="B159" s="307" t="s">
        <v>10</v>
      </c>
      <c r="C159" s="311" t="s">
        <v>887</v>
      </c>
      <c r="D159" s="177" t="s">
        <v>151</v>
      </c>
      <c r="E159" s="290">
        <f t="shared" si="8"/>
        <v>65.965224292863951</v>
      </c>
      <c r="F159" s="291">
        <v>76.8</v>
      </c>
      <c r="G159" s="291">
        <v>85.687141764054104</v>
      </c>
      <c r="H159" s="291">
        <v>34.90393845033465</v>
      </c>
      <c r="I159" s="291">
        <v>74.183521011431907</v>
      </c>
      <c r="J159" s="292">
        <v>7.1</v>
      </c>
      <c r="K159" s="292">
        <v>7.1</v>
      </c>
      <c r="L159" s="291">
        <f t="shared" si="9"/>
        <v>58.251520238499154</v>
      </c>
      <c r="M159" s="293"/>
    </row>
    <row r="160" spans="1:13" x14ac:dyDescent="0.25">
      <c r="A160" s="294">
        <v>157</v>
      </c>
      <c r="B160" s="297" t="s">
        <v>16</v>
      </c>
      <c r="C160" s="310" t="s">
        <v>886</v>
      </c>
      <c r="D160" s="177" t="s">
        <v>80</v>
      </c>
      <c r="E160" s="290">
        <f t="shared" si="8"/>
        <v>64.366097186179289</v>
      </c>
      <c r="F160" s="291">
        <v>66.900000000000006</v>
      </c>
      <c r="G160" s="291">
        <v>69.871251971981494</v>
      </c>
      <c r="H160" s="291">
        <v>51.945887402965141</v>
      </c>
      <c r="I160" s="291">
        <v>70.622862601981495</v>
      </c>
      <c r="J160" s="292">
        <v>5.3</v>
      </c>
      <c r="K160" s="292">
        <v>5.8</v>
      </c>
      <c r="L160" s="291">
        <f t="shared" si="9"/>
        <v>62.490483953968344</v>
      </c>
      <c r="M160" s="293"/>
    </row>
    <row r="161" spans="1:13" s="30" customFormat="1" x14ac:dyDescent="0.2">
      <c r="A161" s="294">
        <v>158</v>
      </c>
      <c r="B161" s="297" t="s">
        <v>16</v>
      </c>
      <c r="C161" s="300" t="s">
        <v>21</v>
      </c>
      <c r="D161" s="177" t="s">
        <v>152</v>
      </c>
      <c r="E161" s="290">
        <f t="shared" si="8"/>
        <v>64.09203164751851</v>
      </c>
      <c r="F161" s="291">
        <v>56.7</v>
      </c>
      <c r="G161" s="291">
        <v>86.508737835212699</v>
      </c>
      <c r="H161" s="291">
        <v>83.353467875441908</v>
      </c>
      <c r="I161" s="291">
        <v>38.722902052839402</v>
      </c>
      <c r="J161" s="292">
        <v>8.3000000000000007</v>
      </c>
      <c r="K161" s="292">
        <v>8.6</v>
      </c>
      <c r="L161" s="291">
        <f t="shared" si="9"/>
        <v>55.175050474098533</v>
      </c>
      <c r="M161" s="293"/>
    </row>
    <row r="162" spans="1:13" s="30" customFormat="1" x14ac:dyDescent="0.2">
      <c r="A162" s="294">
        <v>159</v>
      </c>
      <c r="B162" s="297" t="s">
        <v>16</v>
      </c>
      <c r="C162" s="310" t="s">
        <v>886</v>
      </c>
      <c r="D162" s="177" t="s">
        <v>93</v>
      </c>
      <c r="E162" s="290">
        <f t="shared" si="8"/>
        <v>63.055178358984548</v>
      </c>
      <c r="F162" s="291">
        <v>89.5</v>
      </c>
      <c r="G162" s="291">
        <v>89.9220116872755</v>
      </c>
      <c r="H162" s="291">
        <v>56.584450709837093</v>
      </c>
      <c r="I162" s="291">
        <v>31.578940473198202</v>
      </c>
      <c r="J162" s="292">
        <v>11.4</v>
      </c>
      <c r="K162" s="292">
        <v>14.1</v>
      </c>
      <c r="L162" s="291">
        <f t="shared" si="9"/>
        <v>47.690488924612005</v>
      </c>
      <c r="M162" s="293"/>
    </row>
    <row r="163" spans="1:13" s="30" customFormat="1" x14ac:dyDescent="0.2">
      <c r="A163" s="294">
        <v>160</v>
      </c>
      <c r="B163" s="304" t="s">
        <v>29</v>
      </c>
      <c r="C163" s="316" t="s">
        <v>888</v>
      </c>
      <c r="D163" s="177" t="s">
        <v>119</v>
      </c>
      <c r="E163" s="290">
        <f t="shared" si="8"/>
        <v>61.815244667860881</v>
      </c>
      <c r="F163" s="291">
        <v>95.9</v>
      </c>
      <c r="G163" s="291">
        <v>79.068344748572201</v>
      </c>
      <c r="H163" s="291">
        <v>40.654686313616168</v>
      </c>
      <c r="I163" s="291">
        <v>45.173507820729697</v>
      </c>
      <c r="J163" s="292">
        <v>10.4</v>
      </c>
      <c r="K163" s="292">
        <v>14.3</v>
      </c>
      <c r="L163" s="291">
        <f t="shared" si="9"/>
        <v>48.27968445638632</v>
      </c>
      <c r="M163" s="293"/>
    </row>
    <row r="164" spans="1:13" s="30" customFormat="1" x14ac:dyDescent="0.2">
      <c r="A164" s="294">
        <v>161</v>
      </c>
      <c r="B164" s="307" t="s">
        <v>10</v>
      </c>
      <c r="C164" s="309" t="s">
        <v>11</v>
      </c>
      <c r="D164" s="177" t="s">
        <v>12</v>
      </c>
      <c r="E164" s="290">
        <f t="shared" ref="E164:E195" si="10">(F164+G164+H164+I164+L164)/5</f>
        <v>61.409759299608751</v>
      </c>
      <c r="F164" s="291">
        <v>85.3</v>
      </c>
      <c r="G164" s="291">
        <v>80.832437449385196</v>
      </c>
      <c r="H164" s="291">
        <v>27.287490186414281</v>
      </c>
      <c r="I164" s="291">
        <v>54.495799364608601</v>
      </c>
      <c r="J164" s="292">
        <v>9.1999999999999993</v>
      </c>
      <c r="K164" s="292">
        <v>4.3</v>
      </c>
      <c r="L164" s="291">
        <f t="shared" ref="L164:L195" si="11">(1-((LN((AVERAGE(J164:K164))+1))/(LN(150))))*100</f>
        <v>59.13306949763566</v>
      </c>
      <c r="M164" s="293"/>
    </row>
    <row r="165" spans="1:13" s="30" customFormat="1" x14ac:dyDescent="0.2">
      <c r="A165" s="294">
        <v>162</v>
      </c>
      <c r="B165" s="304" t="s">
        <v>29</v>
      </c>
      <c r="C165" s="313" t="s">
        <v>85</v>
      </c>
      <c r="D165" s="177" t="s">
        <v>220</v>
      </c>
      <c r="E165" s="290">
        <f t="shared" si="10"/>
        <v>59.243653235107558</v>
      </c>
      <c r="F165" s="291">
        <v>61.6</v>
      </c>
      <c r="G165" s="291">
        <v>87.120060592132702</v>
      </c>
      <c r="H165" s="291">
        <v>50.486619987931483</v>
      </c>
      <c r="I165" s="291">
        <v>47.814150982814603</v>
      </c>
      <c r="J165" s="292">
        <v>10</v>
      </c>
      <c r="K165" s="292">
        <v>13.5</v>
      </c>
      <c r="L165" s="291">
        <f t="shared" si="11"/>
        <v>49.197434612659016</v>
      </c>
      <c r="M165" s="293"/>
    </row>
    <row r="166" spans="1:13" s="30" customFormat="1" x14ac:dyDescent="0.2">
      <c r="A166" s="294">
        <v>163</v>
      </c>
      <c r="B166" s="297" t="s">
        <v>16</v>
      </c>
      <c r="C166" s="300" t="s">
        <v>21</v>
      </c>
      <c r="D166" s="177" t="s">
        <v>128</v>
      </c>
      <c r="E166" s="290">
        <f t="shared" si="10"/>
        <v>59.178074491497739</v>
      </c>
      <c r="F166" s="291">
        <v>57.3</v>
      </c>
      <c r="G166" s="291">
        <v>78.078996375968799</v>
      </c>
      <c r="H166" s="291">
        <v>76.253009192947104</v>
      </c>
      <c r="I166" s="291">
        <v>47.891348142271703</v>
      </c>
      <c r="J166" s="292">
        <v>22.4</v>
      </c>
      <c r="K166" s="292">
        <v>24.1</v>
      </c>
      <c r="L166" s="291">
        <f t="shared" si="11"/>
        <v>36.367018746301085</v>
      </c>
      <c r="M166" s="293"/>
    </row>
    <row r="167" spans="1:13" s="30" customFormat="1" x14ac:dyDescent="0.2">
      <c r="A167" s="294">
        <v>164</v>
      </c>
      <c r="B167" s="297" t="s">
        <v>16</v>
      </c>
      <c r="C167" s="300" t="s">
        <v>21</v>
      </c>
      <c r="D167" s="177" t="s">
        <v>176</v>
      </c>
      <c r="E167" s="290">
        <f t="shared" si="10"/>
        <v>58.262012884688225</v>
      </c>
      <c r="F167" s="291">
        <v>63.9</v>
      </c>
      <c r="G167" s="291">
        <v>61.392176021167003</v>
      </c>
      <c r="H167" s="291">
        <v>49.284069449432103</v>
      </c>
      <c r="I167" s="291">
        <v>81.330732378374506</v>
      </c>
      <c r="J167" s="292">
        <v>21.4</v>
      </c>
      <c r="K167" s="292">
        <v>27.5</v>
      </c>
      <c r="L167" s="291">
        <f t="shared" si="11"/>
        <v>35.403086574467544</v>
      </c>
      <c r="M167" s="293"/>
    </row>
    <row r="168" spans="1:13" s="30" customFormat="1" x14ac:dyDescent="0.2">
      <c r="A168" s="294">
        <v>165</v>
      </c>
      <c r="B168" s="297" t="s">
        <v>16</v>
      </c>
      <c r="C168" s="310" t="s">
        <v>886</v>
      </c>
      <c r="D168" s="177" t="s">
        <v>142</v>
      </c>
      <c r="E168" s="290">
        <f t="shared" si="10"/>
        <v>57.704980094202668</v>
      </c>
      <c r="F168" s="291">
        <v>50.3</v>
      </c>
      <c r="G168" s="291">
        <v>77.284649137538807</v>
      </c>
      <c r="H168" s="291">
        <v>63.907552942109149</v>
      </c>
      <c r="I168" s="291">
        <v>58.676920295930998</v>
      </c>
      <c r="J168" s="292">
        <v>20.399999999999999</v>
      </c>
      <c r="K168" s="292">
        <v>21.5</v>
      </c>
      <c r="L168" s="291">
        <f t="shared" si="11"/>
        <v>38.355778095434381</v>
      </c>
      <c r="M168" s="293"/>
    </row>
    <row r="169" spans="1:13" s="30" customFormat="1" x14ac:dyDescent="0.2">
      <c r="A169" s="294">
        <v>166</v>
      </c>
      <c r="B169" s="304" t="s">
        <v>29</v>
      </c>
      <c r="C169" s="313" t="s">
        <v>85</v>
      </c>
      <c r="D169" s="177" t="s">
        <v>188</v>
      </c>
      <c r="E169" s="290">
        <f t="shared" si="10"/>
        <v>56.867252802603979</v>
      </c>
      <c r="F169" s="291">
        <v>81.3</v>
      </c>
      <c r="G169" s="291">
        <v>71.609031845229396</v>
      </c>
      <c r="H169" s="291">
        <v>43.029253734770577</v>
      </c>
      <c r="I169" s="291">
        <v>34.649073742597601</v>
      </c>
      <c r="J169" s="292">
        <v>5.8</v>
      </c>
      <c r="K169" s="292">
        <v>12.5</v>
      </c>
      <c r="L169" s="291">
        <f t="shared" si="11"/>
        <v>53.748904690422329</v>
      </c>
      <c r="M169" s="293"/>
    </row>
    <row r="170" spans="1:13" s="30" customFormat="1" x14ac:dyDescent="0.2">
      <c r="A170" s="294">
        <v>167</v>
      </c>
      <c r="B170" s="297" t="s">
        <v>16</v>
      </c>
      <c r="C170" s="310" t="s">
        <v>886</v>
      </c>
      <c r="D170" s="177" t="s">
        <v>329</v>
      </c>
      <c r="E170" s="290">
        <f t="shared" si="10"/>
        <v>56.111646772365759</v>
      </c>
      <c r="F170" s="291">
        <v>72.400000000000006</v>
      </c>
      <c r="G170" s="291">
        <v>77.247059382236102</v>
      </c>
      <c r="H170" s="291">
        <v>51.026296356080273</v>
      </c>
      <c r="I170" s="291">
        <v>40.407068797612801</v>
      </c>
      <c r="J170" s="292">
        <v>18.399999999999999</v>
      </c>
      <c r="K170" s="292">
        <v>21.1</v>
      </c>
      <c r="L170" s="291">
        <f t="shared" si="11"/>
        <v>39.477809325899592</v>
      </c>
      <c r="M170" s="293"/>
    </row>
    <row r="171" spans="1:13" s="30" customFormat="1" x14ac:dyDescent="0.2">
      <c r="A171" s="294">
        <v>168</v>
      </c>
      <c r="B171" s="297" t="s">
        <v>16</v>
      </c>
      <c r="C171" s="310" t="s">
        <v>886</v>
      </c>
      <c r="D171" s="177" t="s">
        <v>139</v>
      </c>
      <c r="E171" s="290">
        <f t="shared" si="10"/>
        <v>54.791879617386314</v>
      </c>
      <c r="F171" s="291">
        <v>54.5</v>
      </c>
      <c r="G171" s="291">
        <v>86.363356781544297</v>
      </c>
      <c r="H171" s="291">
        <v>51.91365878004806</v>
      </c>
      <c r="I171" s="291">
        <v>47.7561676952566</v>
      </c>
      <c r="J171" s="292">
        <v>28.7</v>
      </c>
      <c r="K171" s="292">
        <v>25.5</v>
      </c>
      <c r="L171" s="291">
        <f t="shared" si="11"/>
        <v>33.4262148300826</v>
      </c>
      <c r="M171" s="293"/>
    </row>
    <row r="172" spans="1:13" s="30" customFormat="1" x14ac:dyDescent="0.2">
      <c r="A172" s="294">
        <v>169</v>
      </c>
      <c r="B172" s="297" t="s">
        <v>16</v>
      </c>
      <c r="C172" s="310" t="s">
        <v>886</v>
      </c>
      <c r="D172" s="177" t="s">
        <v>56</v>
      </c>
      <c r="E172" s="290">
        <f t="shared" si="10"/>
        <v>52.183893757354895</v>
      </c>
      <c r="F172" s="291">
        <v>72</v>
      </c>
      <c r="G172" s="291">
        <v>71.410178711282995</v>
      </c>
      <c r="H172" s="291">
        <v>40.488372575272471</v>
      </c>
      <c r="I172" s="291">
        <v>47.072948441483703</v>
      </c>
      <c r="J172" s="292">
        <v>31.6</v>
      </c>
      <c r="K172" s="292">
        <v>33.299999999999997</v>
      </c>
      <c r="L172" s="291">
        <f t="shared" si="11"/>
        <v>29.947969058735314</v>
      </c>
      <c r="M172" s="293"/>
    </row>
    <row r="173" spans="1:13" s="30" customFormat="1" x14ac:dyDescent="0.2">
      <c r="A173" s="294">
        <v>170</v>
      </c>
      <c r="B173" s="297" t="s">
        <v>16</v>
      </c>
      <c r="C173" s="300" t="s">
        <v>21</v>
      </c>
      <c r="D173" s="177" t="s">
        <v>117</v>
      </c>
      <c r="E173" s="290">
        <f t="shared" si="10"/>
        <v>51.321694319711966</v>
      </c>
      <c r="F173" s="291">
        <v>76.2</v>
      </c>
      <c r="G173" s="291">
        <v>65.596596852870903</v>
      </c>
      <c r="H173" s="291">
        <v>33.813922386458202</v>
      </c>
      <c r="I173" s="291">
        <v>40.884965461154302</v>
      </c>
      <c r="J173" s="292">
        <v>17.5</v>
      </c>
      <c r="K173" s="292">
        <v>20.7</v>
      </c>
      <c r="L173" s="291">
        <f t="shared" si="11"/>
        <v>40.11298689807645</v>
      </c>
      <c r="M173" s="293"/>
    </row>
    <row r="174" spans="1:13" s="30" customFormat="1" x14ac:dyDescent="0.2">
      <c r="A174" s="294">
        <v>171</v>
      </c>
      <c r="B174" s="297" t="s">
        <v>16</v>
      </c>
      <c r="C174" s="300" t="s">
        <v>21</v>
      </c>
      <c r="D174" s="177" t="s">
        <v>22</v>
      </c>
      <c r="E174" s="290">
        <f t="shared" si="10"/>
        <v>51.091405523425777</v>
      </c>
      <c r="F174" s="291">
        <v>51.1</v>
      </c>
      <c r="G174" s="291">
        <v>67.960742224211202</v>
      </c>
      <c r="H174" s="291">
        <v>44.189530485147813</v>
      </c>
      <c r="I174" s="291">
        <v>51.23142717275109</v>
      </c>
      <c r="J174" s="292">
        <v>19.100000000000001</v>
      </c>
      <c r="K174" s="292">
        <v>17.399999999999999</v>
      </c>
      <c r="L174" s="291">
        <f t="shared" si="11"/>
        <v>40.975327735018766</v>
      </c>
      <c r="M174" s="293"/>
    </row>
    <row r="175" spans="1:13" s="30" customFormat="1" x14ac:dyDescent="0.2">
      <c r="A175" s="294">
        <v>172</v>
      </c>
      <c r="B175" s="297" t="s">
        <v>16</v>
      </c>
      <c r="C175" s="310" t="s">
        <v>886</v>
      </c>
      <c r="D175" s="177" t="s">
        <v>66</v>
      </c>
      <c r="E175" s="290">
        <f t="shared" si="10"/>
        <v>48.60546531332183</v>
      </c>
      <c r="F175" s="291">
        <v>51.3</v>
      </c>
      <c r="G175" s="291">
        <v>74.930945634427857</v>
      </c>
      <c r="H175" s="291">
        <v>56.067406795080046</v>
      </c>
      <c r="I175" s="291">
        <v>21.394917287111095</v>
      </c>
      <c r="J175" s="292">
        <v>17.600000000000001</v>
      </c>
      <c r="K175" s="292">
        <v>22.2</v>
      </c>
      <c r="L175" s="291">
        <f t="shared" si="11"/>
        <v>39.33405684999012</v>
      </c>
      <c r="M175" s="293"/>
    </row>
    <row r="176" spans="1:13" s="30" customFormat="1" x14ac:dyDescent="0.2">
      <c r="A176" s="294">
        <v>173</v>
      </c>
      <c r="B176" s="297" t="s">
        <v>16</v>
      </c>
      <c r="C176" s="310" t="s">
        <v>886</v>
      </c>
      <c r="D176" s="177" t="s">
        <v>159</v>
      </c>
      <c r="E176" s="290">
        <f t="shared" si="10"/>
        <v>47.955189826454671</v>
      </c>
      <c r="F176" s="291">
        <v>61.2</v>
      </c>
      <c r="G176" s="291">
        <v>82.248893517221603</v>
      </c>
      <c r="H176" s="291">
        <v>11.47352728854626</v>
      </c>
      <c r="I176" s="291">
        <v>47.9019370619136</v>
      </c>
      <c r="J176" s="292">
        <v>26.3</v>
      </c>
      <c r="K176" s="292">
        <v>18.8</v>
      </c>
      <c r="L176" s="291">
        <f t="shared" si="11"/>
        <v>36.951591264591869</v>
      </c>
      <c r="M176" s="293"/>
    </row>
    <row r="177" spans="1:13" s="30" customFormat="1" x14ac:dyDescent="0.2">
      <c r="A177" s="294">
        <v>174</v>
      </c>
      <c r="B177" s="297" t="s">
        <v>16</v>
      </c>
      <c r="C177" s="300" t="s">
        <v>21</v>
      </c>
      <c r="D177" s="177" t="s">
        <v>189</v>
      </c>
      <c r="E177" s="290">
        <f t="shared" si="10"/>
        <v>47.853839261455256</v>
      </c>
      <c r="F177" s="291">
        <v>50.3</v>
      </c>
      <c r="G177" s="291">
        <v>75.294796457137707</v>
      </c>
      <c r="H177" s="291">
        <v>52.312001867874798</v>
      </c>
      <c r="I177" s="291">
        <v>44.456843833257103</v>
      </c>
      <c r="J177" s="292">
        <v>68.2</v>
      </c>
      <c r="K177" s="292">
        <v>58.4</v>
      </c>
      <c r="L177" s="291">
        <f t="shared" si="11"/>
        <v>16.905554149006651</v>
      </c>
      <c r="M177" s="293"/>
    </row>
    <row r="178" spans="1:13" s="30" customFormat="1" x14ac:dyDescent="0.2">
      <c r="A178" s="294">
        <v>175</v>
      </c>
      <c r="B178" s="297" t="s">
        <v>16</v>
      </c>
      <c r="C178" s="300" t="s">
        <v>21</v>
      </c>
      <c r="D178" s="177" t="s">
        <v>334</v>
      </c>
      <c r="E178" s="290">
        <f t="shared" si="10"/>
        <v>47.478689925499971</v>
      </c>
      <c r="F178" s="291">
        <v>48.3</v>
      </c>
      <c r="G178" s="291">
        <v>64.605961947378901</v>
      </c>
      <c r="H178" s="291">
        <v>45.282746909457508</v>
      </c>
      <c r="I178" s="291">
        <v>37.219361457034502</v>
      </c>
      <c r="J178" s="292">
        <v>14.9</v>
      </c>
      <c r="K178" s="292">
        <v>19.7</v>
      </c>
      <c r="L178" s="291">
        <f t="shared" si="11"/>
        <v>41.985379313628947</v>
      </c>
      <c r="M178" s="293"/>
    </row>
    <row r="179" spans="1:13" s="30" customFormat="1" x14ac:dyDescent="0.2">
      <c r="A179" s="294">
        <v>176</v>
      </c>
      <c r="B179" s="297" t="s">
        <v>16</v>
      </c>
      <c r="C179" s="300" t="s">
        <v>21</v>
      </c>
      <c r="D179" s="177" t="s">
        <v>224</v>
      </c>
      <c r="E179" s="290">
        <f t="shared" si="10"/>
        <v>47.256658489910784</v>
      </c>
      <c r="F179" s="291">
        <v>51.1</v>
      </c>
      <c r="G179" s="291">
        <v>73.412037641468899</v>
      </c>
      <c r="H179" s="291">
        <v>35.71052918394679</v>
      </c>
      <c r="I179" s="291">
        <v>37.4763362189112</v>
      </c>
      <c r="J179" s="292">
        <v>16.5</v>
      </c>
      <c r="K179" s="292">
        <v>24.9</v>
      </c>
      <c r="L179" s="291">
        <f t="shared" si="11"/>
        <v>38.584389405227029</v>
      </c>
      <c r="M179" s="293"/>
    </row>
    <row r="180" spans="1:13" s="30" customFormat="1" x14ac:dyDescent="0.2">
      <c r="A180" s="294">
        <v>177</v>
      </c>
      <c r="B180" s="297" t="s">
        <v>16</v>
      </c>
      <c r="C180" s="300" t="s">
        <v>21</v>
      </c>
      <c r="D180" s="177" t="s">
        <v>225</v>
      </c>
      <c r="E180" s="290">
        <f t="shared" si="10"/>
        <v>46.023293933697701</v>
      </c>
      <c r="F180" s="291">
        <v>62</v>
      </c>
      <c r="G180" s="291">
        <v>67.211020968993793</v>
      </c>
      <c r="H180" s="291">
        <v>25.1325</v>
      </c>
      <c r="I180" s="291">
        <v>34.641498532447699</v>
      </c>
      <c r="J180" s="292">
        <v>20.100000000000001</v>
      </c>
      <c r="K180" s="292">
        <v>16.100000000000001</v>
      </c>
      <c r="L180" s="291">
        <f t="shared" si="11"/>
        <v>41.131450167047014</v>
      </c>
      <c r="M180" s="293"/>
    </row>
    <row r="181" spans="1:13" s="30" customFormat="1" x14ac:dyDescent="0.2">
      <c r="A181" s="294">
        <v>178</v>
      </c>
      <c r="B181" s="301" t="s">
        <v>23</v>
      </c>
      <c r="C181" s="303" t="s">
        <v>26</v>
      </c>
      <c r="D181" s="177" t="s">
        <v>100</v>
      </c>
      <c r="E181" s="290">
        <f t="shared" si="10"/>
        <v>45.694784257023223</v>
      </c>
      <c r="F181" s="291">
        <v>51.3</v>
      </c>
      <c r="G181" s="291">
        <v>73.315750056591497</v>
      </c>
      <c r="H181" s="291">
        <v>26.244856398822151</v>
      </c>
      <c r="I181" s="291">
        <v>29.1081189443114</v>
      </c>
      <c r="J181" s="292">
        <v>13.7</v>
      </c>
      <c r="K181" s="292">
        <v>10.7</v>
      </c>
      <c r="L181" s="291">
        <f t="shared" si="11"/>
        <v>48.505195885391082</v>
      </c>
      <c r="M181" s="293"/>
    </row>
    <row r="182" spans="1:13" s="30" customFormat="1" x14ac:dyDescent="0.2">
      <c r="A182" s="294">
        <v>179</v>
      </c>
      <c r="B182" s="297" t="s">
        <v>16</v>
      </c>
      <c r="C182" s="310" t="s">
        <v>886</v>
      </c>
      <c r="D182" s="177" t="s">
        <v>97</v>
      </c>
      <c r="E182" s="290">
        <f t="shared" si="10"/>
        <v>44.152099114460569</v>
      </c>
      <c r="F182" s="291">
        <v>51.1</v>
      </c>
      <c r="G182" s="291">
        <v>74.192484160077598</v>
      </c>
      <c r="H182" s="291">
        <v>23.001060168268449</v>
      </c>
      <c r="I182" s="291">
        <v>32.649637148141501</v>
      </c>
      <c r="J182" s="292">
        <v>18.5</v>
      </c>
      <c r="K182" s="292">
        <v>20.3</v>
      </c>
      <c r="L182" s="291">
        <f t="shared" si="11"/>
        <v>39.817314095815306</v>
      </c>
      <c r="M182" s="293"/>
    </row>
    <row r="183" spans="1:13" s="30" customFormat="1" x14ac:dyDescent="0.2">
      <c r="A183" s="294">
        <v>180</v>
      </c>
      <c r="B183" s="297" t="s">
        <v>16</v>
      </c>
      <c r="C183" s="300" t="s">
        <v>21</v>
      </c>
      <c r="D183" s="177" t="s">
        <v>150</v>
      </c>
      <c r="E183" s="290">
        <f t="shared" si="10"/>
        <v>43.75291547552159</v>
      </c>
      <c r="F183" s="291">
        <v>36</v>
      </c>
      <c r="G183" s="291">
        <v>66.625244134267106</v>
      </c>
      <c r="H183" s="291">
        <v>43.546606553526949</v>
      </c>
      <c r="I183" s="291">
        <v>38.590080480205103</v>
      </c>
      <c r="J183" s="292">
        <v>25.9</v>
      </c>
      <c r="K183" s="292">
        <v>26.7</v>
      </c>
      <c r="L183" s="291">
        <f t="shared" si="11"/>
        <v>34.002646209608812</v>
      </c>
      <c r="M183" s="293"/>
    </row>
    <row r="184" spans="1:13" s="30" customFormat="1" x14ac:dyDescent="0.2">
      <c r="A184" s="294">
        <v>182</v>
      </c>
      <c r="B184" s="297" t="s">
        <v>16</v>
      </c>
      <c r="C184" s="310" t="s">
        <v>886</v>
      </c>
      <c r="D184" s="177" t="s">
        <v>43</v>
      </c>
      <c r="E184" s="290">
        <f t="shared" si="10"/>
        <v>43.581960477808202</v>
      </c>
      <c r="F184" s="291">
        <v>57</v>
      </c>
      <c r="G184" s="291">
        <v>69.586839786706705</v>
      </c>
      <c r="H184" s="291">
        <v>35.859719635958797</v>
      </c>
      <c r="I184" s="291">
        <v>22.248968702791</v>
      </c>
      <c r="J184" s="292">
        <v>24.1</v>
      </c>
      <c r="K184" s="292">
        <v>30.7</v>
      </c>
      <c r="L184" s="291">
        <f t="shared" si="11"/>
        <v>33.214274263584521</v>
      </c>
      <c r="M184" s="293"/>
    </row>
    <row r="185" spans="1:13" s="30" customFormat="1" x14ac:dyDescent="0.2">
      <c r="A185" s="294">
        <v>181</v>
      </c>
      <c r="B185" s="297" t="s">
        <v>16</v>
      </c>
      <c r="C185" s="300" t="s">
        <v>21</v>
      </c>
      <c r="D185" s="177" t="s">
        <v>81</v>
      </c>
      <c r="E185" s="290">
        <f t="shared" si="10"/>
        <v>43.122133957820061</v>
      </c>
      <c r="F185" s="291">
        <v>54.4</v>
      </c>
      <c r="G185" s="291">
        <v>54.367468994547103</v>
      </c>
      <c r="H185" s="291">
        <v>63.773674820259195</v>
      </c>
      <c r="I185" s="291">
        <v>13.767298657679985</v>
      </c>
      <c r="J185" s="292">
        <v>31.7</v>
      </c>
      <c r="K185" s="292">
        <v>35.4</v>
      </c>
      <c r="L185" s="291">
        <f t="shared" si="11"/>
        <v>29.302227316614026</v>
      </c>
      <c r="M185" s="293"/>
    </row>
    <row r="186" spans="1:13" s="30" customFormat="1" x14ac:dyDescent="0.2">
      <c r="A186" s="294">
        <v>183</v>
      </c>
      <c r="B186" s="297" t="s">
        <v>16</v>
      </c>
      <c r="C186" s="310" t="s">
        <v>886</v>
      </c>
      <c r="D186" s="177" t="s">
        <v>98</v>
      </c>
      <c r="E186" s="290">
        <f t="shared" si="10"/>
        <v>42.332149173129608</v>
      </c>
      <c r="F186" s="291">
        <v>40.5</v>
      </c>
      <c r="G186" s="291">
        <v>61.807703017166801</v>
      </c>
      <c r="H186" s="291">
        <v>50.433618919251323</v>
      </c>
      <c r="I186" s="291">
        <v>28.941600640366399</v>
      </c>
      <c r="J186" s="292">
        <v>29.2</v>
      </c>
      <c r="K186" s="292">
        <v>35.6</v>
      </c>
      <c r="L186" s="291">
        <f t="shared" si="11"/>
        <v>29.97782328886349</v>
      </c>
      <c r="M186" s="293"/>
    </row>
    <row r="187" spans="1:13" s="30" customFormat="1" x14ac:dyDescent="0.2">
      <c r="A187" s="294">
        <v>184</v>
      </c>
      <c r="B187" s="297" t="s">
        <v>16</v>
      </c>
      <c r="C187" s="310" t="s">
        <v>886</v>
      </c>
      <c r="D187" s="177" t="s">
        <v>206</v>
      </c>
      <c r="E187" s="290">
        <f t="shared" si="10"/>
        <v>41.547620266585582</v>
      </c>
      <c r="F187" s="291">
        <v>59.2</v>
      </c>
      <c r="G187" s="291">
        <v>64.786245549829204</v>
      </c>
      <c r="H187" s="291">
        <v>33.78684141552268</v>
      </c>
      <c r="I187" s="291">
        <v>25.168105669156901</v>
      </c>
      <c r="J187" s="292">
        <v>41.6</v>
      </c>
      <c r="K187" s="292">
        <v>43</v>
      </c>
      <c r="L187" s="291">
        <f t="shared" si="11"/>
        <v>24.796908698419085</v>
      </c>
      <c r="M187" s="293"/>
    </row>
    <row r="188" spans="1:13" s="30" customFormat="1" x14ac:dyDescent="0.2">
      <c r="A188" s="294">
        <v>185</v>
      </c>
      <c r="B188" s="297" t="s">
        <v>16</v>
      </c>
      <c r="C188" s="300" t="s">
        <v>21</v>
      </c>
      <c r="D188" s="177" t="s">
        <v>213</v>
      </c>
      <c r="E188" s="290">
        <f t="shared" si="10"/>
        <v>41.355140103670635</v>
      </c>
      <c r="F188" s="291">
        <v>51.5</v>
      </c>
      <c r="G188" s="291">
        <v>63.0058015721971</v>
      </c>
      <c r="H188" s="291">
        <v>24.20039195583276</v>
      </c>
      <c r="I188" s="291">
        <v>23.896386630237</v>
      </c>
      <c r="J188" s="292">
        <v>13.2</v>
      </c>
      <c r="K188" s="292">
        <v>17.600000000000001</v>
      </c>
      <c r="L188" s="291">
        <f t="shared" si="11"/>
        <v>44.173120360086294</v>
      </c>
      <c r="M188" s="293"/>
    </row>
    <row r="189" spans="1:13" s="30" customFormat="1" x14ac:dyDescent="0.2">
      <c r="A189" s="294">
        <v>186</v>
      </c>
      <c r="B189" s="297" t="s">
        <v>16</v>
      </c>
      <c r="C189" s="300" t="s">
        <v>21</v>
      </c>
      <c r="D189" s="177" t="s">
        <v>84</v>
      </c>
      <c r="E189" s="290">
        <f t="shared" si="10"/>
        <v>40.294226945745983</v>
      </c>
      <c r="F189" s="291">
        <v>55.4</v>
      </c>
      <c r="G189" s="291">
        <v>55.596069615949297</v>
      </c>
      <c r="H189" s="291">
        <v>46.224056774642513</v>
      </c>
      <c r="I189" s="291">
        <v>10.357718835673399</v>
      </c>
      <c r="J189" s="292">
        <v>21</v>
      </c>
      <c r="K189" s="292">
        <v>31.9</v>
      </c>
      <c r="L189" s="291">
        <f t="shared" si="11"/>
        <v>33.893289502464675</v>
      </c>
      <c r="M189" s="293"/>
    </row>
    <row r="190" spans="1:13" s="30" customFormat="1" x14ac:dyDescent="0.2">
      <c r="A190" s="294">
        <v>187</v>
      </c>
      <c r="B190" s="297" t="s">
        <v>16</v>
      </c>
      <c r="C190" s="300" t="s">
        <v>21</v>
      </c>
      <c r="D190" s="177" t="s">
        <v>136</v>
      </c>
      <c r="E190" s="290">
        <f t="shared" si="10"/>
        <v>37.46435579116514</v>
      </c>
      <c r="F190" s="291">
        <v>15.6</v>
      </c>
      <c r="G190" s="291">
        <v>73.053574173859104</v>
      </c>
      <c r="H190" s="291">
        <v>20.392029309938572</v>
      </c>
      <c r="I190" s="291">
        <v>49.232209044826199</v>
      </c>
      <c r="J190" s="292">
        <v>28.5</v>
      </c>
      <c r="K190" s="292">
        <v>39.5</v>
      </c>
      <c r="L190" s="291">
        <f t="shared" si="11"/>
        <v>29.043966427201827</v>
      </c>
      <c r="M190" s="293"/>
    </row>
    <row r="191" spans="1:13" s="30" customFormat="1" x14ac:dyDescent="0.2">
      <c r="A191" s="294">
        <v>188</v>
      </c>
      <c r="B191" s="297" t="s">
        <v>16</v>
      </c>
      <c r="C191" s="310" t="s">
        <v>886</v>
      </c>
      <c r="D191" s="177" t="s">
        <v>53</v>
      </c>
      <c r="E191" s="290">
        <f t="shared" si="10"/>
        <v>37.257033611505292</v>
      </c>
      <c r="F191" s="291">
        <v>11.6</v>
      </c>
      <c r="G191" s="291">
        <v>65.919104184755298</v>
      </c>
      <c r="H191" s="291">
        <v>39.404183624707755</v>
      </c>
      <c r="I191" s="291">
        <v>44.633989079358201</v>
      </c>
      <c r="J191" s="292">
        <v>36</v>
      </c>
      <c r="K191" s="292">
        <v>48.9</v>
      </c>
      <c r="L191" s="291">
        <f t="shared" si="11"/>
        <v>24.727891168705206</v>
      </c>
      <c r="M191" s="293"/>
    </row>
    <row r="192" spans="1:13" s="30" customFormat="1" x14ac:dyDescent="0.2">
      <c r="A192" s="294">
        <v>189</v>
      </c>
      <c r="B192" s="297" t="s">
        <v>16</v>
      </c>
      <c r="C192" s="310" t="s">
        <v>886</v>
      </c>
      <c r="D192" s="177" t="s">
        <v>129</v>
      </c>
      <c r="E192" s="290">
        <f t="shared" si="10"/>
        <v>35.902046517551334</v>
      </c>
      <c r="F192" s="291">
        <v>32.5</v>
      </c>
      <c r="G192" s="291">
        <v>78.827834544561199</v>
      </c>
      <c r="H192" s="291">
        <v>5.5608340149013502</v>
      </c>
      <c r="I192" s="291">
        <v>23.3351954904068</v>
      </c>
      <c r="J192" s="292">
        <v>20.399999999999999</v>
      </c>
      <c r="K192" s="292">
        <v>19.5</v>
      </c>
      <c r="L192" s="291">
        <f t="shared" si="11"/>
        <v>39.28636853788732</v>
      </c>
      <c r="M192" s="293"/>
    </row>
    <row r="193" spans="1:13" s="30" customFormat="1" x14ac:dyDescent="0.2">
      <c r="A193" s="294">
        <v>190</v>
      </c>
      <c r="B193" s="297" t="s">
        <v>16</v>
      </c>
      <c r="C193" s="310" t="s">
        <v>886</v>
      </c>
      <c r="D193" s="177" t="s">
        <v>52</v>
      </c>
      <c r="E193" s="290">
        <f t="shared" si="10"/>
        <v>34.778739936824465</v>
      </c>
      <c r="F193" s="291">
        <v>21.7</v>
      </c>
      <c r="G193" s="291">
        <v>49.998660010749703</v>
      </c>
      <c r="H193" s="291">
        <v>33.615875020535412</v>
      </c>
      <c r="I193" s="291">
        <v>31.796348593820301</v>
      </c>
      <c r="J193" s="292">
        <v>20.3</v>
      </c>
      <c r="K193" s="292">
        <v>25.2</v>
      </c>
      <c r="L193" s="291">
        <f t="shared" si="11"/>
        <v>36.782816059016874</v>
      </c>
      <c r="M193" s="293"/>
    </row>
    <row r="194" spans="1:13" s="30" customFormat="1" x14ac:dyDescent="0.2">
      <c r="A194" s="294">
        <v>191</v>
      </c>
      <c r="B194" s="297" t="s">
        <v>16</v>
      </c>
      <c r="C194" s="300" t="s">
        <v>21</v>
      </c>
      <c r="D194" s="177" t="s">
        <v>135</v>
      </c>
      <c r="E194" s="290">
        <f t="shared" si="10"/>
        <v>34.231081571138546</v>
      </c>
      <c r="F194" s="291">
        <v>39.4</v>
      </c>
      <c r="G194" s="291">
        <v>55.338960832125601</v>
      </c>
      <c r="H194" s="291">
        <v>37.175578486041147</v>
      </c>
      <c r="I194" s="291">
        <v>15.3671469967754</v>
      </c>
      <c r="J194" s="292">
        <v>41.7</v>
      </c>
      <c r="K194" s="292">
        <v>47</v>
      </c>
      <c r="L194" s="291">
        <f t="shared" si="11"/>
        <v>23.873721540750591</v>
      </c>
      <c r="M194" s="293"/>
    </row>
    <row r="195" spans="1:13" s="30" customFormat="1" x14ac:dyDescent="0.2">
      <c r="A195" s="294">
        <v>192</v>
      </c>
      <c r="B195" s="297" t="s">
        <v>16</v>
      </c>
      <c r="C195" s="310" t="s">
        <v>886</v>
      </c>
      <c r="D195" s="177" t="s">
        <v>184</v>
      </c>
      <c r="E195" s="290">
        <f t="shared" si="10"/>
        <v>34.219019561638518</v>
      </c>
      <c r="F195" s="291">
        <v>35.5</v>
      </c>
      <c r="G195" s="291">
        <v>68.079023806186896</v>
      </c>
      <c r="H195" s="291">
        <v>22.268143586966371</v>
      </c>
      <c r="I195" s="291">
        <v>24.9136362418086</v>
      </c>
      <c r="J195" s="292">
        <v>53</v>
      </c>
      <c r="K195" s="292">
        <v>53.3</v>
      </c>
      <c r="L195" s="291">
        <f t="shared" si="11"/>
        <v>20.334294173230706</v>
      </c>
      <c r="M195" s="293"/>
    </row>
    <row r="196" spans="1:13" s="30" customFormat="1" x14ac:dyDescent="0.2">
      <c r="A196" s="294">
        <v>193</v>
      </c>
      <c r="B196" s="297" t="s">
        <v>16</v>
      </c>
      <c r="C196" s="310" t="s">
        <v>886</v>
      </c>
      <c r="D196" s="177" t="s">
        <v>328</v>
      </c>
      <c r="E196" s="290">
        <f t="shared" ref="E196:E201" si="12">(F196+G196+H196+I196+L196)/5</f>
        <v>32.482721580486626</v>
      </c>
      <c r="F196" s="291">
        <v>22.1</v>
      </c>
      <c r="G196" s="291">
        <v>35.681361195225399</v>
      </c>
      <c r="H196" s="291">
        <v>36.455356697599548</v>
      </c>
      <c r="I196" s="291">
        <v>16.303312236893198</v>
      </c>
      <c r="J196" s="292">
        <v>9.9</v>
      </c>
      <c r="K196" s="292">
        <v>10.4</v>
      </c>
      <c r="L196" s="291">
        <f t="shared" ref="L196:L201" si="13">(1-((LN((AVERAGE(J196:K196))+1))/(LN(150))))*100</f>
        <v>51.873577772714995</v>
      </c>
      <c r="M196" s="293"/>
    </row>
    <row r="197" spans="1:13" s="30" customFormat="1" x14ac:dyDescent="0.2">
      <c r="A197" s="294">
        <v>194</v>
      </c>
      <c r="B197" s="304" t="s">
        <v>29</v>
      </c>
      <c r="C197" s="313" t="s">
        <v>85</v>
      </c>
      <c r="D197" s="177" t="s">
        <v>167</v>
      </c>
      <c r="E197" s="290">
        <f t="shared" si="12"/>
        <v>31.169662796114306</v>
      </c>
      <c r="F197" s="291">
        <v>20.5</v>
      </c>
      <c r="G197" s="291">
        <v>53.298484868618999</v>
      </c>
      <c r="H197" s="291">
        <v>17.706443645022588</v>
      </c>
      <c r="I197" s="291">
        <v>23.5743391458237</v>
      </c>
      <c r="J197" s="292">
        <v>12.9</v>
      </c>
      <c r="K197" s="292">
        <v>24</v>
      </c>
      <c r="L197" s="291">
        <f t="shared" si="13"/>
        <v>40.769046321106238</v>
      </c>
      <c r="M197" s="293"/>
    </row>
    <row r="198" spans="1:13" s="30" customFormat="1" x14ac:dyDescent="0.2">
      <c r="A198" s="294">
        <v>195</v>
      </c>
      <c r="B198" s="297" t="s">
        <v>16</v>
      </c>
      <c r="C198" s="310" t="s">
        <v>886</v>
      </c>
      <c r="D198" s="177" t="s">
        <v>158</v>
      </c>
      <c r="E198" s="290">
        <f t="shared" si="12"/>
        <v>30.815450902939023</v>
      </c>
      <c r="F198" s="291">
        <v>20.100000000000001</v>
      </c>
      <c r="G198" s="291">
        <v>53.427465628617597</v>
      </c>
      <c r="H198" s="291">
        <v>46.435847032550157</v>
      </c>
      <c r="I198" s="291">
        <v>16.336047650863001</v>
      </c>
      <c r="J198" s="292">
        <v>63.2</v>
      </c>
      <c r="K198" s="292">
        <v>57.9</v>
      </c>
      <c r="L198" s="291">
        <f t="shared" si="13"/>
        <v>17.777894202664367</v>
      </c>
      <c r="M198" s="293"/>
    </row>
    <row r="199" spans="1:13" s="30" customFormat="1" x14ac:dyDescent="0.2">
      <c r="A199" s="294">
        <v>196</v>
      </c>
      <c r="B199" s="297" t="s">
        <v>16</v>
      </c>
      <c r="C199" s="310" t="s">
        <v>886</v>
      </c>
      <c r="D199" s="177" t="s">
        <v>60</v>
      </c>
      <c r="E199" s="290">
        <f t="shared" si="12"/>
        <v>19.292672421627856</v>
      </c>
      <c r="F199" s="291">
        <v>12</v>
      </c>
      <c r="G199" s="291">
        <v>52.2090525523694</v>
      </c>
      <c r="H199" s="291">
        <v>17.03220557208385</v>
      </c>
      <c r="I199" s="291">
        <v>13.1415290614475</v>
      </c>
      <c r="J199" s="292">
        <v>151.69999999999999</v>
      </c>
      <c r="K199" s="292">
        <v>116.6</v>
      </c>
      <c r="L199" s="291">
        <f t="shared" si="13"/>
        <v>2.0805749222385206</v>
      </c>
      <c r="M199" s="293"/>
    </row>
    <row r="200" spans="1:13" s="30" customFormat="1" x14ac:dyDescent="0.2">
      <c r="A200" s="294">
        <v>197</v>
      </c>
      <c r="B200" s="297" t="s">
        <v>16</v>
      </c>
      <c r="C200" s="310" t="s">
        <v>886</v>
      </c>
      <c r="D200" s="177" t="s">
        <v>59</v>
      </c>
      <c r="E200" s="290">
        <f t="shared" si="12"/>
        <v>18.153438279705881</v>
      </c>
      <c r="F200" s="291">
        <v>17.600000000000001</v>
      </c>
      <c r="G200" s="291">
        <v>36.5040268237207</v>
      </c>
      <c r="H200" s="291">
        <v>14.11121909864193</v>
      </c>
      <c r="I200" s="291">
        <v>14.036283898032501</v>
      </c>
      <c r="J200" s="292">
        <v>108.1</v>
      </c>
      <c r="K200" s="292">
        <v>85.7</v>
      </c>
      <c r="L200" s="291">
        <f t="shared" si="13"/>
        <v>8.5156615781342921</v>
      </c>
      <c r="M200" s="293"/>
    </row>
    <row r="201" spans="1:13" s="30" customFormat="1" x14ac:dyDescent="0.2">
      <c r="A201" s="294">
        <v>198</v>
      </c>
      <c r="B201" s="297" t="s">
        <v>16</v>
      </c>
      <c r="C201" s="300" t="s">
        <v>21</v>
      </c>
      <c r="D201" s="177" t="s">
        <v>191</v>
      </c>
      <c r="E201" s="290">
        <f t="shared" si="12"/>
        <v>14.763394240729408</v>
      </c>
      <c r="F201" s="291">
        <v>5.4</v>
      </c>
      <c r="G201" s="291">
        <v>39.7494391327564</v>
      </c>
      <c r="H201" s="291">
        <v>7.187348743612616</v>
      </c>
      <c r="I201" s="291">
        <v>14.4282401482886</v>
      </c>
      <c r="J201" s="292">
        <v>97.1</v>
      </c>
      <c r="K201" s="292">
        <v>111.6</v>
      </c>
      <c r="L201" s="291">
        <f t="shared" si="13"/>
        <v>7.0519431789894282</v>
      </c>
      <c r="M201" s="293"/>
    </row>
    <row r="202" spans="1:13" ht="4.5" customHeight="1" x14ac:dyDescent="0.25">
      <c r="A202" s="318"/>
      <c r="B202" s="319"/>
      <c r="C202" s="319"/>
      <c r="D202" s="320"/>
      <c r="E202" s="321"/>
      <c r="F202" s="322"/>
      <c r="G202" s="322"/>
      <c r="H202" s="322"/>
      <c r="I202" s="322"/>
      <c r="J202" s="319"/>
      <c r="K202" s="323"/>
      <c r="L202" s="1"/>
      <c r="M202" s="1"/>
    </row>
    <row r="203" spans="1:13" ht="15" customHeight="1" x14ac:dyDescent="0.25">
      <c r="B203" s="508" t="s">
        <v>1069</v>
      </c>
      <c r="C203" s="508"/>
      <c r="D203" s="508"/>
      <c r="E203" s="508"/>
      <c r="F203" s="508"/>
      <c r="G203" s="508"/>
      <c r="H203" s="508"/>
      <c r="I203" s="508"/>
      <c r="J203" s="508"/>
      <c r="K203" s="508"/>
      <c r="L203" s="508"/>
      <c r="M203" s="508"/>
    </row>
    <row r="204" spans="1:13" x14ac:dyDescent="0.25">
      <c r="B204" s="508"/>
      <c r="C204" s="508"/>
      <c r="D204" s="508"/>
      <c r="E204" s="508"/>
      <c r="F204" s="508"/>
      <c r="G204" s="508"/>
      <c r="H204" s="508"/>
      <c r="I204" s="508"/>
      <c r="J204" s="508"/>
      <c r="K204" s="508"/>
      <c r="L204" s="508"/>
      <c r="M204" s="508"/>
    </row>
    <row r="205" spans="1:13" x14ac:dyDescent="0.25">
      <c r="B205" s="508"/>
      <c r="C205" s="508"/>
      <c r="D205" s="508"/>
      <c r="E205" s="508"/>
      <c r="F205" s="508"/>
      <c r="G205" s="508"/>
      <c r="H205" s="508"/>
      <c r="I205" s="508"/>
      <c r="J205" s="508"/>
      <c r="K205" s="508"/>
      <c r="L205" s="508"/>
      <c r="M205" s="508"/>
    </row>
    <row r="206" spans="1:13" x14ac:dyDescent="0.25">
      <c r="B206" s="508"/>
      <c r="C206" s="508"/>
      <c r="D206" s="508"/>
      <c r="E206" s="508"/>
      <c r="F206" s="508"/>
      <c r="G206" s="508"/>
      <c r="H206" s="508"/>
      <c r="I206" s="508"/>
      <c r="J206" s="508"/>
      <c r="K206" s="508"/>
      <c r="L206" s="508"/>
      <c r="M206" s="508"/>
    </row>
    <row r="207" spans="1:13" x14ac:dyDescent="0.25">
      <c r="B207" s="508"/>
      <c r="C207" s="508"/>
      <c r="D207" s="508"/>
      <c r="E207" s="508"/>
      <c r="F207" s="508"/>
      <c r="G207" s="508"/>
      <c r="H207" s="508"/>
      <c r="I207" s="508"/>
      <c r="J207" s="508"/>
      <c r="K207" s="508"/>
      <c r="L207" s="508"/>
      <c r="M207" s="508"/>
    </row>
    <row r="208" spans="1:13" x14ac:dyDescent="0.25">
      <c r="B208" s="508"/>
      <c r="C208" s="508"/>
      <c r="D208" s="508"/>
      <c r="E208" s="508"/>
      <c r="F208" s="508"/>
      <c r="G208" s="508"/>
      <c r="H208" s="508"/>
      <c r="I208" s="508"/>
      <c r="J208" s="508"/>
      <c r="K208" s="508"/>
      <c r="L208" s="508"/>
      <c r="M208" s="508"/>
    </row>
    <row r="209" spans="2:13" x14ac:dyDescent="0.25">
      <c r="B209" s="508"/>
      <c r="C209" s="508"/>
      <c r="D209" s="508"/>
      <c r="E209" s="508"/>
      <c r="F209" s="508"/>
      <c r="G209" s="508"/>
      <c r="H209" s="508"/>
      <c r="I209" s="508"/>
      <c r="J209" s="508"/>
      <c r="K209" s="508"/>
      <c r="L209" s="508"/>
      <c r="M209" s="508"/>
    </row>
    <row r="210" spans="2:13" x14ac:dyDescent="0.25">
      <c r="B210" s="508"/>
      <c r="C210" s="508"/>
      <c r="D210" s="508"/>
      <c r="E210" s="508"/>
      <c r="F210" s="508"/>
      <c r="G210" s="508"/>
      <c r="H210" s="508"/>
      <c r="I210" s="508"/>
      <c r="J210" s="508"/>
      <c r="K210" s="508"/>
      <c r="L210" s="508"/>
      <c r="M210" s="508"/>
    </row>
    <row r="211" spans="2:13" x14ac:dyDescent="0.25">
      <c r="B211" s="508"/>
      <c r="C211" s="508"/>
      <c r="D211" s="508"/>
      <c r="E211" s="508"/>
      <c r="F211" s="508"/>
      <c r="G211" s="508"/>
      <c r="H211" s="508"/>
      <c r="I211" s="508"/>
      <c r="J211" s="508"/>
      <c r="K211" s="508"/>
      <c r="L211" s="508"/>
      <c r="M211" s="508"/>
    </row>
    <row r="212" spans="2:13" x14ac:dyDescent="0.25">
      <c r="B212" s="508"/>
      <c r="C212" s="508"/>
      <c r="D212" s="508"/>
      <c r="E212" s="508"/>
      <c r="F212" s="508"/>
      <c r="G212" s="508"/>
      <c r="H212" s="508"/>
      <c r="I212" s="508"/>
      <c r="J212" s="508"/>
      <c r="K212" s="508"/>
      <c r="L212" s="508"/>
      <c r="M212" s="508"/>
    </row>
    <row r="213" spans="2:13" x14ac:dyDescent="0.25">
      <c r="B213" s="508"/>
      <c r="C213" s="508"/>
      <c r="D213" s="508"/>
      <c r="E213" s="508"/>
      <c r="F213" s="508"/>
      <c r="G213" s="508"/>
      <c r="H213" s="508"/>
      <c r="I213" s="508"/>
      <c r="J213" s="508"/>
      <c r="K213" s="508"/>
      <c r="L213" s="508"/>
      <c r="M213" s="508"/>
    </row>
    <row r="214" spans="2:13" x14ac:dyDescent="0.25">
      <c r="B214" s="508"/>
      <c r="C214" s="508"/>
      <c r="D214" s="508"/>
      <c r="E214" s="508"/>
      <c r="F214" s="508"/>
      <c r="G214" s="508"/>
      <c r="H214" s="508"/>
      <c r="I214" s="508"/>
      <c r="J214" s="508"/>
      <c r="K214" s="508"/>
      <c r="L214" s="508"/>
      <c r="M214" s="508"/>
    </row>
    <row r="215" spans="2:13" x14ac:dyDescent="0.25">
      <c r="B215" s="508"/>
      <c r="C215" s="508"/>
      <c r="D215" s="508"/>
      <c r="E215" s="508"/>
      <c r="F215" s="508"/>
      <c r="G215" s="508"/>
      <c r="H215" s="508"/>
      <c r="I215" s="508"/>
      <c r="J215" s="508"/>
      <c r="K215" s="508"/>
      <c r="L215" s="508"/>
      <c r="M215" s="508"/>
    </row>
    <row r="216" spans="2:13" x14ac:dyDescent="0.25">
      <c r="B216" s="508"/>
      <c r="C216" s="508"/>
      <c r="D216" s="508"/>
      <c r="E216" s="508"/>
      <c r="F216" s="508"/>
      <c r="G216" s="508"/>
      <c r="H216" s="508"/>
      <c r="I216" s="508"/>
      <c r="J216" s="508"/>
      <c r="K216" s="508"/>
      <c r="L216" s="508"/>
      <c r="M216" s="508"/>
    </row>
    <row r="217" spans="2:13" x14ac:dyDescent="0.25">
      <c r="B217" s="508"/>
      <c r="C217" s="508"/>
      <c r="D217" s="508"/>
      <c r="E217" s="508"/>
      <c r="F217" s="508"/>
      <c r="G217" s="508"/>
      <c r="H217" s="508"/>
      <c r="I217" s="508"/>
      <c r="J217" s="508"/>
      <c r="K217" s="508"/>
      <c r="L217" s="508"/>
      <c r="M217" s="508"/>
    </row>
    <row r="218" spans="2:13" x14ac:dyDescent="0.25">
      <c r="B218" s="508"/>
      <c r="C218" s="508"/>
      <c r="D218" s="508"/>
      <c r="E218" s="508"/>
      <c r="F218" s="508"/>
      <c r="G218" s="508"/>
      <c r="H218" s="508"/>
      <c r="I218" s="508"/>
      <c r="J218" s="508"/>
      <c r="K218" s="508"/>
      <c r="L218" s="508"/>
      <c r="M218" s="508"/>
    </row>
    <row r="219" spans="2:13" x14ac:dyDescent="0.25">
      <c r="B219" s="508"/>
      <c r="C219" s="508"/>
      <c r="D219" s="508"/>
      <c r="E219" s="508"/>
      <c r="F219" s="508"/>
      <c r="G219" s="508"/>
      <c r="H219" s="508"/>
      <c r="I219" s="508"/>
      <c r="J219" s="508"/>
      <c r="K219" s="508"/>
      <c r="L219" s="508"/>
      <c r="M219" s="508"/>
    </row>
    <row r="220" spans="2:13" x14ac:dyDescent="0.25">
      <c r="B220" s="508"/>
      <c r="C220" s="508"/>
      <c r="D220" s="508"/>
      <c r="E220" s="508"/>
      <c r="F220" s="508"/>
      <c r="G220" s="508"/>
      <c r="H220" s="508"/>
      <c r="I220" s="508"/>
      <c r="J220" s="508"/>
      <c r="K220" s="508"/>
      <c r="L220" s="508"/>
      <c r="M220" s="508"/>
    </row>
    <row r="221" spans="2:13" x14ac:dyDescent="0.25">
      <c r="B221" s="508"/>
      <c r="C221" s="508"/>
      <c r="D221" s="508"/>
      <c r="E221" s="508"/>
      <c r="F221" s="508"/>
      <c r="G221" s="508"/>
      <c r="H221" s="508"/>
      <c r="I221" s="508"/>
      <c r="J221" s="508"/>
      <c r="K221" s="508"/>
      <c r="L221" s="508"/>
      <c r="M221" s="508"/>
    </row>
    <row r="222" spans="2:13" x14ac:dyDescent="0.25">
      <c r="B222" s="508"/>
      <c r="C222" s="508"/>
      <c r="D222" s="508"/>
      <c r="E222" s="508"/>
      <c r="F222" s="508"/>
      <c r="G222" s="508"/>
      <c r="H222" s="508"/>
      <c r="I222" s="508"/>
      <c r="J222" s="508"/>
      <c r="K222" s="508"/>
      <c r="L222" s="508"/>
      <c r="M222" s="508"/>
    </row>
    <row r="223" spans="2:13" x14ac:dyDescent="0.25">
      <c r="B223" s="508"/>
      <c r="C223" s="508"/>
      <c r="D223" s="508"/>
      <c r="E223" s="508"/>
      <c r="F223" s="508"/>
      <c r="G223" s="508"/>
      <c r="H223" s="508"/>
      <c r="I223" s="508"/>
      <c r="J223" s="508"/>
      <c r="K223" s="508"/>
      <c r="L223" s="508"/>
      <c r="M223" s="508"/>
    </row>
    <row r="224" spans="2:13" ht="17.25" customHeight="1" x14ac:dyDescent="0.25">
      <c r="B224" s="508"/>
      <c r="C224" s="508"/>
      <c r="D224" s="508"/>
      <c r="E224" s="508"/>
      <c r="F224" s="508"/>
      <c r="G224" s="508"/>
      <c r="H224" s="508"/>
      <c r="I224" s="508"/>
      <c r="J224" s="508"/>
      <c r="K224" s="508"/>
      <c r="L224" s="508"/>
      <c r="M224" s="508"/>
    </row>
    <row r="225" spans="2:13" x14ac:dyDescent="0.25">
      <c r="B225" s="508"/>
      <c r="C225" s="508"/>
      <c r="D225" s="508"/>
      <c r="E225" s="508"/>
      <c r="F225" s="508"/>
      <c r="G225" s="508"/>
      <c r="H225" s="508"/>
      <c r="I225" s="508"/>
      <c r="J225" s="508"/>
      <c r="K225" s="508"/>
      <c r="L225" s="508"/>
      <c r="M225" s="508"/>
    </row>
    <row r="226" spans="2:13" x14ac:dyDescent="0.25">
      <c r="B226" s="508"/>
      <c r="C226" s="508"/>
      <c r="D226" s="508"/>
      <c r="E226" s="508"/>
      <c r="F226" s="508"/>
      <c r="G226" s="508"/>
      <c r="H226" s="508"/>
      <c r="I226" s="508"/>
      <c r="J226" s="508"/>
      <c r="K226" s="508"/>
      <c r="L226" s="508"/>
      <c r="M226" s="508"/>
    </row>
    <row r="227" spans="2:13" x14ac:dyDescent="0.25">
      <c r="B227" s="508"/>
      <c r="C227" s="508"/>
      <c r="D227" s="508"/>
      <c r="E227" s="508"/>
      <c r="F227" s="508"/>
      <c r="G227" s="508"/>
      <c r="H227" s="508"/>
      <c r="I227" s="508"/>
      <c r="J227" s="508"/>
      <c r="K227" s="508"/>
      <c r="L227" s="508"/>
      <c r="M227" s="508"/>
    </row>
    <row r="228" spans="2:13" x14ac:dyDescent="0.25">
      <c r="B228" s="508"/>
      <c r="C228" s="508"/>
      <c r="D228" s="508"/>
      <c r="E228" s="508"/>
      <c r="F228" s="508"/>
      <c r="G228" s="508"/>
      <c r="H228" s="508"/>
      <c r="I228" s="508"/>
      <c r="J228" s="508"/>
      <c r="K228" s="508"/>
      <c r="L228" s="508"/>
      <c r="M228" s="508"/>
    </row>
    <row r="229" spans="2:13" x14ac:dyDescent="0.25">
      <c r="B229" s="508"/>
      <c r="C229" s="508"/>
      <c r="D229" s="508"/>
      <c r="E229" s="508"/>
      <c r="F229" s="508"/>
      <c r="G229" s="508"/>
      <c r="H229" s="508"/>
      <c r="I229" s="508"/>
      <c r="J229" s="508"/>
      <c r="K229" s="508"/>
      <c r="L229" s="508"/>
      <c r="M229" s="508"/>
    </row>
    <row r="230" spans="2:13" x14ac:dyDescent="0.25">
      <c r="B230" s="508"/>
      <c r="C230" s="508"/>
      <c r="D230" s="508"/>
      <c r="E230" s="508"/>
      <c r="F230" s="508"/>
      <c r="G230" s="508"/>
      <c r="H230" s="508"/>
      <c r="I230" s="508"/>
      <c r="J230" s="508"/>
      <c r="K230" s="508"/>
      <c r="L230" s="508"/>
      <c r="M230" s="508"/>
    </row>
    <row r="231" spans="2:13" x14ac:dyDescent="0.25">
      <c r="B231" s="508"/>
      <c r="C231" s="508"/>
      <c r="D231" s="508"/>
      <c r="E231" s="508"/>
      <c r="F231" s="508"/>
      <c r="G231" s="508"/>
      <c r="H231" s="508"/>
      <c r="I231" s="508"/>
      <c r="J231" s="508"/>
      <c r="K231" s="508"/>
      <c r="L231" s="508"/>
      <c r="M231" s="508"/>
    </row>
    <row r="232" spans="2:13" x14ac:dyDescent="0.25">
      <c r="B232" s="508"/>
      <c r="C232" s="508"/>
      <c r="D232" s="508"/>
      <c r="E232" s="508"/>
      <c r="F232" s="508"/>
      <c r="G232" s="508"/>
      <c r="H232" s="508"/>
      <c r="I232" s="508"/>
      <c r="J232" s="508"/>
      <c r="K232" s="508"/>
      <c r="L232" s="508"/>
      <c r="M232" s="508"/>
    </row>
    <row r="233" spans="2:13" x14ac:dyDescent="0.25">
      <c r="B233" s="508"/>
      <c r="C233" s="508"/>
      <c r="D233" s="508"/>
      <c r="E233" s="508"/>
      <c r="F233" s="508"/>
      <c r="G233" s="508"/>
      <c r="H233" s="508"/>
      <c r="I233" s="508"/>
      <c r="J233" s="508"/>
      <c r="K233" s="508"/>
      <c r="L233" s="508"/>
      <c r="M233" s="508"/>
    </row>
    <row r="234" spans="2:13" x14ac:dyDescent="0.25">
      <c r="B234" s="508"/>
      <c r="C234" s="508"/>
      <c r="D234" s="508"/>
      <c r="E234" s="508"/>
      <c r="F234" s="508"/>
      <c r="G234" s="508"/>
      <c r="H234" s="508"/>
      <c r="I234" s="508"/>
      <c r="J234" s="508"/>
      <c r="K234" s="508"/>
      <c r="L234" s="508"/>
      <c r="M234" s="508"/>
    </row>
    <row r="235" spans="2:13" x14ac:dyDescent="0.25">
      <c r="B235" s="508"/>
      <c r="C235" s="508"/>
      <c r="D235" s="508"/>
      <c r="E235" s="508"/>
      <c r="F235" s="508"/>
      <c r="G235" s="508"/>
      <c r="H235" s="508"/>
      <c r="I235" s="508"/>
      <c r="J235" s="508"/>
      <c r="K235" s="508"/>
      <c r="L235" s="508"/>
      <c r="M235" s="508"/>
    </row>
    <row r="236" spans="2:13" x14ac:dyDescent="0.25">
      <c r="B236" s="508"/>
      <c r="C236" s="508"/>
      <c r="D236" s="508"/>
      <c r="E236" s="508"/>
      <c r="F236" s="508"/>
      <c r="G236" s="508"/>
      <c r="H236" s="508"/>
      <c r="I236" s="508"/>
      <c r="J236" s="508"/>
      <c r="K236" s="508"/>
      <c r="L236" s="508"/>
      <c r="M236" s="508"/>
    </row>
    <row r="237" spans="2:13" x14ac:dyDescent="0.25">
      <c r="B237" s="508"/>
      <c r="C237" s="508"/>
      <c r="D237" s="508"/>
      <c r="E237" s="508"/>
      <c r="F237" s="508"/>
      <c r="G237" s="508"/>
      <c r="H237" s="508"/>
      <c r="I237" s="508"/>
      <c r="J237" s="508"/>
      <c r="K237" s="508"/>
      <c r="L237" s="508"/>
      <c r="M237" s="508"/>
    </row>
    <row r="238" spans="2:13" x14ac:dyDescent="0.25">
      <c r="B238" s="508"/>
      <c r="C238" s="508"/>
      <c r="D238" s="508"/>
      <c r="E238" s="508"/>
      <c r="F238" s="508"/>
      <c r="G238" s="508"/>
      <c r="H238" s="508"/>
      <c r="I238" s="508"/>
      <c r="J238" s="508"/>
      <c r="K238" s="508"/>
      <c r="L238" s="508"/>
      <c r="M238" s="508"/>
    </row>
    <row r="239" spans="2:13" x14ac:dyDescent="0.25">
      <c r="B239" s="508"/>
      <c r="C239" s="508"/>
      <c r="D239" s="508"/>
      <c r="E239" s="508"/>
      <c r="F239" s="508"/>
      <c r="G239" s="508"/>
      <c r="H239" s="508"/>
      <c r="I239" s="508"/>
      <c r="J239" s="508"/>
      <c r="K239" s="508"/>
      <c r="L239" s="508"/>
      <c r="M239" s="508"/>
    </row>
    <row r="240" spans="2:13" x14ac:dyDescent="0.25">
      <c r="B240" s="508"/>
      <c r="C240" s="508"/>
      <c r="D240" s="508"/>
      <c r="E240" s="508"/>
      <c r="F240" s="508"/>
      <c r="G240" s="508"/>
      <c r="H240" s="508"/>
      <c r="I240" s="508"/>
      <c r="J240" s="508"/>
      <c r="K240" s="508"/>
      <c r="L240" s="508"/>
      <c r="M240" s="508"/>
    </row>
    <row r="241" spans="2:13" x14ac:dyDescent="0.25">
      <c r="B241" s="508"/>
      <c r="C241" s="508"/>
      <c r="D241" s="508"/>
      <c r="E241" s="508"/>
      <c r="F241" s="508"/>
      <c r="G241" s="508"/>
      <c r="H241" s="508"/>
      <c r="I241" s="508"/>
      <c r="J241" s="508"/>
      <c r="K241" s="508"/>
      <c r="L241" s="508"/>
      <c r="M241" s="508"/>
    </row>
    <row r="242" spans="2:13" x14ac:dyDescent="0.25">
      <c r="B242" s="508"/>
      <c r="C242" s="508"/>
      <c r="D242" s="508"/>
      <c r="E242" s="508"/>
      <c r="F242" s="508"/>
      <c r="G242" s="508"/>
      <c r="H242" s="508"/>
      <c r="I242" s="508"/>
      <c r="J242" s="508"/>
      <c r="K242" s="508"/>
      <c r="L242" s="508"/>
      <c r="M242" s="508"/>
    </row>
    <row r="243" spans="2:13" x14ac:dyDescent="0.25">
      <c r="B243" s="508"/>
      <c r="C243" s="508"/>
      <c r="D243" s="508"/>
      <c r="E243" s="508"/>
      <c r="F243" s="508"/>
      <c r="G243" s="508"/>
      <c r="H243" s="508"/>
      <c r="I243" s="508"/>
      <c r="J243" s="508"/>
      <c r="K243" s="508"/>
      <c r="L243" s="508"/>
      <c r="M243" s="508"/>
    </row>
    <row r="244" spans="2:13" x14ac:dyDescent="0.25">
      <c r="B244" s="508"/>
      <c r="C244" s="508"/>
      <c r="D244" s="508"/>
      <c r="E244" s="508"/>
      <c r="F244" s="508"/>
      <c r="G244" s="508"/>
      <c r="H244" s="508"/>
      <c r="I244" s="508"/>
      <c r="J244" s="508"/>
      <c r="K244" s="508"/>
      <c r="L244" s="508"/>
      <c r="M244" s="508"/>
    </row>
    <row r="245" spans="2:13" x14ac:dyDescent="0.25">
      <c r="B245" s="508"/>
      <c r="C245" s="508"/>
      <c r="D245" s="508"/>
      <c r="E245" s="508"/>
      <c r="F245" s="508"/>
      <c r="G245" s="508"/>
      <c r="H245" s="508"/>
      <c r="I245" s="508"/>
      <c r="J245" s="508"/>
      <c r="K245" s="508"/>
      <c r="L245" s="508"/>
      <c r="M245" s="508"/>
    </row>
    <row r="246" spans="2:13" x14ac:dyDescent="0.25">
      <c r="B246" s="508"/>
      <c r="C246" s="508"/>
      <c r="D246" s="508"/>
      <c r="E246" s="508"/>
      <c r="F246" s="508"/>
      <c r="G246" s="508"/>
      <c r="H246" s="508"/>
      <c r="I246" s="508"/>
      <c r="J246" s="508"/>
      <c r="K246" s="508"/>
      <c r="L246" s="508"/>
      <c r="M246" s="508"/>
    </row>
    <row r="247" spans="2:13" x14ac:dyDescent="0.25">
      <c r="B247" s="508"/>
      <c r="C247" s="508"/>
      <c r="D247" s="508"/>
      <c r="E247" s="508"/>
      <c r="F247" s="508"/>
      <c r="G247" s="508"/>
      <c r="H247" s="508"/>
      <c r="I247" s="508"/>
      <c r="J247" s="508"/>
      <c r="K247" s="508"/>
      <c r="L247" s="508"/>
      <c r="M247" s="508"/>
    </row>
    <row r="248" spans="2:13" x14ac:dyDescent="0.25">
      <c r="B248" s="508"/>
      <c r="C248" s="508"/>
      <c r="D248" s="508"/>
      <c r="E248" s="508"/>
      <c r="F248" s="508"/>
      <c r="G248" s="508"/>
      <c r="H248" s="508"/>
      <c r="I248" s="508"/>
      <c r="J248" s="508"/>
      <c r="K248" s="508"/>
      <c r="L248" s="508"/>
      <c r="M248" s="508"/>
    </row>
    <row r="249" spans="2:13" x14ac:dyDescent="0.25">
      <c r="B249" s="508"/>
      <c r="C249" s="508"/>
      <c r="D249" s="508"/>
      <c r="E249" s="508"/>
      <c r="F249" s="508"/>
      <c r="G249" s="508"/>
      <c r="H249" s="508"/>
      <c r="I249" s="508"/>
      <c r="J249" s="508"/>
      <c r="K249" s="508"/>
      <c r="L249" s="508"/>
      <c r="M249" s="508"/>
    </row>
    <row r="250" spans="2:13" x14ac:dyDescent="0.25">
      <c r="B250" s="508"/>
      <c r="C250" s="508"/>
      <c r="D250" s="508"/>
      <c r="E250" s="508"/>
      <c r="F250" s="508"/>
      <c r="G250" s="508"/>
      <c r="H250" s="508"/>
      <c r="I250" s="508"/>
      <c r="J250" s="508"/>
      <c r="K250" s="508"/>
      <c r="L250" s="508"/>
      <c r="M250" s="508"/>
    </row>
    <row r="251" spans="2:13" x14ac:dyDescent="0.25">
      <c r="B251" s="508"/>
      <c r="C251" s="508"/>
      <c r="D251" s="508"/>
      <c r="E251" s="508"/>
      <c r="F251" s="508"/>
      <c r="G251" s="508"/>
      <c r="H251" s="508"/>
      <c r="I251" s="508"/>
      <c r="J251" s="508"/>
      <c r="K251" s="508"/>
      <c r="L251" s="508"/>
      <c r="M251" s="508"/>
    </row>
    <row r="252" spans="2:13" x14ac:dyDescent="0.25">
      <c r="B252" s="508"/>
      <c r="C252" s="508"/>
      <c r="D252" s="508"/>
      <c r="E252" s="508"/>
      <c r="F252" s="508"/>
      <c r="G252" s="508"/>
      <c r="H252" s="508"/>
      <c r="I252" s="508"/>
      <c r="J252" s="508"/>
      <c r="K252" s="508"/>
      <c r="L252" s="508"/>
      <c r="M252" s="508"/>
    </row>
    <row r="253" spans="2:13" x14ac:dyDescent="0.25">
      <c r="B253" s="508"/>
      <c r="C253" s="508"/>
      <c r="D253" s="508"/>
      <c r="E253" s="508"/>
      <c r="F253" s="508"/>
      <c r="G253" s="508"/>
      <c r="H253" s="508"/>
      <c r="I253" s="508"/>
      <c r="J253" s="508"/>
      <c r="K253" s="508"/>
      <c r="L253" s="508"/>
      <c r="M253" s="508"/>
    </row>
    <row r="254" spans="2:13" x14ac:dyDescent="0.25">
      <c r="B254" s="508"/>
      <c r="C254" s="508"/>
      <c r="D254" s="508"/>
      <c r="E254" s="508"/>
      <c r="F254" s="508"/>
      <c r="G254" s="508"/>
      <c r="H254" s="508"/>
      <c r="I254" s="508"/>
      <c r="J254" s="508"/>
      <c r="K254" s="508"/>
      <c r="L254" s="508"/>
      <c r="M254" s="508"/>
    </row>
    <row r="255" spans="2:13" x14ac:dyDescent="0.25">
      <c r="B255" s="508"/>
      <c r="C255" s="508"/>
      <c r="D255" s="508"/>
      <c r="E255" s="508"/>
      <c r="F255" s="508"/>
      <c r="G255" s="508"/>
      <c r="H255" s="508"/>
      <c r="I255" s="508"/>
      <c r="J255" s="508"/>
      <c r="K255" s="508"/>
      <c r="L255" s="508"/>
      <c r="M255" s="508"/>
    </row>
    <row r="256" spans="2:13" x14ac:dyDescent="0.25">
      <c r="B256" s="508"/>
      <c r="C256" s="508"/>
      <c r="D256" s="508"/>
      <c r="E256" s="508"/>
      <c r="F256" s="508"/>
      <c r="G256" s="508"/>
      <c r="H256" s="508"/>
      <c r="I256" s="508"/>
      <c r="J256" s="508"/>
      <c r="K256" s="508"/>
      <c r="L256" s="508"/>
      <c r="M256" s="508"/>
    </row>
    <row r="257" spans="2:13" x14ac:dyDescent="0.25">
      <c r="B257" s="508"/>
      <c r="C257" s="508"/>
      <c r="D257" s="508"/>
      <c r="E257" s="508"/>
      <c r="F257" s="508"/>
      <c r="G257" s="508"/>
      <c r="H257" s="508"/>
      <c r="I257" s="508"/>
      <c r="J257" s="508"/>
      <c r="K257" s="508"/>
      <c r="L257" s="508"/>
      <c r="M257" s="508"/>
    </row>
    <row r="258" spans="2:13" x14ac:dyDescent="0.25">
      <c r="B258" s="508"/>
      <c r="C258" s="508"/>
      <c r="D258" s="508"/>
      <c r="E258" s="508"/>
      <c r="F258" s="508"/>
      <c r="G258" s="508"/>
      <c r="H258" s="508"/>
      <c r="I258" s="508"/>
      <c r="J258" s="508"/>
      <c r="K258" s="508"/>
      <c r="L258" s="508"/>
      <c r="M258" s="508"/>
    </row>
    <row r="259" spans="2:13" x14ac:dyDescent="0.25">
      <c r="B259" s="508"/>
      <c r="C259" s="508"/>
      <c r="D259" s="508"/>
      <c r="E259" s="508"/>
      <c r="F259" s="508"/>
      <c r="G259" s="508"/>
      <c r="H259" s="508"/>
      <c r="I259" s="508"/>
      <c r="J259" s="508"/>
      <c r="K259" s="508"/>
      <c r="L259" s="508"/>
      <c r="M259" s="508"/>
    </row>
    <row r="260" spans="2:13" x14ac:dyDescent="0.25">
      <c r="B260" s="508"/>
      <c r="C260" s="508"/>
      <c r="D260" s="508"/>
      <c r="E260" s="508"/>
      <c r="F260" s="508"/>
      <c r="G260" s="508"/>
      <c r="H260" s="508"/>
      <c r="I260" s="508"/>
      <c r="J260" s="508"/>
      <c r="K260" s="508"/>
      <c r="L260" s="508"/>
      <c r="M260" s="508"/>
    </row>
    <row r="261" spans="2:13" x14ac:dyDescent="0.25">
      <c r="B261" s="50"/>
      <c r="C261" s="50"/>
      <c r="D261" s="50"/>
      <c r="E261" s="50"/>
      <c r="F261" s="50"/>
      <c r="G261" s="50"/>
      <c r="H261" s="50"/>
      <c r="I261" s="50"/>
      <c r="J261" s="50"/>
      <c r="K261" s="50"/>
      <c r="L261" s="50"/>
      <c r="M261" s="50"/>
    </row>
    <row r="262" spans="2:13" x14ac:dyDescent="0.25">
      <c r="B262" s="50"/>
      <c r="C262" s="50"/>
      <c r="D262" s="50"/>
      <c r="E262" s="50"/>
      <c r="F262" s="50"/>
      <c r="G262" s="50"/>
      <c r="H262" s="50"/>
      <c r="I262" s="50"/>
      <c r="J262" s="50"/>
      <c r="K262" s="50"/>
      <c r="L262" s="50"/>
      <c r="M262" s="50"/>
    </row>
    <row r="263" spans="2:13" x14ac:dyDescent="0.25">
      <c r="B263" s="50"/>
      <c r="C263" s="50"/>
      <c r="D263" s="50"/>
      <c r="E263" s="50"/>
      <c r="F263" s="50"/>
      <c r="G263" s="50"/>
      <c r="H263" s="50"/>
      <c r="I263" s="50"/>
      <c r="J263" s="50"/>
      <c r="K263" s="50"/>
      <c r="L263" s="50"/>
      <c r="M263" s="50"/>
    </row>
    <row r="264" spans="2:13" x14ac:dyDescent="0.25">
      <c r="B264" s="50"/>
      <c r="C264" s="50"/>
      <c r="D264" s="50"/>
      <c r="E264" s="50"/>
      <c r="F264" s="50"/>
      <c r="G264" s="50"/>
      <c r="H264" s="50"/>
      <c r="I264" s="50"/>
      <c r="J264" s="50"/>
      <c r="K264" s="50"/>
      <c r="L264" s="50"/>
      <c r="M264" s="50"/>
    </row>
    <row r="265" spans="2:13" x14ac:dyDescent="0.25">
      <c r="B265" s="50"/>
      <c r="C265" s="50"/>
      <c r="D265" s="50"/>
      <c r="E265" s="50"/>
      <c r="F265" s="50"/>
      <c r="G265" s="50"/>
      <c r="H265" s="50"/>
      <c r="I265" s="50"/>
      <c r="J265" s="50"/>
      <c r="K265" s="50"/>
      <c r="L265" s="50"/>
      <c r="M265" s="50"/>
    </row>
    <row r="266" spans="2:13" x14ac:dyDescent="0.25">
      <c r="B266" s="50"/>
      <c r="C266" s="50"/>
      <c r="D266" s="50"/>
      <c r="E266" s="50"/>
      <c r="F266" s="50"/>
      <c r="G266" s="50"/>
      <c r="H266" s="50"/>
      <c r="I266" s="50"/>
      <c r="J266" s="50"/>
      <c r="K266" s="50"/>
      <c r="L266" s="50"/>
      <c r="M266" s="50"/>
    </row>
    <row r="267" spans="2:13" x14ac:dyDescent="0.25">
      <c r="B267" s="50"/>
      <c r="C267" s="50"/>
      <c r="D267" s="50"/>
      <c r="E267" s="50"/>
      <c r="F267" s="50"/>
      <c r="G267" s="50"/>
      <c r="H267" s="50"/>
      <c r="I267" s="50"/>
      <c r="J267" s="50"/>
      <c r="K267" s="50"/>
      <c r="L267" s="50"/>
      <c r="M267" s="50"/>
    </row>
    <row r="268" spans="2:13" x14ac:dyDescent="0.25">
      <c r="B268" s="50"/>
      <c r="C268" s="50"/>
      <c r="D268" s="50"/>
      <c r="E268" s="50"/>
      <c r="F268" s="50"/>
      <c r="G268" s="50"/>
      <c r="H268" s="50"/>
      <c r="I268" s="50"/>
      <c r="J268" s="50"/>
      <c r="K268" s="50"/>
      <c r="L268" s="50"/>
      <c r="M268" s="50"/>
    </row>
    <row r="269" spans="2:13" x14ac:dyDescent="0.25">
      <c r="B269" s="50"/>
      <c r="C269" s="50"/>
      <c r="D269" s="50"/>
      <c r="E269" s="50"/>
      <c r="F269" s="50"/>
      <c r="G269" s="50"/>
      <c r="H269" s="50"/>
      <c r="I269" s="50"/>
      <c r="J269" s="50"/>
      <c r="K269" s="50"/>
      <c r="L269" s="50"/>
      <c r="M269" s="50"/>
    </row>
    <row r="270" spans="2:13" x14ac:dyDescent="0.25">
      <c r="B270" s="50"/>
      <c r="C270" s="50"/>
      <c r="D270" s="50"/>
      <c r="E270" s="50"/>
      <c r="F270" s="50"/>
      <c r="G270" s="50"/>
      <c r="H270" s="50"/>
      <c r="I270" s="50"/>
      <c r="J270" s="50"/>
      <c r="K270" s="50"/>
      <c r="L270" s="50"/>
      <c r="M270" s="50"/>
    </row>
    <row r="271" spans="2:13" x14ac:dyDescent="0.25">
      <c r="B271" s="50"/>
      <c r="C271" s="50"/>
      <c r="D271" s="50"/>
      <c r="E271" s="50"/>
      <c r="F271" s="50"/>
      <c r="G271" s="50"/>
      <c r="H271" s="50"/>
      <c r="I271" s="50"/>
      <c r="J271" s="50"/>
      <c r="K271" s="50"/>
      <c r="L271" s="50"/>
      <c r="M271" s="50"/>
    </row>
    <row r="272" spans="2:13" x14ac:dyDescent="0.25">
      <c r="B272" s="50"/>
      <c r="C272" s="50"/>
      <c r="D272" s="50"/>
      <c r="E272" s="50"/>
      <c r="F272" s="50"/>
      <c r="G272" s="50"/>
      <c r="H272" s="50"/>
      <c r="I272" s="50"/>
      <c r="J272" s="50"/>
      <c r="K272" s="50"/>
      <c r="L272" s="50"/>
      <c r="M272" s="50"/>
    </row>
    <row r="273" spans="2:13" x14ac:dyDescent="0.25">
      <c r="B273" s="50"/>
      <c r="C273" s="50"/>
      <c r="D273" s="50"/>
      <c r="E273" s="50"/>
      <c r="F273" s="50"/>
      <c r="G273" s="50"/>
      <c r="H273" s="50"/>
      <c r="I273" s="50"/>
      <c r="J273" s="50"/>
      <c r="K273" s="50"/>
      <c r="L273" s="50"/>
      <c r="M273" s="50"/>
    </row>
    <row r="274" spans="2:13" x14ac:dyDescent="0.25">
      <c r="B274" s="50"/>
      <c r="C274" s="50"/>
      <c r="D274" s="50"/>
      <c r="E274" s="50"/>
      <c r="F274" s="50"/>
      <c r="G274" s="50"/>
      <c r="H274" s="50"/>
      <c r="I274" s="50"/>
      <c r="J274" s="50"/>
      <c r="K274" s="50"/>
      <c r="L274" s="50"/>
      <c r="M274" s="50"/>
    </row>
    <row r="275" spans="2:13" x14ac:dyDescent="0.25">
      <c r="B275" s="50"/>
      <c r="C275" s="50"/>
      <c r="D275" s="50"/>
      <c r="E275" s="50"/>
      <c r="F275" s="50"/>
      <c r="G275" s="50"/>
      <c r="H275" s="50"/>
      <c r="I275" s="50"/>
      <c r="J275" s="50"/>
      <c r="K275" s="50"/>
      <c r="L275" s="50"/>
      <c r="M275" s="50"/>
    </row>
    <row r="276" spans="2:13" x14ac:dyDescent="0.25">
      <c r="B276" s="50"/>
      <c r="C276" s="50"/>
      <c r="D276" s="50"/>
      <c r="E276" s="50"/>
      <c r="F276" s="50"/>
      <c r="G276" s="50"/>
      <c r="H276" s="50"/>
      <c r="I276" s="50"/>
      <c r="J276" s="50"/>
      <c r="K276" s="50"/>
      <c r="L276" s="50"/>
      <c r="M276" s="50"/>
    </row>
    <row r="277" spans="2:13" x14ac:dyDescent="0.25">
      <c r="B277" s="50"/>
      <c r="C277" s="50"/>
      <c r="D277" s="50"/>
      <c r="E277" s="50"/>
      <c r="F277" s="50"/>
      <c r="G277" s="50"/>
      <c r="H277" s="50"/>
      <c r="I277" s="50"/>
      <c r="J277" s="50"/>
      <c r="K277" s="50"/>
      <c r="L277" s="50"/>
      <c r="M277" s="50"/>
    </row>
    <row r="278" spans="2:13" x14ac:dyDescent="0.25">
      <c r="B278" s="50"/>
      <c r="C278" s="50"/>
      <c r="D278" s="50"/>
      <c r="E278" s="50"/>
      <c r="F278" s="50"/>
      <c r="G278" s="50"/>
      <c r="H278" s="50"/>
      <c r="I278" s="50"/>
      <c r="J278" s="50"/>
      <c r="K278" s="50"/>
      <c r="L278" s="50"/>
      <c r="M278" s="50"/>
    </row>
    <row r="279" spans="2:13" x14ac:dyDescent="0.25">
      <c r="B279" s="50"/>
      <c r="C279" s="50"/>
      <c r="D279" s="50"/>
      <c r="E279" s="50"/>
      <c r="F279" s="50"/>
      <c r="G279" s="50"/>
      <c r="H279" s="50"/>
      <c r="I279" s="50"/>
      <c r="J279" s="50"/>
      <c r="K279" s="50"/>
      <c r="L279" s="50"/>
      <c r="M279" s="50"/>
    </row>
    <row r="280" spans="2:13" x14ac:dyDescent="0.25">
      <c r="B280" s="50"/>
      <c r="C280" s="50"/>
      <c r="D280" s="50"/>
      <c r="E280" s="50"/>
      <c r="F280" s="50"/>
      <c r="G280" s="50"/>
      <c r="H280" s="50"/>
      <c r="I280" s="50"/>
      <c r="J280" s="50"/>
      <c r="K280" s="50"/>
      <c r="L280" s="50"/>
      <c r="M280" s="50"/>
    </row>
    <row r="281" spans="2:13" x14ac:dyDescent="0.25">
      <c r="B281" s="50"/>
      <c r="C281" s="50"/>
      <c r="D281" s="50"/>
      <c r="E281" s="50"/>
      <c r="F281" s="50"/>
      <c r="G281" s="50"/>
      <c r="H281" s="50"/>
      <c r="I281" s="50"/>
      <c r="J281" s="50"/>
      <c r="K281" s="50"/>
      <c r="L281" s="50"/>
      <c r="M281" s="50"/>
    </row>
    <row r="282" spans="2:13" x14ac:dyDescent="0.25">
      <c r="B282" s="50"/>
      <c r="C282" s="50"/>
      <c r="D282" s="50"/>
      <c r="E282" s="50"/>
      <c r="F282" s="50"/>
      <c r="G282" s="50"/>
      <c r="H282" s="50"/>
      <c r="I282" s="50"/>
      <c r="J282" s="50"/>
      <c r="K282" s="50"/>
      <c r="L282" s="50"/>
      <c r="M282" s="50"/>
    </row>
    <row r="283" spans="2:13" x14ac:dyDescent="0.25">
      <c r="B283" s="50"/>
      <c r="C283" s="50"/>
      <c r="D283" s="50"/>
      <c r="E283" s="50"/>
      <c r="F283" s="50"/>
      <c r="G283" s="50"/>
      <c r="H283" s="50"/>
      <c r="I283" s="50"/>
      <c r="J283" s="50"/>
      <c r="K283" s="50"/>
      <c r="L283" s="50"/>
      <c r="M283" s="50"/>
    </row>
  </sheetData>
  <autoFilter ref="B3:L3" xr:uid="{EC39141F-E653-4E5F-8987-50CE1460EBAB}">
    <sortState ref="B6:L201">
      <sortCondition descending="1" ref="E3"/>
    </sortState>
  </autoFilter>
  <mergeCells count="13">
    <mergeCell ref="B203:M260"/>
    <mergeCell ref="L2:L3"/>
    <mergeCell ref="J2:K2"/>
    <mergeCell ref="E1:L1"/>
    <mergeCell ref="A1:A3"/>
    <mergeCell ref="B1:B3"/>
    <mergeCell ref="C1:C3"/>
    <mergeCell ref="D1:D3"/>
    <mergeCell ref="E2:E3"/>
    <mergeCell ref="F2:F3"/>
    <mergeCell ref="G2:G3"/>
    <mergeCell ref="H2:H3"/>
    <mergeCell ref="I2:I3"/>
  </mergeCells>
  <conditionalFormatting sqref="F284:F1048576 F4:F202">
    <cfRule type="colorScale" priority="15">
      <colorScale>
        <cfvo type="min"/>
        <cfvo type="percentile" val="50"/>
        <cfvo type="max"/>
        <color rgb="FFF8696B"/>
        <color rgb="FFFFEB84"/>
        <color rgb="FF63BE7B"/>
      </colorScale>
    </cfRule>
  </conditionalFormatting>
  <conditionalFormatting sqref="G284:H1048576 G202:H202 G4:G201">
    <cfRule type="colorScale" priority="14">
      <colorScale>
        <cfvo type="min"/>
        <cfvo type="percentile" val="50"/>
        <cfvo type="max"/>
        <color rgb="FFF8696B"/>
        <color rgb="FFFFEB84"/>
        <color rgb="FF63BE7B"/>
      </colorScale>
    </cfRule>
  </conditionalFormatting>
  <conditionalFormatting sqref="I284:I1048576 I4:I202">
    <cfRule type="colorScale" priority="13">
      <colorScale>
        <cfvo type="min"/>
        <cfvo type="percentile" val="50"/>
        <cfvo type="max"/>
        <color rgb="FFF8696B"/>
        <color rgb="FFFFEB84"/>
        <color rgb="FF63BE7B"/>
      </colorScale>
    </cfRule>
  </conditionalFormatting>
  <conditionalFormatting sqref="J284:J1048576 J202">
    <cfRule type="colorScale" priority="12">
      <colorScale>
        <cfvo type="min"/>
        <cfvo type="percentile" val="50"/>
        <cfvo type="max"/>
        <color rgb="FFF8696B"/>
        <color rgb="FFFFEB84"/>
        <color rgb="FF63BE7B"/>
      </colorScale>
    </cfRule>
  </conditionalFormatting>
  <conditionalFormatting sqref="K284:K1048576 K202">
    <cfRule type="colorScale" priority="11">
      <colorScale>
        <cfvo type="min"/>
        <cfvo type="percentile" val="50"/>
        <cfvo type="max"/>
        <color rgb="FFF8696B"/>
        <color rgb="FFFFEB84"/>
        <color rgb="FF63BE7B"/>
      </colorScale>
    </cfRule>
  </conditionalFormatting>
  <conditionalFormatting sqref="J4:J201">
    <cfRule type="colorScale" priority="10">
      <colorScale>
        <cfvo type="min"/>
        <cfvo type="percentile" val="50"/>
        <cfvo type="max"/>
        <color rgb="FF63BE7B"/>
        <color rgb="FFFFEB84"/>
        <color rgb="FFF8696B"/>
      </colorScale>
    </cfRule>
  </conditionalFormatting>
  <conditionalFormatting sqref="K4:K201">
    <cfRule type="colorScale" priority="9">
      <colorScale>
        <cfvo type="min"/>
        <cfvo type="percentile" val="50"/>
        <cfvo type="max"/>
        <color rgb="FF63BE7B"/>
        <color rgb="FFFFEB84"/>
        <color rgb="FFF8696B"/>
      </colorScale>
    </cfRule>
  </conditionalFormatting>
  <conditionalFormatting sqref="H4:H201">
    <cfRule type="colorScale" priority="8">
      <colorScale>
        <cfvo type="min"/>
        <cfvo type="percentile" val="50"/>
        <cfvo type="max"/>
        <color rgb="FFF8696B"/>
        <color rgb="FFFFEB84"/>
        <color rgb="FF63BE7B"/>
      </colorScale>
    </cfRule>
  </conditionalFormatting>
  <conditionalFormatting sqref="E1">
    <cfRule type="colorScale" priority="7">
      <colorScale>
        <cfvo type="min"/>
        <cfvo type="percentile" val="50"/>
        <cfvo type="max"/>
        <color rgb="FFF8696B"/>
        <color rgb="FFFFEB84"/>
        <color rgb="FF63BE7B"/>
      </colorScale>
    </cfRule>
  </conditionalFormatting>
  <conditionalFormatting sqref="J2">
    <cfRule type="colorScale" priority="6">
      <colorScale>
        <cfvo type="min"/>
        <cfvo type="percentile" val="50"/>
        <cfvo type="max"/>
        <color rgb="FFF8696B"/>
        <color rgb="FFFFEB84"/>
        <color rgb="FF63BE7B"/>
      </colorScale>
    </cfRule>
  </conditionalFormatting>
  <conditionalFormatting sqref="E284:E1048576 E4:E202">
    <cfRule type="colorScale" priority="5">
      <colorScale>
        <cfvo type="min"/>
        <cfvo type="percentile" val="50"/>
        <cfvo type="max"/>
        <color rgb="FFF8696B"/>
        <color rgb="FFFFEB84"/>
        <color rgb="FF63BE7B"/>
      </colorScale>
    </cfRule>
  </conditionalFormatting>
  <conditionalFormatting sqref="E2">
    <cfRule type="colorScale" priority="4">
      <colorScale>
        <cfvo type="min"/>
        <cfvo type="percentile" val="50"/>
        <cfvo type="max"/>
        <color rgb="FFF8696B"/>
        <color rgb="FFFFEB84"/>
        <color rgb="FF63BE7B"/>
      </colorScale>
    </cfRule>
  </conditionalFormatting>
  <conditionalFormatting sqref="A4:A201">
    <cfRule type="colorScale" priority="3">
      <colorScale>
        <cfvo type="min"/>
        <cfvo type="percentile" val="50"/>
        <cfvo type="max"/>
        <color rgb="FF63BE7B"/>
        <color rgb="FFFFEB84"/>
        <color rgb="FFF8696B"/>
      </colorScale>
    </cfRule>
  </conditionalFormatting>
  <conditionalFormatting sqref="L284:M1048576 L202:M202">
    <cfRule type="colorScale" priority="2">
      <colorScale>
        <cfvo type="min"/>
        <cfvo type="percentile" val="50"/>
        <cfvo type="max"/>
        <color rgb="FFF8696B"/>
        <color rgb="FFFFEB84"/>
        <color rgb="FF63BE7B"/>
      </colorScale>
    </cfRule>
  </conditionalFormatting>
  <conditionalFormatting sqref="L4:M20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9FCB0-2B4D-483F-8321-5A86C0A2F798}">
  <dimension ref="A1:BB314"/>
  <sheetViews>
    <sheetView workbookViewId="0">
      <selection activeCell="C207" sqref="C207:F207"/>
    </sheetView>
  </sheetViews>
  <sheetFormatPr baseColWidth="10" defaultRowHeight="15" x14ac:dyDescent="0.25"/>
  <cols>
    <col min="1" max="1" width="3.85546875" style="52" customWidth="1"/>
    <col min="2" max="2" width="9.85546875" style="30" customWidth="1"/>
    <col min="3" max="3" width="20" style="30" customWidth="1"/>
    <col min="4" max="4" width="16.85546875" style="30" customWidth="1"/>
    <col min="5" max="5" width="10.85546875" style="30" customWidth="1"/>
    <col min="6" max="6" width="31.28515625" style="51" customWidth="1"/>
    <col min="7" max="7" width="18.5703125" style="324" customWidth="1"/>
    <col min="8" max="9" width="9" style="362" customWidth="1"/>
    <col min="10" max="10" width="8.85546875" style="363" customWidth="1"/>
    <col min="11" max="13" width="8.85546875" style="364" customWidth="1"/>
    <col min="14" max="14" width="8.85546875" style="365" customWidth="1"/>
    <col min="15" max="15" width="8.85546875" style="363" customWidth="1"/>
    <col min="16" max="16" width="7.28515625" style="366" customWidth="1"/>
    <col min="17" max="17" width="4" style="366" customWidth="1"/>
    <col min="18" max="20" width="8.85546875" style="364" customWidth="1"/>
    <col min="21" max="22" width="8.85546875" style="365" customWidth="1"/>
    <col min="23" max="23" width="9.7109375" style="363" customWidth="1"/>
    <col min="24" max="24" width="4" style="366" customWidth="1"/>
    <col min="25" max="25" width="8.85546875" style="364" customWidth="1"/>
    <col min="26" max="28" width="8.85546875" style="365" customWidth="1"/>
    <col min="29" max="29" width="9.7109375" style="366" customWidth="1"/>
    <col min="30" max="30" width="4" style="366" customWidth="1"/>
    <col min="31" max="35" width="8.85546875" style="365" customWidth="1"/>
    <col min="36" max="36" width="9.28515625" style="366" customWidth="1"/>
    <col min="37" max="37" width="7" style="366" customWidth="1"/>
    <col min="38" max="39" width="8.85546875" style="365" customWidth="1"/>
    <col min="40" max="40" width="8.85546875" style="367" customWidth="1"/>
    <col min="41" max="49" width="8.85546875" style="365" customWidth="1"/>
    <col min="50" max="50" width="0.5703125" customWidth="1"/>
    <col min="51" max="51" width="28" style="51" customWidth="1"/>
  </cols>
  <sheetData>
    <row r="1" spans="1:52" ht="15" customHeight="1" x14ac:dyDescent="0.25">
      <c r="A1" s="515" t="s">
        <v>875</v>
      </c>
      <c r="B1" s="518" t="s">
        <v>0</v>
      </c>
      <c r="C1" s="518" t="s">
        <v>1</v>
      </c>
      <c r="D1" s="547" t="s">
        <v>325</v>
      </c>
      <c r="E1" s="547" t="s">
        <v>326</v>
      </c>
      <c r="F1" s="544" t="s">
        <v>2</v>
      </c>
      <c r="G1" s="328"/>
      <c r="H1" s="328"/>
      <c r="I1" s="328"/>
      <c r="J1" s="328"/>
      <c r="K1" s="328"/>
      <c r="L1" s="328"/>
      <c r="M1" s="328"/>
      <c r="N1" s="328"/>
      <c r="O1" s="328"/>
      <c r="P1" s="328"/>
      <c r="Q1" s="328"/>
      <c r="R1" s="328"/>
      <c r="S1" s="328"/>
      <c r="T1" s="328"/>
      <c r="U1" s="328"/>
      <c r="V1" s="328"/>
      <c r="W1" s="328"/>
      <c r="X1" s="328"/>
      <c r="Y1" s="328"/>
      <c r="Z1" s="328"/>
      <c r="AA1" s="328"/>
      <c r="AB1" s="328"/>
      <c r="AC1" s="328"/>
      <c r="AD1" s="328"/>
      <c r="AE1" s="328"/>
      <c r="AF1" s="328"/>
      <c r="AG1" s="328"/>
      <c r="AH1" s="328"/>
      <c r="AI1" s="328"/>
      <c r="AJ1" s="328"/>
      <c r="AK1" s="328"/>
      <c r="AL1" s="328"/>
      <c r="AM1" s="328"/>
      <c r="AN1" s="328"/>
      <c r="AO1" s="328"/>
      <c r="AP1" s="328"/>
      <c r="AQ1" s="328"/>
      <c r="AR1" s="328"/>
      <c r="AS1" s="328"/>
      <c r="AT1" s="328"/>
      <c r="AU1" s="328"/>
      <c r="AV1" s="328"/>
      <c r="AW1" s="328"/>
      <c r="AX1" s="328"/>
      <c r="AY1" s="329"/>
    </row>
    <row r="2" spans="1:52" ht="20.25" customHeight="1" x14ac:dyDescent="0.25">
      <c r="A2" s="516"/>
      <c r="B2" s="519"/>
      <c r="C2" s="519"/>
      <c r="D2" s="548"/>
      <c r="E2" s="548"/>
      <c r="F2" s="545"/>
      <c r="G2" s="529" t="s">
        <v>5</v>
      </c>
      <c r="H2" s="532" t="s">
        <v>889</v>
      </c>
      <c r="I2" s="532" t="s">
        <v>890</v>
      </c>
      <c r="J2" s="535" t="s">
        <v>891</v>
      </c>
      <c r="K2" s="536"/>
      <c r="L2" s="536"/>
      <c r="M2" s="536"/>
      <c r="N2" s="536"/>
      <c r="O2" s="536"/>
      <c r="P2" s="536"/>
      <c r="Q2" s="536"/>
      <c r="R2" s="536"/>
      <c r="S2" s="536"/>
      <c r="T2" s="536"/>
      <c r="U2" s="536"/>
      <c r="V2" s="536"/>
      <c r="W2" s="536"/>
      <c r="X2" s="536"/>
      <c r="Y2" s="536"/>
      <c r="Z2" s="536"/>
      <c r="AA2" s="536"/>
      <c r="AB2" s="536"/>
      <c r="AC2" s="536"/>
      <c r="AD2" s="536"/>
      <c r="AE2" s="536"/>
      <c r="AF2" s="536"/>
      <c r="AG2" s="536"/>
      <c r="AH2" s="536"/>
      <c r="AI2" s="536"/>
      <c r="AJ2" s="536"/>
      <c r="AK2" s="536"/>
      <c r="AL2" s="537"/>
      <c r="AM2" s="538" t="s">
        <v>892</v>
      </c>
      <c r="AN2" s="539"/>
      <c r="AO2" s="539"/>
      <c r="AP2" s="539"/>
      <c r="AQ2" s="539"/>
      <c r="AR2" s="539"/>
      <c r="AS2" s="539"/>
      <c r="AT2" s="539"/>
      <c r="AU2" s="539"/>
      <c r="AV2" s="539"/>
      <c r="AW2" s="540"/>
      <c r="AX2" s="284"/>
      <c r="AY2" s="329"/>
    </row>
    <row r="3" spans="1:52" ht="20.25" customHeight="1" x14ac:dyDescent="0.25">
      <c r="A3" s="516"/>
      <c r="B3" s="519"/>
      <c r="C3" s="519"/>
      <c r="D3" s="548"/>
      <c r="E3" s="548"/>
      <c r="F3" s="545"/>
      <c r="G3" s="530"/>
      <c r="H3" s="533"/>
      <c r="I3" s="533"/>
      <c r="J3" s="541" t="s">
        <v>893</v>
      </c>
      <c r="K3" s="542"/>
      <c r="L3" s="542"/>
      <c r="M3" s="542"/>
      <c r="N3" s="543"/>
      <c r="O3" s="541" t="s">
        <v>894</v>
      </c>
      <c r="P3" s="542"/>
      <c r="Q3" s="542"/>
      <c r="R3" s="542"/>
      <c r="S3" s="542"/>
      <c r="T3" s="542"/>
      <c r="U3" s="543"/>
      <c r="V3" s="541" t="s">
        <v>895</v>
      </c>
      <c r="W3" s="542"/>
      <c r="X3" s="542"/>
      <c r="Y3" s="542"/>
      <c r="Z3" s="543"/>
      <c r="AA3" s="541" t="s">
        <v>896</v>
      </c>
      <c r="AB3" s="542"/>
      <c r="AC3" s="542"/>
      <c r="AD3" s="542"/>
      <c r="AE3" s="542"/>
      <c r="AF3" s="542"/>
      <c r="AG3" s="542"/>
      <c r="AH3" s="542"/>
      <c r="AI3" s="542"/>
      <c r="AJ3" s="542"/>
      <c r="AK3" s="542"/>
      <c r="AL3" s="543"/>
      <c r="AM3" s="541" t="s">
        <v>897</v>
      </c>
      <c r="AN3" s="542"/>
      <c r="AO3" s="542"/>
      <c r="AP3" s="543"/>
      <c r="AQ3" s="541" t="s">
        <v>898</v>
      </c>
      <c r="AR3" s="542"/>
      <c r="AS3" s="543"/>
      <c r="AT3" s="541" t="s">
        <v>899</v>
      </c>
      <c r="AU3" s="542"/>
      <c r="AV3" s="542"/>
      <c r="AW3" s="543"/>
      <c r="AX3" s="286"/>
      <c r="AY3" s="329"/>
      <c r="AZ3" s="329"/>
    </row>
    <row r="4" spans="1:52" ht="105.75" customHeight="1" x14ac:dyDescent="0.25">
      <c r="A4" s="517"/>
      <c r="B4" s="520"/>
      <c r="C4" s="520"/>
      <c r="D4" s="549"/>
      <c r="E4" s="549"/>
      <c r="F4" s="546"/>
      <c r="G4" s="531"/>
      <c r="H4" s="534"/>
      <c r="I4" s="534"/>
      <c r="J4" s="330" t="s">
        <v>900</v>
      </c>
      <c r="K4" s="331" t="s">
        <v>901</v>
      </c>
      <c r="L4" s="331" t="s">
        <v>902</v>
      </c>
      <c r="M4" s="331" t="s">
        <v>903</v>
      </c>
      <c r="N4" s="332" t="s">
        <v>877</v>
      </c>
      <c r="O4" s="333" t="s">
        <v>904</v>
      </c>
      <c r="P4" s="334" t="s">
        <v>905</v>
      </c>
      <c r="Q4" s="335" t="s">
        <v>906</v>
      </c>
      <c r="R4" s="331" t="s">
        <v>907</v>
      </c>
      <c r="S4" s="331" t="s">
        <v>908</v>
      </c>
      <c r="T4" s="331" t="s">
        <v>909</v>
      </c>
      <c r="U4" s="332" t="s">
        <v>877</v>
      </c>
      <c r="V4" s="330" t="s">
        <v>910</v>
      </c>
      <c r="W4" s="336" t="s">
        <v>911</v>
      </c>
      <c r="X4" s="335" t="s">
        <v>906</v>
      </c>
      <c r="Y4" s="331" t="s">
        <v>912</v>
      </c>
      <c r="Z4" s="332" t="s">
        <v>877</v>
      </c>
      <c r="AA4" s="330" t="s">
        <v>913</v>
      </c>
      <c r="AB4" s="330" t="s">
        <v>914</v>
      </c>
      <c r="AC4" s="335" t="s">
        <v>915</v>
      </c>
      <c r="AD4" s="335" t="s">
        <v>906</v>
      </c>
      <c r="AE4" s="330" t="s">
        <v>916</v>
      </c>
      <c r="AF4" s="330" t="s">
        <v>917</v>
      </c>
      <c r="AG4" s="333" t="s">
        <v>918</v>
      </c>
      <c r="AH4" s="333" t="s">
        <v>919</v>
      </c>
      <c r="AI4" s="333" t="s">
        <v>920</v>
      </c>
      <c r="AJ4" s="335" t="s">
        <v>921</v>
      </c>
      <c r="AK4" s="335" t="s">
        <v>922</v>
      </c>
      <c r="AL4" s="332" t="s">
        <v>877</v>
      </c>
      <c r="AM4" s="337" t="s">
        <v>923</v>
      </c>
      <c r="AN4" s="338" t="s">
        <v>924</v>
      </c>
      <c r="AO4" s="339" t="s">
        <v>925</v>
      </c>
      <c r="AP4" s="340" t="s">
        <v>877</v>
      </c>
      <c r="AQ4" s="339" t="s">
        <v>926</v>
      </c>
      <c r="AR4" s="339" t="s">
        <v>927</v>
      </c>
      <c r="AS4" s="340" t="s">
        <v>877</v>
      </c>
      <c r="AT4" s="339" t="s">
        <v>928</v>
      </c>
      <c r="AU4" s="339" t="s">
        <v>929</v>
      </c>
      <c r="AV4" s="339" t="s">
        <v>930</v>
      </c>
      <c r="AW4" s="340" t="s">
        <v>877</v>
      </c>
      <c r="AX4" s="293"/>
      <c r="AY4" s="329"/>
      <c r="AZ4" s="329"/>
    </row>
    <row r="5" spans="1:52" s="5" customFormat="1" ht="15.75" customHeight="1" x14ac:dyDescent="0.2">
      <c r="A5" s="287">
        <v>1</v>
      </c>
      <c r="B5" s="288" t="s">
        <v>10</v>
      </c>
      <c r="C5" s="389" t="s">
        <v>887</v>
      </c>
      <c r="D5" s="390" t="s">
        <v>301</v>
      </c>
      <c r="E5" s="391" t="s">
        <v>305</v>
      </c>
      <c r="F5" s="289" t="s">
        <v>185</v>
      </c>
      <c r="G5" s="341">
        <f t="shared" ref="G5:G36" si="0">AVERAGE(H5:I5)</f>
        <v>88.941524046784892</v>
      </c>
      <c r="H5" s="342">
        <f t="shared" ref="H5:H36" si="1">(N5*20+U5*5+Z5*5+AL5*20)/50</f>
        <v>83.860865226256138</v>
      </c>
      <c r="I5" s="342">
        <f t="shared" ref="I5:I36" si="2">(AP5*15+AS5*5+AW5*5)/25</f>
        <v>94.022182867313646</v>
      </c>
      <c r="J5" s="343">
        <v>27.4344</v>
      </c>
      <c r="K5" s="344">
        <v>173.2</v>
      </c>
      <c r="L5" s="344">
        <v>93.387016414173502</v>
      </c>
      <c r="M5" s="344">
        <v>94.377571779999997</v>
      </c>
      <c r="N5" s="345">
        <f t="shared" ref="N5:N36" si="3">((MIN(J5,50)/50)*100*2.5+(MIN(K5,250)/250)*0.5*100+L5*1.5+M5*1.5)/6</f>
        <v>75.576480381876706</v>
      </c>
      <c r="O5" s="343">
        <f t="shared" ref="O5:O36" si="4">(P5*1000)/Q5</f>
        <v>2.1882978615788011</v>
      </c>
      <c r="P5" s="346">
        <v>12763</v>
      </c>
      <c r="Q5" s="346">
        <v>5832387</v>
      </c>
      <c r="R5" s="344">
        <v>0</v>
      </c>
      <c r="S5" s="344">
        <v>0</v>
      </c>
      <c r="T5" s="347">
        <v>1</v>
      </c>
      <c r="U5" s="345">
        <f t="shared" ref="U5:U36" si="5">((MIN(O5,4)/4)*100*1.5+(1-(MIN(R5,15)/15))*100*0.5+(1-(MIN(S5,8)/8))*100*0.5+(1-(MIN(T5,100)/100))*100)/3.5</f>
        <v>80.303191374058571</v>
      </c>
      <c r="V5" s="343">
        <f>(W5*1000000)/X5</f>
        <v>34.210920845958952</v>
      </c>
      <c r="W5" s="348">
        <v>199.53133</v>
      </c>
      <c r="X5" s="346">
        <v>5832387</v>
      </c>
      <c r="Y5" s="344">
        <v>0</v>
      </c>
      <c r="Z5" s="345">
        <f t="shared" ref="Z5:Z36" si="6">((LN(MAX(V5,1))/LN(4000))*100*0.5+(MAX((50-Y5),0))/50*100*1.5)/2</f>
        <v>85.647829074343562</v>
      </c>
      <c r="AA5" s="343">
        <v>4.3166666666666673</v>
      </c>
      <c r="AB5" s="343">
        <f t="shared" ref="AB5:AB10" si="7">AC5/AD5</f>
        <v>8.1446641988948958</v>
      </c>
      <c r="AC5" s="346">
        <v>47502833.593000002</v>
      </c>
      <c r="AD5" s="346">
        <v>5832387</v>
      </c>
      <c r="AE5" s="344">
        <v>88</v>
      </c>
      <c r="AF5" s="343">
        <v>591.32000000000005</v>
      </c>
      <c r="AG5" s="344">
        <v>5.2</v>
      </c>
      <c r="AH5" s="343">
        <v>6.45</v>
      </c>
      <c r="AI5" s="343">
        <f t="shared" ref="AI5:AI36" si="8">AJ5/AK5</f>
        <v>13.121088435374149</v>
      </c>
      <c r="AJ5" s="346">
        <v>9644</v>
      </c>
      <c r="AK5" s="346">
        <v>735</v>
      </c>
      <c r="AL5" s="345">
        <f>((AA5/4.5)*100*1.5+(LN(MIN(AB5,5)+1)/LN(5+1))*100+((AE5-(-300))/(150-(-300)))*100+(LN(MIN(AF5,500))/LN(500))*100*0.5+(MAX((60-AG5),0))/60*100*0.5+((AH5-1)/(7-1))*100*2+(LN(MIN(AI5,20)+1)/LN(20+1))*100)/7.5</f>
        <v>92.587927571663087</v>
      </c>
      <c r="AM5" s="343">
        <v>0</v>
      </c>
      <c r="AN5" s="344">
        <v>100</v>
      </c>
      <c r="AO5" s="344">
        <v>0.2</v>
      </c>
      <c r="AP5" s="345">
        <f t="shared" ref="AP5:AP36" si="9">((100-AM5)*0.5+AN5*2+(1-(LN(MIN(AO5,200)+1)/LN(200+1)))*100*1)/3.5</f>
        <v>99.017746965848772</v>
      </c>
      <c r="AQ5" s="343">
        <v>97.971828841976205</v>
      </c>
      <c r="AR5" s="344">
        <v>97.9</v>
      </c>
      <c r="AS5" s="345">
        <f t="shared" ref="AS5:AS36" si="10">(AQ5+AR5)/2</f>
        <v>97.935914420988098</v>
      </c>
      <c r="AT5" s="343">
        <v>156.02353794950099</v>
      </c>
      <c r="AU5" s="343">
        <v>0</v>
      </c>
      <c r="AV5" s="343">
        <v>1126.62826399083</v>
      </c>
      <c r="AW5" s="351">
        <f t="shared" ref="AW5:AW36" si="11">((1-(LN(MIN(AT5,3000)+1)/LN(3000+1)))*100*0.5+(1-(LN(MIN(AU5,1000)+1)/LN(1000+1)))*100*2+(1-(LN(MIN(AV5,3500)+1)/LN(3500+1)))*100*0.5)/3</f>
        <v>75.121759018033785</v>
      </c>
      <c r="AX5" s="293"/>
      <c r="AY5" s="121"/>
    </row>
    <row r="6" spans="1:52" s="5" customFormat="1" ht="15.75" customHeight="1" x14ac:dyDescent="0.2">
      <c r="A6" s="294">
        <v>2</v>
      </c>
      <c r="B6" s="295" t="s">
        <v>13</v>
      </c>
      <c r="C6" s="299" t="s">
        <v>19</v>
      </c>
      <c r="D6" s="142" t="s">
        <v>296</v>
      </c>
      <c r="E6" s="179" t="s">
        <v>305</v>
      </c>
      <c r="F6" s="177" t="s">
        <v>155</v>
      </c>
      <c r="G6" s="341">
        <f t="shared" si="0"/>
        <v>88.883890627233058</v>
      </c>
      <c r="H6" s="342">
        <f t="shared" si="1"/>
        <v>83.598833952325435</v>
      </c>
      <c r="I6" s="342">
        <f t="shared" si="2"/>
        <v>94.168947302140694</v>
      </c>
      <c r="J6" s="343">
        <v>43.264400000000002</v>
      </c>
      <c r="K6" s="344">
        <v>117.352</v>
      </c>
      <c r="L6" s="344">
        <v>91.497166296117598</v>
      </c>
      <c r="M6" s="344">
        <v>97.006797789999993</v>
      </c>
      <c r="N6" s="345">
        <f t="shared" si="3"/>
        <v>87.09139102152939</v>
      </c>
      <c r="O6" s="343">
        <f t="shared" si="4"/>
        <v>3.3248044029808641</v>
      </c>
      <c r="P6" s="346">
        <v>60607</v>
      </c>
      <c r="Q6" s="346">
        <v>18228741.5</v>
      </c>
      <c r="R6" s="357">
        <v>0.2</v>
      </c>
      <c r="S6" s="352">
        <v>0</v>
      </c>
      <c r="T6" s="353">
        <v>30</v>
      </c>
      <c r="U6" s="345">
        <f t="shared" si="5"/>
        <v>84.003856698604494</v>
      </c>
      <c r="V6" s="343">
        <f>(W6*1000000)/X6</f>
        <v>451.7207071042173</v>
      </c>
      <c r="W6" s="348">
        <v>8234.2999999999902</v>
      </c>
      <c r="X6" s="346">
        <v>18228741.5</v>
      </c>
      <c r="Y6" s="357">
        <v>2.2999999999999998</v>
      </c>
      <c r="Z6" s="345">
        <f t="shared" si="6"/>
        <v>89.976053464452747</v>
      </c>
      <c r="AA6" s="343">
        <v>4.0333333333333332</v>
      </c>
      <c r="AB6" s="343">
        <f t="shared" si="7"/>
        <v>2.2731575956573855</v>
      </c>
      <c r="AC6" s="346">
        <v>41436802.200000003</v>
      </c>
      <c r="AD6" s="346">
        <v>18228741.5</v>
      </c>
      <c r="AE6" s="344">
        <v>-3.5</v>
      </c>
      <c r="AF6" s="343">
        <v>377.62</v>
      </c>
      <c r="AG6" s="352">
        <v>12.6</v>
      </c>
      <c r="AH6" s="343">
        <v>6.18</v>
      </c>
      <c r="AI6" s="343">
        <f t="shared" si="8"/>
        <v>5.5356563302156792</v>
      </c>
      <c r="AJ6" s="346">
        <v>187620</v>
      </c>
      <c r="AK6" s="346">
        <v>33893</v>
      </c>
      <c r="AL6" s="345">
        <f>((AA6/4.5)*100*1.5+(LN(MIN(AB6,5)+1)/LN(5+1))*100+((AE6-(-300))/(150-(-300)))*100+(LN(MIN(AF6,500))/LN(500))*100*0.5+(MAX((60-AG6),0))/60*100*0.5+((AH6-1)/(7-1))*100*2+(LN(MIN(AI6,20)+1)/LN(20+1))*100)/7.5</f>
        <v>78.410716318519917</v>
      </c>
      <c r="AM6" s="343">
        <v>0</v>
      </c>
      <c r="AN6" s="344">
        <v>100</v>
      </c>
      <c r="AO6" s="344">
        <v>0</v>
      </c>
      <c r="AP6" s="345">
        <f t="shared" si="9"/>
        <v>100</v>
      </c>
      <c r="AQ6" s="343">
        <v>99.171512250031</v>
      </c>
      <c r="AR6" s="344">
        <v>99.8</v>
      </c>
      <c r="AS6" s="345">
        <f t="shared" si="10"/>
        <v>99.485756125015499</v>
      </c>
      <c r="AT6" s="343">
        <v>209.23000608730499</v>
      </c>
      <c r="AU6" s="343">
        <v>0.22714645497080299</v>
      </c>
      <c r="AV6" s="343">
        <v>2008.69607095273</v>
      </c>
      <c r="AW6" s="351">
        <f t="shared" si="11"/>
        <v>71.358980385688028</v>
      </c>
      <c r="AX6" s="293"/>
      <c r="AY6" s="121"/>
    </row>
    <row r="7" spans="1:52" s="5" customFormat="1" ht="15.75" customHeight="1" x14ac:dyDescent="0.2">
      <c r="A7" s="294">
        <v>3</v>
      </c>
      <c r="B7" s="295" t="s">
        <v>13</v>
      </c>
      <c r="C7" s="299" t="s">
        <v>19</v>
      </c>
      <c r="D7" s="142" t="s">
        <v>296</v>
      </c>
      <c r="E7" s="172" t="s">
        <v>305</v>
      </c>
      <c r="F7" s="177" t="s">
        <v>200</v>
      </c>
      <c r="G7" s="341">
        <f t="shared" si="0"/>
        <v>88.654076235973946</v>
      </c>
      <c r="H7" s="342">
        <f t="shared" si="1"/>
        <v>84.817497178766104</v>
      </c>
      <c r="I7" s="342">
        <f t="shared" si="2"/>
        <v>92.490655293181788</v>
      </c>
      <c r="J7" s="343">
        <v>47.696300000000001</v>
      </c>
      <c r="K7" s="344">
        <v>128.63999999999999</v>
      </c>
      <c r="L7" s="344">
        <v>91.216983061894993</v>
      </c>
      <c r="M7" s="344">
        <v>97.344398499999997</v>
      </c>
      <c r="N7" s="345">
        <f t="shared" si="3"/>
        <v>91.175262057140401</v>
      </c>
      <c r="O7" s="343">
        <f t="shared" si="4"/>
        <v>3.0531336034004108</v>
      </c>
      <c r="P7" s="346">
        <v>27240</v>
      </c>
      <c r="Q7" s="346">
        <v>8921981</v>
      </c>
      <c r="R7" s="352">
        <v>0.2</v>
      </c>
      <c r="S7" s="352">
        <v>0</v>
      </c>
      <c r="T7" s="353">
        <v>30</v>
      </c>
      <c r="U7" s="345">
        <f t="shared" si="5"/>
        <v>81.093098131671084</v>
      </c>
      <c r="V7" s="343">
        <f>(W7*1000000)/X7</f>
        <v>190.98897430962921</v>
      </c>
      <c r="W7" s="348">
        <v>1704</v>
      </c>
      <c r="X7" s="346">
        <v>8921981</v>
      </c>
      <c r="Y7" s="352">
        <v>2.2999999999999998</v>
      </c>
      <c r="Z7" s="345">
        <f t="shared" si="6"/>
        <v>87.381276421526849</v>
      </c>
      <c r="AA7" s="343">
        <v>4.1333333333333329</v>
      </c>
      <c r="AB7" s="343">
        <f t="shared" si="7"/>
        <v>3.1075198534944199</v>
      </c>
      <c r="AC7" s="346">
        <v>27725233.09</v>
      </c>
      <c r="AD7" s="346">
        <v>8921981</v>
      </c>
      <c r="AE7" s="349" t="s">
        <v>931</v>
      </c>
      <c r="AF7" s="349" t="s">
        <v>931</v>
      </c>
      <c r="AG7" s="352">
        <v>12.6</v>
      </c>
      <c r="AH7" s="343">
        <v>6.36</v>
      </c>
      <c r="AI7" s="343">
        <f t="shared" si="8"/>
        <v>2.151581878005568</v>
      </c>
      <c r="AJ7" s="346">
        <v>85009</v>
      </c>
      <c r="AK7" s="346">
        <v>39510</v>
      </c>
      <c r="AL7" s="345">
        <f>((AA7/4.5)*100*1.5+(LN(MIN(AB7,5)+1)/LN(5+1))*100+(MAX((60-AG7),0))/60*100*0.5+((AH7-1)/(7-1))*100*2+(LN(MIN(AI7,20)+1)/LN(20+1))*100)/6</f>
        <v>78.749887251475357</v>
      </c>
      <c r="AM7" s="343">
        <v>0</v>
      </c>
      <c r="AN7" s="344">
        <v>100</v>
      </c>
      <c r="AO7" s="344">
        <v>0</v>
      </c>
      <c r="AP7" s="345">
        <f t="shared" si="9"/>
        <v>100</v>
      </c>
      <c r="AQ7" s="343">
        <v>98.412309687795002</v>
      </c>
      <c r="AR7" s="344">
        <v>100</v>
      </c>
      <c r="AS7" s="345">
        <f t="shared" si="10"/>
        <v>99.206154843897508</v>
      </c>
      <c r="AT7" s="343">
        <v>144.702468456491</v>
      </c>
      <c r="AU7" s="343">
        <v>2.1537628318050999</v>
      </c>
      <c r="AV7" s="343">
        <v>1791.78768305272</v>
      </c>
      <c r="AW7" s="351">
        <f t="shared" si="11"/>
        <v>63.247121622011434</v>
      </c>
      <c r="AX7" s="293"/>
      <c r="AY7" s="121"/>
    </row>
    <row r="8" spans="1:52" s="5" customFormat="1" ht="15.75" customHeight="1" x14ac:dyDescent="0.2">
      <c r="A8" s="294">
        <v>4</v>
      </c>
      <c r="B8" s="307" t="s">
        <v>10</v>
      </c>
      <c r="C8" s="308" t="s">
        <v>35</v>
      </c>
      <c r="D8" s="143" t="s">
        <v>297</v>
      </c>
      <c r="E8" s="149" t="s">
        <v>305</v>
      </c>
      <c r="F8" s="177" t="s">
        <v>215</v>
      </c>
      <c r="G8" s="341">
        <f t="shared" si="0"/>
        <v>88.189623229552438</v>
      </c>
      <c r="H8" s="342">
        <f t="shared" si="1"/>
        <v>83.682335281288246</v>
      </c>
      <c r="I8" s="342">
        <f t="shared" si="2"/>
        <v>92.696911177816631</v>
      </c>
      <c r="J8" s="343">
        <v>37.096800000000002</v>
      </c>
      <c r="K8" s="344">
        <v>199.42400000000001</v>
      </c>
      <c r="L8" s="344">
        <v>90.722840154688996</v>
      </c>
      <c r="M8" s="344">
        <v>100</v>
      </c>
      <c r="N8" s="345">
        <f t="shared" si="3"/>
        <v>85.24217670533892</v>
      </c>
      <c r="O8" s="343">
        <f t="shared" si="4"/>
        <v>8.3672731134278013</v>
      </c>
      <c r="P8" s="346">
        <v>92267</v>
      </c>
      <c r="Q8" s="346">
        <v>11027129</v>
      </c>
      <c r="R8" s="352">
        <v>0</v>
      </c>
      <c r="S8" s="352">
        <v>0</v>
      </c>
      <c r="T8" s="353">
        <v>17.5</v>
      </c>
      <c r="U8" s="345">
        <f t="shared" si="5"/>
        <v>95</v>
      </c>
      <c r="V8" s="343">
        <f>(W8*1000000)/X8</f>
        <v>205.39344375131552</v>
      </c>
      <c r="W8" s="348">
        <v>2264.9</v>
      </c>
      <c r="X8" s="346">
        <v>11027129</v>
      </c>
      <c r="Y8" s="352">
        <v>0.6</v>
      </c>
      <c r="Z8" s="345">
        <f t="shared" si="6"/>
        <v>90.150444621827745</v>
      </c>
      <c r="AA8" s="343">
        <v>3.9833333333333329</v>
      </c>
      <c r="AB8" s="343">
        <f t="shared" si="7"/>
        <v>8.2580237340109104</v>
      </c>
      <c r="AC8" s="346">
        <v>91062293</v>
      </c>
      <c r="AD8" s="346">
        <v>11027129</v>
      </c>
      <c r="AE8" s="344">
        <v>16.333333333333332</v>
      </c>
      <c r="AF8" s="343">
        <v>307.89999999999998</v>
      </c>
      <c r="AG8" s="352">
        <v>5.8</v>
      </c>
      <c r="AH8" s="343">
        <v>5.92</v>
      </c>
      <c r="AI8" s="343">
        <f t="shared" si="8"/>
        <v>1.0911196911196912</v>
      </c>
      <c r="AJ8" s="346">
        <v>90432</v>
      </c>
      <c r="AK8" s="346">
        <v>82880</v>
      </c>
      <c r="AL8" s="345">
        <f t="shared" ref="AL8:AL15" si="12">((AA8/4.5)*100*1.5+(LN(MIN(AB8,5)+1)/LN(5+1))*100+((AE8-(-300))/(150-(-300)))*100+(LN(MIN(AF8,500))/LN(500))*100*0.5+(MAX((60-AG8),0))/60*100*0.5+((AH8-1)/(7-1))*100*2+(LN(MIN(AI8,20)+1)/LN(20+1))*100)/7.5</f>
        <v>77.676050342424759</v>
      </c>
      <c r="AM8" s="343">
        <v>0.16</v>
      </c>
      <c r="AN8" s="344">
        <v>100</v>
      </c>
      <c r="AO8" s="344">
        <v>0</v>
      </c>
      <c r="AP8" s="345">
        <f t="shared" si="9"/>
        <v>99.977142857142866</v>
      </c>
      <c r="AQ8" s="343">
        <v>85.742193008771196</v>
      </c>
      <c r="AR8" s="344">
        <v>96.2</v>
      </c>
      <c r="AS8" s="345">
        <f t="shared" si="10"/>
        <v>90.971096504385599</v>
      </c>
      <c r="AT8" s="343">
        <v>552.25987618314605</v>
      </c>
      <c r="AU8" s="343">
        <v>0</v>
      </c>
      <c r="AV8" s="343">
        <v>1082.3064313227701</v>
      </c>
      <c r="AW8" s="351">
        <f t="shared" si="11"/>
        <v>72.582030813268986</v>
      </c>
      <c r="AX8" s="293"/>
      <c r="AY8" s="121"/>
    </row>
    <row r="9" spans="1:52" s="13" customFormat="1" ht="15.75" customHeight="1" x14ac:dyDescent="0.2">
      <c r="A9" s="294">
        <v>5</v>
      </c>
      <c r="B9" s="295" t="s">
        <v>13</v>
      </c>
      <c r="C9" s="299" t="s">
        <v>19</v>
      </c>
      <c r="D9" s="142" t="s">
        <v>296</v>
      </c>
      <c r="E9" s="179" t="s">
        <v>305</v>
      </c>
      <c r="F9" s="177" t="s">
        <v>146</v>
      </c>
      <c r="G9" s="341">
        <f t="shared" si="0"/>
        <v>88.109943105418807</v>
      </c>
      <c r="H9" s="342">
        <f t="shared" si="1"/>
        <v>81.72269964449471</v>
      </c>
      <c r="I9" s="342">
        <f t="shared" si="2"/>
        <v>94.497186566342904</v>
      </c>
      <c r="J9" s="343">
        <v>55.883600000000001</v>
      </c>
      <c r="K9" s="344">
        <v>104.06100000000001</v>
      </c>
      <c r="L9" s="352">
        <v>95.627370719657094</v>
      </c>
      <c r="M9" s="344">
        <v>99.044898989999993</v>
      </c>
      <c r="N9" s="345">
        <f t="shared" si="3"/>
        <v>93.803434094080941</v>
      </c>
      <c r="O9" s="350">
        <f t="shared" si="4"/>
        <v>2.4591649193652767</v>
      </c>
      <c r="P9" s="353">
        <v>95</v>
      </c>
      <c r="Q9" s="346">
        <v>38631</v>
      </c>
      <c r="R9" s="352">
        <v>0.2</v>
      </c>
      <c r="S9" s="352">
        <v>0</v>
      </c>
      <c r="T9" s="353">
        <v>30</v>
      </c>
      <c r="U9" s="345">
        <f t="shared" si="5"/>
        <v>74.729147945580351</v>
      </c>
      <c r="V9" s="343">
        <f>(W9*1000000)/X9</f>
        <v>129.42973259817245</v>
      </c>
      <c r="W9" s="348">
        <v>5</v>
      </c>
      <c r="X9" s="346">
        <v>38631</v>
      </c>
      <c r="Y9" s="352">
        <v>2.2999999999999998</v>
      </c>
      <c r="Z9" s="345">
        <f t="shared" si="6"/>
        <v>86.208515259370515</v>
      </c>
      <c r="AA9" s="350">
        <v>3.6166666666666671</v>
      </c>
      <c r="AB9" s="343">
        <f t="shared" si="7"/>
        <v>8.1799591002044997E-3</v>
      </c>
      <c r="AC9" s="346">
        <v>316</v>
      </c>
      <c r="AD9" s="346">
        <v>38631</v>
      </c>
      <c r="AE9" s="352">
        <v>11.333333333333334</v>
      </c>
      <c r="AF9" s="350">
        <v>119.39500000000001</v>
      </c>
      <c r="AG9" s="352">
        <v>12.6</v>
      </c>
      <c r="AH9" s="350">
        <v>5.7653183084165773</v>
      </c>
      <c r="AI9" s="343">
        <f t="shared" si="8"/>
        <v>28.5</v>
      </c>
      <c r="AJ9" s="346">
        <v>57</v>
      </c>
      <c r="AK9" s="346">
        <v>2</v>
      </c>
      <c r="AL9" s="345">
        <f t="shared" si="12"/>
        <v>70.268899215918097</v>
      </c>
      <c r="AM9" s="343">
        <v>0</v>
      </c>
      <c r="AN9" s="344">
        <v>100</v>
      </c>
      <c r="AO9" s="344">
        <v>0</v>
      </c>
      <c r="AP9" s="345">
        <f t="shared" si="9"/>
        <v>100</v>
      </c>
      <c r="AQ9" s="350">
        <v>99.498318863317394</v>
      </c>
      <c r="AR9" s="344">
        <v>100</v>
      </c>
      <c r="AS9" s="345">
        <f t="shared" si="10"/>
        <v>99.749159431658697</v>
      </c>
      <c r="AT9" s="343">
        <v>365.11588511363402</v>
      </c>
      <c r="AU9" s="343">
        <v>0</v>
      </c>
      <c r="AV9" s="343">
        <v>1528.7019683358301</v>
      </c>
      <c r="AW9" s="351">
        <f t="shared" si="11"/>
        <v>72.736773400055839</v>
      </c>
      <c r="AX9" s="293"/>
      <c r="AY9" s="354"/>
    </row>
    <row r="10" spans="1:52" s="5" customFormat="1" ht="15.75" customHeight="1" x14ac:dyDescent="0.2">
      <c r="A10" s="294">
        <v>6</v>
      </c>
      <c r="B10" s="307" t="s">
        <v>10</v>
      </c>
      <c r="C10" s="311" t="s">
        <v>887</v>
      </c>
      <c r="D10" s="147" t="s">
        <v>301</v>
      </c>
      <c r="E10" s="172" t="s">
        <v>305</v>
      </c>
      <c r="F10" s="177" t="s">
        <v>102</v>
      </c>
      <c r="G10" s="341">
        <f t="shared" si="0"/>
        <v>87.695045618694635</v>
      </c>
      <c r="H10" s="342">
        <f t="shared" si="1"/>
        <v>83.815600917955777</v>
      </c>
      <c r="I10" s="342">
        <f t="shared" si="2"/>
        <v>91.574490319433494</v>
      </c>
      <c r="J10" s="343">
        <v>39.884</v>
      </c>
      <c r="K10" s="344">
        <v>319.49400000000003</v>
      </c>
      <c r="L10" s="344">
        <v>91.385685607306797</v>
      </c>
      <c r="M10" s="344">
        <v>95.755369709999997</v>
      </c>
      <c r="N10" s="345">
        <f t="shared" si="3"/>
        <v>88.355263829326702</v>
      </c>
      <c r="O10" s="343">
        <f t="shared" si="4"/>
        <v>1.6681255516335027</v>
      </c>
      <c r="P10" s="346">
        <v>12369</v>
      </c>
      <c r="Q10" s="346">
        <v>7414909.5</v>
      </c>
      <c r="R10" s="344">
        <v>0</v>
      </c>
      <c r="S10" s="344">
        <v>0</v>
      </c>
      <c r="T10" s="347">
        <v>1</v>
      </c>
      <c r="U10" s="345">
        <f t="shared" si="5"/>
        <v>74.729916624644673</v>
      </c>
      <c r="V10" s="350">
        <v>381.68524984145142</v>
      </c>
      <c r="W10" s="348"/>
      <c r="X10" s="346">
        <v>7414909.5</v>
      </c>
      <c r="Y10" s="344">
        <v>3.6</v>
      </c>
      <c r="Z10" s="345">
        <f t="shared" si="6"/>
        <v>87.518256381459054</v>
      </c>
      <c r="AA10" s="343">
        <v>4.0166666666666666</v>
      </c>
      <c r="AB10" s="343">
        <f t="shared" si="7"/>
        <v>3.4665945686862396</v>
      </c>
      <c r="AC10" s="346">
        <v>25704485</v>
      </c>
      <c r="AD10" s="346">
        <v>7414909.5</v>
      </c>
      <c r="AE10" s="344">
        <v>123</v>
      </c>
      <c r="AF10" s="343">
        <v>389.58</v>
      </c>
      <c r="AG10" s="344">
        <v>13.1</v>
      </c>
      <c r="AH10" s="343">
        <v>6.06</v>
      </c>
      <c r="AI10" s="343">
        <f t="shared" si="8"/>
        <v>2.1323809523809523</v>
      </c>
      <c r="AJ10" s="346">
        <v>2239</v>
      </c>
      <c r="AK10" s="346">
        <v>1050</v>
      </c>
      <c r="AL10" s="345">
        <f t="shared" si="12"/>
        <v>80.621695214036805</v>
      </c>
      <c r="AM10" s="343">
        <v>1.75</v>
      </c>
      <c r="AN10" s="352">
        <v>100</v>
      </c>
      <c r="AO10" s="352">
        <v>0.2</v>
      </c>
      <c r="AP10" s="345">
        <f t="shared" si="9"/>
        <v>98.767746965848772</v>
      </c>
      <c r="AQ10" s="343">
        <v>97.308024728236802</v>
      </c>
      <c r="AR10" s="352">
        <v>99.171700193952901</v>
      </c>
      <c r="AS10" s="345">
        <f t="shared" si="10"/>
        <v>98.239862461094845</v>
      </c>
      <c r="AT10" s="350">
        <v>332.53407362153399</v>
      </c>
      <c r="AU10" s="350">
        <v>1.8117485853936599</v>
      </c>
      <c r="AV10" s="350">
        <v>1272.4912945620899</v>
      </c>
      <c r="AW10" s="351">
        <f t="shared" si="11"/>
        <v>63.329348238526329</v>
      </c>
      <c r="AX10" s="293"/>
      <c r="AY10" s="121"/>
    </row>
    <row r="11" spans="1:52" s="5" customFormat="1" ht="15.75" customHeight="1" x14ac:dyDescent="0.2">
      <c r="A11" s="294">
        <v>7</v>
      </c>
      <c r="B11" s="295" t="s">
        <v>13</v>
      </c>
      <c r="C11" s="299" t="s">
        <v>19</v>
      </c>
      <c r="D11" s="142" t="s">
        <v>296</v>
      </c>
      <c r="E11" s="172" t="s">
        <v>305</v>
      </c>
      <c r="F11" s="177" t="s">
        <v>73</v>
      </c>
      <c r="G11" s="341">
        <f t="shared" si="0"/>
        <v>87.613392976357432</v>
      </c>
      <c r="H11" s="342">
        <f t="shared" si="1"/>
        <v>80.609601896518413</v>
      </c>
      <c r="I11" s="342">
        <f t="shared" si="2"/>
        <v>94.61718405619645</v>
      </c>
      <c r="J11" s="343">
        <v>44.034500000000001</v>
      </c>
      <c r="K11" s="344">
        <v>126.919</v>
      </c>
      <c r="L11" s="344">
        <v>93.366615424593704</v>
      </c>
      <c r="M11" s="344">
        <v>99.769151570000005</v>
      </c>
      <c r="N11" s="345">
        <f t="shared" si="3"/>
        <v>89.20999174864842</v>
      </c>
      <c r="O11" s="343">
        <f t="shared" si="4"/>
        <v>3.1312882565230571</v>
      </c>
      <c r="P11" s="346">
        <v>18717</v>
      </c>
      <c r="Q11" s="346">
        <v>5977412</v>
      </c>
      <c r="R11" s="344">
        <v>0</v>
      </c>
      <c r="S11" s="344">
        <v>0</v>
      </c>
      <c r="T11" s="347">
        <v>30</v>
      </c>
      <c r="U11" s="345">
        <f t="shared" si="5"/>
        <v>82.120945605604192</v>
      </c>
      <c r="V11" s="343">
        <f t="shared" ref="V11:V18" si="13">(W11*1000000)/X11</f>
        <v>156.31346810291811</v>
      </c>
      <c r="W11" s="348">
        <v>934.35</v>
      </c>
      <c r="X11" s="346">
        <v>5977412</v>
      </c>
      <c r="Y11" s="344">
        <v>4.5</v>
      </c>
      <c r="Z11" s="345">
        <f t="shared" si="6"/>
        <v>83.477372698536925</v>
      </c>
      <c r="AA11" s="343">
        <v>4.05</v>
      </c>
      <c r="AB11" s="350">
        <v>1.7373487109628001</v>
      </c>
      <c r="AC11" s="346"/>
      <c r="AD11" s="346">
        <v>5977412</v>
      </c>
      <c r="AE11" s="344">
        <v>45</v>
      </c>
      <c r="AF11" s="343">
        <v>87.9</v>
      </c>
      <c r="AG11" s="344">
        <v>8.5</v>
      </c>
      <c r="AH11" s="343">
        <v>5.55</v>
      </c>
      <c r="AI11" s="343">
        <f t="shared" si="8"/>
        <v>1.7639864259791675</v>
      </c>
      <c r="AJ11" s="346">
        <v>74853</v>
      </c>
      <c r="AK11" s="346">
        <v>42434</v>
      </c>
      <c r="AL11" s="345">
        <f t="shared" si="12"/>
        <v>70.914433416612326</v>
      </c>
      <c r="AM11" s="343">
        <v>0</v>
      </c>
      <c r="AN11" s="344">
        <v>100</v>
      </c>
      <c r="AO11" s="344">
        <v>0</v>
      </c>
      <c r="AP11" s="345">
        <f t="shared" si="9"/>
        <v>100</v>
      </c>
      <c r="AQ11" s="343">
        <v>98.650514106524795</v>
      </c>
      <c r="AR11" s="344">
        <v>99.4</v>
      </c>
      <c r="AS11" s="345">
        <f t="shared" si="10"/>
        <v>99.025257053262408</v>
      </c>
      <c r="AT11" s="343">
        <v>166.92840058927101</v>
      </c>
      <c r="AU11" s="343">
        <v>3.4772684273834897E-2</v>
      </c>
      <c r="AV11" s="343">
        <v>1505.42653675164</v>
      </c>
      <c r="AW11" s="351">
        <f t="shared" si="11"/>
        <v>74.0606632277199</v>
      </c>
      <c r="AX11" s="293"/>
      <c r="AY11" s="121"/>
    </row>
    <row r="12" spans="1:52" s="5" customFormat="1" ht="15.75" customHeight="1" x14ac:dyDescent="0.2">
      <c r="A12" s="294">
        <v>8</v>
      </c>
      <c r="B12" s="295" t="s">
        <v>13</v>
      </c>
      <c r="C12" s="299" t="s">
        <v>19</v>
      </c>
      <c r="D12" s="142" t="s">
        <v>296</v>
      </c>
      <c r="E12" s="172" t="s">
        <v>305</v>
      </c>
      <c r="F12" s="177" t="s">
        <v>92</v>
      </c>
      <c r="G12" s="341">
        <f t="shared" si="0"/>
        <v>87.335325767671492</v>
      </c>
      <c r="H12" s="342">
        <f t="shared" si="1"/>
        <v>81.075251557294393</v>
      </c>
      <c r="I12" s="342">
        <f t="shared" si="2"/>
        <v>93.595399978048576</v>
      </c>
      <c r="J12" s="343">
        <v>45.380499999999998</v>
      </c>
      <c r="K12" s="344">
        <v>124.663</v>
      </c>
      <c r="L12" s="344">
        <v>92.012557160905899</v>
      </c>
      <c r="M12" s="344">
        <v>93.49999579</v>
      </c>
      <c r="N12" s="345">
        <f t="shared" si="3"/>
        <v>88.350654904393139</v>
      </c>
      <c r="O12" s="343">
        <f t="shared" si="4"/>
        <v>3.184232536376741</v>
      </c>
      <c r="P12" s="346">
        <v>269234</v>
      </c>
      <c r="Q12" s="346">
        <v>84552242</v>
      </c>
      <c r="R12" s="344">
        <v>0.1</v>
      </c>
      <c r="S12" s="344">
        <v>0</v>
      </c>
      <c r="T12" s="347">
        <v>14</v>
      </c>
      <c r="U12" s="345">
        <f t="shared" si="5"/>
        <v>87.16439622308414</v>
      </c>
      <c r="V12" s="343">
        <f t="shared" si="13"/>
        <v>305.04889509612292</v>
      </c>
      <c r="W12" s="348">
        <v>25792.567999999999</v>
      </c>
      <c r="X12" s="346">
        <v>84552242</v>
      </c>
      <c r="Y12" s="344">
        <v>0.6</v>
      </c>
      <c r="Z12" s="345">
        <f t="shared" si="6"/>
        <v>91.342699054665431</v>
      </c>
      <c r="AA12" s="343">
        <v>4.0666666666666664</v>
      </c>
      <c r="AB12" s="343">
        <f t="shared" ref="AB12:AB18" si="14">AC12/AD12</f>
        <v>0.94852093927917369</v>
      </c>
      <c r="AC12" s="346">
        <v>80199572</v>
      </c>
      <c r="AD12" s="346">
        <v>84552242</v>
      </c>
      <c r="AE12" s="344">
        <v>15.333333333333334</v>
      </c>
      <c r="AF12" s="343">
        <v>305.06</v>
      </c>
      <c r="AG12" s="344">
        <v>5.6</v>
      </c>
      <c r="AH12" s="343">
        <v>5.46</v>
      </c>
      <c r="AI12" s="343">
        <f t="shared" si="8"/>
        <v>2.3742236469275024</v>
      </c>
      <c r="AJ12" s="346">
        <v>829530</v>
      </c>
      <c r="AK12" s="346">
        <v>349390</v>
      </c>
      <c r="AL12" s="345">
        <f t="shared" si="12"/>
        <v>69.710700169405456</v>
      </c>
      <c r="AM12" s="343">
        <v>0</v>
      </c>
      <c r="AN12" s="344">
        <v>100</v>
      </c>
      <c r="AO12" s="344">
        <v>0.2</v>
      </c>
      <c r="AP12" s="345">
        <f t="shared" si="9"/>
        <v>99.017746965848772</v>
      </c>
      <c r="AQ12" s="343">
        <v>98.2983235670699</v>
      </c>
      <c r="AR12" s="344">
        <v>100</v>
      </c>
      <c r="AS12" s="345">
        <f t="shared" si="10"/>
        <v>99.14916178353495</v>
      </c>
      <c r="AT12" s="343">
        <v>205.892394068594</v>
      </c>
      <c r="AU12" s="343">
        <v>0.244496919430161</v>
      </c>
      <c r="AV12" s="343">
        <v>1558.63510090612</v>
      </c>
      <c r="AW12" s="351">
        <f t="shared" si="11"/>
        <v>71.77459720916157</v>
      </c>
      <c r="AX12" s="293"/>
      <c r="AY12" s="121"/>
    </row>
    <row r="13" spans="1:52" s="5" customFormat="1" ht="15.75" customHeight="1" x14ac:dyDescent="0.2">
      <c r="A13" s="294">
        <v>9</v>
      </c>
      <c r="B13" s="307" t="s">
        <v>10</v>
      </c>
      <c r="C13" s="311" t="s">
        <v>887</v>
      </c>
      <c r="D13" s="147" t="s">
        <v>301</v>
      </c>
      <c r="E13" s="172" t="s">
        <v>305</v>
      </c>
      <c r="F13" s="177" t="s">
        <v>113</v>
      </c>
      <c r="G13" s="341">
        <f t="shared" si="0"/>
        <v>86.629306394297032</v>
      </c>
      <c r="H13" s="342">
        <f t="shared" si="1"/>
        <v>80.50039707791052</v>
      </c>
      <c r="I13" s="342">
        <f t="shared" si="2"/>
        <v>92.75821571068353</v>
      </c>
      <c r="J13" s="343">
        <v>38.6312</v>
      </c>
      <c r="K13" s="344">
        <v>178.43199999999999</v>
      </c>
      <c r="L13" s="344">
        <v>87.7410807524804</v>
      </c>
      <c r="M13" s="344">
        <v>85.541530809999998</v>
      </c>
      <c r="N13" s="345">
        <f t="shared" si="3"/>
        <v>81.461052890620095</v>
      </c>
      <c r="O13" s="343">
        <f t="shared" si="4"/>
        <v>3.073823454568684</v>
      </c>
      <c r="P13" s="346">
        <v>380395</v>
      </c>
      <c r="Q13" s="346">
        <v>123753041</v>
      </c>
      <c r="R13" s="352">
        <v>0</v>
      </c>
      <c r="S13" s="352">
        <v>0</v>
      </c>
      <c r="T13" s="353">
        <v>1</v>
      </c>
      <c r="U13" s="345">
        <f t="shared" si="5"/>
        <v>89.790965584664477</v>
      </c>
      <c r="V13" s="343">
        <f t="shared" si="13"/>
        <v>644.02457794956331</v>
      </c>
      <c r="W13" s="348">
        <v>79700</v>
      </c>
      <c r="X13" s="346">
        <v>123753041</v>
      </c>
      <c r="Y13" s="352">
        <v>3.6</v>
      </c>
      <c r="Z13" s="345">
        <f t="shared" si="6"/>
        <v>89.095111467088174</v>
      </c>
      <c r="AA13" s="343">
        <v>3.9166666666666665</v>
      </c>
      <c r="AB13" s="343">
        <f t="shared" si="14"/>
        <v>0.97214558145686292</v>
      </c>
      <c r="AC13" s="346">
        <v>120305972</v>
      </c>
      <c r="AD13" s="346">
        <v>123753041</v>
      </c>
      <c r="AE13" s="344">
        <v>80</v>
      </c>
      <c r="AF13" s="343">
        <v>420.86</v>
      </c>
      <c r="AG13" s="352">
        <v>5.2</v>
      </c>
      <c r="AH13" s="343">
        <v>6.02</v>
      </c>
      <c r="AI13" s="343">
        <f t="shared" si="8"/>
        <v>3.3775985294319382</v>
      </c>
      <c r="AJ13" s="346">
        <v>1231084</v>
      </c>
      <c r="AK13" s="346">
        <v>364485</v>
      </c>
      <c r="AL13" s="345">
        <f t="shared" si="12"/>
        <v>75.068420541218046</v>
      </c>
      <c r="AM13" s="343">
        <v>2</v>
      </c>
      <c r="AN13" s="344">
        <v>100</v>
      </c>
      <c r="AO13" s="344">
        <v>0</v>
      </c>
      <c r="AP13" s="345">
        <f t="shared" si="9"/>
        <v>99.714285714285708</v>
      </c>
      <c r="AQ13" s="343">
        <v>98.523559209177904</v>
      </c>
      <c r="AR13" s="344">
        <v>100</v>
      </c>
      <c r="AS13" s="345">
        <f t="shared" si="10"/>
        <v>99.261779604588952</v>
      </c>
      <c r="AT13" s="343">
        <v>143.46834541705201</v>
      </c>
      <c r="AU13" s="343">
        <v>1.8117485853936599</v>
      </c>
      <c r="AV13" s="343">
        <v>1090.2218419094099</v>
      </c>
      <c r="AW13" s="351">
        <f t="shared" si="11"/>
        <v>65.386441805971558</v>
      </c>
      <c r="AX13" s="293"/>
      <c r="AY13" s="121"/>
    </row>
    <row r="14" spans="1:52" s="5" customFormat="1" ht="15.75" customHeight="1" x14ac:dyDescent="0.2">
      <c r="A14" s="294">
        <v>10</v>
      </c>
      <c r="B14" s="295" t="s">
        <v>13</v>
      </c>
      <c r="C14" s="299" t="s">
        <v>19</v>
      </c>
      <c r="D14" s="142" t="s">
        <v>296</v>
      </c>
      <c r="E14" s="172" t="s">
        <v>305</v>
      </c>
      <c r="F14" s="177" t="s">
        <v>199</v>
      </c>
      <c r="G14" s="341">
        <f t="shared" si="0"/>
        <v>86.529108303558914</v>
      </c>
      <c r="H14" s="342">
        <f t="shared" si="1"/>
        <v>78.569062990444039</v>
      </c>
      <c r="I14" s="342">
        <f t="shared" si="2"/>
        <v>94.489153616673789</v>
      </c>
      <c r="J14" s="343">
        <v>40.734000000000002</v>
      </c>
      <c r="K14" s="344">
        <v>140.26599999999999</v>
      </c>
      <c r="L14" s="344">
        <v>90.382120845046899</v>
      </c>
      <c r="M14" s="344">
        <v>95.529304280000005</v>
      </c>
      <c r="N14" s="345">
        <f t="shared" si="3"/>
        <v>85.098389614595064</v>
      </c>
      <c r="O14" s="343">
        <f t="shared" si="4"/>
        <v>4.8564160324706354</v>
      </c>
      <c r="P14" s="346">
        <v>51512</v>
      </c>
      <c r="Q14" s="346">
        <v>10606999</v>
      </c>
      <c r="R14" s="344">
        <v>0.1</v>
      </c>
      <c r="S14" s="344">
        <v>0</v>
      </c>
      <c r="T14" s="347">
        <v>60</v>
      </c>
      <c r="U14" s="345">
        <f t="shared" si="5"/>
        <v>82.761904761904745</v>
      </c>
      <c r="V14" s="343">
        <f t="shared" si="13"/>
        <v>234.09071689362844</v>
      </c>
      <c r="W14" s="348">
        <v>2483</v>
      </c>
      <c r="X14" s="346">
        <v>10606999</v>
      </c>
      <c r="Y14" s="344">
        <v>1.1000000000000001</v>
      </c>
      <c r="Z14" s="345">
        <f t="shared" si="6"/>
        <v>89.794646933639186</v>
      </c>
      <c r="AA14" s="343">
        <v>4.0166666666666666</v>
      </c>
      <c r="AB14" s="343">
        <f t="shared" si="14"/>
        <v>1.843551696384623</v>
      </c>
      <c r="AC14" s="346">
        <v>19554551</v>
      </c>
      <c r="AD14" s="346">
        <v>10606999</v>
      </c>
      <c r="AE14" s="344">
        <v>24</v>
      </c>
      <c r="AF14" s="343">
        <v>115.56</v>
      </c>
      <c r="AG14" s="344">
        <v>8.8000000000000007</v>
      </c>
      <c r="AH14" s="343">
        <v>5.57</v>
      </c>
      <c r="AI14" s="343">
        <f t="shared" si="8"/>
        <v>0.52958132408835112</v>
      </c>
      <c r="AJ14" s="346">
        <v>215690</v>
      </c>
      <c r="AK14" s="346">
        <v>407284</v>
      </c>
      <c r="AL14" s="345">
        <f t="shared" si="12"/>
        <v>68.185129937629057</v>
      </c>
      <c r="AM14" s="343">
        <v>0.34</v>
      </c>
      <c r="AN14" s="344">
        <v>100</v>
      </c>
      <c r="AO14" s="344">
        <v>0</v>
      </c>
      <c r="AP14" s="345">
        <f t="shared" si="9"/>
        <v>99.951428571428565</v>
      </c>
      <c r="AQ14" s="343">
        <v>98.565494514574496</v>
      </c>
      <c r="AR14" s="344">
        <v>99.6</v>
      </c>
      <c r="AS14" s="345">
        <f t="shared" si="10"/>
        <v>99.082747257287252</v>
      </c>
      <c r="AT14" s="343">
        <v>150.20749777697699</v>
      </c>
      <c r="AU14" s="343">
        <v>0.107839081603145</v>
      </c>
      <c r="AV14" s="343">
        <v>1590.2438197112101</v>
      </c>
      <c r="AW14" s="351">
        <f t="shared" si="11"/>
        <v>73.508735111796014</v>
      </c>
      <c r="AX14" s="293"/>
      <c r="AY14" s="121"/>
    </row>
    <row r="15" spans="1:52" s="5" customFormat="1" ht="15.75" customHeight="1" x14ac:dyDescent="0.2">
      <c r="A15" s="294">
        <v>11</v>
      </c>
      <c r="B15" s="307" t="s">
        <v>10</v>
      </c>
      <c r="C15" s="311" t="s">
        <v>887</v>
      </c>
      <c r="D15" s="147" t="s">
        <v>301</v>
      </c>
      <c r="E15" s="172" t="s">
        <v>305</v>
      </c>
      <c r="F15" s="177" t="s">
        <v>121</v>
      </c>
      <c r="G15" s="341">
        <f t="shared" si="0"/>
        <v>86.458249787218563</v>
      </c>
      <c r="H15" s="342">
        <f t="shared" si="1"/>
        <v>82.662992648018701</v>
      </c>
      <c r="I15" s="342">
        <f t="shared" si="2"/>
        <v>90.25350692641841</v>
      </c>
      <c r="J15" s="343">
        <v>46.567599999999999</v>
      </c>
      <c r="K15" s="344">
        <v>162.114</v>
      </c>
      <c r="L15" s="344">
        <v>85.2188409312582</v>
      </c>
      <c r="M15" s="344">
        <v>97.895637769999993</v>
      </c>
      <c r="N15" s="345">
        <f t="shared" si="3"/>
        <v>89.98875300864789</v>
      </c>
      <c r="O15" s="343">
        <f t="shared" si="4"/>
        <v>2.9758540566178739</v>
      </c>
      <c r="P15" s="346">
        <v>153904</v>
      </c>
      <c r="Q15" s="346">
        <v>51717590</v>
      </c>
      <c r="R15" s="352">
        <v>0</v>
      </c>
      <c r="S15" s="352">
        <v>0</v>
      </c>
      <c r="T15" s="353">
        <v>1</v>
      </c>
      <c r="U15" s="345">
        <f t="shared" si="5"/>
        <v>88.741293463762943</v>
      </c>
      <c r="V15" s="343">
        <f t="shared" si="13"/>
        <v>564.54680119471925</v>
      </c>
      <c r="W15" s="348">
        <v>29197</v>
      </c>
      <c r="X15" s="346">
        <v>51717590</v>
      </c>
      <c r="Y15" s="352">
        <v>3.6</v>
      </c>
      <c r="Z15" s="345">
        <f t="shared" si="6"/>
        <v>88.698099126572856</v>
      </c>
      <c r="AA15" s="343">
        <v>3.8000000000000003</v>
      </c>
      <c r="AB15" s="343">
        <f t="shared" si="14"/>
        <v>1.4747874732175263</v>
      </c>
      <c r="AC15" s="346">
        <v>76272453.877000004</v>
      </c>
      <c r="AD15" s="346">
        <v>51717590</v>
      </c>
      <c r="AE15" s="344">
        <v>93.333333333333329</v>
      </c>
      <c r="AF15" s="343">
        <v>640.27</v>
      </c>
      <c r="AG15" s="352">
        <v>5.2</v>
      </c>
      <c r="AH15" s="343">
        <v>5.73</v>
      </c>
      <c r="AI15" s="343">
        <f t="shared" si="8"/>
        <v>1.0978381147540983</v>
      </c>
      <c r="AJ15" s="346">
        <v>107149</v>
      </c>
      <c r="AK15" s="346">
        <v>97600</v>
      </c>
      <c r="AL15" s="345">
        <f t="shared" si="12"/>
        <v>72.308880463814901</v>
      </c>
      <c r="AM15" s="343">
        <v>4.5</v>
      </c>
      <c r="AN15" s="344">
        <v>100</v>
      </c>
      <c r="AO15" s="344">
        <v>0</v>
      </c>
      <c r="AP15" s="345">
        <f t="shared" si="9"/>
        <v>99.357142857142861</v>
      </c>
      <c r="AQ15" s="343">
        <v>96.894944888496099</v>
      </c>
      <c r="AR15" s="344">
        <v>100</v>
      </c>
      <c r="AS15" s="345">
        <f t="shared" si="10"/>
        <v>98.447472444248049</v>
      </c>
      <c r="AT15" s="343">
        <v>332.53407362153399</v>
      </c>
      <c r="AU15" s="343">
        <v>5.8153123731740601</v>
      </c>
      <c r="AV15" s="343">
        <v>1295.9639509486999</v>
      </c>
      <c r="AW15" s="351">
        <f t="shared" si="11"/>
        <v>54.748633616415454</v>
      </c>
      <c r="AX15" s="293"/>
      <c r="AY15" s="121"/>
    </row>
    <row r="16" spans="1:52" s="5" customFormat="1" ht="15.75" customHeight="1" x14ac:dyDescent="0.2">
      <c r="A16" s="294">
        <v>12</v>
      </c>
      <c r="B16" s="295" t="s">
        <v>13</v>
      </c>
      <c r="C16" s="299" t="s">
        <v>19</v>
      </c>
      <c r="D16" s="142" t="s">
        <v>296</v>
      </c>
      <c r="E16" s="149" t="s">
        <v>305</v>
      </c>
      <c r="F16" s="177" t="s">
        <v>133</v>
      </c>
      <c r="G16" s="341">
        <f t="shared" si="0"/>
        <v>86.08961083793298</v>
      </c>
      <c r="H16" s="342">
        <f t="shared" si="1"/>
        <v>78.724028377450395</v>
      </c>
      <c r="I16" s="342">
        <f t="shared" si="2"/>
        <v>93.45519329841558</v>
      </c>
      <c r="J16" s="343">
        <v>38.79188083333333</v>
      </c>
      <c r="K16" s="344">
        <v>144.47499999999999</v>
      </c>
      <c r="L16" s="344">
        <v>89.255628161579097</v>
      </c>
      <c r="M16" s="344">
        <v>98.760614700000005</v>
      </c>
      <c r="N16" s="345">
        <f t="shared" si="3"/>
        <v>84.146461409839219</v>
      </c>
      <c r="O16" s="343">
        <f t="shared" si="4"/>
        <v>3.1469341907416544</v>
      </c>
      <c r="P16" s="346">
        <v>2118</v>
      </c>
      <c r="Q16" s="346">
        <v>673036</v>
      </c>
      <c r="R16" s="344">
        <v>0.1</v>
      </c>
      <c r="S16" s="344">
        <v>0</v>
      </c>
      <c r="T16" s="347">
        <v>5</v>
      </c>
      <c r="U16" s="345">
        <f t="shared" si="5"/>
        <v>89.336199662708196</v>
      </c>
      <c r="V16" s="343">
        <f t="shared" si="13"/>
        <v>70.932312684611219</v>
      </c>
      <c r="W16" s="348">
        <v>47.74</v>
      </c>
      <c r="X16" s="346">
        <v>673036</v>
      </c>
      <c r="Y16" s="352">
        <v>2.2999999999999998</v>
      </c>
      <c r="Z16" s="345">
        <f t="shared" si="6"/>
        <v>84.39573358243932</v>
      </c>
      <c r="AA16" s="343">
        <v>3.6166666666666671</v>
      </c>
      <c r="AB16" s="343">
        <f t="shared" si="14"/>
        <v>3.6516366271640743</v>
      </c>
      <c r="AC16" s="346">
        <v>2457682.909</v>
      </c>
      <c r="AD16" s="346">
        <v>673036</v>
      </c>
      <c r="AE16" s="349" t="s">
        <v>931</v>
      </c>
      <c r="AF16" s="349" t="s">
        <v>931</v>
      </c>
      <c r="AG16" s="344">
        <v>12.6</v>
      </c>
      <c r="AH16" s="343">
        <v>5.34</v>
      </c>
      <c r="AI16" s="343">
        <f t="shared" si="8"/>
        <v>1.132090132090132</v>
      </c>
      <c r="AJ16" s="346">
        <v>2914</v>
      </c>
      <c r="AK16" s="346">
        <v>2574</v>
      </c>
      <c r="AL16" s="345">
        <f>((AA16/4.5)*100*1.5+(LN(MIN(AB16,5)+1)/LN(5+1))*100+(MAX((60-AG16),0))/60*100*0.5+((AH16-1)/(7-1))*100*2+(LN(MIN(AI16,20)+1)/LN(20+1))*100)/6</f>
        <v>69.230626222499879</v>
      </c>
      <c r="AM16" s="343">
        <v>0.02</v>
      </c>
      <c r="AN16" s="344">
        <v>100</v>
      </c>
      <c r="AO16" s="344">
        <v>0</v>
      </c>
      <c r="AP16" s="345">
        <f t="shared" si="9"/>
        <v>99.997142857142862</v>
      </c>
      <c r="AQ16" s="350">
        <v>89.778840512041995</v>
      </c>
      <c r="AR16" s="344">
        <v>100</v>
      </c>
      <c r="AS16" s="345">
        <f t="shared" si="10"/>
        <v>94.889420256020998</v>
      </c>
      <c r="AT16" s="343">
        <v>236.57734720355799</v>
      </c>
      <c r="AU16" s="343">
        <v>0.107712063806941</v>
      </c>
      <c r="AV16" s="343">
        <v>1731.90971244602</v>
      </c>
      <c r="AW16" s="351">
        <f t="shared" si="11"/>
        <v>72.395117664628259</v>
      </c>
      <c r="AX16" s="293"/>
      <c r="AY16" s="121"/>
    </row>
    <row r="17" spans="1:51" s="5" customFormat="1" ht="15.75" customHeight="1" x14ac:dyDescent="0.2">
      <c r="A17" s="294">
        <v>13</v>
      </c>
      <c r="B17" s="301" t="s">
        <v>23</v>
      </c>
      <c r="C17" s="312" t="s">
        <v>57</v>
      </c>
      <c r="D17" s="142" t="s">
        <v>296</v>
      </c>
      <c r="E17" s="149" t="s">
        <v>305</v>
      </c>
      <c r="F17" s="177" t="s">
        <v>217</v>
      </c>
      <c r="G17" s="341">
        <f t="shared" si="0"/>
        <v>86.062667585026844</v>
      </c>
      <c r="H17" s="342">
        <f t="shared" si="1"/>
        <v>80.56994124900308</v>
      </c>
      <c r="I17" s="342">
        <f t="shared" si="2"/>
        <v>91.555393921050594</v>
      </c>
      <c r="J17" s="343">
        <v>38.147500000000001</v>
      </c>
      <c r="K17" s="344">
        <v>112.411</v>
      </c>
      <c r="L17" s="344">
        <v>91.332603993322095</v>
      </c>
      <c r="M17" s="344">
        <v>94.693801879999995</v>
      </c>
      <c r="N17" s="345">
        <f t="shared" si="3"/>
        <v>82.04321813499719</v>
      </c>
      <c r="O17" s="343">
        <f t="shared" si="4"/>
        <v>3.6778873041587761</v>
      </c>
      <c r="P17" s="346">
        <v>1270440</v>
      </c>
      <c r="Q17" s="346">
        <v>345426571</v>
      </c>
      <c r="R17" s="344">
        <v>0.2</v>
      </c>
      <c r="S17" s="344">
        <v>0</v>
      </c>
      <c r="T17" s="347">
        <v>21</v>
      </c>
      <c r="U17" s="345">
        <f t="shared" si="5"/>
        <v>90.358316354082135</v>
      </c>
      <c r="V17" s="343">
        <f t="shared" si="13"/>
        <v>1286.2067869121743</v>
      </c>
      <c r="W17" s="348">
        <v>444290</v>
      </c>
      <c r="X17" s="346">
        <v>345426571</v>
      </c>
      <c r="Y17" s="344">
        <v>2.7</v>
      </c>
      <c r="Z17" s="345">
        <f t="shared" si="6"/>
        <v>92.530087535848196</v>
      </c>
      <c r="AA17" s="343">
        <v>3.8166666666666669</v>
      </c>
      <c r="AB17" s="343">
        <f t="shared" si="14"/>
        <v>2.7257804669577661</v>
      </c>
      <c r="AC17" s="346">
        <v>941557000</v>
      </c>
      <c r="AD17" s="346">
        <v>345426571</v>
      </c>
      <c r="AE17" s="344">
        <v>60.666666666666664</v>
      </c>
      <c r="AF17" s="343">
        <v>493.77</v>
      </c>
      <c r="AG17" s="344">
        <v>10.199999999999999</v>
      </c>
      <c r="AH17" s="343">
        <v>5.87</v>
      </c>
      <c r="AI17" s="343">
        <f t="shared" si="8"/>
        <v>0.72648422377340138</v>
      </c>
      <c r="AJ17" s="346">
        <v>6645582</v>
      </c>
      <c r="AK17" s="346">
        <v>9147593</v>
      </c>
      <c r="AL17" s="345">
        <f>((AA17/4.5)*100*1.5+(LN(MIN(AB17,5)+1)/LN(5+1))*100+((AE17-(-300))/(150-(-300)))*100+(LN(MIN(AF17,500))/LN(500))*100*0.5+(MAX((60-AG17),0))/60*100*0.5+((AH17-1)/(7-1))*100*2+(LN(MIN(AI17,20)+1)/LN(20+1))*100)/7.5</f>
        <v>73.659534015027944</v>
      </c>
      <c r="AM17" s="343">
        <v>1.1000000000000001</v>
      </c>
      <c r="AN17" s="344">
        <v>100</v>
      </c>
      <c r="AO17" s="344">
        <v>0</v>
      </c>
      <c r="AP17" s="345">
        <f t="shared" si="9"/>
        <v>99.842857142857142</v>
      </c>
      <c r="AQ17" s="343">
        <v>97.023098329058897</v>
      </c>
      <c r="AR17" s="344">
        <v>99.8</v>
      </c>
      <c r="AS17" s="345">
        <f t="shared" si="10"/>
        <v>98.411549164529447</v>
      </c>
      <c r="AT17" s="343">
        <v>813.46791515647806</v>
      </c>
      <c r="AU17" s="343">
        <v>2.1118572829642699</v>
      </c>
      <c r="AV17" s="343">
        <v>1754.43589833132</v>
      </c>
      <c r="AW17" s="351">
        <f t="shared" si="11"/>
        <v>59.836849012152129</v>
      </c>
      <c r="AX17" s="293"/>
      <c r="AY17" s="121"/>
    </row>
    <row r="18" spans="1:51" s="5" customFormat="1" ht="15.75" customHeight="1" x14ac:dyDescent="0.2">
      <c r="A18" s="294">
        <v>14</v>
      </c>
      <c r="B18" s="295" t="s">
        <v>13</v>
      </c>
      <c r="C18" s="299" t="s">
        <v>19</v>
      </c>
      <c r="D18" s="142" t="s">
        <v>296</v>
      </c>
      <c r="E18" s="149" t="s">
        <v>305</v>
      </c>
      <c r="F18" s="177" t="s">
        <v>88</v>
      </c>
      <c r="G18" s="341">
        <f t="shared" si="0"/>
        <v>86.045757665333866</v>
      </c>
      <c r="H18" s="342">
        <f t="shared" si="1"/>
        <v>78.304671497619552</v>
      </c>
      <c r="I18" s="342">
        <f t="shared" si="2"/>
        <v>93.786843833048181</v>
      </c>
      <c r="J18" s="343">
        <v>48.668799999999997</v>
      </c>
      <c r="K18" s="344">
        <v>116.688</v>
      </c>
      <c r="L18" s="344">
        <v>89.588618004290694</v>
      </c>
      <c r="M18" s="344">
        <v>88.653816379999995</v>
      </c>
      <c r="N18" s="345">
        <f t="shared" si="3"/>
        <v>89.007541929406003</v>
      </c>
      <c r="O18" s="343">
        <f t="shared" si="4"/>
        <v>2.296880169277367</v>
      </c>
      <c r="P18" s="346">
        <v>152854</v>
      </c>
      <c r="Q18" s="346">
        <v>66548530.499999993</v>
      </c>
      <c r="R18" s="344">
        <v>0.1</v>
      </c>
      <c r="S18" s="344">
        <v>0</v>
      </c>
      <c r="T18" s="347">
        <v>60</v>
      </c>
      <c r="U18" s="345">
        <f t="shared" si="5"/>
        <v>64.514192289876547</v>
      </c>
      <c r="V18" s="343">
        <f t="shared" si="13"/>
        <v>367.06535541006429</v>
      </c>
      <c r="W18" s="348">
        <v>24427.66</v>
      </c>
      <c r="X18" s="346">
        <v>66548530.499999993</v>
      </c>
      <c r="Y18" s="352">
        <v>2.2999999999999998</v>
      </c>
      <c r="Z18" s="345">
        <f t="shared" si="6"/>
        <v>89.350532214634654</v>
      </c>
      <c r="AA18" s="343">
        <v>3.85</v>
      </c>
      <c r="AB18" s="343">
        <f t="shared" si="14"/>
        <v>0.97139208806421362</v>
      </c>
      <c r="AC18" s="346">
        <v>64644716</v>
      </c>
      <c r="AD18" s="346">
        <v>66548530.499999993</v>
      </c>
      <c r="AE18" s="344">
        <v>20.333333333333332</v>
      </c>
      <c r="AF18" s="343">
        <v>264.89999999999998</v>
      </c>
      <c r="AG18" s="344">
        <v>26.3</v>
      </c>
      <c r="AH18" s="343">
        <v>5.96</v>
      </c>
      <c r="AI18" s="343">
        <f t="shared" si="8"/>
        <v>2.0339291234067312</v>
      </c>
      <c r="AJ18" s="346">
        <v>1118600</v>
      </c>
      <c r="AK18" s="346">
        <v>549970</v>
      </c>
      <c r="AL18" s="345">
        <f>((AA18/4.5)*100*1.5+(LN(MIN(AB18,5)+1)/LN(5+1))*100+((AE18-(-300))/(150-(-300)))*100+(LN(MIN(AF18,500))/LN(500))*100*0.5+(MAX((60-AG18),0))/60*100*0.5+((AH18-1)/(7-1))*100*2+(LN(MIN(AI18,20)+1)/LN(20+1))*100)/7.5</f>
        <v>68.287955688515069</v>
      </c>
      <c r="AM18" s="343">
        <v>0</v>
      </c>
      <c r="AN18" s="344">
        <v>100</v>
      </c>
      <c r="AO18" s="344">
        <v>0</v>
      </c>
      <c r="AP18" s="345">
        <f t="shared" si="9"/>
        <v>100</v>
      </c>
      <c r="AQ18" s="343">
        <v>99.190237235020604</v>
      </c>
      <c r="AR18" s="344">
        <v>98.3</v>
      </c>
      <c r="AS18" s="345">
        <f t="shared" si="10"/>
        <v>98.7451186175103</v>
      </c>
      <c r="AT18" s="343">
        <v>303.93451675854499</v>
      </c>
      <c r="AU18" s="343">
        <v>0.28896974296024802</v>
      </c>
      <c r="AV18" s="343">
        <v>1932.8699857583099</v>
      </c>
      <c r="AW18" s="351">
        <f t="shared" si="11"/>
        <v>70.189100547730632</v>
      </c>
      <c r="AX18" s="293"/>
      <c r="AY18" s="121"/>
    </row>
    <row r="19" spans="1:51" s="5" customFormat="1" ht="15.75" customHeight="1" x14ac:dyDescent="0.2">
      <c r="A19" s="294">
        <v>15</v>
      </c>
      <c r="B19" s="295" t="s">
        <v>13</v>
      </c>
      <c r="C19" s="299" t="s">
        <v>19</v>
      </c>
      <c r="D19" s="142" t="s">
        <v>296</v>
      </c>
      <c r="E19" s="172" t="s">
        <v>305</v>
      </c>
      <c r="F19" s="177" t="s">
        <v>131</v>
      </c>
      <c r="G19" s="341">
        <f t="shared" si="0"/>
        <v>85.999158481543589</v>
      </c>
      <c r="H19" s="342">
        <f t="shared" si="1"/>
        <v>79.199492812163271</v>
      </c>
      <c r="I19" s="342">
        <f t="shared" si="2"/>
        <v>92.79882415092392</v>
      </c>
      <c r="J19" s="343">
        <v>49.406500000000001</v>
      </c>
      <c r="K19" s="344">
        <v>127.059</v>
      </c>
      <c r="L19" s="352">
        <v>90.470876237667767</v>
      </c>
      <c r="M19" s="344">
        <v>98.264198300000004</v>
      </c>
      <c r="N19" s="345">
        <f t="shared" si="3"/>
        <v>92.591151967750264</v>
      </c>
      <c r="O19" s="343">
        <f t="shared" si="4"/>
        <v>1.1537496864810635</v>
      </c>
      <c r="P19" s="346">
        <v>46</v>
      </c>
      <c r="Q19" s="346">
        <v>39870</v>
      </c>
      <c r="R19" s="352">
        <v>0.2</v>
      </c>
      <c r="S19" s="352">
        <v>0</v>
      </c>
      <c r="T19" s="353">
        <v>30</v>
      </c>
      <c r="U19" s="345">
        <f t="shared" si="5"/>
        <v>60.742556164678057</v>
      </c>
      <c r="V19" s="350">
        <v>366.30905801961171</v>
      </c>
      <c r="W19" s="348"/>
      <c r="X19" s="346">
        <v>39870</v>
      </c>
      <c r="Y19" s="352">
        <v>2.2999999999999998</v>
      </c>
      <c r="Z19" s="345">
        <f t="shared" si="6"/>
        <v>89.344315364818215</v>
      </c>
      <c r="AA19" s="350">
        <v>3.6166666666666671</v>
      </c>
      <c r="AB19" s="350">
        <v>1.7373487109628001</v>
      </c>
      <c r="AC19" s="346"/>
      <c r="AD19" s="346">
        <v>39870</v>
      </c>
      <c r="AE19" s="349" t="s">
        <v>931</v>
      </c>
      <c r="AF19" s="349" t="s">
        <v>931</v>
      </c>
      <c r="AG19" s="352">
        <v>12.6</v>
      </c>
      <c r="AH19" s="350">
        <v>4.9210565604016052</v>
      </c>
      <c r="AI19" s="343">
        <f t="shared" si="8"/>
        <v>5.28125</v>
      </c>
      <c r="AJ19" s="346">
        <v>845</v>
      </c>
      <c r="AK19" s="346">
        <v>160</v>
      </c>
      <c r="AL19" s="345">
        <f>((AA19/4.5)*100*1.5+(LN(MIN(AB19,5)+1)/LN(5+1))*100+(MAX((60-AG19),0))/60*100*0.5+((AH19-1)/(7-1))*100*2+(LN(MIN(AI19,20)+1)/LN(20+1))*100)/6</f>
        <v>67.885862180283837</v>
      </c>
      <c r="AM19" s="350">
        <v>0.05</v>
      </c>
      <c r="AN19" s="352">
        <v>100</v>
      </c>
      <c r="AO19" s="352">
        <v>0.1</v>
      </c>
      <c r="AP19" s="345">
        <f t="shared" si="9"/>
        <v>99.479375824769789</v>
      </c>
      <c r="AQ19" s="350">
        <v>89.720513681688914</v>
      </c>
      <c r="AR19" s="344">
        <v>100</v>
      </c>
      <c r="AS19" s="345">
        <f t="shared" si="10"/>
        <v>94.860256840844457</v>
      </c>
      <c r="AT19" s="350">
        <v>303.93451675854499</v>
      </c>
      <c r="AU19" s="350">
        <v>0.244496919430161</v>
      </c>
      <c r="AV19" s="350">
        <v>1780.3119422912</v>
      </c>
      <c r="AW19" s="351">
        <f t="shared" si="11"/>
        <v>70.695736439465819</v>
      </c>
      <c r="AX19" s="293"/>
      <c r="AY19" s="121"/>
    </row>
    <row r="20" spans="1:51" s="13" customFormat="1" ht="15.75" customHeight="1" x14ac:dyDescent="0.2">
      <c r="A20" s="294">
        <v>16</v>
      </c>
      <c r="B20" s="295" t="s">
        <v>13</v>
      </c>
      <c r="C20" s="299" t="s">
        <v>19</v>
      </c>
      <c r="D20" s="142" t="s">
        <v>296</v>
      </c>
      <c r="E20" s="149" t="s">
        <v>305</v>
      </c>
      <c r="F20" s="177" t="s">
        <v>87</v>
      </c>
      <c r="G20" s="341">
        <f t="shared" si="0"/>
        <v>85.786845486945325</v>
      </c>
      <c r="H20" s="342">
        <f t="shared" si="1"/>
        <v>77.296845238084146</v>
      </c>
      <c r="I20" s="342">
        <f t="shared" si="2"/>
        <v>94.276845735806504</v>
      </c>
      <c r="J20" s="343">
        <v>35.331800000000001</v>
      </c>
      <c r="K20" s="344">
        <v>127.473</v>
      </c>
      <c r="L20" s="344">
        <v>91.467358208388703</v>
      </c>
      <c r="M20" s="344">
        <v>93.724051959999997</v>
      </c>
      <c r="N20" s="345">
        <f t="shared" si="3"/>
        <v>79.990119208763829</v>
      </c>
      <c r="O20" s="343">
        <f t="shared" si="4"/>
        <v>4.2020109089572317</v>
      </c>
      <c r="P20" s="346">
        <v>23604</v>
      </c>
      <c r="Q20" s="346">
        <v>5617310.5</v>
      </c>
      <c r="R20" s="344">
        <v>0.2</v>
      </c>
      <c r="S20" s="344">
        <v>0</v>
      </c>
      <c r="T20" s="347">
        <v>1</v>
      </c>
      <c r="U20" s="345">
        <f t="shared" si="5"/>
        <v>99.523809523809533</v>
      </c>
      <c r="V20" s="343">
        <f>(W20*1000000)/X20</f>
        <v>534.06340988271882</v>
      </c>
      <c r="W20" s="348">
        <v>3000</v>
      </c>
      <c r="X20" s="346">
        <v>5617310.5</v>
      </c>
      <c r="Y20" s="352">
        <v>2.2999999999999998</v>
      </c>
      <c r="Z20" s="345">
        <f t="shared" si="6"/>
        <v>90.480784265634156</v>
      </c>
      <c r="AA20" s="343">
        <v>4.166666666666667</v>
      </c>
      <c r="AB20" s="343">
        <f>AC20/AD20</f>
        <v>1.9216523637067953</v>
      </c>
      <c r="AC20" s="346">
        <v>10794518</v>
      </c>
      <c r="AD20" s="346">
        <v>5617310.5</v>
      </c>
      <c r="AE20" s="344">
        <v>-0.33333333333333331</v>
      </c>
      <c r="AF20" s="343">
        <v>66.260000000000005</v>
      </c>
      <c r="AG20" s="344">
        <v>6.5</v>
      </c>
      <c r="AH20" s="343">
        <v>5.26</v>
      </c>
      <c r="AI20" s="343">
        <f t="shared" si="8"/>
        <v>0.25609005480308739</v>
      </c>
      <c r="AJ20" s="346">
        <v>77804</v>
      </c>
      <c r="AK20" s="346">
        <v>303815</v>
      </c>
      <c r="AL20" s="345">
        <f t="shared" ref="AL20:AL25" si="15">((AA20/4.5)*100*1.5+(LN(MIN(AB20,5)+1)/LN(5+1))*100+((AE20-(-300))/(150-(-300)))*100+(LN(MIN(AF20,500))/LN(500))*100*0.5+(MAX((60-AG20),0))/60*100*0.5+((AH20-1)/(7-1))*100*2+(LN(MIN(AI20,20)+1)/LN(20+1))*100)/7.5</f>
        <v>65.750845439085623</v>
      </c>
      <c r="AM20" s="343">
        <v>0</v>
      </c>
      <c r="AN20" s="344">
        <v>100</v>
      </c>
      <c r="AO20" s="344">
        <v>0</v>
      </c>
      <c r="AP20" s="345">
        <f t="shared" si="9"/>
        <v>100</v>
      </c>
      <c r="AQ20" s="343">
        <v>99.842681813057993</v>
      </c>
      <c r="AR20" s="344">
        <v>99.8</v>
      </c>
      <c r="AS20" s="345">
        <f t="shared" si="10"/>
        <v>99.821340906529002</v>
      </c>
      <c r="AT20" s="343">
        <v>197.33404789794</v>
      </c>
      <c r="AU20" s="343">
        <v>0.21802575180443101</v>
      </c>
      <c r="AV20" s="343">
        <v>1998.2257456126399</v>
      </c>
      <c r="AW20" s="351">
        <f t="shared" si="11"/>
        <v>71.56288777250353</v>
      </c>
      <c r="AX20" s="293"/>
      <c r="AY20" s="354"/>
    </row>
    <row r="21" spans="1:51" s="5" customFormat="1" ht="15.75" customHeight="1" x14ac:dyDescent="0.2">
      <c r="A21" s="294">
        <v>17</v>
      </c>
      <c r="B21" s="301" t="s">
        <v>23</v>
      </c>
      <c r="C21" s="312" t="s">
        <v>57</v>
      </c>
      <c r="D21" s="142" t="s">
        <v>296</v>
      </c>
      <c r="E21" s="149" t="s">
        <v>305</v>
      </c>
      <c r="F21" s="177" t="s">
        <v>58</v>
      </c>
      <c r="G21" s="341">
        <f t="shared" si="0"/>
        <v>85.718824424709851</v>
      </c>
      <c r="H21" s="342">
        <f t="shared" si="1"/>
        <v>78.376402642520375</v>
      </c>
      <c r="I21" s="342">
        <f t="shared" si="2"/>
        <v>93.061246206899327</v>
      </c>
      <c r="J21" s="343">
        <v>42.5242</v>
      </c>
      <c r="K21" s="344">
        <v>94.149699999999996</v>
      </c>
      <c r="L21" s="344">
        <v>88.176159509452205</v>
      </c>
      <c r="M21" s="344">
        <v>94.353301999999999</v>
      </c>
      <c r="N21" s="345">
        <f t="shared" si="3"/>
        <v>84.207522044029716</v>
      </c>
      <c r="O21" s="343">
        <f t="shared" si="4"/>
        <v>3.9061778557576878</v>
      </c>
      <c r="P21" s="346">
        <v>155241</v>
      </c>
      <c r="Q21" s="346">
        <v>39742430</v>
      </c>
      <c r="R21" s="344">
        <v>0.3</v>
      </c>
      <c r="S21" s="344">
        <v>0</v>
      </c>
      <c r="T21" s="347">
        <v>10</v>
      </c>
      <c r="U21" s="345">
        <f t="shared" si="5"/>
        <v>95.851905597403785</v>
      </c>
      <c r="V21" s="343">
        <f>(W21*1000000)/X21</f>
        <v>909.05362354541478</v>
      </c>
      <c r="W21" s="348">
        <v>36128</v>
      </c>
      <c r="X21" s="346">
        <v>39742430</v>
      </c>
      <c r="Y21" s="344">
        <v>3.8</v>
      </c>
      <c r="Z21" s="345">
        <f t="shared" si="6"/>
        <v>89.834010464859205</v>
      </c>
      <c r="AA21" s="343">
        <v>4.0500000000000007</v>
      </c>
      <c r="AB21" s="343">
        <f>AC21/AD21</f>
        <v>2.229808293051029</v>
      </c>
      <c r="AC21" s="346">
        <v>88618000</v>
      </c>
      <c r="AD21" s="346">
        <v>39742430</v>
      </c>
      <c r="AE21" s="344">
        <v>-8.6666666666666661</v>
      </c>
      <c r="AF21" s="343">
        <v>157.05000000000001</v>
      </c>
      <c r="AG21" s="344">
        <v>11.9</v>
      </c>
      <c r="AH21" s="343">
        <v>5.21</v>
      </c>
      <c r="AI21" s="343">
        <f t="shared" si="8"/>
        <v>0.11466621183664344</v>
      </c>
      <c r="AJ21" s="346">
        <v>1042718</v>
      </c>
      <c r="AK21" s="346">
        <v>9093507</v>
      </c>
      <c r="AL21" s="345">
        <f t="shared" si="15"/>
        <v>65.312005546705436</v>
      </c>
      <c r="AM21" s="343">
        <v>1.1000000000000001</v>
      </c>
      <c r="AN21" s="344">
        <v>100</v>
      </c>
      <c r="AO21" s="344">
        <v>0</v>
      </c>
      <c r="AP21" s="345">
        <f t="shared" si="9"/>
        <v>99.842857142857142</v>
      </c>
      <c r="AQ21" s="343">
        <v>98.4047126063262</v>
      </c>
      <c r="AR21" s="344">
        <v>99.5</v>
      </c>
      <c r="AS21" s="345">
        <f t="shared" si="10"/>
        <v>98.9523563031631</v>
      </c>
      <c r="AT21" s="343">
        <v>337.45065705007698</v>
      </c>
      <c r="AU21" s="343">
        <v>0.76271524036077298</v>
      </c>
      <c r="AV21" s="343">
        <v>2056.2279699312498</v>
      </c>
      <c r="AW21" s="351">
        <f t="shared" si="11"/>
        <v>66.825303302762066</v>
      </c>
      <c r="AX21" s="293"/>
      <c r="AY21" s="121"/>
    </row>
    <row r="22" spans="1:51" s="5" customFormat="1" ht="15.75" customHeight="1" x14ac:dyDescent="0.2">
      <c r="A22" s="294">
        <v>18</v>
      </c>
      <c r="B22" s="295" t="s">
        <v>13</v>
      </c>
      <c r="C22" s="299" t="s">
        <v>19</v>
      </c>
      <c r="D22" s="142" t="s">
        <v>296</v>
      </c>
      <c r="E22" s="172" t="s">
        <v>305</v>
      </c>
      <c r="F22" s="177" t="s">
        <v>192</v>
      </c>
      <c r="G22" s="341">
        <f t="shared" si="0"/>
        <v>85.648070514448392</v>
      </c>
      <c r="H22" s="342">
        <f t="shared" si="1"/>
        <v>77.564688648119457</v>
      </c>
      <c r="I22" s="342">
        <f t="shared" si="2"/>
        <v>93.731452380777341</v>
      </c>
      <c r="J22" s="343">
        <v>37.214799999999997</v>
      </c>
      <c r="K22" s="344">
        <v>127.715</v>
      </c>
      <c r="L22" s="344">
        <v>90.864926047990906</v>
      </c>
      <c r="M22" s="344">
        <v>95.757451599999996</v>
      </c>
      <c r="N22" s="345">
        <f t="shared" si="3"/>
        <v>81.925094411997719</v>
      </c>
      <c r="O22" s="343">
        <f t="shared" si="4"/>
        <v>2.8282928596077941</v>
      </c>
      <c r="P22" s="346">
        <v>135505</v>
      </c>
      <c r="Q22" s="346">
        <v>47910526.5</v>
      </c>
      <c r="R22" s="344">
        <v>0.3</v>
      </c>
      <c r="S22" s="344">
        <v>0</v>
      </c>
      <c r="T22" s="347">
        <v>15</v>
      </c>
      <c r="U22" s="345">
        <f t="shared" si="5"/>
        <v>82.874566352940647</v>
      </c>
      <c r="V22" s="343">
        <f>(W22*1000000)/X22</f>
        <v>605.7124001757735</v>
      </c>
      <c r="W22" s="348">
        <v>29020</v>
      </c>
      <c r="X22" s="346">
        <v>47910526.5</v>
      </c>
      <c r="Y22" s="344">
        <v>2.1</v>
      </c>
      <c r="Z22" s="345">
        <f t="shared" si="6"/>
        <v>91.160245188530368</v>
      </c>
      <c r="AA22" s="343">
        <v>3.8833333333333333</v>
      </c>
      <c r="AB22" s="343">
        <f>AC22/AD22</f>
        <v>1.9641095044321835</v>
      </c>
      <c r="AC22" s="346">
        <v>94101520.460999995</v>
      </c>
      <c r="AD22" s="346">
        <v>47910526.5</v>
      </c>
      <c r="AE22" s="344">
        <v>62.666666666666664</v>
      </c>
      <c r="AF22" s="343">
        <v>403.56</v>
      </c>
      <c r="AG22" s="344">
        <v>40.5</v>
      </c>
      <c r="AH22" s="343">
        <v>5.63</v>
      </c>
      <c r="AI22" s="343">
        <f t="shared" si="8"/>
        <v>1.0793558860074552</v>
      </c>
      <c r="AJ22" s="346">
        <v>538577</v>
      </c>
      <c r="AK22" s="346">
        <v>498980</v>
      </c>
      <c r="AL22" s="345">
        <f t="shared" si="15"/>
        <v>68.477924322933148</v>
      </c>
      <c r="AM22" s="343">
        <v>0.05</v>
      </c>
      <c r="AN22" s="344">
        <v>100</v>
      </c>
      <c r="AO22" s="344">
        <v>0</v>
      </c>
      <c r="AP22" s="345">
        <f t="shared" si="9"/>
        <v>99.992857142857147</v>
      </c>
      <c r="AQ22" s="343">
        <v>98.380741646398903</v>
      </c>
      <c r="AR22" s="344">
        <v>99.5</v>
      </c>
      <c r="AS22" s="345">
        <f t="shared" si="10"/>
        <v>98.940370823199459</v>
      </c>
      <c r="AT22" s="343">
        <v>251.81845123418</v>
      </c>
      <c r="AU22" s="343">
        <v>0.41625262959749798</v>
      </c>
      <c r="AV22" s="343">
        <v>1869.73277578025</v>
      </c>
      <c r="AW22" s="351">
        <f t="shared" si="11"/>
        <v>69.738319652115749</v>
      </c>
      <c r="AX22" s="293"/>
      <c r="AY22" s="121"/>
    </row>
    <row r="23" spans="1:51" s="5" customFormat="1" ht="15.75" customHeight="1" x14ac:dyDescent="0.2">
      <c r="A23" s="294">
        <v>19</v>
      </c>
      <c r="B23" s="295" t="s">
        <v>13</v>
      </c>
      <c r="C23" s="299" t="s">
        <v>19</v>
      </c>
      <c r="D23" s="142" t="s">
        <v>296</v>
      </c>
      <c r="E23" s="172" t="s">
        <v>305</v>
      </c>
      <c r="F23" s="177" t="s">
        <v>216</v>
      </c>
      <c r="G23" s="341">
        <f t="shared" si="0"/>
        <v>85.56719745789843</v>
      </c>
      <c r="H23" s="342">
        <f t="shared" si="1"/>
        <v>76.801542532798578</v>
      </c>
      <c r="I23" s="342">
        <f t="shared" si="2"/>
        <v>94.332852382998269</v>
      </c>
      <c r="J23" s="343">
        <v>41.436799999999998</v>
      </c>
      <c r="K23" s="344">
        <v>122.79600000000001</v>
      </c>
      <c r="L23" s="344">
        <v>91.407691719792496</v>
      </c>
      <c r="M23" s="344">
        <v>95.472099299999996</v>
      </c>
      <c r="N23" s="345">
        <f t="shared" si="3"/>
        <v>85.343814421614795</v>
      </c>
      <c r="O23" s="343">
        <f t="shared" si="4"/>
        <v>1.5483627453576074</v>
      </c>
      <c r="P23" s="346">
        <v>107051</v>
      </c>
      <c r="Q23" s="346">
        <v>69138191.5</v>
      </c>
      <c r="R23" s="344">
        <v>0.2</v>
      </c>
      <c r="S23" s="344">
        <v>0</v>
      </c>
      <c r="T23" s="347">
        <v>21</v>
      </c>
      <c r="U23" s="345">
        <f t="shared" si="5"/>
        <v>67.541981795498174</v>
      </c>
      <c r="V23" s="343">
        <f>(W23*1000000)/X23</f>
        <v>121.77061356891292</v>
      </c>
      <c r="W23" s="348">
        <v>8419</v>
      </c>
      <c r="X23" s="346">
        <v>69138191.5</v>
      </c>
      <c r="Y23" s="344">
        <v>1.5</v>
      </c>
      <c r="Z23" s="345">
        <f t="shared" si="6"/>
        <v>87.224651306161647</v>
      </c>
      <c r="AA23" s="343">
        <v>3.6833333333333331</v>
      </c>
      <c r="AB23" s="343">
        <f>AC23/AD23</f>
        <v>1.7204083216437618</v>
      </c>
      <c r="AC23" s="346">
        <v>118945920</v>
      </c>
      <c r="AD23" s="346">
        <v>69138191.5</v>
      </c>
      <c r="AE23" s="344">
        <v>16</v>
      </c>
      <c r="AF23" s="343">
        <v>377.6</v>
      </c>
      <c r="AG23" s="344">
        <v>9.1</v>
      </c>
      <c r="AH23" s="343">
        <v>5.17</v>
      </c>
      <c r="AI23" s="343">
        <f t="shared" si="8"/>
        <v>1.6291232218702238</v>
      </c>
      <c r="AJ23" s="346">
        <v>395455</v>
      </c>
      <c r="AK23" s="346">
        <v>242741</v>
      </c>
      <c r="AL23" s="345">
        <f t="shared" si="15"/>
        <v>67.968383634966671</v>
      </c>
      <c r="AM23" s="343">
        <v>0.09</v>
      </c>
      <c r="AN23" s="344">
        <v>100</v>
      </c>
      <c r="AO23" s="344">
        <v>0.1</v>
      </c>
      <c r="AP23" s="345">
        <f t="shared" si="9"/>
        <v>99.473661539055499</v>
      </c>
      <c r="AQ23" s="343">
        <v>99.284309277758396</v>
      </c>
      <c r="AR23" s="344">
        <v>99.1</v>
      </c>
      <c r="AS23" s="345">
        <f t="shared" si="10"/>
        <v>99.192154638879202</v>
      </c>
      <c r="AT23" s="343">
        <v>163.83678670018401</v>
      </c>
      <c r="AU23" s="343">
        <v>6.8258700493226396E-2</v>
      </c>
      <c r="AV23" s="343">
        <v>1325.9350121761299</v>
      </c>
      <c r="AW23" s="351">
        <f t="shared" si="11"/>
        <v>74.051122658945616</v>
      </c>
      <c r="AX23" s="293"/>
      <c r="AY23" s="121"/>
    </row>
    <row r="24" spans="1:51" s="5" customFormat="1" ht="15.75" customHeight="1" x14ac:dyDescent="0.2">
      <c r="A24" s="294">
        <v>20</v>
      </c>
      <c r="B24" s="295" t="s">
        <v>13</v>
      </c>
      <c r="C24" s="299" t="s">
        <v>19</v>
      </c>
      <c r="D24" s="142" t="s">
        <v>296</v>
      </c>
      <c r="E24" s="179" t="s">
        <v>305</v>
      </c>
      <c r="F24" s="177" t="s">
        <v>161</v>
      </c>
      <c r="G24" s="341">
        <f t="shared" si="0"/>
        <v>85.518652731365449</v>
      </c>
      <c r="H24" s="342">
        <f t="shared" si="1"/>
        <v>77.730593771866509</v>
      </c>
      <c r="I24" s="342">
        <f t="shared" si="2"/>
        <v>93.30671169086439</v>
      </c>
      <c r="J24" s="343">
        <v>45.4377</v>
      </c>
      <c r="K24" s="344">
        <v>112.19833541666667</v>
      </c>
      <c r="L24" s="344">
        <v>92.056071361710295</v>
      </c>
      <c r="M24" s="344">
        <v>99</v>
      </c>
      <c r="N24" s="345">
        <f t="shared" si="3"/>
        <v>89.368712354316472</v>
      </c>
      <c r="O24" s="343">
        <f t="shared" si="4"/>
        <v>7.2742465920461354</v>
      </c>
      <c r="P24" s="346">
        <v>40566</v>
      </c>
      <c r="Q24" s="346">
        <v>5576660</v>
      </c>
      <c r="R24" s="352">
        <v>0.2</v>
      </c>
      <c r="S24" s="352">
        <v>0</v>
      </c>
      <c r="T24" s="353">
        <v>30</v>
      </c>
      <c r="U24" s="345">
        <f t="shared" si="5"/>
        <v>91.238095238095255</v>
      </c>
      <c r="V24" s="343">
        <f>(W24*1000000)/X24</f>
        <v>481.98563297744528</v>
      </c>
      <c r="W24" s="348">
        <v>2687.87</v>
      </c>
      <c r="X24" s="346">
        <v>5576660</v>
      </c>
      <c r="Y24" s="352">
        <v>2.2999999999999998</v>
      </c>
      <c r="Z24" s="345">
        <f t="shared" si="6"/>
        <v>90.171525595395494</v>
      </c>
      <c r="AA24" s="343">
        <v>3.6999999999999997</v>
      </c>
      <c r="AB24" s="350">
        <v>1.7373487109628001</v>
      </c>
      <c r="AC24" s="346"/>
      <c r="AD24" s="346">
        <v>5576660</v>
      </c>
      <c r="AE24" s="344">
        <v>3.6666666666666665</v>
      </c>
      <c r="AF24" s="343">
        <v>62.44</v>
      </c>
      <c r="AG24" s="352">
        <v>12.6</v>
      </c>
      <c r="AH24" s="343">
        <v>4.55</v>
      </c>
      <c r="AI24" s="343">
        <f t="shared" si="8"/>
        <v>0.31238127789353298</v>
      </c>
      <c r="AJ24" s="346">
        <v>95052</v>
      </c>
      <c r="AK24" s="346">
        <v>304282</v>
      </c>
      <c r="AL24" s="345">
        <f t="shared" si="15"/>
        <v>59.605366866977157</v>
      </c>
      <c r="AM24" s="343">
        <v>0</v>
      </c>
      <c r="AN24" s="344">
        <v>100</v>
      </c>
      <c r="AO24" s="344">
        <v>0</v>
      </c>
      <c r="AP24" s="345">
        <f t="shared" si="9"/>
        <v>100</v>
      </c>
      <c r="AQ24" s="343">
        <v>98.556157103781302</v>
      </c>
      <c r="AR24" s="344">
        <v>96.9</v>
      </c>
      <c r="AS24" s="345">
        <f t="shared" si="10"/>
        <v>97.728078551890661</v>
      </c>
      <c r="AT24" s="343">
        <v>167.487659741969</v>
      </c>
      <c r="AU24" s="343">
        <v>0.74861472609848601</v>
      </c>
      <c r="AV24" s="343">
        <v>1648.8067629027</v>
      </c>
      <c r="AW24" s="351">
        <f t="shared" si="11"/>
        <v>68.805479902431259</v>
      </c>
      <c r="AX24" s="293"/>
      <c r="AY24" s="121"/>
    </row>
    <row r="25" spans="1:51" s="5" customFormat="1" ht="15.75" customHeight="1" x14ac:dyDescent="0.2">
      <c r="A25" s="294">
        <v>21</v>
      </c>
      <c r="B25" s="307" t="s">
        <v>10</v>
      </c>
      <c r="C25" s="311" t="s">
        <v>887</v>
      </c>
      <c r="D25" s="147" t="s">
        <v>301</v>
      </c>
      <c r="E25" s="179" t="s">
        <v>305</v>
      </c>
      <c r="F25" s="177" t="s">
        <v>134</v>
      </c>
      <c r="G25" s="341">
        <f t="shared" si="0"/>
        <v>85.201616376486243</v>
      </c>
      <c r="H25" s="342">
        <f t="shared" si="1"/>
        <v>79.80764473678704</v>
      </c>
      <c r="I25" s="342">
        <f t="shared" si="2"/>
        <v>90.595588016185459</v>
      </c>
      <c r="J25" s="343">
        <v>29.675899999999999</v>
      </c>
      <c r="K25" s="344">
        <v>192.47800000000001</v>
      </c>
      <c r="L25" s="352">
        <v>89.56392388041391</v>
      </c>
      <c r="M25" s="344">
        <v>89.826400759999999</v>
      </c>
      <c r="N25" s="345">
        <f t="shared" si="3"/>
        <v>75.993431160103469</v>
      </c>
      <c r="O25" s="343">
        <f t="shared" si="4"/>
        <v>0.55535346859892654</v>
      </c>
      <c r="P25" s="346">
        <v>400</v>
      </c>
      <c r="Q25" s="346">
        <v>720262</v>
      </c>
      <c r="R25" s="352">
        <v>0</v>
      </c>
      <c r="S25" s="352">
        <v>0</v>
      </c>
      <c r="T25" s="353">
        <v>1</v>
      </c>
      <c r="U25" s="345">
        <f t="shared" si="5"/>
        <v>62.807358592131358</v>
      </c>
      <c r="V25" s="350">
        <v>381.68524984145142</v>
      </c>
      <c r="W25" s="348"/>
      <c r="X25" s="346">
        <v>720262</v>
      </c>
      <c r="Y25" s="352">
        <v>3.6</v>
      </c>
      <c r="Z25" s="345">
        <f t="shared" si="6"/>
        <v>87.518256381459054</v>
      </c>
      <c r="AA25" s="350">
        <v>3.9</v>
      </c>
      <c r="AB25" s="343">
        <f>AC25/AD25</f>
        <v>2.8505960331101736</v>
      </c>
      <c r="AC25" s="346">
        <v>2053176</v>
      </c>
      <c r="AD25" s="346">
        <v>720262</v>
      </c>
      <c r="AE25" s="352">
        <v>86.666666666666657</v>
      </c>
      <c r="AF25" s="350">
        <v>405.22</v>
      </c>
      <c r="AG25" s="352">
        <v>5.2</v>
      </c>
      <c r="AH25" s="350">
        <v>6.096830209510772</v>
      </c>
      <c r="AI25" s="343">
        <f t="shared" si="8"/>
        <v>14.272727272727273</v>
      </c>
      <c r="AJ25" s="346">
        <v>471</v>
      </c>
      <c r="AK25" s="346">
        <v>33</v>
      </c>
      <c r="AL25" s="345">
        <f t="shared" si="15"/>
        <v>85.944276938466516</v>
      </c>
      <c r="AM25" s="343">
        <v>0</v>
      </c>
      <c r="AN25" s="352">
        <v>100</v>
      </c>
      <c r="AO25" s="352">
        <v>0.2</v>
      </c>
      <c r="AP25" s="345">
        <f t="shared" si="9"/>
        <v>99.017746965848772</v>
      </c>
      <c r="AQ25" s="350">
        <v>87.391571198057434</v>
      </c>
      <c r="AR25" s="352">
        <v>97.799130691652067</v>
      </c>
      <c r="AS25" s="345">
        <f t="shared" si="10"/>
        <v>92.595350944854744</v>
      </c>
      <c r="AT25" s="350">
        <v>332.53407362153399</v>
      </c>
      <c r="AU25" s="350">
        <v>1.8117485853936599</v>
      </c>
      <c r="AV25" s="350">
        <v>1272.4912945620899</v>
      </c>
      <c r="AW25" s="351">
        <f t="shared" si="11"/>
        <v>63.329348238526329</v>
      </c>
      <c r="AX25" s="293"/>
      <c r="AY25" s="121"/>
    </row>
    <row r="26" spans="1:51" s="5" customFormat="1" ht="15.75" customHeight="1" x14ac:dyDescent="0.2">
      <c r="A26" s="294">
        <v>22</v>
      </c>
      <c r="B26" s="295" t="s">
        <v>13</v>
      </c>
      <c r="C26" s="299" t="s">
        <v>19</v>
      </c>
      <c r="D26" s="142" t="s">
        <v>296</v>
      </c>
      <c r="E26" s="149" t="s">
        <v>305</v>
      </c>
      <c r="F26" s="177" t="s">
        <v>32</v>
      </c>
      <c r="G26" s="341">
        <f t="shared" si="0"/>
        <v>85.004245633456449</v>
      </c>
      <c r="H26" s="342">
        <f t="shared" si="1"/>
        <v>79.288853218317527</v>
      </c>
      <c r="I26" s="342">
        <f t="shared" si="2"/>
        <v>90.719638048595371</v>
      </c>
      <c r="J26" s="343">
        <v>29.372499999999999</v>
      </c>
      <c r="K26" s="344">
        <v>121.746</v>
      </c>
      <c r="L26" s="344">
        <v>88.425177813916704</v>
      </c>
      <c r="M26" s="344">
        <v>94.919748769999998</v>
      </c>
      <c r="N26" s="345">
        <f t="shared" si="3"/>
        <v>74.371514979312508</v>
      </c>
      <c r="O26" s="343">
        <f t="shared" si="4"/>
        <v>3.4652612656349824</v>
      </c>
      <c r="P26" s="346">
        <v>31606</v>
      </c>
      <c r="Q26" s="346">
        <v>9120813</v>
      </c>
      <c r="R26" s="344">
        <v>0.2</v>
      </c>
      <c r="S26" s="344">
        <v>0</v>
      </c>
      <c r="T26" s="347">
        <v>14</v>
      </c>
      <c r="U26" s="345">
        <f t="shared" si="5"/>
        <v>90.080180227041481</v>
      </c>
      <c r="V26" s="343">
        <f>(W26*1000000)/X26</f>
        <v>344.26755597335455</v>
      </c>
      <c r="W26" s="348">
        <v>3140</v>
      </c>
      <c r="X26" s="346">
        <v>9120813</v>
      </c>
      <c r="Y26" s="344">
        <v>1.3</v>
      </c>
      <c r="Z26" s="345">
        <f t="shared" si="6"/>
        <v>90.657258780466265</v>
      </c>
      <c r="AA26" s="343">
        <v>3.9833333333333329</v>
      </c>
      <c r="AB26" s="343">
        <f>AC26/AD26</f>
        <v>5.0478192020820947</v>
      </c>
      <c r="AC26" s="346">
        <v>46040215</v>
      </c>
      <c r="AD26" s="346">
        <v>9120813</v>
      </c>
      <c r="AE26" s="349" t="s">
        <v>931</v>
      </c>
      <c r="AF26" s="349" t="s">
        <v>931</v>
      </c>
      <c r="AG26" s="344">
        <v>5.5</v>
      </c>
      <c r="AH26" s="343">
        <v>5.89</v>
      </c>
      <c r="AI26" s="343">
        <f t="shared" si="8"/>
        <v>1.5543746970431411</v>
      </c>
      <c r="AJ26" s="346">
        <v>128267</v>
      </c>
      <c r="AK26" s="346">
        <v>82520</v>
      </c>
      <c r="AL26" s="345">
        <f>((AA26/4.5)*100*1.5+(LN(MIN(AB26,5)+1)/LN(5+1))*100+(MAX((60-AG26),0))/60*100*0.5+((AH26-1)/(7-1))*100*2+(LN(MIN(AI26,20)+1)/LN(20+1))*100)/6</f>
        <v>78.666258314604363</v>
      </c>
      <c r="AM26" s="343">
        <v>0.05</v>
      </c>
      <c r="AN26" s="344">
        <v>100</v>
      </c>
      <c r="AO26" s="344">
        <v>0.3</v>
      </c>
      <c r="AP26" s="345">
        <f t="shared" si="9"/>
        <v>98.57937593219981</v>
      </c>
      <c r="AQ26" s="343">
        <v>99.508497464041099</v>
      </c>
      <c r="AR26" s="344">
        <v>100</v>
      </c>
      <c r="AS26" s="345">
        <f t="shared" si="10"/>
        <v>99.754248732020557</v>
      </c>
      <c r="AT26" s="343">
        <v>265.984345721924</v>
      </c>
      <c r="AU26" s="343">
        <v>3.7319675811590902</v>
      </c>
      <c r="AV26" s="343">
        <v>1761.6501836361199</v>
      </c>
      <c r="AW26" s="351">
        <f t="shared" si="11"/>
        <v>58.105813714356877</v>
      </c>
      <c r="AX26" s="293"/>
      <c r="AY26" s="121"/>
    </row>
    <row r="27" spans="1:51" s="5" customFormat="1" ht="15.75" customHeight="1" x14ac:dyDescent="0.2">
      <c r="A27" s="294">
        <v>23</v>
      </c>
      <c r="B27" s="295" t="s">
        <v>13</v>
      </c>
      <c r="C27" s="299" t="s">
        <v>19</v>
      </c>
      <c r="D27" s="142" t="s">
        <v>296</v>
      </c>
      <c r="E27" s="172" t="s">
        <v>305</v>
      </c>
      <c r="F27" s="177" t="s">
        <v>172</v>
      </c>
      <c r="G27" s="341">
        <f t="shared" si="0"/>
        <v>84.849747447967175</v>
      </c>
      <c r="H27" s="342">
        <f t="shared" si="1"/>
        <v>76.565310194760102</v>
      </c>
      <c r="I27" s="342">
        <f t="shared" si="2"/>
        <v>93.134184701174249</v>
      </c>
      <c r="J27" s="343">
        <v>44.110700000000001</v>
      </c>
      <c r="K27" s="344">
        <v>123.002</v>
      </c>
      <c r="L27" s="344">
        <v>84.207198894892002</v>
      </c>
      <c r="M27" s="344">
        <v>88.487044539999999</v>
      </c>
      <c r="N27" s="345">
        <f t="shared" si="3"/>
        <v>84.032544192056335</v>
      </c>
      <c r="O27" s="343">
        <f t="shared" si="4"/>
        <v>2.3406537514415064</v>
      </c>
      <c r="P27" s="346">
        <v>24402</v>
      </c>
      <c r="Q27" s="346">
        <v>10425292.5</v>
      </c>
      <c r="R27" s="344">
        <v>0.1</v>
      </c>
      <c r="S27" s="344">
        <v>0</v>
      </c>
      <c r="T27" s="347">
        <v>15</v>
      </c>
      <c r="U27" s="345">
        <f t="shared" si="5"/>
        <v>77.840337813063769</v>
      </c>
      <c r="V27" s="343">
        <f>(W27*1000000)/X27</f>
        <v>587.9480120102146</v>
      </c>
      <c r="W27" s="348">
        <v>6129.53</v>
      </c>
      <c r="X27" s="346">
        <v>10425292.5</v>
      </c>
      <c r="Y27" s="344">
        <v>3.2</v>
      </c>
      <c r="Z27" s="345">
        <f t="shared" si="6"/>
        <v>89.420521957723466</v>
      </c>
      <c r="AA27" s="343">
        <v>3.3833333333333333</v>
      </c>
      <c r="AB27" s="343">
        <f>AC27/AD27</f>
        <v>1.7542891002818386</v>
      </c>
      <c r="AC27" s="346">
        <v>18288977</v>
      </c>
      <c r="AD27" s="346">
        <v>10425292.5</v>
      </c>
      <c r="AE27" s="344">
        <v>11.333333333333334</v>
      </c>
      <c r="AF27" s="343">
        <v>186.59</v>
      </c>
      <c r="AG27" s="344">
        <v>14.3</v>
      </c>
      <c r="AH27" s="343">
        <v>6.05</v>
      </c>
      <c r="AI27" s="343">
        <f t="shared" si="8"/>
        <v>0.15547844944429384</v>
      </c>
      <c r="AJ27" s="346">
        <v>14339</v>
      </c>
      <c r="AK27" s="346">
        <v>92225</v>
      </c>
      <c r="AL27" s="345">
        <f>((AA27/4.5)*100*1.5+(LN(MIN(AB27,5)+1)/LN(5+1))*100+((AE27-(-300))/(150-(-300)))*100+(LN(MIN(AF27,500))/LN(500))*100*0.5+(MAX((60-AG27),0))/60*100*0.5+((AH27-1)/(7-1))*100*2+(LN(MIN(AI27,20)+1)/LN(20+1))*100)/7.5</f>
        <v>65.565516352147085</v>
      </c>
      <c r="AM27" s="343">
        <v>0.06</v>
      </c>
      <c r="AN27" s="344">
        <v>100</v>
      </c>
      <c r="AO27" s="344">
        <v>0</v>
      </c>
      <c r="AP27" s="345">
        <f t="shared" si="9"/>
        <v>99.991428571428585</v>
      </c>
      <c r="AQ27" s="343">
        <v>91.397344074862104</v>
      </c>
      <c r="AR27" s="344">
        <v>98.7</v>
      </c>
      <c r="AS27" s="345">
        <f t="shared" si="10"/>
        <v>95.048672037431061</v>
      </c>
      <c r="AT27" s="343">
        <v>369.15490276355598</v>
      </c>
      <c r="AU27" s="343">
        <v>0.25687954327349999</v>
      </c>
      <c r="AV27" s="343">
        <v>1427.18719643745</v>
      </c>
      <c r="AW27" s="351">
        <f t="shared" si="11"/>
        <v>70.64796575415447</v>
      </c>
      <c r="AX27" s="293"/>
      <c r="AY27" s="121"/>
    </row>
    <row r="28" spans="1:51" s="5" customFormat="1" ht="15.75" customHeight="1" x14ac:dyDescent="0.2">
      <c r="A28" s="294">
        <v>24</v>
      </c>
      <c r="B28" s="295" t="s">
        <v>13</v>
      </c>
      <c r="C28" s="299" t="s">
        <v>19</v>
      </c>
      <c r="D28" s="142" t="s">
        <v>296</v>
      </c>
      <c r="E28" s="179" t="s">
        <v>305</v>
      </c>
      <c r="F28" s="177" t="s">
        <v>40</v>
      </c>
      <c r="G28" s="341">
        <f t="shared" si="0"/>
        <v>84.813251377901594</v>
      </c>
      <c r="H28" s="342">
        <f t="shared" si="1"/>
        <v>76.530327416953341</v>
      </c>
      <c r="I28" s="342">
        <f t="shared" si="2"/>
        <v>93.096175338849847</v>
      </c>
      <c r="J28" s="343">
        <v>43.702599999999997</v>
      </c>
      <c r="K28" s="344">
        <v>103.196</v>
      </c>
      <c r="L28" s="344">
        <v>90.039076611491097</v>
      </c>
      <c r="M28" s="344">
        <v>95.775791440000006</v>
      </c>
      <c r="N28" s="345">
        <f t="shared" si="3"/>
        <v>86.312417012872757</v>
      </c>
      <c r="O28" s="343">
        <f t="shared" si="4"/>
        <v>2.4597139213171815</v>
      </c>
      <c r="P28" s="346">
        <v>28874</v>
      </c>
      <c r="Q28" s="346">
        <v>11738763.5</v>
      </c>
      <c r="R28" s="344">
        <v>0.1</v>
      </c>
      <c r="S28" s="344">
        <v>0</v>
      </c>
      <c r="T28" s="347">
        <v>60</v>
      </c>
      <c r="U28" s="345">
        <f t="shared" si="5"/>
        <v>66.258839633160278</v>
      </c>
      <c r="V28" s="343">
        <f>(W28*1000000)/X28</f>
        <v>366.30905801961171</v>
      </c>
      <c r="W28" s="348">
        <v>4300.0154000000002</v>
      </c>
      <c r="X28" s="346">
        <v>11738763.5</v>
      </c>
      <c r="Y28" s="344">
        <v>1</v>
      </c>
      <c r="Z28" s="345">
        <f t="shared" si="6"/>
        <v>91.294315364818203</v>
      </c>
      <c r="AA28" s="343">
        <v>4.0333333333333332</v>
      </c>
      <c r="AB28" s="343">
        <f>AC28/AD28</f>
        <v>0.97034627360558889</v>
      </c>
      <c r="AC28" s="346">
        <v>11390665.4189623</v>
      </c>
      <c r="AD28" s="346">
        <v>11738763.5</v>
      </c>
      <c r="AE28" s="344">
        <v>16.5</v>
      </c>
      <c r="AF28" s="343">
        <v>338.91</v>
      </c>
      <c r="AG28" s="344">
        <v>15.1</v>
      </c>
      <c r="AH28" s="343">
        <v>4.3899999999999997</v>
      </c>
      <c r="AI28" s="343">
        <f t="shared" si="8"/>
        <v>3.9106340819022458</v>
      </c>
      <c r="AJ28" s="346">
        <v>118414</v>
      </c>
      <c r="AK28" s="346">
        <v>30280</v>
      </c>
      <c r="AL28" s="345">
        <f>((AA28/4.5)*100*1.5+(LN(MIN(AB28,5)+1)/LN(5+1))*100+((AE28-(-300))/(150-(-300)))*100+(LN(MIN(AF28,500))/LN(500))*100*0.5+(MAX((60-AG28),0))/60*100*0.5+((AH28-1)/(7-1))*100*2+(LN(MIN(AI28,20)+1)/LN(20+1))*100)/7.5</f>
        <v>65.625112780015954</v>
      </c>
      <c r="AM28" s="343">
        <v>0</v>
      </c>
      <c r="AN28" s="344">
        <v>100</v>
      </c>
      <c r="AO28" s="344">
        <v>0.1</v>
      </c>
      <c r="AP28" s="345">
        <f t="shared" si="9"/>
        <v>99.486518681912656</v>
      </c>
      <c r="AQ28" s="343">
        <v>98.236909322079796</v>
      </c>
      <c r="AR28" s="344">
        <v>100</v>
      </c>
      <c r="AS28" s="345">
        <f t="shared" si="10"/>
        <v>99.118454661039891</v>
      </c>
      <c r="AT28" s="343">
        <v>301.53464984607001</v>
      </c>
      <c r="AU28" s="343">
        <v>0.66734691254733902</v>
      </c>
      <c r="AV28" s="343">
        <v>1768.8266810689099</v>
      </c>
      <c r="AW28" s="351">
        <f t="shared" si="11"/>
        <v>67.902865987471316</v>
      </c>
      <c r="AX28" s="293"/>
      <c r="AY28" s="121"/>
    </row>
    <row r="29" spans="1:51" s="5" customFormat="1" ht="15.75" customHeight="1" x14ac:dyDescent="0.2">
      <c r="A29" s="294">
        <v>25</v>
      </c>
      <c r="B29" s="295" t="s">
        <v>13</v>
      </c>
      <c r="C29" s="299" t="s">
        <v>19</v>
      </c>
      <c r="D29" s="142" t="s">
        <v>296</v>
      </c>
      <c r="E29" s="179" t="s">
        <v>305</v>
      </c>
      <c r="F29" s="177" t="s">
        <v>20</v>
      </c>
      <c r="G29" s="341">
        <f t="shared" si="0"/>
        <v>84.430274638661473</v>
      </c>
      <c r="H29" s="342">
        <f t="shared" si="1"/>
        <v>75.293120225757733</v>
      </c>
      <c r="I29" s="342">
        <f t="shared" si="2"/>
        <v>93.567429051565227</v>
      </c>
      <c r="J29" s="343">
        <v>51.740099999999998</v>
      </c>
      <c r="K29" s="344">
        <v>156.09700000000001</v>
      </c>
      <c r="L29" s="352">
        <v>87.726199800051361</v>
      </c>
      <c r="M29" s="344">
        <v>94.397598270000003</v>
      </c>
      <c r="N29" s="345">
        <f t="shared" si="3"/>
        <v>92.400849517512839</v>
      </c>
      <c r="O29" s="343">
        <f t="shared" si="4"/>
        <v>0.7200610221205187</v>
      </c>
      <c r="P29" s="346">
        <v>59</v>
      </c>
      <c r="Q29" s="346">
        <v>81937.5</v>
      </c>
      <c r="R29" s="352">
        <v>0.2</v>
      </c>
      <c r="S29" s="352">
        <v>0</v>
      </c>
      <c r="T29" s="353">
        <v>30</v>
      </c>
      <c r="U29" s="345">
        <f t="shared" si="5"/>
        <v>56.095891903672225</v>
      </c>
      <c r="V29" s="350">
        <v>366.30905801961171</v>
      </c>
      <c r="W29" s="348"/>
      <c r="X29" s="346">
        <v>81937.5</v>
      </c>
      <c r="Y29" s="352">
        <v>2.2999999999999998</v>
      </c>
      <c r="Z29" s="345">
        <f t="shared" si="6"/>
        <v>89.344315364818215</v>
      </c>
      <c r="AA29" s="350">
        <v>3.6166666666666671</v>
      </c>
      <c r="AB29" s="350">
        <v>1.7373487109628001</v>
      </c>
      <c r="AC29" s="346"/>
      <c r="AD29" s="346">
        <v>81937.5</v>
      </c>
      <c r="AE29" s="349" t="s">
        <v>931</v>
      </c>
      <c r="AF29" s="349" t="s">
        <v>931</v>
      </c>
      <c r="AG29" s="352">
        <v>12.6</v>
      </c>
      <c r="AH29" s="350">
        <v>4.7038296559135597</v>
      </c>
      <c r="AI29" s="343">
        <f t="shared" si="8"/>
        <v>0.68376068376068377</v>
      </c>
      <c r="AJ29" s="346">
        <v>320</v>
      </c>
      <c r="AK29" s="346">
        <v>468</v>
      </c>
      <c r="AL29" s="345">
        <f>((AA29/4.5)*100*1.5+(LN(MIN(AB29,5)+1)/LN(5+1))*100+(MAX((60-AG29),0))/60*100*0.5+((AH29-1)/(7-1))*100*2+(LN(MIN(AI29,20)+1)/LN(20+1))*100)/6</f>
        <v>59.471899229758911</v>
      </c>
      <c r="AM29" s="343">
        <v>0</v>
      </c>
      <c r="AN29" s="344">
        <v>100</v>
      </c>
      <c r="AO29" s="344">
        <v>0</v>
      </c>
      <c r="AP29" s="345">
        <f t="shared" si="9"/>
        <v>100</v>
      </c>
      <c r="AQ29" s="350">
        <v>92.998563393839689</v>
      </c>
      <c r="AR29" s="344">
        <v>100</v>
      </c>
      <c r="AS29" s="345">
        <f t="shared" si="10"/>
        <v>96.499281696919837</v>
      </c>
      <c r="AT29" s="343">
        <v>680.16988181898103</v>
      </c>
      <c r="AU29" s="343">
        <v>1.8583690973015099E-2</v>
      </c>
      <c r="AV29" s="343">
        <v>1476.3278889229</v>
      </c>
      <c r="AW29" s="351">
        <f t="shared" si="11"/>
        <v>71.337863560906342</v>
      </c>
      <c r="AX29" s="293"/>
      <c r="AY29" s="121"/>
    </row>
    <row r="30" spans="1:51" s="5" customFormat="1" ht="15.75" customHeight="1" x14ac:dyDescent="0.2">
      <c r="A30" s="294">
        <v>26</v>
      </c>
      <c r="B30" s="304" t="s">
        <v>29</v>
      </c>
      <c r="C30" s="305" t="s">
        <v>30</v>
      </c>
      <c r="D30" s="146" t="s">
        <v>300</v>
      </c>
      <c r="E30" s="149" t="s">
        <v>305</v>
      </c>
      <c r="F30" s="177" t="s">
        <v>31</v>
      </c>
      <c r="G30" s="341">
        <f t="shared" si="0"/>
        <v>84.0237169158749</v>
      </c>
      <c r="H30" s="342">
        <f t="shared" si="1"/>
        <v>75.883180150710132</v>
      </c>
      <c r="I30" s="342">
        <f t="shared" si="2"/>
        <v>92.164253681039682</v>
      </c>
      <c r="J30" s="343">
        <v>36.604700000000001</v>
      </c>
      <c r="K30" s="344">
        <v>112.51300000000001</v>
      </c>
      <c r="L30" s="344">
        <v>91.643617247979705</v>
      </c>
      <c r="M30" s="344">
        <v>96.131401060000002</v>
      </c>
      <c r="N30" s="345">
        <f t="shared" si="3"/>
        <v>81.198104576994922</v>
      </c>
      <c r="O30" s="343">
        <f t="shared" si="4"/>
        <v>4.0171892515330905</v>
      </c>
      <c r="P30" s="346">
        <v>107312</v>
      </c>
      <c r="Q30" s="346">
        <v>26713205</v>
      </c>
      <c r="R30" s="352">
        <v>0.3</v>
      </c>
      <c r="S30" s="352">
        <v>0</v>
      </c>
      <c r="T30" s="353">
        <v>2</v>
      </c>
      <c r="U30" s="345">
        <f t="shared" si="5"/>
        <v>99.142857142857139</v>
      </c>
      <c r="V30" s="343">
        <f>(W30*1000000)/X30</f>
        <v>434.99085938957904</v>
      </c>
      <c r="W30" s="348">
        <v>11620</v>
      </c>
      <c r="X30" s="346">
        <v>26713205</v>
      </c>
      <c r="Y30" s="352">
        <v>4.7</v>
      </c>
      <c r="Z30" s="345">
        <f t="shared" si="6"/>
        <v>86.262300027106107</v>
      </c>
      <c r="AA30" s="343">
        <v>3.75</v>
      </c>
      <c r="AB30" s="343">
        <f>AC30/AD30</f>
        <v>2.5814415379959086</v>
      </c>
      <c r="AC30" s="346">
        <v>68958577</v>
      </c>
      <c r="AD30" s="346">
        <v>26713205</v>
      </c>
      <c r="AE30" s="344">
        <v>-4</v>
      </c>
      <c r="AF30" s="343">
        <v>144.15</v>
      </c>
      <c r="AG30" s="352">
        <v>20</v>
      </c>
      <c r="AH30" s="343">
        <v>4.7699999999999996</v>
      </c>
      <c r="AI30" s="343">
        <f t="shared" si="8"/>
        <v>0.17211577262017885</v>
      </c>
      <c r="AJ30" s="346">
        <v>1322245</v>
      </c>
      <c r="AK30" s="346">
        <v>7682300</v>
      </c>
      <c r="AL30" s="345">
        <f>((AA30/4.5)*100*1.5+(LN(MIN(AB30,5)+1)/LN(5+1))*100+((AE30-(-300))/(150-(-300)))*100+(LN(MIN(AF30,500))/LN(500))*100*0.5+(MAX((60-AG30),0))/60*100*0.5+((AH30-1)/(7-1))*100*2+(LN(MIN(AI30,20)+1)/LN(20+1))*100)/7.5</f>
        <v>62.15855650728961</v>
      </c>
      <c r="AM30" s="343">
        <v>0.04</v>
      </c>
      <c r="AN30" s="344">
        <v>100</v>
      </c>
      <c r="AO30" s="344">
        <v>0.1</v>
      </c>
      <c r="AP30" s="345">
        <f t="shared" si="9"/>
        <v>99.480804396198351</v>
      </c>
      <c r="AQ30" s="343">
        <v>98.010377829009897</v>
      </c>
      <c r="AR30" s="344">
        <v>99.9</v>
      </c>
      <c r="AS30" s="345">
        <f t="shared" si="10"/>
        <v>98.955188914504959</v>
      </c>
      <c r="AT30" s="343">
        <v>309.15261824991899</v>
      </c>
      <c r="AU30" s="343">
        <v>1.6222383147897499</v>
      </c>
      <c r="AV30" s="343">
        <v>1819.9434740714</v>
      </c>
      <c r="AW30" s="351">
        <f t="shared" si="11"/>
        <v>63.42366630209839</v>
      </c>
      <c r="AX30" s="293"/>
      <c r="AY30" s="121"/>
    </row>
    <row r="31" spans="1:51" s="5" customFormat="1" ht="15.75" customHeight="1" x14ac:dyDescent="0.2">
      <c r="A31" s="294">
        <v>27</v>
      </c>
      <c r="B31" s="295" t="s">
        <v>13</v>
      </c>
      <c r="C31" s="299" t="s">
        <v>19</v>
      </c>
      <c r="D31" s="142" t="s">
        <v>296</v>
      </c>
      <c r="E31" s="149" t="s">
        <v>305</v>
      </c>
      <c r="F31" s="177" t="s">
        <v>104</v>
      </c>
      <c r="G31" s="341">
        <f t="shared" si="0"/>
        <v>83.802204620606801</v>
      </c>
      <c r="H31" s="342">
        <f t="shared" si="1"/>
        <v>76.159205503130963</v>
      </c>
      <c r="I31" s="342">
        <f t="shared" si="2"/>
        <v>91.44520373808264</v>
      </c>
      <c r="J31" s="343">
        <v>37.424599999999998</v>
      </c>
      <c r="K31" s="344">
        <v>123.38200000000001</v>
      </c>
      <c r="L31" s="344">
        <v>91.469153452992899</v>
      </c>
      <c r="M31" s="344">
        <v>98.209198000000001</v>
      </c>
      <c r="N31" s="345">
        <f t="shared" si="3"/>
        <v>82.719487863248219</v>
      </c>
      <c r="O31" s="343">
        <f t="shared" si="4"/>
        <v>7.6564170154462872</v>
      </c>
      <c r="P31" s="346">
        <v>3012</v>
      </c>
      <c r="Q31" s="346">
        <v>393395.5</v>
      </c>
      <c r="R31" s="344">
        <v>0.1</v>
      </c>
      <c r="S31" s="344">
        <v>0</v>
      </c>
      <c r="T31" s="347">
        <v>21</v>
      </c>
      <c r="U31" s="345">
        <f t="shared" si="5"/>
        <v>93.904761904761898</v>
      </c>
      <c r="V31" s="343">
        <f>(W31*1000000)/X31</f>
        <v>737.17162499316851</v>
      </c>
      <c r="W31" s="348">
        <v>290</v>
      </c>
      <c r="X31" s="346">
        <v>393395.5</v>
      </c>
      <c r="Y31" s="344">
        <v>3</v>
      </c>
      <c r="Z31" s="345">
        <f t="shared" si="6"/>
        <v>90.402282423315398</v>
      </c>
      <c r="AA31" s="343">
        <v>3.5666666666666669</v>
      </c>
      <c r="AB31" s="343">
        <f>AC31/AD31</f>
        <v>11.038079489978914</v>
      </c>
      <c r="AC31" s="346">
        <v>4342330.8</v>
      </c>
      <c r="AD31" s="346">
        <v>393395.5</v>
      </c>
      <c r="AE31" s="352">
        <v>11.333333333333334</v>
      </c>
      <c r="AF31" s="343">
        <v>27.98</v>
      </c>
      <c r="AG31" s="344">
        <v>13.8</v>
      </c>
      <c r="AH31" s="343">
        <v>4.1399999999999997</v>
      </c>
      <c r="AI31" s="343">
        <f t="shared" si="8"/>
        <v>0.12843399781810969</v>
      </c>
      <c r="AJ31" s="346">
        <v>12950</v>
      </c>
      <c r="AK31" s="346">
        <v>100830</v>
      </c>
      <c r="AL31" s="345">
        <f>((AA31/4.5)*100*1.5+(LN(MIN(AB31,5)+1)/LN(5+1))*100+((AE31-(-300))/(150-(-300)))*100+(LN(MIN(AF31,500))/LN(500))*100*0.5+(MAX((60-AG31),0))/60*100*0.5+((AH31-1)/(7-1))*100*2+(LN(MIN(AI31,20)+1)/LN(20+1))*100)/7.5</f>
        <v>61.60176481255985</v>
      </c>
      <c r="AM31" s="343">
        <v>0</v>
      </c>
      <c r="AN31" s="344">
        <v>100</v>
      </c>
      <c r="AO31" s="344">
        <v>0</v>
      </c>
      <c r="AP31" s="345">
        <f t="shared" si="9"/>
        <v>100</v>
      </c>
      <c r="AQ31" s="343">
        <v>99.854835809971703</v>
      </c>
      <c r="AR31" s="344">
        <v>92.1</v>
      </c>
      <c r="AS31" s="345">
        <f t="shared" si="10"/>
        <v>95.977417904985856</v>
      </c>
      <c r="AT31" s="343">
        <v>187.744670954394</v>
      </c>
      <c r="AU31" s="343">
        <v>2.7282385391228501</v>
      </c>
      <c r="AV31" s="343">
        <v>1660.7479936700499</v>
      </c>
      <c r="AW31" s="351">
        <f t="shared" si="11"/>
        <v>61.248600785427378</v>
      </c>
      <c r="AX31" s="293"/>
      <c r="AY31" s="121"/>
    </row>
    <row r="32" spans="1:51" s="5" customFormat="1" ht="15.75" customHeight="1" x14ac:dyDescent="0.25">
      <c r="A32" s="294">
        <v>28</v>
      </c>
      <c r="B32" s="307" t="s">
        <v>10</v>
      </c>
      <c r="C32" s="311" t="s">
        <v>887</v>
      </c>
      <c r="D32" s="147" t="s">
        <v>301</v>
      </c>
      <c r="E32" s="149" t="s">
        <v>305</v>
      </c>
      <c r="F32" s="177" t="s">
        <v>202</v>
      </c>
      <c r="G32" s="341">
        <f t="shared" si="0"/>
        <v>83.531170883934664</v>
      </c>
      <c r="H32" s="342">
        <f t="shared" si="1"/>
        <v>80.94194309668022</v>
      </c>
      <c r="I32" s="342">
        <f t="shared" si="2"/>
        <v>86.120398671189093</v>
      </c>
      <c r="J32" s="350">
        <v>37.999242411886399</v>
      </c>
      <c r="K32" s="352">
        <v>208.13581996508765</v>
      </c>
      <c r="L32" s="352">
        <v>89.282233279744091</v>
      </c>
      <c r="M32" s="344">
        <v>96.706643380000003</v>
      </c>
      <c r="N32" s="345">
        <f t="shared" si="3"/>
        <v>85.101115173677613</v>
      </c>
      <c r="O32" s="343">
        <f t="shared" si="4"/>
        <v>2.8685323082720648</v>
      </c>
      <c r="P32" s="346">
        <v>66590</v>
      </c>
      <c r="Q32" s="346">
        <v>23213962</v>
      </c>
      <c r="R32" s="352">
        <v>0</v>
      </c>
      <c r="S32" s="352">
        <v>0</v>
      </c>
      <c r="T32" s="353">
        <v>1</v>
      </c>
      <c r="U32" s="345">
        <f t="shared" si="5"/>
        <v>87.591417588629255</v>
      </c>
      <c r="V32" s="350">
        <v>381.68524984145142</v>
      </c>
      <c r="W32" s="348"/>
      <c r="X32" s="346">
        <v>23213962</v>
      </c>
      <c r="Y32" s="352">
        <v>3.6</v>
      </c>
      <c r="Z32" s="345">
        <f t="shared" si="6"/>
        <v>87.518256381459054</v>
      </c>
      <c r="AA32" s="343">
        <v>3.8833333333333333</v>
      </c>
      <c r="AB32" s="350">
        <v>2.3123175304527552</v>
      </c>
      <c r="AC32" s="346"/>
      <c r="AD32" s="346">
        <v>23213962</v>
      </c>
      <c r="AE32" s="344">
        <v>85.333333333333329</v>
      </c>
      <c r="AF32" s="343">
        <v>344.56</v>
      </c>
      <c r="AG32" s="352">
        <v>5.2</v>
      </c>
      <c r="AH32" s="343">
        <v>5.48</v>
      </c>
      <c r="AI32" s="343">
        <f t="shared" si="8"/>
        <v>1.2856478611283324</v>
      </c>
      <c r="AJ32" s="346">
        <v>41475</v>
      </c>
      <c r="AK32" s="346">
        <v>32260</v>
      </c>
      <c r="AL32" s="345">
        <f>((AA32/4.5)*100*1.5+(LN(MIN(AB32,5)+1)/LN(5+1))*100+((AE32-(-300))/(150-(-300)))*100+(LN(MIN(AF32,500))/LN(500))*100*0.5+(MAX((60-AG32),0))/60*100*0.5+((AH32-1)/(7-1))*100*2+(LN(MIN(AI32,20)+1)/LN(20+1))*100)/7.5</f>
        <v>73.476324075500855</v>
      </c>
      <c r="AM32" s="350">
        <v>1.875</v>
      </c>
      <c r="AN32" s="352">
        <v>100</v>
      </c>
      <c r="AO32" s="344">
        <v>2.8</v>
      </c>
      <c r="AP32" s="345">
        <f t="shared" si="9"/>
        <v>92.539856484364108</v>
      </c>
      <c r="AQ32" s="350">
        <v>93.965151745792298</v>
      </c>
      <c r="AR32" s="352">
        <v>98.542233562319097</v>
      </c>
      <c r="AS32" s="345">
        <f t="shared" si="10"/>
        <v>96.253692654055698</v>
      </c>
      <c r="AT32" s="343">
        <v>514.233926234661</v>
      </c>
      <c r="AU32" s="343">
        <v>3.6918460212885198</v>
      </c>
      <c r="AV32" s="343">
        <v>1841.7380475920199</v>
      </c>
      <c r="AW32" s="351">
        <f t="shared" si="11"/>
        <v>56.728731248797409</v>
      </c>
      <c r="AX32" s="356"/>
      <c r="AY32" s="121"/>
    </row>
    <row r="33" spans="1:51" s="5" customFormat="1" ht="15.75" customHeight="1" x14ac:dyDescent="0.2">
      <c r="A33" s="294">
        <v>29</v>
      </c>
      <c r="B33" s="295" t="s">
        <v>13</v>
      </c>
      <c r="C33" s="299" t="s">
        <v>19</v>
      </c>
      <c r="D33" s="142" t="s">
        <v>296</v>
      </c>
      <c r="E33" s="149" t="s">
        <v>305</v>
      </c>
      <c r="F33" s="177" t="s">
        <v>140</v>
      </c>
      <c r="G33" s="341">
        <f t="shared" si="0"/>
        <v>83.457641121659421</v>
      </c>
      <c r="H33" s="342">
        <f t="shared" si="1"/>
        <v>72.989449250314379</v>
      </c>
      <c r="I33" s="342">
        <f t="shared" si="2"/>
        <v>93.925832993004462</v>
      </c>
      <c r="J33" s="343">
        <v>44.282499999999999</v>
      </c>
      <c r="K33" s="344">
        <v>140.59399999999999</v>
      </c>
      <c r="L33" s="344">
        <v>85.751530673916506</v>
      </c>
      <c r="M33" s="344">
        <v>93.860298159999999</v>
      </c>
      <c r="N33" s="345">
        <f t="shared" si="3"/>
        <v>86.491507208479121</v>
      </c>
      <c r="O33" s="343">
        <f t="shared" si="4"/>
        <v>1.3509832155624371</v>
      </c>
      <c r="P33" s="346">
        <v>729</v>
      </c>
      <c r="Q33" s="346">
        <v>539607</v>
      </c>
      <c r="R33" s="344">
        <v>0.3</v>
      </c>
      <c r="S33" s="344">
        <v>0</v>
      </c>
      <c r="T33" s="347">
        <v>180</v>
      </c>
      <c r="U33" s="345">
        <f t="shared" si="5"/>
        <v>42.760534452454685</v>
      </c>
      <c r="V33" s="343">
        <f>(W33*1000000)/X33</f>
        <v>67.943898059143038</v>
      </c>
      <c r="W33" s="348">
        <v>36.663003000000003</v>
      </c>
      <c r="X33" s="346">
        <v>539607</v>
      </c>
      <c r="Y33" s="344">
        <v>1.3</v>
      </c>
      <c r="Z33" s="345">
        <f t="shared" si="6"/>
        <v>85.765990737845542</v>
      </c>
      <c r="AA33" s="343">
        <v>3.3499999999999996</v>
      </c>
      <c r="AB33" s="343">
        <f>AC33/AD33</f>
        <v>4.4243317822044563</v>
      </c>
      <c r="AC33" s="346">
        <v>2387400.4</v>
      </c>
      <c r="AD33" s="346">
        <v>539607</v>
      </c>
      <c r="AE33" s="344">
        <v>6</v>
      </c>
      <c r="AF33" s="343">
        <v>123.23</v>
      </c>
      <c r="AG33" s="344">
        <v>41.1</v>
      </c>
      <c r="AH33" s="343">
        <v>3.24</v>
      </c>
      <c r="AI33" s="343">
        <f t="shared" si="8"/>
        <v>9.019047619047619</v>
      </c>
      <c r="AJ33" s="346">
        <v>2841</v>
      </c>
      <c r="AK33" s="346">
        <v>315</v>
      </c>
      <c r="AL33" s="345">
        <f>((AA33/4.5)*100*1.5+(LN(MIN(AB33,5)+1)/LN(5+1))*100+((AE33-(-300))/(150-(-300)))*100+(LN(MIN(AF33,500))/LN(500))*100*0.5+(MAX((60-AG33),0))/60*100*0.5+((AH33-1)/(7-1))*100*2+(LN(MIN(AI33,20)+1)/LN(20+1))*100)/7.5</f>
        <v>63.850484619731752</v>
      </c>
      <c r="AM33" s="343">
        <v>0.04</v>
      </c>
      <c r="AN33" s="344">
        <v>100</v>
      </c>
      <c r="AO33" s="344">
        <v>0.2</v>
      </c>
      <c r="AP33" s="345">
        <f t="shared" si="9"/>
        <v>99.012032680134482</v>
      </c>
      <c r="AQ33" s="343">
        <v>96.558129533476603</v>
      </c>
      <c r="AR33" s="344">
        <v>100</v>
      </c>
      <c r="AS33" s="345">
        <f t="shared" si="10"/>
        <v>98.279064766738301</v>
      </c>
      <c r="AT33" s="343">
        <v>147.219305551887</v>
      </c>
      <c r="AU33" s="343">
        <v>2.12024421962392E-2</v>
      </c>
      <c r="AV33" s="343">
        <v>1607.51969151204</v>
      </c>
      <c r="AW33" s="351">
        <f t="shared" si="11"/>
        <v>74.314002157880552</v>
      </c>
      <c r="AX33" s="293"/>
      <c r="AY33" s="121"/>
    </row>
    <row r="34" spans="1:51" s="13" customFormat="1" ht="15.75" customHeight="1" x14ac:dyDescent="0.2">
      <c r="A34" s="294">
        <v>30</v>
      </c>
      <c r="B34" s="307" t="s">
        <v>10</v>
      </c>
      <c r="C34" s="308" t="s">
        <v>35</v>
      </c>
      <c r="D34" s="143" t="s">
        <v>297</v>
      </c>
      <c r="E34" s="149" t="s">
        <v>305</v>
      </c>
      <c r="F34" s="177" t="s">
        <v>180</v>
      </c>
      <c r="G34" s="341">
        <f t="shared" si="0"/>
        <v>83.19826391879522</v>
      </c>
      <c r="H34" s="342">
        <f t="shared" si="1"/>
        <v>78.771124212756547</v>
      </c>
      <c r="I34" s="342">
        <f t="shared" si="2"/>
        <v>87.625403624833908</v>
      </c>
      <c r="J34" s="343">
        <v>43.5732</v>
      </c>
      <c r="K34" s="344">
        <v>157.77500000000001</v>
      </c>
      <c r="L34" s="344">
        <v>84.750311620524002</v>
      </c>
      <c r="M34" s="344">
        <v>100</v>
      </c>
      <c r="N34" s="345">
        <f t="shared" si="3"/>
        <v>87.757744571797659</v>
      </c>
      <c r="O34" s="343">
        <f t="shared" si="4"/>
        <v>3.5221228288699122</v>
      </c>
      <c r="P34" s="346">
        <v>119621</v>
      </c>
      <c r="Q34" s="346">
        <v>33962756.5</v>
      </c>
      <c r="R34" s="344">
        <v>0</v>
      </c>
      <c r="S34" s="344">
        <v>0</v>
      </c>
      <c r="T34" s="347">
        <v>14</v>
      </c>
      <c r="U34" s="345">
        <f t="shared" si="5"/>
        <v>90.879887452177627</v>
      </c>
      <c r="V34" s="343">
        <f>(W34*1000000)/X34</f>
        <v>688.40113139815378</v>
      </c>
      <c r="W34" s="348">
        <v>23380</v>
      </c>
      <c r="X34" s="346">
        <v>33962756.5</v>
      </c>
      <c r="Y34" s="344">
        <v>0</v>
      </c>
      <c r="Z34" s="345">
        <f t="shared" si="6"/>
        <v>94.695962742556546</v>
      </c>
      <c r="AA34" s="343">
        <v>3.3833333333333333</v>
      </c>
      <c r="AB34" s="343">
        <f>AC34/AD34</f>
        <v>1.4127237875995136</v>
      </c>
      <c r="AC34" s="346">
        <v>47979994</v>
      </c>
      <c r="AD34" s="346">
        <v>33962756.5</v>
      </c>
      <c r="AE34" s="344">
        <v>61.666666666666664</v>
      </c>
      <c r="AF34" s="343">
        <v>248</v>
      </c>
      <c r="AG34" s="344">
        <v>3.3</v>
      </c>
      <c r="AH34" s="343">
        <v>4.97</v>
      </c>
      <c r="AI34" s="343">
        <f t="shared" si="8"/>
        <v>0.14944433848601427</v>
      </c>
      <c r="AJ34" s="346">
        <v>321259</v>
      </c>
      <c r="AK34" s="346">
        <v>2149690</v>
      </c>
      <c r="AL34" s="345">
        <f>((AA34/4.5)*100*1.5+(LN(MIN(AB34,5)+1)/LN(5+1))*100+((AE34-(-300))/(150-(-300)))*100+(LN(MIN(AF34,500))/LN(500))*100*0.5+(MAX((60-AG34),0))/60*100*0.5+((AH34-1)/(7-1))*100*2+(LN(MIN(AI34,20)+1)/LN(20+1))*100)/7.5</f>
        <v>62.776103411410183</v>
      </c>
      <c r="AM34" s="343">
        <v>0.55000000000000004</v>
      </c>
      <c r="AN34" s="344">
        <v>100</v>
      </c>
      <c r="AO34" s="344">
        <v>0.1</v>
      </c>
      <c r="AP34" s="345">
        <f t="shared" si="9"/>
        <v>99.40794725334122</v>
      </c>
      <c r="AQ34" s="343">
        <v>78.840951723194493</v>
      </c>
      <c r="AR34" s="344">
        <v>66.7</v>
      </c>
      <c r="AS34" s="345">
        <f t="shared" si="10"/>
        <v>72.770475861597248</v>
      </c>
      <c r="AT34" s="343">
        <v>1808.0453773550501</v>
      </c>
      <c r="AU34" s="343">
        <v>0.312151338524495</v>
      </c>
      <c r="AV34" s="343">
        <v>1292.2236798183001</v>
      </c>
      <c r="AW34" s="351">
        <f t="shared" si="11"/>
        <v>67.132700502548659</v>
      </c>
      <c r="AX34" s="293"/>
      <c r="AY34" s="354"/>
    </row>
    <row r="35" spans="1:51" s="13" customFormat="1" ht="15.75" customHeight="1" x14ac:dyDescent="0.2">
      <c r="A35" s="294">
        <v>31</v>
      </c>
      <c r="B35" s="295" t="s">
        <v>13</v>
      </c>
      <c r="C35" s="299" t="s">
        <v>19</v>
      </c>
      <c r="D35" s="142" t="s">
        <v>296</v>
      </c>
      <c r="E35" s="149" t="s">
        <v>305</v>
      </c>
      <c r="F35" s="317" t="s">
        <v>178</v>
      </c>
      <c r="G35" s="341">
        <f t="shared" si="0"/>
        <v>83.118958981827689</v>
      </c>
      <c r="H35" s="342">
        <f t="shared" si="1"/>
        <v>73.470222023068658</v>
      </c>
      <c r="I35" s="342">
        <f t="shared" si="2"/>
        <v>92.767695940586734</v>
      </c>
      <c r="J35" s="343">
        <v>36.874410833333329</v>
      </c>
      <c r="K35" s="344">
        <v>122.18585416666666</v>
      </c>
      <c r="L35" s="352">
        <v>87.943954978321727</v>
      </c>
      <c r="M35" s="344">
        <v>97.352203369999998</v>
      </c>
      <c r="N35" s="345">
        <f t="shared" si="3"/>
        <v>81.125577087080444</v>
      </c>
      <c r="O35" s="343">
        <f t="shared" si="4"/>
        <v>0.35734492719097111</v>
      </c>
      <c r="P35" s="346">
        <v>12</v>
      </c>
      <c r="Q35" s="346">
        <v>33581</v>
      </c>
      <c r="R35" s="352">
        <v>0.2</v>
      </c>
      <c r="S35" s="352">
        <v>0</v>
      </c>
      <c r="T35" s="353">
        <v>30</v>
      </c>
      <c r="U35" s="345">
        <f t="shared" si="5"/>
        <v>52.209648029427072</v>
      </c>
      <c r="V35" s="350">
        <v>366.30905801961171</v>
      </c>
      <c r="W35" s="348"/>
      <c r="X35" s="346">
        <v>33581</v>
      </c>
      <c r="Y35" s="352">
        <v>2.2999999999999998</v>
      </c>
      <c r="Z35" s="345">
        <f t="shared" si="6"/>
        <v>89.344315364818215</v>
      </c>
      <c r="AA35" s="350">
        <v>3.6166666666666671</v>
      </c>
      <c r="AB35" s="350">
        <v>1.7373487109628001</v>
      </c>
      <c r="AC35" s="346"/>
      <c r="AD35" s="346">
        <v>33581</v>
      </c>
      <c r="AE35" s="349" t="s">
        <v>931</v>
      </c>
      <c r="AF35" s="349" t="s">
        <v>931</v>
      </c>
      <c r="AG35" s="352">
        <v>12.6</v>
      </c>
      <c r="AH35" s="350">
        <v>4.7215445683278743</v>
      </c>
      <c r="AI35" s="343">
        <f t="shared" si="8"/>
        <v>5.7377049180327866</v>
      </c>
      <c r="AJ35" s="346">
        <v>350</v>
      </c>
      <c r="AK35" s="346">
        <v>61</v>
      </c>
      <c r="AL35" s="345">
        <f>((AA35/4.5)*100*1.5+(LN(MIN(AB35,5)+1)/LN(5+1))*100+(MAX((60-AG35),0))/60*100*0.5+((AH35-1)/(7-1))*100*2+(LN(MIN(AI35,20)+1)/LN(20+1))*100)/6</f>
        <v>67.161487122029882</v>
      </c>
      <c r="AM35" s="350">
        <v>0.05</v>
      </c>
      <c r="AN35" s="344">
        <v>100</v>
      </c>
      <c r="AO35" s="344">
        <v>0.1</v>
      </c>
      <c r="AP35" s="345">
        <f t="shared" si="9"/>
        <v>99.479375824769789</v>
      </c>
      <c r="AQ35" s="350">
        <v>92.752750071613093</v>
      </c>
      <c r="AR35" s="344">
        <v>94.6</v>
      </c>
      <c r="AS35" s="345">
        <f t="shared" si="10"/>
        <v>93.676375035806544</v>
      </c>
      <c r="AT35" s="343">
        <v>461.97909245748201</v>
      </c>
      <c r="AU35" s="343">
        <v>8.3291943356545606E-2</v>
      </c>
      <c r="AV35" s="343">
        <v>1353.89403759177</v>
      </c>
      <c r="AW35" s="351">
        <f t="shared" si="11"/>
        <v>71.723977192817742</v>
      </c>
      <c r="AX35" s="293"/>
      <c r="AY35" s="354"/>
    </row>
    <row r="36" spans="1:51" s="13" customFormat="1" ht="15.75" customHeight="1" x14ac:dyDescent="0.2">
      <c r="A36" s="294">
        <v>32</v>
      </c>
      <c r="B36" s="295" t="s">
        <v>13</v>
      </c>
      <c r="C36" s="299" t="s">
        <v>19</v>
      </c>
      <c r="D36" s="142" t="s">
        <v>296</v>
      </c>
      <c r="E36" s="172" t="s">
        <v>305</v>
      </c>
      <c r="F36" s="170" t="s">
        <v>109</v>
      </c>
      <c r="G36" s="341">
        <f t="shared" si="0"/>
        <v>82.904536303196892</v>
      </c>
      <c r="H36" s="342">
        <f t="shared" si="1"/>
        <v>71.980300399630394</v>
      </c>
      <c r="I36" s="342">
        <f t="shared" si="2"/>
        <v>93.828772206763404</v>
      </c>
      <c r="J36" s="343">
        <v>31.891100000000002</v>
      </c>
      <c r="K36" s="344">
        <v>110.798</v>
      </c>
      <c r="L36" s="344">
        <v>91.078546828565706</v>
      </c>
      <c r="M36" s="344">
        <v>97.187698359999999</v>
      </c>
      <c r="N36" s="345">
        <f t="shared" si="3"/>
        <v>77.335744630474764</v>
      </c>
      <c r="O36" s="343">
        <f t="shared" si="4"/>
        <v>2.4243496810429273</v>
      </c>
      <c r="P36" s="346">
        <v>12740</v>
      </c>
      <c r="Q36" s="346">
        <v>5255017.5</v>
      </c>
      <c r="R36" s="344">
        <v>0.1</v>
      </c>
      <c r="S36" s="344">
        <v>0</v>
      </c>
      <c r="T36" s="347">
        <v>90</v>
      </c>
      <c r="U36" s="345">
        <f t="shared" si="5"/>
        <v>57.308508487364698</v>
      </c>
      <c r="V36" s="343">
        <f t="shared" ref="V36:V70" si="16">(W36*1000000)/X36</f>
        <v>318.36240316992286</v>
      </c>
      <c r="W36" s="348">
        <v>1673</v>
      </c>
      <c r="X36" s="346">
        <v>5255017.5</v>
      </c>
      <c r="Y36" s="344">
        <v>6.4</v>
      </c>
      <c r="Z36" s="345">
        <f t="shared" si="6"/>
        <v>82.771460916499919</v>
      </c>
      <c r="AA36" s="343">
        <v>3.5833333333333335</v>
      </c>
      <c r="AB36" s="343">
        <f>AC36/AD36</f>
        <v>36.637067716710746</v>
      </c>
      <c r="AC36" s="346">
        <v>192528432</v>
      </c>
      <c r="AD36" s="346">
        <v>5255017.5</v>
      </c>
      <c r="AE36" s="344">
        <v>-13</v>
      </c>
      <c r="AF36" s="343">
        <v>58.15</v>
      </c>
      <c r="AG36" s="344">
        <v>6.1</v>
      </c>
      <c r="AH36" s="343">
        <v>4.4800000000000004</v>
      </c>
      <c r="AI36" s="343">
        <f t="shared" si="8"/>
        <v>1.5028962153216323</v>
      </c>
      <c r="AJ36" s="346">
        <v>103524</v>
      </c>
      <c r="AK36" s="346">
        <v>68883</v>
      </c>
      <c r="AL36" s="345">
        <f t="shared" ref="AL36:AL43" si="17">((AA36/4.5)*100*1.5+(LN(MIN(AB36,5)+1)/LN(5+1))*100+((AE36-(-300))/(150-(-300)))*100+(LN(MIN(AF36,500))/LN(500))*100*0.5+(MAX((60-AG36),0))/60*100*0.5+((AH36-1)/(7-1))*100*2+(LN(MIN(AI36,20)+1)/LN(20+1))*100)/7.5</f>
        <v>67.59501401763508</v>
      </c>
      <c r="AM36" s="343">
        <v>8.5</v>
      </c>
      <c r="AN36" s="344">
        <v>100</v>
      </c>
      <c r="AO36" s="344">
        <v>0</v>
      </c>
      <c r="AP36" s="345">
        <f t="shared" si="9"/>
        <v>98.785714285714292</v>
      </c>
      <c r="AQ36" s="343">
        <v>98.292918225087504</v>
      </c>
      <c r="AR36" s="344">
        <v>99.9</v>
      </c>
      <c r="AS36" s="345">
        <f t="shared" si="10"/>
        <v>99.096459112543755</v>
      </c>
      <c r="AT36" s="343">
        <v>151.32916277869299</v>
      </c>
      <c r="AU36" s="343">
        <v>0.100890679735852</v>
      </c>
      <c r="AV36" s="343">
        <v>1487.5883714777001</v>
      </c>
      <c r="AW36" s="351">
        <f t="shared" si="11"/>
        <v>73.690259064130416</v>
      </c>
      <c r="AX36" s="293"/>
      <c r="AY36" s="354"/>
    </row>
    <row r="37" spans="1:51" s="13" customFormat="1" ht="15.75" customHeight="1" x14ac:dyDescent="0.2">
      <c r="A37" s="294">
        <v>33</v>
      </c>
      <c r="B37" s="295" t="s">
        <v>13</v>
      </c>
      <c r="C37" s="296" t="s">
        <v>14</v>
      </c>
      <c r="D37" s="142" t="s">
        <v>296</v>
      </c>
      <c r="E37" s="149" t="s">
        <v>305</v>
      </c>
      <c r="F37" s="177" t="s">
        <v>82</v>
      </c>
      <c r="G37" s="341">
        <f t="shared" ref="G37:G68" si="18">AVERAGE(H37:I37)</f>
        <v>82.734044623063056</v>
      </c>
      <c r="H37" s="342">
        <f t="shared" ref="H37:H68" si="19">(N37*20+U37*5+Z37*5+AL37*20)/50</f>
        <v>72.974752029750448</v>
      </c>
      <c r="I37" s="342">
        <f t="shared" ref="I37:I68" si="20">(AP37*15+AS37*5+AW37*5)/25</f>
        <v>92.493337216375664</v>
      </c>
      <c r="J37" s="343">
        <v>35.253999999999998</v>
      </c>
      <c r="K37" s="344">
        <v>150.196</v>
      </c>
      <c r="L37" s="344">
        <v>90.050273385781296</v>
      </c>
      <c r="M37" s="344">
        <v>92.237962039999999</v>
      </c>
      <c r="N37" s="345">
        <f t="shared" ref="N37:N68" si="21">((MIN(J37,50)/50)*100*2.5+(MIN(K37,250)/250)*0.5*100+L37*1.5+M37*1.5)/6</f>
        <v>79.956925523111991</v>
      </c>
      <c r="O37" s="343">
        <f t="shared" ref="O37:O68" si="22">(P37*1000)/Q37</f>
        <v>2.163102166336162</v>
      </c>
      <c r="P37" s="346">
        <v>2943</v>
      </c>
      <c r="Q37" s="346">
        <v>1360546</v>
      </c>
      <c r="R37" s="344">
        <v>0.1</v>
      </c>
      <c r="S37" s="344">
        <v>0</v>
      </c>
      <c r="T37" s="347">
        <v>45</v>
      </c>
      <c r="U37" s="345">
        <f t="shared" ref="U37:U68" si="23">((MIN(O37,4)/4)*100*1.5+(1-(MIN(R37,15)/15))*100*0.5+(1-(MIN(S37,8)/8))*100*0.5+(1-(MIN(T37,100)/100))*100)/3.5</f>
        <v>67.366570829792209</v>
      </c>
      <c r="V37" s="343">
        <f t="shared" si="16"/>
        <v>886.0242873081836</v>
      </c>
      <c r="W37" s="348">
        <v>1205.4767999999999</v>
      </c>
      <c r="X37" s="346">
        <v>1360546</v>
      </c>
      <c r="Y37" s="344">
        <v>2.2999999999999998</v>
      </c>
      <c r="Z37" s="345">
        <f t="shared" ref="Z37:Z68" si="24">((LN(MAX(V37,1))/LN(4000))*100*0.5+(MAX((50-Y37),0))/50*100*1.5)/2</f>
        <v>92.006666697914795</v>
      </c>
      <c r="AA37" s="343">
        <v>3.6166666666666671</v>
      </c>
      <c r="AB37" s="350">
        <v>1.7373487109628001</v>
      </c>
      <c r="AC37" s="346"/>
      <c r="AD37" s="346">
        <v>1360546</v>
      </c>
      <c r="AE37" s="344">
        <v>13</v>
      </c>
      <c r="AF37" s="343">
        <v>27.88</v>
      </c>
      <c r="AG37" s="344">
        <v>15.9</v>
      </c>
      <c r="AH37" s="343">
        <v>4.68</v>
      </c>
      <c r="AI37" s="343">
        <f t="shared" ref="AI37:AI68" si="25">AJ37/AK37</f>
        <v>2.110314239879211</v>
      </c>
      <c r="AJ37" s="346">
        <v>89452</v>
      </c>
      <c r="AK37" s="346">
        <v>42388</v>
      </c>
      <c r="AL37" s="345">
        <f t="shared" si="17"/>
        <v>62.636645169337356</v>
      </c>
      <c r="AM37" s="343">
        <v>0.35</v>
      </c>
      <c r="AN37" s="344">
        <v>100</v>
      </c>
      <c r="AO37" s="344">
        <v>0.8</v>
      </c>
      <c r="AP37" s="345">
        <f t="shared" ref="AP37:AP68" si="26">((100-AM37)*0.5+AN37*2+(1-(LN(MIN(AO37,200)+1)/LN(200+1)))*100*1)/3.5</f>
        <v>96.783313376726923</v>
      </c>
      <c r="AQ37" s="343">
        <v>98.901109125639195</v>
      </c>
      <c r="AR37" s="344">
        <v>100</v>
      </c>
      <c r="AS37" s="345">
        <f t="shared" ref="AS37:AS68" si="27">(AQ37+AR37)/2</f>
        <v>99.450554562819605</v>
      </c>
      <c r="AT37" s="343">
        <v>217.156358762721</v>
      </c>
      <c r="AU37" s="343">
        <v>5.2653318130739597E-2</v>
      </c>
      <c r="AV37" s="343">
        <v>2105.1936418544501</v>
      </c>
      <c r="AW37" s="351">
        <f t="shared" ref="AW37:AW68" si="28">((1-(LN(MIN(AT37,3000)+1)/LN(3000+1)))*100*0.5+(1-(LN(MIN(AU37,1000)+1)/LN(1000+1)))*100*2+(1-(LN(MIN(AV37,3500)+1)/LN(3500+1)))*100*0.5)/3</f>
        <v>72.666191388877863</v>
      </c>
      <c r="AX37" s="293"/>
      <c r="AY37" s="354"/>
    </row>
    <row r="38" spans="1:51" s="13" customFormat="1" ht="15.75" customHeight="1" x14ac:dyDescent="0.2">
      <c r="A38" s="294">
        <v>34</v>
      </c>
      <c r="B38" s="307" t="s">
        <v>10</v>
      </c>
      <c r="C38" s="308" t="s">
        <v>35</v>
      </c>
      <c r="D38" s="143" t="s">
        <v>297</v>
      </c>
      <c r="E38" s="179" t="s">
        <v>305</v>
      </c>
      <c r="F38" s="177" t="s">
        <v>36</v>
      </c>
      <c r="G38" s="341">
        <f t="shared" si="18"/>
        <v>82.542480282809407</v>
      </c>
      <c r="H38" s="342">
        <f t="shared" si="19"/>
        <v>73.322616821226305</v>
      </c>
      <c r="I38" s="342">
        <f t="shared" si="20"/>
        <v>91.76234374439251</v>
      </c>
      <c r="J38" s="343">
        <v>17.158200000000001</v>
      </c>
      <c r="K38" s="344">
        <v>153.9</v>
      </c>
      <c r="L38" s="344">
        <v>81.765344881924506</v>
      </c>
      <c r="M38" s="344">
        <v>100</v>
      </c>
      <c r="N38" s="345">
        <f t="shared" si="21"/>
        <v>64.869836220481133</v>
      </c>
      <c r="O38" s="343">
        <f t="shared" si="22"/>
        <v>5.0813649992517336</v>
      </c>
      <c r="P38" s="346">
        <v>8166</v>
      </c>
      <c r="Q38" s="346">
        <v>1607048.5</v>
      </c>
      <c r="R38" s="344">
        <v>0.1</v>
      </c>
      <c r="S38" s="344">
        <v>0</v>
      </c>
      <c r="T38" s="347">
        <v>21</v>
      </c>
      <c r="U38" s="345">
        <f t="shared" si="23"/>
        <v>93.904761904761898</v>
      </c>
      <c r="V38" s="343">
        <f t="shared" si="16"/>
        <v>96.512333012973784</v>
      </c>
      <c r="W38" s="348">
        <v>155.1</v>
      </c>
      <c r="X38" s="346">
        <v>1607048.5</v>
      </c>
      <c r="Y38" s="344">
        <v>0.6</v>
      </c>
      <c r="Z38" s="345">
        <f t="shared" si="24"/>
        <v>87.873943374197836</v>
      </c>
      <c r="AA38" s="343">
        <v>3.4666666666666663</v>
      </c>
      <c r="AB38" s="343">
        <f t="shared" ref="AB38:AB49" si="29">AC38/AD38</f>
        <v>3.5682930540055264</v>
      </c>
      <c r="AC38" s="346">
        <v>5734420</v>
      </c>
      <c r="AD38" s="346">
        <v>1607048.5</v>
      </c>
      <c r="AE38" s="344">
        <v>46</v>
      </c>
      <c r="AF38" s="343">
        <v>27.77</v>
      </c>
      <c r="AG38" s="344">
        <v>14.8</v>
      </c>
      <c r="AH38" s="343">
        <v>5.14</v>
      </c>
      <c r="AI38" s="343">
        <f t="shared" si="25"/>
        <v>6.8791773778920309</v>
      </c>
      <c r="AJ38" s="346">
        <v>5352</v>
      </c>
      <c r="AK38" s="346">
        <v>778</v>
      </c>
      <c r="AL38" s="345">
        <f t="shared" si="17"/>
        <v>72.992029512844695</v>
      </c>
      <c r="AM38" s="343">
        <v>0</v>
      </c>
      <c r="AN38" s="344">
        <v>100</v>
      </c>
      <c r="AO38" s="344">
        <v>0.4</v>
      </c>
      <c r="AP38" s="345">
        <f t="shared" si="26"/>
        <v>98.1872638587529</v>
      </c>
      <c r="AQ38" s="343">
        <v>82.322052104944504</v>
      </c>
      <c r="AR38" s="344">
        <v>100</v>
      </c>
      <c r="AS38" s="345">
        <f t="shared" si="27"/>
        <v>91.161026052472252</v>
      </c>
      <c r="AT38" s="343">
        <v>601.42020617530602</v>
      </c>
      <c r="AU38" s="343">
        <v>0</v>
      </c>
      <c r="AV38" s="343">
        <v>773.96603315920197</v>
      </c>
      <c r="AW38" s="351">
        <f t="shared" si="28"/>
        <v>73.088901093231598</v>
      </c>
      <c r="AX38" s="293"/>
      <c r="AY38" s="354"/>
    </row>
    <row r="39" spans="1:51" s="13" customFormat="1" ht="15.75" customHeight="1" x14ac:dyDescent="0.2">
      <c r="A39" s="294">
        <v>35</v>
      </c>
      <c r="B39" s="295" t="s">
        <v>13</v>
      </c>
      <c r="C39" s="299" t="s">
        <v>19</v>
      </c>
      <c r="D39" s="142" t="s">
        <v>296</v>
      </c>
      <c r="E39" s="149" t="s">
        <v>305</v>
      </c>
      <c r="F39" s="177" t="s">
        <v>94</v>
      </c>
      <c r="G39" s="341">
        <f t="shared" si="18"/>
        <v>82.088091885832711</v>
      </c>
      <c r="H39" s="342">
        <f t="shared" si="19"/>
        <v>74.59215006682814</v>
      </c>
      <c r="I39" s="342">
        <f t="shared" si="20"/>
        <v>89.584033704837282</v>
      </c>
      <c r="J39" s="343">
        <v>43.853999999999999</v>
      </c>
      <c r="K39" s="344">
        <v>110.792</v>
      </c>
      <c r="L39" s="344">
        <v>84.103986794898901</v>
      </c>
      <c r="M39" s="344">
        <v>86.269688860000002</v>
      </c>
      <c r="N39" s="345">
        <f t="shared" si="21"/>
        <v>82.831485580391401</v>
      </c>
      <c r="O39" s="343">
        <f t="shared" si="22"/>
        <v>2.6109155158237614</v>
      </c>
      <c r="P39" s="346">
        <v>26234</v>
      </c>
      <c r="Q39" s="346">
        <v>10047816.5</v>
      </c>
      <c r="R39" s="344">
        <v>0.5</v>
      </c>
      <c r="S39" s="344">
        <v>0</v>
      </c>
      <c r="T39" s="347">
        <v>35</v>
      </c>
      <c r="U39" s="345">
        <f t="shared" si="23"/>
        <v>74.640761479064096</v>
      </c>
      <c r="V39" s="343">
        <f t="shared" si="16"/>
        <v>999.91873856374662</v>
      </c>
      <c r="W39" s="348">
        <v>10047</v>
      </c>
      <c r="X39" s="346">
        <v>10047816.5</v>
      </c>
      <c r="Y39" s="344">
        <v>2.6</v>
      </c>
      <c r="Z39" s="345">
        <f t="shared" si="24"/>
        <v>91.921173955980265</v>
      </c>
      <c r="AA39" s="343">
        <v>3.7166666666666663</v>
      </c>
      <c r="AB39" s="343">
        <f t="shared" si="29"/>
        <v>1.8999663260171999</v>
      </c>
      <c r="AC39" s="346">
        <v>19090513</v>
      </c>
      <c r="AD39" s="346">
        <v>10047816.5</v>
      </c>
      <c r="AE39" s="344">
        <v>5.333333333333333</v>
      </c>
      <c r="AF39" s="343">
        <v>194.39</v>
      </c>
      <c r="AG39" s="344">
        <v>29</v>
      </c>
      <c r="AH39" s="343">
        <v>4.7300000000000004</v>
      </c>
      <c r="AI39" s="343">
        <f t="shared" si="25"/>
        <v>0.91465477114041893</v>
      </c>
      <c r="AJ39" s="346">
        <v>117899</v>
      </c>
      <c r="AK39" s="346">
        <v>128900</v>
      </c>
      <c r="AL39" s="345">
        <f t="shared" si="17"/>
        <v>62.008405727917882</v>
      </c>
      <c r="AM39" s="343">
        <v>0</v>
      </c>
      <c r="AN39" s="344">
        <v>100</v>
      </c>
      <c r="AO39" s="344">
        <v>0</v>
      </c>
      <c r="AP39" s="345">
        <f t="shared" si="26"/>
        <v>100</v>
      </c>
      <c r="AQ39" s="343">
        <v>88.551975911224403</v>
      </c>
      <c r="AR39" s="344">
        <v>99.6</v>
      </c>
      <c r="AS39" s="345">
        <f t="shared" si="27"/>
        <v>94.075987955612192</v>
      </c>
      <c r="AT39" s="343">
        <v>490.95483581572103</v>
      </c>
      <c r="AU39" s="343">
        <v>5.1220751797154103</v>
      </c>
      <c r="AV39" s="343">
        <v>2255.0427810107799</v>
      </c>
      <c r="AW39" s="351">
        <f t="shared" si="28"/>
        <v>53.844180568574217</v>
      </c>
      <c r="AX39" s="293"/>
      <c r="AY39" s="354"/>
    </row>
    <row r="40" spans="1:51" s="13" customFormat="1" ht="15.75" customHeight="1" x14ac:dyDescent="0.2">
      <c r="A40" s="294">
        <v>36</v>
      </c>
      <c r="B40" s="307" t="s">
        <v>10</v>
      </c>
      <c r="C40" s="308" t="s">
        <v>35</v>
      </c>
      <c r="D40" s="143" t="s">
        <v>297</v>
      </c>
      <c r="E40" s="149" t="s">
        <v>305</v>
      </c>
      <c r="F40" s="177" t="s">
        <v>173</v>
      </c>
      <c r="G40" s="341">
        <f t="shared" si="18"/>
        <v>82.003958060197277</v>
      </c>
      <c r="H40" s="342">
        <f t="shared" si="19"/>
        <v>73.655827865363449</v>
      </c>
      <c r="I40" s="342">
        <f t="shared" si="20"/>
        <v>90.352088255031106</v>
      </c>
      <c r="J40" s="343">
        <v>11.6411</v>
      </c>
      <c r="K40" s="344">
        <v>157.821</v>
      </c>
      <c r="L40" s="344">
        <v>86.3023027913856</v>
      </c>
      <c r="M40" s="344">
        <v>98.085403439999993</v>
      </c>
      <c r="N40" s="345">
        <f t="shared" si="21"/>
        <v>61.058543224513066</v>
      </c>
      <c r="O40" s="343">
        <f t="shared" si="22"/>
        <v>3.7383263411934631</v>
      </c>
      <c r="P40" s="346">
        <v>11396</v>
      </c>
      <c r="Q40" s="346">
        <v>3048423</v>
      </c>
      <c r="R40" s="344">
        <v>0</v>
      </c>
      <c r="S40" s="344">
        <v>0</v>
      </c>
      <c r="T40" s="353">
        <v>17.5</v>
      </c>
      <c r="U40" s="345">
        <f t="shared" si="23"/>
        <v>92.196353655644245</v>
      </c>
      <c r="V40" s="343">
        <f t="shared" si="16"/>
        <v>82.009616119547715</v>
      </c>
      <c r="W40" s="348">
        <v>250</v>
      </c>
      <c r="X40" s="346">
        <v>3048423</v>
      </c>
      <c r="Y40" s="344">
        <v>0</v>
      </c>
      <c r="Z40" s="345">
        <f t="shared" si="24"/>
        <v>88.283126763650117</v>
      </c>
      <c r="AA40" s="343">
        <v>3.5</v>
      </c>
      <c r="AB40" s="343">
        <f t="shared" si="29"/>
        <v>12.37175692579409</v>
      </c>
      <c r="AC40" s="346">
        <v>37714348.362999998</v>
      </c>
      <c r="AD40" s="346">
        <v>3048423</v>
      </c>
      <c r="AE40" s="344">
        <v>125</v>
      </c>
      <c r="AF40" s="343">
        <v>108.51</v>
      </c>
      <c r="AG40" s="344">
        <v>1.4</v>
      </c>
      <c r="AH40" s="343">
        <v>5.6</v>
      </c>
      <c r="AI40" s="343">
        <f t="shared" si="25"/>
        <v>1.7918177110305542</v>
      </c>
      <c r="AJ40" s="346">
        <v>20760</v>
      </c>
      <c r="AK40" s="346">
        <v>11586</v>
      </c>
      <c r="AL40" s="345">
        <f t="shared" si="17"/>
        <v>77.961156334071987</v>
      </c>
      <c r="AM40" s="343">
        <v>0</v>
      </c>
      <c r="AN40" s="344">
        <v>100</v>
      </c>
      <c r="AO40" s="344">
        <v>0</v>
      </c>
      <c r="AP40" s="345">
        <f t="shared" si="26"/>
        <v>100</v>
      </c>
      <c r="AQ40" s="343">
        <v>59.287846793969784</v>
      </c>
      <c r="AR40" s="344">
        <v>100</v>
      </c>
      <c r="AS40" s="345">
        <f t="shared" si="27"/>
        <v>79.643923396984889</v>
      </c>
      <c r="AT40" s="343">
        <v>582.92152550972799</v>
      </c>
      <c r="AU40" s="343">
        <v>2.6014715989692301E-2</v>
      </c>
      <c r="AV40" s="343">
        <v>1139.68971229761</v>
      </c>
      <c r="AW40" s="351">
        <f t="shared" si="28"/>
        <v>72.116517878170612</v>
      </c>
      <c r="AX40" s="293"/>
      <c r="AY40" s="354"/>
    </row>
    <row r="41" spans="1:51" s="5" customFormat="1" ht="15.75" customHeight="1" x14ac:dyDescent="0.2">
      <c r="A41" s="294">
        <v>37</v>
      </c>
      <c r="B41" s="304" t="s">
        <v>29</v>
      </c>
      <c r="C41" s="305" t="s">
        <v>30</v>
      </c>
      <c r="D41" s="146" t="s">
        <v>300</v>
      </c>
      <c r="E41" s="172" t="s">
        <v>305</v>
      </c>
      <c r="F41" s="177" t="s">
        <v>156</v>
      </c>
      <c r="G41" s="341">
        <f t="shared" si="18"/>
        <v>81.709941524474416</v>
      </c>
      <c r="H41" s="342">
        <f t="shared" si="19"/>
        <v>74.338249549780429</v>
      </c>
      <c r="I41" s="342">
        <f t="shared" si="20"/>
        <v>89.081633499168404</v>
      </c>
      <c r="J41" s="343">
        <v>37.853099999999998</v>
      </c>
      <c r="K41" s="344">
        <v>126.855</v>
      </c>
      <c r="L41" s="344">
        <v>89.543480295348601</v>
      </c>
      <c r="M41" s="344">
        <v>93.519302370000005</v>
      </c>
      <c r="N41" s="345">
        <f t="shared" si="21"/>
        <v>81.538445666337154</v>
      </c>
      <c r="O41" s="343">
        <f t="shared" si="22"/>
        <v>1.9894728443573617</v>
      </c>
      <c r="P41" s="346">
        <v>10373</v>
      </c>
      <c r="Q41" s="346">
        <v>5213944</v>
      </c>
      <c r="R41" s="344">
        <v>0.3</v>
      </c>
      <c r="S41" s="344">
        <v>0</v>
      </c>
      <c r="T41" s="347">
        <v>2</v>
      </c>
      <c r="U41" s="345">
        <f t="shared" si="23"/>
        <v>77.601494760971732</v>
      </c>
      <c r="V41" s="343">
        <f t="shared" si="16"/>
        <v>1893.9597356626768</v>
      </c>
      <c r="W41" s="348">
        <v>9875</v>
      </c>
      <c r="X41" s="346">
        <v>5213944</v>
      </c>
      <c r="Y41" s="344">
        <v>4.7</v>
      </c>
      <c r="Z41" s="345">
        <f t="shared" si="24"/>
        <v>90.696503041599215</v>
      </c>
      <c r="AA41" s="343">
        <v>3.6166666666666667</v>
      </c>
      <c r="AB41" s="343">
        <f t="shared" si="29"/>
        <v>2.8832597574887648</v>
      </c>
      <c r="AC41" s="346">
        <v>15033154.913000001</v>
      </c>
      <c r="AD41" s="346">
        <v>5213944</v>
      </c>
      <c r="AE41" s="344">
        <v>0.33333333333333331</v>
      </c>
      <c r="AF41" s="343">
        <v>105.08</v>
      </c>
      <c r="AG41" s="344">
        <v>20</v>
      </c>
      <c r="AH41" s="343">
        <v>4.68</v>
      </c>
      <c r="AI41" s="343">
        <f t="shared" si="25"/>
        <v>0.36755160903767714</v>
      </c>
      <c r="AJ41" s="346">
        <v>97231</v>
      </c>
      <c r="AK41" s="346">
        <v>264537</v>
      </c>
      <c r="AL41" s="345">
        <f t="shared" si="17"/>
        <v>62.232678757471184</v>
      </c>
      <c r="AM41" s="343">
        <v>0</v>
      </c>
      <c r="AN41" s="344">
        <v>100</v>
      </c>
      <c r="AO41" s="344">
        <v>0</v>
      </c>
      <c r="AP41" s="345">
        <f t="shared" si="26"/>
        <v>100</v>
      </c>
      <c r="AQ41" s="343">
        <v>97.864756372274201</v>
      </c>
      <c r="AR41" s="344">
        <v>99.6</v>
      </c>
      <c r="AS41" s="345">
        <f t="shared" si="27"/>
        <v>98.732378186137097</v>
      </c>
      <c r="AT41" s="343">
        <v>498.42068722015</v>
      </c>
      <c r="AU41" s="343">
        <v>12.3730908607329</v>
      </c>
      <c r="AV41" s="343">
        <v>1851.3897480712001</v>
      </c>
      <c r="AW41" s="351">
        <f t="shared" si="28"/>
        <v>46.675789309704918</v>
      </c>
      <c r="AX41" s="293"/>
      <c r="AY41" s="121"/>
    </row>
    <row r="42" spans="1:51" s="5" customFormat="1" ht="15.75" customHeight="1" x14ac:dyDescent="0.2">
      <c r="A42" s="294">
        <v>38</v>
      </c>
      <c r="B42" s="307" t="s">
        <v>10</v>
      </c>
      <c r="C42" s="308" t="s">
        <v>35</v>
      </c>
      <c r="D42" s="143" t="s">
        <v>297</v>
      </c>
      <c r="E42" s="149" t="s">
        <v>305</v>
      </c>
      <c r="F42" s="177" t="s">
        <v>110</v>
      </c>
      <c r="G42" s="341">
        <f t="shared" si="18"/>
        <v>81.690522013578786</v>
      </c>
      <c r="H42" s="342">
        <f t="shared" si="19"/>
        <v>69.936987309996312</v>
      </c>
      <c r="I42" s="342">
        <f t="shared" si="20"/>
        <v>93.44405671716126</v>
      </c>
      <c r="J42" s="343">
        <v>29.435700000000001</v>
      </c>
      <c r="K42" s="344">
        <v>153.33699999999999</v>
      </c>
      <c r="L42" s="344">
        <v>83.988512469517005</v>
      </c>
      <c r="M42" s="344">
        <v>88.182422250000002</v>
      </c>
      <c r="N42" s="345">
        <f t="shared" si="21"/>
        <v>72.683717013212586</v>
      </c>
      <c r="O42" s="343">
        <f t="shared" si="22"/>
        <v>2.5845260173595008</v>
      </c>
      <c r="P42" s="346">
        <v>24261</v>
      </c>
      <c r="Q42" s="346">
        <v>9387021</v>
      </c>
      <c r="R42" s="344">
        <v>0</v>
      </c>
      <c r="S42" s="344">
        <v>0</v>
      </c>
      <c r="T42" s="353">
        <v>17.5</v>
      </c>
      <c r="U42" s="345">
        <f t="shared" si="23"/>
        <v>79.834207328851789</v>
      </c>
      <c r="V42" s="343">
        <f t="shared" si="16"/>
        <v>162.99100641193834</v>
      </c>
      <c r="W42" s="348">
        <v>1530</v>
      </c>
      <c r="X42" s="346">
        <v>9387021</v>
      </c>
      <c r="Y42" s="344">
        <v>2.4</v>
      </c>
      <c r="Z42" s="345">
        <f t="shared" si="24"/>
        <v>86.753461954427749</v>
      </c>
      <c r="AA42" s="343">
        <v>3.65</v>
      </c>
      <c r="AB42" s="343">
        <f t="shared" si="29"/>
        <v>0.78595520346657366</v>
      </c>
      <c r="AC42" s="346">
        <v>7377778</v>
      </c>
      <c r="AD42" s="346">
        <v>9387021</v>
      </c>
      <c r="AE42" s="344">
        <v>2.5</v>
      </c>
      <c r="AF42" s="343">
        <v>91.37</v>
      </c>
      <c r="AG42" s="344">
        <v>11.1</v>
      </c>
      <c r="AH42" s="343">
        <v>4.99</v>
      </c>
      <c r="AI42" s="343">
        <f t="shared" si="25"/>
        <v>0.98423035772433365</v>
      </c>
      <c r="AJ42" s="346">
        <v>21158</v>
      </c>
      <c r="AK42" s="346">
        <v>21497</v>
      </c>
      <c r="AL42" s="345">
        <f t="shared" si="17"/>
        <v>60.511833940958319</v>
      </c>
      <c r="AM42" s="343">
        <v>0</v>
      </c>
      <c r="AN42" s="344">
        <v>100</v>
      </c>
      <c r="AO42" s="344">
        <v>0</v>
      </c>
      <c r="AP42" s="345">
        <f t="shared" si="26"/>
        <v>100</v>
      </c>
      <c r="AQ42" s="343">
        <v>89.269197411982603</v>
      </c>
      <c r="AR42" s="344">
        <v>100</v>
      </c>
      <c r="AS42" s="345">
        <f t="shared" si="27"/>
        <v>94.634598705991294</v>
      </c>
      <c r="AT42" s="343">
        <v>273.37016939816601</v>
      </c>
      <c r="AU42" s="343">
        <v>0.13441730701582</v>
      </c>
      <c r="AV42" s="343">
        <v>1216.9583867543299</v>
      </c>
      <c r="AW42" s="351">
        <f t="shared" si="28"/>
        <v>72.585684879815048</v>
      </c>
      <c r="AX42" s="293"/>
      <c r="AY42" s="121"/>
    </row>
    <row r="43" spans="1:51" s="5" customFormat="1" ht="15.75" customHeight="1" x14ac:dyDescent="0.2">
      <c r="A43" s="294">
        <v>39</v>
      </c>
      <c r="B43" s="295" t="s">
        <v>13</v>
      </c>
      <c r="C43" s="299" t="s">
        <v>19</v>
      </c>
      <c r="D43" s="142" t="s">
        <v>296</v>
      </c>
      <c r="E43" s="172" t="s">
        <v>305</v>
      </c>
      <c r="F43" s="177" t="s">
        <v>71</v>
      </c>
      <c r="G43" s="341">
        <f t="shared" si="18"/>
        <v>81.053637539822404</v>
      </c>
      <c r="H43" s="342">
        <f t="shared" si="19"/>
        <v>68.300369966974074</v>
      </c>
      <c r="I43" s="342">
        <f t="shared" si="20"/>
        <v>93.806905112670719</v>
      </c>
      <c r="J43" s="343">
        <v>38.732199999999999</v>
      </c>
      <c r="K43" s="344">
        <v>155.696</v>
      </c>
      <c r="L43" s="344">
        <v>86.673114998932107</v>
      </c>
      <c r="M43" s="344">
        <v>89.600992460000001</v>
      </c>
      <c r="N43" s="345">
        <f t="shared" si="21"/>
        <v>81.535226864733019</v>
      </c>
      <c r="O43" s="343">
        <f t="shared" si="22"/>
        <v>1.657976767710976</v>
      </c>
      <c r="P43" s="346">
        <v>2252</v>
      </c>
      <c r="Q43" s="346">
        <v>1358282</v>
      </c>
      <c r="R43" s="344">
        <v>0.3</v>
      </c>
      <c r="S43" s="344">
        <v>0</v>
      </c>
      <c r="T43" s="347">
        <v>120</v>
      </c>
      <c r="U43" s="345">
        <f t="shared" si="23"/>
        <v>46.049751082617604</v>
      </c>
      <c r="V43" s="343">
        <f t="shared" si="16"/>
        <v>164.17798365876894</v>
      </c>
      <c r="W43" s="348">
        <v>223</v>
      </c>
      <c r="X43" s="346">
        <v>1358282</v>
      </c>
      <c r="Y43" s="344">
        <v>3.3</v>
      </c>
      <c r="Z43" s="345">
        <f t="shared" si="24"/>
        <v>85.425333301892962</v>
      </c>
      <c r="AA43" s="343">
        <v>3.15</v>
      </c>
      <c r="AB43" s="343">
        <f t="shared" si="29"/>
        <v>0.53307192468132536</v>
      </c>
      <c r="AC43" s="346">
        <v>724062</v>
      </c>
      <c r="AD43" s="346">
        <v>1358282</v>
      </c>
      <c r="AE43" s="344">
        <v>17</v>
      </c>
      <c r="AF43" s="343">
        <v>48.37</v>
      </c>
      <c r="AG43" s="344">
        <v>33.6</v>
      </c>
      <c r="AH43" s="343">
        <v>5.22</v>
      </c>
      <c r="AI43" s="343">
        <f t="shared" si="25"/>
        <v>1.4502759441618873</v>
      </c>
      <c r="AJ43" s="346">
        <v>13402</v>
      </c>
      <c r="AK43" s="346">
        <v>9241</v>
      </c>
      <c r="AL43" s="345">
        <f t="shared" si="17"/>
        <v>56.346926956574507</v>
      </c>
      <c r="AM43" s="343">
        <v>0.27</v>
      </c>
      <c r="AN43" s="344">
        <v>100</v>
      </c>
      <c r="AO43" s="344">
        <v>0</v>
      </c>
      <c r="AP43" s="345">
        <f t="shared" si="26"/>
        <v>99.96142857142857</v>
      </c>
      <c r="AQ43" s="343">
        <v>96.125931293590696</v>
      </c>
      <c r="AR43" s="344">
        <v>100</v>
      </c>
      <c r="AS43" s="345">
        <f t="shared" si="27"/>
        <v>98.062965646795348</v>
      </c>
      <c r="AT43" s="343">
        <v>443.90186118819702</v>
      </c>
      <c r="AU43" s="343">
        <v>8.5491607921849996E-2</v>
      </c>
      <c r="AV43" s="343">
        <v>1907.8369217391601</v>
      </c>
      <c r="AW43" s="351">
        <f t="shared" si="28"/>
        <v>71.087274202272511</v>
      </c>
      <c r="AX43" s="293"/>
      <c r="AY43" s="121"/>
    </row>
    <row r="44" spans="1:51" s="13" customFormat="1" ht="15.75" customHeight="1" x14ac:dyDescent="0.2">
      <c r="A44" s="294">
        <v>40</v>
      </c>
      <c r="B44" s="295" t="s">
        <v>13</v>
      </c>
      <c r="C44" s="296" t="s">
        <v>14</v>
      </c>
      <c r="D44" s="142" t="s">
        <v>296</v>
      </c>
      <c r="E44" s="172" t="s">
        <v>305</v>
      </c>
      <c r="F44" s="177" t="s">
        <v>330</v>
      </c>
      <c r="G44" s="341">
        <f t="shared" si="18"/>
        <v>80.056554796704575</v>
      </c>
      <c r="H44" s="342">
        <f t="shared" si="19"/>
        <v>67.373553768252961</v>
      </c>
      <c r="I44" s="342">
        <f t="shared" si="20"/>
        <v>92.739555825156188</v>
      </c>
      <c r="J44" s="343">
        <v>37.909999999999997</v>
      </c>
      <c r="K44" s="344">
        <v>126.005</v>
      </c>
      <c r="L44" s="344">
        <v>87.3760632088553</v>
      </c>
      <c r="M44" s="344">
        <v>87.687760139999995</v>
      </c>
      <c r="N44" s="345">
        <f t="shared" si="21"/>
        <v>79.557789170547153</v>
      </c>
      <c r="O44" s="343">
        <f t="shared" si="22"/>
        <v>2.057869798774369</v>
      </c>
      <c r="P44" s="346">
        <v>22093</v>
      </c>
      <c r="Q44" s="346">
        <v>10735859</v>
      </c>
      <c r="R44" s="344">
        <v>0.2</v>
      </c>
      <c r="S44" s="344">
        <v>0</v>
      </c>
      <c r="T44" s="347">
        <v>15</v>
      </c>
      <c r="U44" s="345">
        <f t="shared" si="23"/>
        <v>74.715271653534913</v>
      </c>
      <c r="V44" s="343">
        <f t="shared" si="16"/>
        <v>134.59565741316089</v>
      </c>
      <c r="W44" s="348">
        <v>1445</v>
      </c>
      <c r="X44" s="346">
        <v>10735859</v>
      </c>
      <c r="Y44" s="344">
        <v>1.1000000000000001</v>
      </c>
      <c r="Z44" s="345">
        <f t="shared" si="24"/>
        <v>88.126482437733983</v>
      </c>
      <c r="AA44" s="343">
        <v>3.3166666666666664</v>
      </c>
      <c r="AB44" s="343">
        <f t="shared" si="29"/>
        <v>0.20266319201844957</v>
      </c>
      <c r="AC44" s="346">
        <v>2175763.4539999999</v>
      </c>
      <c r="AD44" s="346">
        <v>10735859</v>
      </c>
      <c r="AE44" s="349" t="s">
        <v>931</v>
      </c>
      <c r="AF44" s="349" t="s">
        <v>931</v>
      </c>
      <c r="AG44" s="344">
        <v>15.3</v>
      </c>
      <c r="AH44" s="343">
        <v>3.95</v>
      </c>
      <c r="AI44" s="343">
        <f t="shared" si="25"/>
        <v>1.6943785870677706</v>
      </c>
      <c r="AJ44" s="346">
        <v>130784</v>
      </c>
      <c r="AK44" s="346">
        <v>77187</v>
      </c>
      <c r="AL44" s="345">
        <f>((AA44/4.5)*100*1.5+(LN(MIN(AB44,5)+1)/LN(5+1))*100+(MAX((60-AG44),0))/60*100*0.5+((AH44-1)/(7-1))*100*2+(LN(MIN(AI44,20)+1)/LN(20+1))*100)/6</f>
        <v>48.165656727268022</v>
      </c>
      <c r="AM44" s="343">
        <v>0.03</v>
      </c>
      <c r="AN44" s="344">
        <v>100</v>
      </c>
      <c r="AO44" s="344">
        <v>0.3</v>
      </c>
      <c r="AP44" s="345">
        <f t="shared" si="26"/>
        <v>98.582233075056948</v>
      </c>
      <c r="AQ44" s="343">
        <v>92.283288546202499</v>
      </c>
      <c r="AR44" s="344">
        <v>100</v>
      </c>
      <c r="AS44" s="345">
        <f t="shared" si="27"/>
        <v>96.141644273101249</v>
      </c>
      <c r="AT44" s="343">
        <v>299.67557642230997</v>
      </c>
      <c r="AU44" s="343">
        <v>0.10374409411133501</v>
      </c>
      <c r="AV44" s="343">
        <v>1845.81720383724</v>
      </c>
      <c r="AW44" s="351">
        <f t="shared" si="28"/>
        <v>71.809435627508833</v>
      </c>
      <c r="AX44" s="293"/>
      <c r="AY44" s="354"/>
    </row>
    <row r="45" spans="1:51" s="5" customFormat="1" ht="15.75" customHeight="1" x14ac:dyDescent="0.2">
      <c r="A45" s="294">
        <v>41</v>
      </c>
      <c r="B45" s="295" t="s">
        <v>13</v>
      </c>
      <c r="C45" s="299" t="s">
        <v>19</v>
      </c>
      <c r="D45" s="142" t="s">
        <v>296</v>
      </c>
      <c r="E45" s="172" t="s">
        <v>305</v>
      </c>
      <c r="F45" s="177" t="s">
        <v>111</v>
      </c>
      <c r="G45" s="341">
        <f t="shared" si="18"/>
        <v>80.052784965806836</v>
      </c>
      <c r="H45" s="342">
        <f t="shared" si="19"/>
        <v>69.740037173894791</v>
      </c>
      <c r="I45" s="342">
        <f t="shared" si="20"/>
        <v>90.365532757718881</v>
      </c>
      <c r="J45" s="343">
        <v>31.841100000000001</v>
      </c>
      <c r="K45" s="344">
        <v>131.87200000000001</v>
      </c>
      <c r="L45" s="344">
        <v>85.205780376282604</v>
      </c>
      <c r="M45" s="344">
        <v>89.220720200000002</v>
      </c>
      <c r="N45" s="345">
        <f t="shared" si="21"/>
        <v>74.536608477403988</v>
      </c>
      <c r="O45" s="343">
        <f t="shared" si="22"/>
        <v>2.2079823005518087</v>
      </c>
      <c r="P45" s="346">
        <v>131028</v>
      </c>
      <c r="Q45" s="346">
        <v>59342867</v>
      </c>
      <c r="R45" s="344">
        <v>0.1</v>
      </c>
      <c r="S45" s="344">
        <v>0</v>
      </c>
      <c r="T45" s="347">
        <v>13</v>
      </c>
      <c r="U45" s="345">
        <f t="shared" si="23"/>
        <v>76.990286553531277</v>
      </c>
      <c r="V45" s="343">
        <f t="shared" si="16"/>
        <v>569.2849319194504</v>
      </c>
      <c r="W45" s="348">
        <v>33783</v>
      </c>
      <c r="X45" s="346">
        <v>59342867</v>
      </c>
      <c r="Y45" s="344">
        <v>1.6</v>
      </c>
      <c r="Z45" s="345">
        <f t="shared" si="24"/>
        <v>91.723291224344081</v>
      </c>
      <c r="AA45" s="343">
        <v>3.6999999999999993</v>
      </c>
      <c r="AB45" s="343">
        <f t="shared" si="29"/>
        <v>0.34148559084615848</v>
      </c>
      <c r="AC45" s="346">
        <v>20264734</v>
      </c>
      <c r="AD45" s="346">
        <v>59342867</v>
      </c>
      <c r="AE45" s="344">
        <v>39</v>
      </c>
      <c r="AF45" s="343">
        <v>282.99</v>
      </c>
      <c r="AG45" s="344">
        <v>12.6</v>
      </c>
      <c r="AH45" s="343">
        <v>4.3899999999999997</v>
      </c>
      <c r="AI45" s="343">
        <f t="shared" si="25"/>
        <v>0.79855402293408906</v>
      </c>
      <c r="AJ45" s="346">
        <v>236146</v>
      </c>
      <c r="AK45" s="346">
        <v>295717</v>
      </c>
      <c r="AL45" s="345">
        <f>((AA45/4.5)*100*1.5+(LN(MIN(AB45,5)+1)/LN(5+1))*100+((AE45-(-300))/(150-(-300)))*100+(LN(MIN(AF45,500))/LN(500))*100*0.5+(MAX((60-AG45),0))/60*100*0.5+((AH45-1)/(7-1))*100*2+(LN(MIN(AI45,20)+1)/LN(20+1))*100)/7.5</f>
        <v>57.635090012864133</v>
      </c>
      <c r="AM45" s="343">
        <v>0.02</v>
      </c>
      <c r="AN45" s="344">
        <v>100</v>
      </c>
      <c r="AO45" s="344">
        <v>0.2</v>
      </c>
      <c r="AP45" s="345">
        <f t="shared" si="26"/>
        <v>99.014889822991634</v>
      </c>
      <c r="AQ45" s="343">
        <v>86.019109327899201</v>
      </c>
      <c r="AR45" s="344">
        <v>99.8</v>
      </c>
      <c r="AS45" s="345">
        <f t="shared" si="27"/>
        <v>92.909554663949592</v>
      </c>
      <c r="AT45" s="343">
        <v>336.41062867585498</v>
      </c>
      <c r="AU45" s="343">
        <v>2.1460374942320599</v>
      </c>
      <c r="AV45" s="343">
        <v>1508.96231617639</v>
      </c>
      <c r="AW45" s="351">
        <f t="shared" si="28"/>
        <v>61.87343965566992</v>
      </c>
      <c r="AX45" s="293"/>
      <c r="AY45" s="121"/>
    </row>
    <row r="46" spans="1:51" s="13" customFormat="1" ht="15.75" customHeight="1" x14ac:dyDescent="0.2">
      <c r="A46" s="294">
        <v>42</v>
      </c>
      <c r="B46" s="295" t="s">
        <v>13</v>
      </c>
      <c r="C46" s="296" t="s">
        <v>14</v>
      </c>
      <c r="D46" s="142" t="s">
        <v>296</v>
      </c>
      <c r="E46" s="172" t="s">
        <v>305</v>
      </c>
      <c r="F46" s="177" t="s">
        <v>103</v>
      </c>
      <c r="G46" s="341">
        <f t="shared" si="18"/>
        <v>79.849545462848241</v>
      </c>
      <c r="H46" s="342">
        <f t="shared" si="19"/>
        <v>71.64418130718181</v>
      </c>
      <c r="I46" s="342">
        <f t="shared" si="20"/>
        <v>88.054909618514671</v>
      </c>
      <c r="J46" s="343">
        <v>36.790199999999999</v>
      </c>
      <c r="K46" s="344">
        <v>105.054</v>
      </c>
      <c r="L46" s="344">
        <v>86.562798019987895</v>
      </c>
      <c r="M46" s="344">
        <v>93.778986279999998</v>
      </c>
      <c r="N46" s="345">
        <f t="shared" si="21"/>
        <v>79.245746074996973</v>
      </c>
      <c r="O46" s="343">
        <f t="shared" si="22"/>
        <v>1.5635375882797</v>
      </c>
      <c r="P46" s="346">
        <v>15129</v>
      </c>
      <c r="Q46" s="346">
        <v>9676134.5</v>
      </c>
      <c r="R46" s="344">
        <v>0.2</v>
      </c>
      <c r="S46" s="344">
        <v>0</v>
      </c>
      <c r="T46" s="347">
        <v>90</v>
      </c>
      <c r="U46" s="345">
        <f t="shared" si="23"/>
        <v>47.990283683949166</v>
      </c>
      <c r="V46" s="343">
        <f t="shared" si="16"/>
        <v>485.19581864018119</v>
      </c>
      <c r="W46" s="348">
        <v>4694.82</v>
      </c>
      <c r="X46" s="346">
        <v>9676134.5</v>
      </c>
      <c r="Y46" s="344">
        <v>2.2999999999999998</v>
      </c>
      <c r="Z46" s="345">
        <f t="shared" si="24"/>
        <v>90.191534677232681</v>
      </c>
      <c r="AA46" s="343">
        <v>3.2166666666666668</v>
      </c>
      <c r="AB46" s="343">
        <f t="shared" si="29"/>
        <v>5.7474995826070838</v>
      </c>
      <c r="AC46" s="346">
        <v>55613579</v>
      </c>
      <c r="AD46" s="346">
        <v>9676134.5</v>
      </c>
      <c r="AE46" s="349" t="s">
        <v>931</v>
      </c>
      <c r="AF46" s="349" t="s">
        <v>931</v>
      </c>
      <c r="AG46" s="344">
        <v>2.4</v>
      </c>
      <c r="AH46" s="343">
        <v>3.89</v>
      </c>
      <c r="AI46" s="343">
        <f t="shared" si="25"/>
        <v>2.4170173131711592</v>
      </c>
      <c r="AJ46" s="346">
        <v>220577</v>
      </c>
      <c r="AK46" s="346">
        <v>91260</v>
      </c>
      <c r="AL46" s="345">
        <f>((AA46/4.5)*100*1.5+(LN(MIN(AB46,5)+1)/LN(5+1))*100+(MAX((60-AG46),0))/60*100*0.5+((AH46-1)/(7-1))*100*2+(LN(MIN(AI46,20)+1)/LN(20+1))*100)/6</f>
        <v>65.31925260266209</v>
      </c>
      <c r="AM46" s="350">
        <v>1.1149962550332313</v>
      </c>
      <c r="AN46" s="344">
        <v>100</v>
      </c>
      <c r="AO46" s="344">
        <v>3.6</v>
      </c>
      <c r="AP46" s="345">
        <f t="shared" si="26"/>
        <v>91.619122921471643</v>
      </c>
      <c r="AQ46" s="343">
        <v>86.9605630769545</v>
      </c>
      <c r="AR46" s="344">
        <v>100</v>
      </c>
      <c r="AS46" s="345">
        <f t="shared" si="27"/>
        <v>93.480281538477243</v>
      </c>
      <c r="AT46" s="343">
        <v>321.66217312581699</v>
      </c>
      <c r="AU46" s="343">
        <v>8.1034240277040898E-2</v>
      </c>
      <c r="AV46" s="343">
        <v>1780.3119422912</v>
      </c>
      <c r="AW46" s="351">
        <f t="shared" si="28"/>
        <v>71.936897789681197</v>
      </c>
      <c r="AX46" s="293"/>
      <c r="AY46" s="354"/>
    </row>
    <row r="47" spans="1:51" s="5" customFormat="1" ht="15.75" customHeight="1" x14ac:dyDescent="0.2">
      <c r="A47" s="294">
        <v>43</v>
      </c>
      <c r="B47" s="295" t="s">
        <v>13</v>
      </c>
      <c r="C47" s="296" t="s">
        <v>14</v>
      </c>
      <c r="D47" s="142" t="s">
        <v>296</v>
      </c>
      <c r="E47" s="172" t="s">
        <v>305</v>
      </c>
      <c r="F47" s="177" t="s">
        <v>187</v>
      </c>
      <c r="G47" s="341">
        <f t="shared" si="18"/>
        <v>79.383768574046002</v>
      </c>
      <c r="H47" s="342">
        <f t="shared" si="19"/>
        <v>67.99762707838569</v>
      </c>
      <c r="I47" s="342">
        <f t="shared" si="20"/>
        <v>90.769910069706299</v>
      </c>
      <c r="J47" s="343">
        <v>31.881499999999999</v>
      </c>
      <c r="K47" s="344">
        <v>129.22800000000001</v>
      </c>
      <c r="L47" s="344">
        <v>89.481967402073593</v>
      </c>
      <c r="M47" s="344">
        <v>90.763554869999993</v>
      </c>
      <c r="N47" s="345">
        <f t="shared" si="21"/>
        <v>75.936897234685077</v>
      </c>
      <c r="O47" s="343">
        <f t="shared" si="22"/>
        <v>2.2707358038303269</v>
      </c>
      <c r="P47" s="346">
        <v>4811</v>
      </c>
      <c r="Q47" s="346">
        <v>2118696.5</v>
      </c>
      <c r="R47" s="344">
        <v>0.1</v>
      </c>
      <c r="S47" s="344">
        <v>0</v>
      </c>
      <c r="T47" s="347">
        <v>60</v>
      </c>
      <c r="U47" s="345">
        <f t="shared" si="23"/>
        <v>64.234074088658261</v>
      </c>
      <c r="V47" s="343">
        <f t="shared" si="16"/>
        <v>390.33434000575352</v>
      </c>
      <c r="W47" s="348">
        <v>827</v>
      </c>
      <c r="X47" s="346">
        <v>2118696.5</v>
      </c>
      <c r="Y47" s="344">
        <v>1</v>
      </c>
      <c r="Z47" s="345">
        <f t="shared" si="24"/>
        <v>91.485796784608866</v>
      </c>
      <c r="AA47" s="343">
        <v>3.3333333333333335</v>
      </c>
      <c r="AB47" s="343">
        <f t="shared" si="29"/>
        <v>0</v>
      </c>
      <c r="AC47" s="346">
        <v>0</v>
      </c>
      <c r="AD47" s="346">
        <v>2118696.5</v>
      </c>
      <c r="AE47" s="344">
        <v>11</v>
      </c>
      <c r="AF47" s="343">
        <v>77.8</v>
      </c>
      <c r="AG47" s="344">
        <v>11</v>
      </c>
      <c r="AH47" s="343">
        <v>4.66</v>
      </c>
      <c r="AI47" s="343">
        <f t="shared" si="25"/>
        <v>1.9351396953004814</v>
      </c>
      <c r="AJ47" s="346">
        <v>38995</v>
      </c>
      <c r="AK47" s="346">
        <v>20151</v>
      </c>
      <c r="AL47" s="345">
        <f>((AA47/4.5)*100*1.5+(LN(MIN(AB47,5)+1)/LN(5+1))*100+((AE47-(-300))/(150-(-300)))*100+(LN(MIN(AF47,500))/LN(500))*100*0.5+(MAX((60-AG47),0))/60*100*0.5+((AH47-1)/(7-1))*100*2+(LN(MIN(AI47,20)+1)/LN(20+1))*100)/7.5</f>
        <v>55.127202742962361</v>
      </c>
      <c r="AM47" s="343">
        <v>0.53</v>
      </c>
      <c r="AN47" s="344">
        <v>100</v>
      </c>
      <c r="AO47" s="344">
        <v>0.6</v>
      </c>
      <c r="AP47" s="345">
        <f t="shared" si="26"/>
        <v>97.392152383445151</v>
      </c>
      <c r="AQ47" s="343">
        <v>98.7472573239817</v>
      </c>
      <c r="AR47" s="344">
        <v>100</v>
      </c>
      <c r="AS47" s="345">
        <f t="shared" si="27"/>
        <v>99.37362866199085</v>
      </c>
      <c r="AT47" s="343">
        <v>261.95121432172101</v>
      </c>
      <c r="AU47" s="343">
        <v>1.9306975311185299</v>
      </c>
      <c r="AV47" s="343">
        <v>2208.18703935952</v>
      </c>
      <c r="AW47" s="351">
        <f t="shared" si="28"/>
        <v>62.299464536205164</v>
      </c>
      <c r="AX47" s="293"/>
      <c r="AY47" s="121"/>
    </row>
    <row r="48" spans="1:51" s="5" customFormat="1" ht="15.75" customHeight="1" x14ac:dyDescent="0.2">
      <c r="A48" s="294">
        <v>44</v>
      </c>
      <c r="B48" s="295" t="s">
        <v>13</v>
      </c>
      <c r="C48" s="296" t="s">
        <v>14</v>
      </c>
      <c r="D48" s="142" t="s">
        <v>296</v>
      </c>
      <c r="E48" s="172" t="s">
        <v>305</v>
      </c>
      <c r="F48" s="177" t="s">
        <v>132</v>
      </c>
      <c r="G48" s="341">
        <f t="shared" si="18"/>
        <v>79.133822516665958</v>
      </c>
      <c r="H48" s="342">
        <f t="shared" si="19"/>
        <v>66.222986227291955</v>
      </c>
      <c r="I48" s="342">
        <f t="shared" si="20"/>
        <v>92.044658806039948</v>
      </c>
      <c r="J48" s="343">
        <v>27.963799999999999</v>
      </c>
      <c r="K48" s="344">
        <v>137.20400000000001</v>
      </c>
      <c r="L48" s="344">
        <v>88.170796731329403</v>
      </c>
      <c r="M48" s="344">
        <v>89.161162930000003</v>
      </c>
      <c r="N48" s="345">
        <f t="shared" si="21"/>
        <v>72.209623248665679</v>
      </c>
      <c r="O48" s="343">
        <f t="shared" si="22"/>
        <v>1.8474283688679989</v>
      </c>
      <c r="P48" s="346">
        <v>5282</v>
      </c>
      <c r="Q48" s="346">
        <v>2859109.5</v>
      </c>
      <c r="R48" s="344">
        <v>0.28499999999999998</v>
      </c>
      <c r="S48" s="344">
        <v>0</v>
      </c>
      <c r="T48" s="347">
        <v>28.5</v>
      </c>
      <c r="U48" s="345">
        <f t="shared" si="23"/>
        <v>68.522446809299979</v>
      </c>
      <c r="V48" s="343">
        <f t="shared" si="16"/>
        <v>105.05368891957444</v>
      </c>
      <c r="W48" s="348">
        <v>300.36</v>
      </c>
      <c r="X48" s="346">
        <v>2859109.5</v>
      </c>
      <c r="Y48" s="352">
        <v>2.2999999999999998</v>
      </c>
      <c r="Z48" s="345">
        <f t="shared" si="24"/>
        <v>85.579550534685353</v>
      </c>
      <c r="AA48" s="343">
        <v>3.4000000000000004</v>
      </c>
      <c r="AB48" s="343">
        <f t="shared" si="29"/>
        <v>1.6516681155443681E-2</v>
      </c>
      <c r="AC48" s="346">
        <v>47223</v>
      </c>
      <c r="AD48" s="346">
        <v>2859109.5</v>
      </c>
      <c r="AE48" s="344">
        <v>14</v>
      </c>
      <c r="AF48" s="343">
        <v>70.22</v>
      </c>
      <c r="AG48" s="344">
        <v>9.879999999999999</v>
      </c>
      <c r="AH48" s="343">
        <v>4.7</v>
      </c>
      <c r="AI48" s="343">
        <f t="shared" si="25"/>
        <v>1.3337006867912473</v>
      </c>
      <c r="AJ48" s="346">
        <v>83503</v>
      </c>
      <c r="AK48" s="346">
        <v>62610</v>
      </c>
      <c r="AL48" s="345">
        <f>((AA48/4.5)*100*1.5+(LN(MIN(AB48,5)+1)/LN(5+1))*100+((AE48-(-300))/(150-(-300)))*100+(LN(MIN(AF48,500))/LN(500))*100*0.5+(MAX((60-AG48),0))/60*100*0.5+((AH48-1)/(7-1))*100*2+(LN(MIN(AI48,20)+1)/LN(20+1))*100)/7.5</f>
        <v>54.822342983567829</v>
      </c>
      <c r="AM48" s="343">
        <v>0.51</v>
      </c>
      <c r="AN48" s="344">
        <v>100</v>
      </c>
      <c r="AO48" s="344">
        <v>0.9</v>
      </c>
      <c r="AP48" s="345">
        <f t="shared" si="26"/>
        <v>96.469170370175263</v>
      </c>
      <c r="AQ48" s="343">
        <v>98.994715594149895</v>
      </c>
      <c r="AR48" s="344">
        <v>100</v>
      </c>
      <c r="AS48" s="345">
        <f t="shared" si="27"/>
        <v>99.497357797074955</v>
      </c>
      <c r="AT48" s="343">
        <v>354.11709418952398</v>
      </c>
      <c r="AU48" s="343">
        <v>6.1201764584677999E-2</v>
      </c>
      <c r="AV48" s="343">
        <v>2385.8754644567098</v>
      </c>
      <c r="AW48" s="351">
        <f t="shared" si="28"/>
        <v>71.31842512259901</v>
      </c>
      <c r="AX48" s="293"/>
      <c r="AY48" s="121"/>
    </row>
    <row r="49" spans="1:51" s="5" customFormat="1" ht="15.75" customHeight="1" x14ac:dyDescent="0.2">
      <c r="A49" s="294">
        <v>45</v>
      </c>
      <c r="B49" s="295" t="s">
        <v>13</v>
      </c>
      <c r="C49" s="296" t="s">
        <v>14</v>
      </c>
      <c r="D49" s="142" t="s">
        <v>296</v>
      </c>
      <c r="E49" s="172" t="s">
        <v>305</v>
      </c>
      <c r="F49" s="177" t="s">
        <v>186</v>
      </c>
      <c r="G49" s="341">
        <f t="shared" si="18"/>
        <v>78.164244755490628</v>
      </c>
      <c r="H49" s="342">
        <f t="shared" si="19"/>
        <v>63.530977921862302</v>
      </c>
      <c r="I49" s="342">
        <f t="shared" si="20"/>
        <v>92.797511589118955</v>
      </c>
      <c r="J49" s="343">
        <v>33.172600000000003</v>
      </c>
      <c r="K49" s="344">
        <v>138.233</v>
      </c>
      <c r="L49" s="344">
        <v>85.328796669606305</v>
      </c>
      <c r="M49" s="344">
        <v>89.825070319999995</v>
      </c>
      <c r="N49" s="345">
        <f t="shared" si="21"/>
        <v>76.040066747401568</v>
      </c>
      <c r="O49" s="343">
        <f t="shared" si="22"/>
        <v>1.368318336764117</v>
      </c>
      <c r="P49" s="346">
        <v>7535</v>
      </c>
      <c r="Q49" s="346">
        <v>5506759.5</v>
      </c>
      <c r="R49" s="352">
        <v>0.2</v>
      </c>
      <c r="S49" s="352">
        <v>0</v>
      </c>
      <c r="T49" s="353">
        <v>30</v>
      </c>
      <c r="U49" s="345">
        <f t="shared" si="23"/>
        <v>63.041505989139345</v>
      </c>
      <c r="V49" s="343">
        <f t="shared" si="16"/>
        <v>102.35121944221461</v>
      </c>
      <c r="W49" s="348">
        <v>563.62355000000002</v>
      </c>
      <c r="X49" s="346">
        <v>5506759.5</v>
      </c>
      <c r="Y49" s="352">
        <v>2.2999999999999998</v>
      </c>
      <c r="Z49" s="345">
        <f t="shared" si="24"/>
        <v>85.500996278376391</v>
      </c>
      <c r="AA49" s="343">
        <v>3.2833333333333332</v>
      </c>
      <c r="AB49" s="343">
        <f t="shared" si="29"/>
        <v>0</v>
      </c>
      <c r="AC49" s="346">
        <v>0</v>
      </c>
      <c r="AD49" s="346">
        <v>5506759.5</v>
      </c>
      <c r="AE49" s="349" t="s">
        <v>931</v>
      </c>
      <c r="AF49" s="349" t="s">
        <v>931</v>
      </c>
      <c r="AG49" s="352">
        <v>12.6</v>
      </c>
      <c r="AH49" s="343">
        <v>3.96</v>
      </c>
      <c r="AI49" s="343">
        <f t="shared" si="25"/>
        <v>1.2270798668885192</v>
      </c>
      <c r="AJ49" s="346">
        <v>58998</v>
      </c>
      <c r="AK49" s="346">
        <v>48080</v>
      </c>
      <c r="AL49" s="345">
        <f>((AA49/4.5)*100*1.5+(LN(MIN(AB49,5)+1)/LN(5+1))*100+(MAX((60-AG49),0))/60*100*0.5+((AH49-1)/(7-1))*100*2+(LN(MIN(AI49,20)+1)/LN(20+1))*100)/6</f>
        <v>45.651752490375259</v>
      </c>
      <c r="AM49" s="343">
        <v>7.0000000000000007E-2</v>
      </c>
      <c r="AN49" s="344">
        <v>100</v>
      </c>
      <c r="AO49" s="344">
        <v>0.1</v>
      </c>
      <c r="AP49" s="345">
        <f t="shared" si="26"/>
        <v>99.476518681912651</v>
      </c>
      <c r="AQ49" s="343">
        <v>92.215118471961105</v>
      </c>
      <c r="AR49" s="344">
        <v>99.9</v>
      </c>
      <c r="AS49" s="345">
        <f t="shared" si="27"/>
        <v>96.057559235980563</v>
      </c>
      <c r="AT49" s="343">
        <v>345.388413919774</v>
      </c>
      <c r="AU49" s="343">
        <v>0.32979507369093097</v>
      </c>
      <c r="AV49" s="343">
        <v>2052.3574326430698</v>
      </c>
      <c r="AW49" s="351">
        <f t="shared" si="28"/>
        <v>69.500442663876242</v>
      </c>
      <c r="AX49" s="293"/>
      <c r="AY49" s="121"/>
    </row>
    <row r="50" spans="1:51" s="5" customFormat="1" ht="15.75" customHeight="1" x14ac:dyDescent="0.2">
      <c r="A50" s="294">
        <v>46</v>
      </c>
      <c r="B50" s="301" t="s">
        <v>23</v>
      </c>
      <c r="C50" s="302" t="s">
        <v>24</v>
      </c>
      <c r="D50" s="145" t="s">
        <v>299</v>
      </c>
      <c r="E50" s="172" t="s">
        <v>305</v>
      </c>
      <c r="F50" s="177" t="s">
        <v>38</v>
      </c>
      <c r="G50" s="341">
        <f t="shared" si="18"/>
        <v>77.785265257737791</v>
      </c>
      <c r="H50" s="342">
        <f t="shared" si="19"/>
        <v>65.020432107450645</v>
      </c>
      <c r="I50" s="342">
        <f t="shared" si="20"/>
        <v>90.550098408024937</v>
      </c>
      <c r="J50" s="343">
        <v>38.6415133333333</v>
      </c>
      <c r="K50" s="344">
        <v>113.91615416666667</v>
      </c>
      <c r="L50" s="344">
        <v>65.466283451165594</v>
      </c>
      <c r="M50" s="344">
        <v>70.364700319999997</v>
      </c>
      <c r="N50" s="345">
        <f t="shared" si="21"/>
        <v>69.956212192791369</v>
      </c>
      <c r="O50" s="343">
        <f t="shared" si="22"/>
        <v>1.1647357660615822</v>
      </c>
      <c r="P50" s="346">
        <v>329</v>
      </c>
      <c r="Q50" s="346">
        <v>282467.5</v>
      </c>
      <c r="R50" s="344">
        <v>0.7</v>
      </c>
      <c r="S50" s="344">
        <v>0.6</v>
      </c>
      <c r="T50" s="353">
        <v>7</v>
      </c>
      <c r="U50" s="345">
        <f t="shared" si="23"/>
        <v>65.884073683993151</v>
      </c>
      <c r="V50" s="343">
        <f t="shared" si="16"/>
        <v>247.81612043863453</v>
      </c>
      <c r="W50" s="348">
        <v>70</v>
      </c>
      <c r="X50" s="346">
        <v>282467.5</v>
      </c>
      <c r="Y50" s="344">
        <v>2.6</v>
      </c>
      <c r="Z50" s="345">
        <f t="shared" si="24"/>
        <v>87.716391450856662</v>
      </c>
      <c r="AA50" s="350">
        <v>2.8833333333333333</v>
      </c>
      <c r="AB50" s="350">
        <v>1.0788583111117678</v>
      </c>
      <c r="AC50" s="346"/>
      <c r="AD50" s="346">
        <v>282467.5</v>
      </c>
      <c r="AE50" s="344">
        <v>3</v>
      </c>
      <c r="AF50" s="343">
        <v>39.17</v>
      </c>
      <c r="AG50" s="344">
        <v>3.8</v>
      </c>
      <c r="AH50" s="343">
        <v>3.2</v>
      </c>
      <c r="AI50" s="343">
        <f t="shared" si="25"/>
        <v>3.9443155452436196</v>
      </c>
      <c r="AJ50" s="346">
        <v>1700</v>
      </c>
      <c r="AK50" s="346">
        <v>431</v>
      </c>
      <c r="AL50" s="345">
        <f t="shared" ref="AL50:AL58" si="30">((AA50/4.5)*100*1.5+(LN(MIN(AB50,5)+1)/LN(5+1))*100+((AE50-(-300))/(150-(-300)))*100+(LN(MIN(AF50,500))/LN(500))*100*0.5+(MAX((60-AG50),0))/60*100*0.5+((AH50-1)/(7-1))*100*2+(LN(MIN(AI50,20)+1)/LN(20+1))*100)/7.5</f>
        <v>54.194751792122773</v>
      </c>
      <c r="AM50" s="350">
        <v>8.6300000000000008</v>
      </c>
      <c r="AN50" s="344">
        <v>100</v>
      </c>
      <c r="AO50" s="344">
        <v>0</v>
      </c>
      <c r="AP50" s="345">
        <f t="shared" si="26"/>
        <v>98.767142857142858</v>
      </c>
      <c r="AQ50" s="350">
        <v>70.737723849685551</v>
      </c>
      <c r="AR50" s="344">
        <v>98.2</v>
      </c>
      <c r="AS50" s="345">
        <f t="shared" si="27"/>
        <v>84.46886192484277</v>
      </c>
      <c r="AT50" s="343">
        <v>401.21421443130703</v>
      </c>
      <c r="AU50" s="343">
        <v>0.15378236922507599</v>
      </c>
      <c r="AV50" s="343">
        <v>1023.09102335203</v>
      </c>
      <c r="AW50" s="351">
        <f t="shared" si="28"/>
        <v>71.980201543853369</v>
      </c>
      <c r="AX50" s="293"/>
      <c r="AY50" s="121"/>
    </row>
    <row r="51" spans="1:51" s="5" customFormat="1" ht="15.75" customHeight="1" x14ac:dyDescent="0.2">
      <c r="A51" s="294">
        <v>47</v>
      </c>
      <c r="B51" s="295" t="s">
        <v>13</v>
      </c>
      <c r="C51" s="296" t="s">
        <v>14</v>
      </c>
      <c r="D51" s="142" t="s">
        <v>296</v>
      </c>
      <c r="E51" s="172" t="s">
        <v>305</v>
      </c>
      <c r="F51" s="177" t="s">
        <v>126</v>
      </c>
      <c r="G51" s="341">
        <f t="shared" si="18"/>
        <v>77.474397134885933</v>
      </c>
      <c r="H51" s="342">
        <f t="shared" si="19"/>
        <v>65.512613569811236</v>
      </c>
      <c r="I51" s="342">
        <f t="shared" si="20"/>
        <v>89.43618069996063</v>
      </c>
      <c r="J51" s="343">
        <v>25.994800000000001</v>
      </c>
      <c r="K51" s="344">
        <v>119.91</v>
      </c>
      <c r="L51" s="344">
        <v>86.601011444781903</v>
      </c>
      <c r="M51" s="344">
        <v>92.707570110000006</v>
      </c>
      <c r="N51" s="345">
        <f t="shared" si="21"/>
        <v>70.486478722028821</v>
      </c>
      <c r="O51" s="343">
        <f t="shared" si="22"/>
        <v>1.7063137079655308</v>
      </c>
      <c r="P51" s="346">
        <v>3194</v>
      </c>
      <c r="Q51" s="346">
        <v>1871871.5</v>
      </c>
      <c r="R51" s="344">
        <v>0.2</v>
      </c>
      <c r="S51" s="344">
        <v>0</v>
      </c>
      <c r="T51" s="347">
        <v>30</v>
      </c>
      <c r="U51" s="345">
        <f t="shared" si="23"/>
        <v>66.662884966297355</v>
      </c>
      <c r="V51" s="343">
        <f t="shared" si="16"/>
        <v>92.065080322019966</v>
      </c>
      <c r="W51" s="348">
        <v>172.334</v>
      </c>
      <c r="X51" s="346">
        <v>1871871.5</v>
      </c>
      <c r="Y51" s="344">
        <v>6.4</v>
      </c>
      <c r="Z51" s="345">
        <f t="shared" si="24"/>
        <v>79.031747813219624</v>
      </c>
      <c r="AA51" s="343">
        <v>3.5166666666666671</v>
      </c>
      <c r="AB51" s="343">
        <f>AC51/AD51</f>
        <v>2.3911384942823264</v>
      </c>
      <c r="AC51" s="346">
        <v>4475904</v>
      </c>
      <c r="AD51" s="346">
        <v>1871871.5</v>
      </c>
      <c r="AE51" s="344">
        <v>11</v>
      </c>
      <c r="AF51" s="343">
        <v>43.98</v>
      </c>
      <c r="AG51" s="344">
        <v>14</v>
      </c>
      <c r="AH51" s="343">
        <v>3.45</v>
      </c>
      <c r="AI51" s="343">
        <f t="shared" si="25"/>
        <v>0.93049975895870163</v>
      </c>
      <c r="AJ51" s="346">
        <v>57905</v>
      </c>
      <c r="AK51" s="346">
        <v>62230</v>
      </c>
      <c r="AL51" s="345">
        <f t="shared" si="30"/>
        <v>56.871397007620011</v>
      </c>
      <c r="AM51" s="343">
        <v>0.59</v>
      </c>
      <c r="AN51" s="344">
        <v>100</v>
      </c>
      <c r="AO51" s="344">
        <v>2.7</v>
      </c>
      <c r="AP51" s="345">
        <f t="shared" si="26"/>
        <v>92.867102457364467</v>
      </c>
      <c r="AQ51" s="343">
        <v>94.973309997729601</v>
      </c>
      <c r="AR51" s="344">
        <v>100</v>
      </c>
      <c r="AS51" s="345">
        <f t="shared" si="27"/>
        <v>97.486654998864793</v>
      </c>
      <c r="AT51" s="343">
        <v>429.83174375029802</v>
      </c>
      <c r="AU51" s="343">
        <v>5.2895241124818901E-2</v>
      </c>
      <c r="AV51" s="343">
        <v>2270.7096490961198</v>
      </c>
      <c r="AW51" s="351">
        <f t="shared" si="28"/>
        <v>71.092941128844984</v>
      </c>
      <c r="AX51" s="293"/>
      <c r="AY51" s="121"/>
    </row>
    <row r="52" spans="1:51" s="13" customFormat="1" ht="15.75" customHeight="1" x14ac:dyDescent="0.2">
      <c r="A52" s="294">
        <v>48</v>
      </c>
      <c r="B52" s="295" t="s">
        <v>13</v>
      </c>
      <c r="C52" s="296" t="s">
        <v>14</v>
      </c>
      <c r="D52" s="142" t="s">
        <v>296</v>
      </c>
      <c r="E52" s="172" t="s">
        <v>305</v>
      </c>
      <c r="F52" s="177" t="s">
        <v>69</v>
      </c>
      <c r="G52" s="341">
        <f t="shared" si="18"/>
        <v>77.444517236049393</v>
      </c>
      <c r="H52" s="342">
        <f t="shared" si="19"/>
        <v>65.586491351913267</v>
      </c>
      <c r="I52" s="342">
        <f t="shared" si="20"/>
        <v>89.302543120185533</v>
      </c>
      <c r="J52" s="343">
        <v>28.471</v>
      </c>
      <c r="K52" s="344">
        <v>117.113</v>
      </c>
      <c r="L52" s="344">
        <v>87.289903307286394</v>
      </c>
      <c r="M52" s="344">
        <v>83.632400290000007</v>
      </c>
      <c r="N52" s="345">
        <f t="shared" si="21"/>
        <v>70.36017589932159</v>
      </c>
      <c r="O52" s="343">
        <f t="shared" si="22"/>
        <v>1.385948275305942</v>
      </c>
      <c r="P52" s="346">
        <v>5371</v>
      </c>
      <c r="Q52" s="346">
        <v>3875325</v>
      </c>
      <c r="R52" s="344">
        <v>0.2</v>
      </c>
      <c r="S52" s="344">
        <v>0</v>
      </c>
      <c r="T52" s="347">
        <v>30</v>
      </c>
      <c r="U52" s="345">
        <f t="shared" si="23"/>
        <v>63.230398187801761</v>
      </c>
      <c r="V52" s="343">
        <f t="shared" si="16"/>
        <v>175.21111132614683</v>
      </c>
      <c r="W52" s="348">
        <v>679</v>
      </c>
      <c r="X52" s="346">
        <v>3875325</v>
      </c>
      <c r="Y52" s="344">
        <v>2.8</v>
      </c>
      <c r="Z52" s="345">
        <f t="shared" si="24"/>
        <v>86.371378944746326</v>
      </c>
      <c r="AA52" s="343">
        <v>3.2666666666666662</v>
      </c>
      <c r="AB52" s="343">
        <f>AC52/AD52</f>
        <v>0.43093469579970711</v>
      </c>
      <c r="AC52" s="346">
        <v>1670012</v>
      </c>
      <c r="AD52" s="346">
        <v>3875325</v>
      </c>
      <c r="AE52" s="344">
        <v>-76</v>
      </c>
      <c r="AF52" s="343">
        <v>61.56</v>
      </c>
      <c r="AG52" s="344">
        <v>3.2</v>
      </c>
      <c r="AH52" s="343">
        <v>5.49</v>
      </c>
      <c r="AI52" s="343">
        <f t="shared" si="25"/>
        <v>0.47334476721334906</v>
      </c>
      <c r="AJ52" s="346">
        <v>26495</v>
      </c>
      <c r="AK52" s="346">
        <v>55974</v>
      </c>
      <c r="AL52" s="345">
        <f t="shared" si="30"/>
        <v>56.205608197324572</v>
      </c>
      <c r="AM52" s="343">
        <v>0.53</v>
      </c>
      <c r="AN52" s="344">
        <v>100</v>
      </c>
      <c r="AO52" s="344">
        <v>1.5</v>
      </c>
      <c r="AP52" s="345">
        <f t="shared" si="26"/>
        <v>94.98779127350393</v>
      </c>
      <c r="AQ52" s="343">
        <v>92.640498802731301</v>
      </c>
      <c r="AR52" s="344">
        <v>99.7</v>
      </c>
      <c r="AS52" s="345">
        <f t="shared" si="27"/>
        <v>96.170249401365652</v>
      </c>
      <c r="AT52" s="343">
        <v>371.35208605488401</v>
      </c>
      <c r="AU52" s="343">
        <v>1.0095016619271899</v>
      </c>
      <c r="AV52" s="343">
        <v>2039.27414689442</v>
      </c>
      <c r="AW52" s="351">
        <f t="shared" si="28"/>
        <v>65.379092379050221</v>
      </c>
      <c r="AX52" s="293"/>
      <c r="AY52" s="354"/>
    </row>
    <row r="53" spans="1:51" s="5" customFormat="1" ht="15.75" customHeight="1" x14ac:dyDescent="0.2">
      <c r="A53" s="294">
        <v>49</v>
      </c>
      <c r="B53" s="295" t="s">
        <v>13</v>
      </c>
      <c r="C53" s="296" t="s">
        <v>14</v>
      </c>
      <c r="D53" s="142" t="s">
        <v>296</v>
      </c>
      <c r="E53" s="172" t="s">
        <v>305</v>
      </c>
      <c r="F53" s="177" t="s">
        <v>171</v>
      </c>
      <c r="G53" s="341">
        <f t="shared" si="18"/>
        <v>77.358576449316885</v>
      </c>
      <c r="H53" s="342">
        <f t="shared" si="19"/>
        <v>63.461904126715929</v>
      </c>
      <c r="I53" s="342">
        <f t="shared" si="20"/>
        <v>91.255248771917849</v>
      </c>
      <c r="J53" s="343">
        <v>26.114000000000001</v>
      </c>
      <c r="K53" s="344">
        <v>135.14599999999999</v>
      </c>
      <c r="L53" s="344">
        <v>83.802240217016106</v>
      </c>
      <c r="M53" s="344">
        <v>88.584963669999993</v>
      </c>
      <c r="N53" s="345">
        <f t="shared" si="21"/>
        <v>69.363334305087349</v>
      </c>
      <c r="O53" s="343">
        <f t="shared" si="22"/>
        <v>1.5896281814456921</v>
      </c>
      <c r="P53" s="346">
        <v>61263</v>
      </c>
      <c r="Q53" s="346">
        <v>38539201</v>
      </c>
      <c r="R53" s="344">
        <v>0.1</v>
      </c>
      <c r="S53" s="344">
        <v>0</v>
      </c>
      <c r="T53" s="347">
        <v>540</v>
      </c>
      <c r="U53" s="345">
        <f t="shared" si="23"/>
        <v>45.507920991680031</v>
      </c>
      <c r="V53" s="343">
        <f t="shared" si="16"/>
        <v>243.51828155441001</v>
      </c>
      <c r="W53" s="348">
        <v>9385</v>
      </c>
      <c r="X53" s="346">
        <v>38539201</v>
      </c>
      <c r="Y53" s="344">
        <v>0.1</v>
      </c>
      <c r="Z53" s="345">
        <f t="shared" si="24"/>
        <v>91.413657852332946</v>
      </c>
      <c r="AA53" s="343">
        <v>3.5833333333333326</v>
      </c>
      <c r="AB53" s="343">
        <f>AC53/AD53</f>
        <v>0.22788126821830063</v>
      </c>
      <c r="AC53" s="346">
        <v>8782362</v>
      </c>
      <c r="AD53" s="346">
        <v>38539201</v>
      </c>
      <c r="AE53" s="344">
        <v>33.5</v>
      </c>
      <c r="AF53" s="343">
        <v>130.04</v>
      </c>
      <c r="AG53" s="344">
        <v>17.7</v>
      </c>
      <c r="AH53" s="343">
        <v>4.1399999999999997</v>
      </c>
      <c r="AI53" s="343">
        <f t="shared" si="25"/>
        <v>1.4079045537460353</v>
      </c>
      <c r="AJ53" s="346">
        <v>428362</v>
      </c>
      <c r="AK53" s="346">
        <v>304255</v>
      </c>
      <c r="AL53" s="345">
        <f t="shared" si="30"/>
        <v>55.061031300699241</v>
      </c>
      <c r="AM53" s="343">
        <v>4.22</v>
      </c>
      <c r="AN53" s="344">
        <v>100</v>
      </c>
      <c r="AO53" s="344">
        <v>0.5</v>
      </c>
      <c r="AP53" s="345">
        <f t="shared" si="26"/>
        <v>97.212709268021015</v>
      </c>
      <c r="AQ53" s="343">
        <v>86.136711756653895</v>
      </c>
      <c r="AR53" s="344">
        <v>100</v>
      </c>
      <c r="AS53" s="345">
        <f t="shared" si="27"/>
        <v>93.06835587832694</v>
      </c>
      <c r="AT53" s="343">
        <v>370.928226022655</v>
      </c>
      <c r="AU53" s="343">
        <v>0.10088903875463399</v>
      </c>
      <c r="AV53" s="343">
        <v>1691.6509643868901</v>
      </c>
      <c r="AW53" s="351">
        <f t="shared" si="28"/>
        <v>71.569760177199242</v>
      </c>
      <c r="AX53" s="293"/>
      <c r="AY53" s="121"/>
    </row>
    <row r="54" spans="1:51" s="5" customFormat="1" ht="15.75" customHeight="1" x14ac:dyDescent="0.2">
      <c r="A54" s="294">
        <v>50</v>
      </c>
      <c r="B54" s="307" t="s">
        <v>10</v>
      </c>
      <c r="C54" s="308" t="s">
        <v>35</v>
      </c>
      <c r="D54" s="143" t="s">
        <v>297</v>
      </c>
      <c r="E54" s="172" t="s">
        <v>305</v>
      </c>
      <c r="F54" s="177" t="s">
        <v>162</v>
      </c>
      <c r="G54" s="341">
        <f t="shared" si="18"/>
        <v>77.047394440066711</v>
      </c>
      <c r="H54" s="342">
        <f t="shared" si="19"/>
        <v>66.125945789792169</v>
      </c>
      <c r="I54" s="342">
        <f t="shared" si="20"/>
        <v>87.968843090341252</v>
      </c>
      <c r="J54" s="343">
        <v>10.879300000000001</v>
      </c>
      <c r="K54" s="344">
        <v>135.21799999999999</v>
      </c>
      <c r="L54" s="344">
        <v>74.114566236794104</v>
      </c>
      <c r="M54" s="344">
        <v>95.251746780000005</v>
      </c>
      <c r="N54" s="345">
        <f t="shared" si="21"/>
        <v>55.914928254198522</v>
      </c>
      <c r="O54" s="343">
        <f t="shared" si="22"/>
        <v>2.1942472060221854</v>
      </c>
      <c r="P54" s="346">
        <v>11589</v>
      </c>
      <c r="Q54" s="346">
        <v>5281538</v>
      </c>
      <c r="R54" s="352">
        <v>0</v>
      </c>
      <c r="S54" s="352">
        <v>0</v>
      </c>
      <c r="T54" s="353">
        <v>17.5</v>
      </c>
      <c r="U54" s="345">
        <f t="shared" si="23"/>
        <v>75.652648635951991</v>
      </c>
      <c r="V54" s="343">
        <f t="shared" si="16"/>
        <v>309.37957844855038</v>
      </c>
      <c r="W54" s="348">
        <v>1634</v>
      </c>
      <c r="X54" s="346">
        <v>5281538</v>
      </c>
      <c r="Y54" s="352">
        <v>0.6</v>
      </c>
      <c r="Z54" s="345">
        <f t="shared" si="24"/>
        <v>91.385189928548954</v>
      </c>
      <c r="AA54" s="343">
        <v>3.3000000000000003</v>
      </c>
      <c r="AB54" s="343">
        <f>AC54/AD54</f>
        <v>1.6466841666196474</v>
      </c>
      <c r="AC54" s="346">
        <v>8697025</v>
      </c>
      <c r="AD54" s="346">
        <v>5281538</v>
      </c>
      <c r="AE54" s="344">
        <v>89</v>
      </c>
      <c r="AF54" s="343">
        <v>122.39</v>
      </c>
      <c r="AG54" s="352">
        <v>5.8</v>
      </c>
      <c r="AH54" s="343">
        <v>5.96</v>
      </c>
      <c r="AI54" s="343">
        <f t="shared" si="25"/>
        <v>0.25120840064620353</v>
      </c>
      <c r="AJ54" s="346">
        <v>77749</v>
      </c>
      <c r="AK54" s="346">
        <v>309500</v>
      </c>
      <c r="AL54" s="345">
        <f t="shared" si="30"/>
        <v>67.640476579156669</v>
      </c>
      <c r="AM54" s="343">
        <v>0</v>
      </c>
      <c r="AN54" s="344">
        <v>100</v>
      </c>
      <c r="AO54" s="344">
        <v>0</v>
      </c>
      <c r="AP54" s="345">
        <f t="shared" si="26"/>
        <v>100</v>
      </c>
      <c r="AQ54" s="343">
        <v>69.536159721235805</v>
      </c>
      <c r="AR54" s="344">
        <v>85</v>
      </c>
      <c r="AS54" s="345">
        <f t="shared" si="27"/>
        <v>77.268079860617902</v>
      </c>
      <c r="AT54" s="343">
        <v>1376.88504943558</v>
      </c>
      <c r="AU54" s="343">
        <v>1.3372646593927699</v>
      </c>
      <c r="AV54" s="343">
        <v>1037.72158138746</v>
      </c>
      <c r="AW54" s="351">
        <f t="shared" si="28"/>
        <v>62.57613559108831</v>
      </c>
      <c r="AX54" s="293"/>
      <c r="AY54" s="121"/>
    </row>
    <row r="55" spans="1:51" s="5" customFormat="1" ht="15.75" customHeight="1" x14ac:dyDescent="0.2">
      <c r="A55" s="294">
        <v>51</v>
      </c>
      <c r="B55" s="301" t="s">
        <v>23</v>
      </c>
      <c r="C55" s="302" t="s">
        <v>24</v>
      </c>
      <c r="D55" s="145" t="s">
        <v>299</v>
      </c>
      <c r="E55" s="172" t="s">
        <v>305</v>
      </c>
      <c r="F55" s="177" t="s">
        <v>194</v>
      </c>
      <c r="G55" s="341">
        <f t="shared" si="18"/>
        <v>76.441003173598631</v>
      </c>
      <c r="H55" s="342">
        <f t="shared" si="19"/>
        <v>64.444457963443895</v>
      </c>
      <c r="I55" s="342">
        <f t="shared" si="20"/>
        <v>88.437548383753352</v>
      </c>
      <c r="J55" s="343">
        <v>44.199729166666671</v>
      </c>
      <c r="K55" s="344">
        <v>118.893</v>
      </c>
      <c r="L55" s="352">
        <v>74.395158226127634</v>
      </c>
      <c r="M55" s="344">
        <v>76.884002690000003</v>
      </c>
      <c r="N55" s="345">
        <f t="shared" si="21"/>
        <v>78.615997867920797</v>
      </c>
      <c r="O55" s="343">
        <f t="shared" si="22"/>
        <v>1.5797451059923575</v>
      </c>
      <c r="P55" s="346">
        <v>74</v>
      </c>
      <c r="Q55" s="346">
        <v>46843</v>
      </c>
      <c r="R55" s="344">
        <v>3.7800000000000002</v>
      </c>
      <c r="S55" s="344">
        <v>1.8</v>
      </c>
      <c r="T55" s="347">
        <v>6.3</v>
      </c>
      <c r="U55" s="345">
        <f t="shared" si="23"/>
        <v>65.454411849918117</v>
      </c>
      <c r="V55" s="343">
        <f t="shared" si="16"/>
        <v>260.44446342036161</v>
      </c>
      <c r="W55" s="348">
        <v>12.2</v>
      </c>
      <c r="X55" s="346">
        <v>46843</v>
      </c>
      <c r="Y55" s="352">
        <v>17.149999999999999</v>
      </c>
      <c r="Z55" s="345">
        <f t="shared" si="24"/>
        <v>66.04120555574589</v>
      </c>
      <c r="AA55" s="350">
        <v>2.8833333333333333</v>
      </c>
      <c r="AB55" s="350">
        <v>1.0788583111117678</v>
      </c>
      <c r="AC55" s="346"/>
      <c r="AD55" s="346">
        <v>46843</v>
      </c>
      <c r="AE55" s="344">
        <v>8</v>
      </c>
      <c r="AF55" s="343">
        <v>8.2799999999999994</v>
      </c>
      <c r="AG55" s="344">
        <v>27.81</v>
      </c>
      <c r="AH55" s="350">
        <v>3.797873377265061</v>
      </c>
      <c r="AI55" s="343">
        <f t="shared" si="25"/>
        <v>1.4674329501915708</v>
      </c>
      <c r="AJ55" s="346">
        <v>383</v>
      </c>
      <c r="AK55" s="346">
        <v>261</v>
      </c>
      <c r="AL55" s="345">
        <f t="shared" si="30"/>
        <v>49.621242689272933</v>
      </c>
      <c r="AM55" s="350">
        <v>8.6300000000000008</v>
      </c>
      <c r="AN55" s="344">
        <v>100</v>
      </c>
      <c r="AO55" s="344">
        <v>0.3</v>
      </c>
      <c r="AP55" s="345">
        <f t="shared" si="26"/>
        <v>97.353661646485534</v>
      </c>
      <c r="AQ55" s="350">
        <v>76.622469118265315</v>
      </c>
      <c r="AR55" s="344">
        <v>100</v>
      </c>
      <c r="AS55" s="345">
        <f t="shared" si="27"/>
        <v>88.311234559132657</v>
      </c>
      <c r="AT55" s="343">
        <v>454.061961536426</v>
      </c>
      <c r="AU55" s="343">
        <v>2.0433908414773798</v>
      </c>
      <c r="AV55" s="343">
        <v>1338.48517992746</v>
      </c>
      <c r="AW55" s="351">
        <f t="shared" si="28"/>
        <v>61.81552242017748</v>
      </c>
      <c r="AX55" s="293"/>
      <c r="AY55" s="121"/>
    </row>
    <row r="56" spans="1:51" s="5" customFormat="1" ht="15.75" customHeight="1" x14ac:dyDescent="0.2">
      <c r="A56" s="294">
        <v>52</v>
      </c>
      <c r="B56" s="307" t="s">
        <v>10</v>
      </c>
      <c r="C56" s="311" t="s">
        <v>887</v>
      </c>
      <c r="D56" s="147" t="s">
        <v>301</v>
      </c>
      <c r="E56" s="171" t="s">
        <v>304</v>
      </c>
      <c r="F56" s="177" t="s">
        <v>62</v>
      </c>
      <c r="G56" s="341">
        <f t="shared" si="18"/>
        <v>76.201799118870866</v>
      </c>
      <c r="H56" s="342">
        <f t="shared" si="19"/>
        <v>76.848730469852541</v>
      </c>
      <c r="I56" s="342">
        <f t="shared" si="20"/>
        <v>75.554867767889192</v>
      </c>
      <c r="J56" s="343">
        <v>44.728900000000003</v>
      </c>
      <c r="K56" s="344">
        <v>128.24700000000001</v>
      </c>
      <c r="L56" s="344">
        <v>83.483869342891595</v>
      </c>
      <c r="M56" s="344">
        <v>92</v>
      </c>
      <c r="N56" s="345">
        <f t="shared" si="21"/>
        <v>85.419950669056234</v>
      </c>
      <c r="O56" s="343">
        <f t="shared" si="22"/>
        <v>2.3593107868419172</v>
      </c>
      <c r="P56" s="346">
        <v>3348620</v>
      </c>
      <c r="Q56" s="346">
        <v>1419321277.5</v>
      </c>
      <c r="R56" s="344">
        <v>0</v>
      </c>
      <c r="S56" s="344">
        <v>0</v>
      </c>
      <c r="T56" s="347">
        <v>2</v>
      </c>
      <c r="U56" s="345">
        <f t="shared" si="23"/>
        <v>81.849758430449114</v>
      </c>
      <c r="V56" s="343">
        <f t="shared" si="16"/>
        <v>400.52947067863568</v>
      </c>
      <c r="W56" s="348">
        <v>568480</v>
      </c>
      <c r="X56" s="346">
        <v>1419321277.5</v>
      </c>
      <c r="Y56" s="344">
        <v>0.8</v>
      </c>
      <c r="Z56" s="345">
        <f t="shared" si="24"/>
        <v>91.863514231761854</v>
      </c>
      <c r="AA56" s="343">
        <v>3.6999999999999997</v>
      </c>
      <c r="AB56" s="343">
        <f>AC56/AD56</f>
        <v>0.436276053784447</v>
      </c>
      <c r="AC56" s="346">
        <v>619215886</v>
      </c>
      <c r="AD56" s="346">
        <v>1419321277.5</v>
      </c>
      <c r="AE56" s="344">
        <v>140.66666666666666</v>
      </c>
      <c r="AF56" s="343">
        <v>1187.0899999999999</v>
      </c>
      <c r="AG56" s="344">
        <v>1.6</v>
      </c>
      <c r="AH56" s="343">
        <v>4.58</v>
      </c>
      <c r="AI56" s="343">
        <f t="shared" si="25"/>
        <v>0.58295153226160978</v>
      </c>
      <c r="AJ56" s="346">
        <v>5436845</v>
      </c>
      <c r="AK56" s="346">
        <v>9326410</v>
      </c>
      <c r="AL56" s="345">
        <f t="shared" si="30"/>
        <v>63.273557340022414</v>
      </c>
      <c r="AM56" s="343">
        <v>26.32</v>
      </c>
      <c r="AN56" s="344">
        <v>88.7</v>
      </c>
      <c r="AO56" s="344">
        <v>10.199999999999999</v>
      </c>
      <c r="AP56" s="345">
        <f t="shared" si="26"/>
        <v>76.767179344176512</v>
      </c>
      <c r="AQ56" s="343">
        <v>89.383031975426604</v>
      </c>
      <c r="AR56" s="344">
        <v>89.2</v>
      </c>
      <c r="AS56" s="345">
        <f t="shared" si="27"/>
        <v>89.291515987713296</v>
      </c>
      <c r="AT56" s="343">
        <v>510.31365050422897</v>
      </c>
      <c r="AU56" s="343">
        <v>3.0625978308745898</v>
      </c>
      <c r="AV56" s="343">
        <v>1799.74410387993</v>
      </c>
      <c r="AW56" s="351">
        <f t="shared" si="28"/>
        <v>58.181284819203107</v>
      </c>
      <c r="AX56" s="293"/>
      <c r="AY56" s="121"/>
    </row>
    <row r="57" spans="1:51" s="5" customFormat="1" ht="15.75" customHeight="1" x14ac:dyDescent="0.2">
      <c r="A57" s="294">
        <v>53</v>
      </c>
      <c r="B57" s="307" t="s">
        <v>10</v>
      </c>
      <c r="C57" s="308" t="s">
        <v>35</v>
      </c>
      <c r="D57" s="143" t="s">
        <v>297</v>
      </c>
      <c r="E57" s="172" t="s">
        <v>305</v>
      </c>
      <c r="F57" s="177" t="s">
        <v>123</v>
      </c>
      <c r="G57" s="341">
        <f t="shared" si="18"/>
        <v>76.071961140554208</v>
      </c>
      <c r="H57" s="342">
        <f t="shared" si="19"/>
        <v>61.639213489809755</v>
      </c>
      <c r="I57" s="342">
        <f t="shared" si="20"/>
        <v>90.504708791298668</v>
      </c>
      <c r="J57" s="343">
        <v>1.01366</v>
      </c>
      <c r="K57" s="344">
        <v>167.684</v>
      </c>
      <c r="L57" s="344">
        <v>81.726458943957695</v>
      </c>
      <c r="M57" s="344">
        <v>99.747299190000007</v>
      </c>
      <c r="N57" s="345">
        <f t="shared" si="21"/>
        <v>51.802622866822752</v>
      </c>
      <c r="O57" s="343">
        <f t="shared" si="22"/>
        <v>3.9268356568512663</v>
      </c>
      <c r="P57" s="346">
        <v>19377</v>
      </c>
      <c r="Q57" s="346">
        <v>4934507.5</v>
      </c>
      <c r="R57" s="344">
        <v>0</v>
      </c>
      <c r="S57" s="344">
        <v>0</v>
      </c>
      <c r="T57" s="353">
        <v>17.5</v>
      </c>
      <c r="U57" s="345">
        <f t="shared" si="23"/>
        <v>94.216096323406418</v>
      </c>
      <c r="V57" s="343">
        <f t="shared" si="16"/>
        <v>156.06420701559375</v>
      </c>
      <c r="W57" s="348">
        <v>770.1</v>
      </c>
      <c r="X57" s="346">
        <v>4934507.5</v>
      </c>
      <c r="Y57" s="344">
        <v>1.9</v>
      </c>
      <c r="Z57" s="345">
        <f t="shared" si="24"/>
        <v>87.372562334288972</v>
      </c>
      <c r="AA57" s="343">
        <v>3.1666666666666665</v>
      </c>
      <c r="AB57" s="343">
        <f>AC57/AD57</f>
        <v>1.9251961821924477</v>
      </c>
      <c r="AC57" s="346">
        <v>9499895</v>
      </c>
      <c r="AD57" s="346">
        <v>4934507.5</v>
      </c>
      <c r="AE57" s="344">
        <v>12</v>
      </c>
      <c r="AF57" s="343">
        <v>36.880000000000003</v>
      </c>
      <c r="AG57" s="344">
        <v>5.8</v>
      </c>
      <c r="AH57" s="343">
        <v>4.1500000000000004</v>
      </c>
      <c r="AI57" s="343">
        <f t="shared" si="25"/>
        <v>0.47429565607812324</v>
      </c>
      <c r="AJ57" s="346">
        <v>8451</v>
      </c>
      <c r="AK57" s="346">
        <v>17818</v>
      </c>
      <c r="AL57" s="345">
        <f t="shared" si="30"/>
        <v>56.898246193277785</v>
      </c>
      <c r="AM57" s="343">
        <v>0</v>
      </c>
      <c r="AN57" s="344">
        <v>100</v>
      </c>
      <c r="AO57" s="344">
        <v>0</v>
      </c>
      <c r="AP57" s="345">
        <f t="shared" si="26"/>
        <v>100</v>
      </c>
      <c r="AQ57" s="343">
        <v>74.457856143028096</v>
      </c>
      <c r="AR57" s="344">
        <v>86.3</v>
      </c>
      <c r="AS57" s="345">
        <f t="shared" si="27"/>
        <v>80.378928071514053</v>
      </c>
      <c r="AT57" s="343">
        <v>544.45313020495405</v>
      </c>
      <c r="AU57" s="343">
        <v>7.59805385874847E-2</v>
      </c>
      <c r="AV57" s="343">
        <v>962.35404431350003</v>
      </c>
      <c r="AW57" s="351">
        <f t="shared" si="28"/>
        <v>72.144615884979331</v>
      </c>
      <c r="AX57" s="293"/>
      <c r="AY57" s="121"/>
    </row>
    <row r="58" spans="1:51" s="5" customFormat="1" ht="15.75" customHeight="1" x14ac:dyDescent="0.2">
      <c r="A58" s="294">
        <v>54</v>
      </c>
      <c r="B58" s="295" t="s">
        <v>13</v>
      </c>
      <c r="C58" s="296" t="s">
        <v>14</v>
      </c>
      <c r="D58" s="142" t="s">
        <v>296</v>
      </c>
      <c r="E58" s="172" t="s">
        <v>305</v>
      </c>
      <c r="F58" s="177" t="s">
        <v>175</v>
      </c>
      <c r="G58" s="341">
        <f t="shared" si="18"/>
        <v>75.890757031797804</v>
      </c>
      <c r="H58" s="342">
        <f t="shared" si="19"/>
        <v>62.694610348419843</v>
      </c>
      <c r="I58" s="342">
        <f t="shared" si="20"/>
        <v>89.086903715175765</v>
      </c>
      <c r="J58" s="343">
        <v>25.823899999999998</v>
      </c>
      <c r="K58" s="344">
        <v>180.84200000000001</v>
      </c>
      <c r="L58" s="344">
        <v>80.159699293752695</v>
      </c>
      <c r="M58" s="344">
        <v>94.364953679999999</v>
      </c>
      <c r="N58" s="345">
        <f t="shared" si="21"/>
        <v>71.179146576771515</v>
      </c>
      <c r="O58" s="343">
        <f t="shared" si="22"/>
        <v>2.0933649669011118</v>
      </c>
      <c r="P58" s="346">
        <v>303162</v>
      </c>
      <c r="Q58" s="346">
        <v>144820423</v>
      </c>
      <c r="R58" s="352">
        <v>0.2</v>
      </c>
      <c r="S58" s="352">
        <v>0</v>
      </c>
      <c r="T58" s="353">
        <v>30</v>
      </c>
      <c r="U58" s="345">
        <f t="shared" si="23"/>
        <v>70.809862740607144</v>
      </c>
      <c r="V58" s="343">
        <f t="shared" si="16"/>
        <v>447.58880451550607</v>
      </c>
      <c r="W58" s="348">
        <v>64819.999999999898</v>
      </c>
      <c r="X58" s="346">
        <v>144820423</v>
      </c>
      <c r="Y58" s="352">
        <v>2.2999999999999998</v>
      </c>
      <c r="Z58" s="345">
        <f t="shared" si="24"/>
        <v>89.948355534187414</v>
      </c>
      <c r="AA58" s="343">
        <v>2.5666666666666669</v>
      </c>
      <c r="AB58" s="343">
        <f>AC58/AD58</f>
        <v>0.6827257230149093</v>
      </c>
      <c r="AC58" s="346">
        <v>98872628</v>
      </c>
      <c r="AD58" s="346">
        <v>144820423</v>
      </c>
      <c r="AE58" s="344">
        <v>0</v>
      </c>
      <c r="AF58" s="343">
        <v>166.09</v>
      </c>
      <c r="AG58" s="352">
        <v>12.6</v>
      </c>
      <c r="AH58" s="343">
        <v>3.26</v>
      </c>
      <c r="AI58" s="343">
        <f t="shared" si="25"/>
        <v>9.6472830278313257E-2</v>
      </c>
      <c r="AJ58" s="346">
        <v>1579923</v>
      </c>
      <c r="AK58" s="346">
        <v>16376870</v>
      </c>
      <c r="AL58" s="345">
        <f t="shared" si="30"/>
        <v>45.36782472557946</v>
      </c>
      <c r="AM58" s="343">
        <v>2.62</v>
      </c>
      <c r="AN58" s="344">
        <v>100</v>
      </c>
      <c r="AO58" s="344">
        <v>0.4</v>
      </c>
      <c r="AP58" s="345">
        <f t="shared" si="26"/>
        <v>97.812978144467181</v>
      </c>
      <c r="AQ58" s="343">
        <v>79.342126706826207</v>
      </c>
      <c r="AR58" s="344">
        <v>94.1</v>
      </c>
      <c r="AS58" s="345">
        <f t="shared" si="27"/>
        <v>86.721063353413101</v>
      </c>
      <c r="AT58" s="343">
        <v>585.33371258586101</v>
      </c>
      <c r="AU58" s="343">
        <v>0.84110278378673198</v>
      </c>
      <c r="AV58" s="343">
        <v>2043.25337662724</v>
      </c>
      <c r="AW58" s="351">
        <f t="shared" si="28"/>
        <v>65.274520789064141</v>
      </c>
      <c r="AX58" s="293"/>
      <c r="AY58" s="121"/>
    </row>
    <row r="59" spans="1:51" s="5" customFormat="1" ht="15.75" customHeight="1" x14ac:dyDescent="0.2">
      <c r="A59" s="294">
        <v>55</v>
      </c>
      <c r="B59" s="295" t="s">
        <v>13</v>
      </c>
      <c r="C59" s="296" t="s">
        <v>14</v>
      </c>
      <c r="D59" s="142" t="s">
        <v>296</v>
      </c>
      <c r="E59" s="171" t="s">
        <v>304</v>
      </c>
      <c r="F59" s="177" t="s">
        <v>39</v>
      </c>
      <c r="G59" s="341">
        <f t="shared" si="18"/>
        <v>75.162686619752591</v>
      </c>
      <c r="H59" s="342">
        <f t="shared" si="19"/>
        <v>58.782513595841735</v>
      </c>
      <c r="I59" s="342">
        <f t="shared" si="20"/>
        <v>91.542859643663448</v>
      </c>
      <c r="J59" s="343">
        <v>35.093200000000003</v>
      </c>
      <c r="K59" s="344">
        <v>128.97900000000001</v>
      </c>
      <c r="L59" s="344">
        <v>70.466106661210503</v>
      </c>
      <c r="M59" s="344">
        <v>94.261821280000007</v>
      </c>
      <c r="N59" s="345">
        <f t="shared" si="21"/>
        <v>74.725615318635974</v>
      </c>
      <c r="O59" s="343">
        <f t="shared" si="22"/>
        <v>0.24512250383583595</v>
      </c>
      <c r="P59" s="346">
        <v>2220</v>
      </c>
      <c r="Q59" s="346">
        <v>9056696</v>
      </c>
      <c r="R59" s="344">
        <v>0.19</v>
      </c>
      <c r="S59" s="344">
        <v>0</v>
      </c>
      <c r="T59" s="347">
        <v>14.25</v>
      </c>
      <c r="U59" s="345">
        <f t="shared" si="23"/>
        <v>55.51678873157443</v>
      </c>
      <c r="V59" s="343">
        <f t="shared" si="16"/>
        <v>156.12757676750991</v>
      </c>
      <c r="W59" s="348">
        <v>1414</v>
      </c>
      <c r="X59" s="346">
        <v>9056696</v>
      </c>
      <c r="Y59" s="352">
        <v>4.8</v>
      </c>
      <c r="Z59" s="345">
        <f t="shared" si="24"/>
        <v>83.023786003175815</v>
      </c>
      <c r="AA59" s="343">
        <v>2.6999999999999997</v>
      </c>
      <c r="AB59" s="343">
        <f>AC59/AD59</f>
        <v>0.14602345049452914</v>
      </c>
      <c r="AC59" s="346">
        <v>1322490</v>
      </c>
      <c r="AD59" s="346">
        <v>9056696</v>
      </c>
      <c r="AE59" s="349" t="s">
        <v>931</v>
      </c>
      <c r="AF59" s="349" t="s">
        <v>931</v>
      </c>
      <c r="AG59" s="344">
        <v>5.9849999999999994</v>
      </c>
      <c r="AH59" s="350">
        <v>3.0807384300556255</v>
      </c>
      <c r="AI59" s="343">
        <f t="shared" si="25"/>
        <v>0.51274519467718083</v>
      </c>
      <c r="AJ59" s="346">
        <v>104036</v>
      </c>
      <c r="AK59" s="346">
        <v>202900</v>
      </c>
      <c r="AL59" s="345">
        <f>((AA59/4.5)*100*1.5+(LN(MIN(AB59,5)+1)/LN(5+1))*100+(MAX((60-AG59),0))/60*100*0.5+((AH59-1)/(7-1))*100*2+(LN(MIN(AI59,20)+1)/LN(20+1))*100)/6</f>
        <v>37.595524987280804</v>
      </c>
      <c r="AM59" s="343">
        <v>0</v>
      </c>
      <c r="AN59" s="344">
        <v>99.7</v>
      </c>
      <c r="AO59" s="344">
        <v>0.1</v>
      </c>
      <c r="AP59" s="345">
        <f t="shared" si="26"/>
        <v>99.315090110484078</v>
      </c>
      <c r="AQ59" s="343">
        <v>77.098090793957724</v>
      </c>
      <c r="AR59" s="344">
        <v>99.9</v>
      </c>
      <c r="AS59" s="345">
        <f t="shared" si="27"/>
        <v>88.499045396978858</v>
      </c>
      <c r="AT59" s="343">
        <v>407.71919640840298</v>
      </c>
      <c r="AU59" s="343">
        <v>5.0501593825144298E-2</v>
      </c>
      <c r="AV59" s="343">
        <v>2220.76490574638</v>
      </c>
      <c r="AW59" s="351">
        <f t="shared" si="28"/>
        <v>71.269982489886189</v>
      </c>
      <c r="AX59" s="293"/>
      <c r="AY59" s="121"/>
    </row>
    <row r="60" spans="1:51" s="5" customFormat="1" ht="15.75" customHeight="1" x14ac:dyDescent="0.2">
      <c r="A60" s="294">
        <v>56</v>
      </c>
      <c r="B60" s="301" t="s">
        <v>23</v>
      </c>
      <c r="C60" s="303" t="s">
        <v>26</v>
      </c>
      <c r="D60" s="145" t="s">
        <v>299</v>
      </c>
      <c r="E60" s="172" t="s">
        <v>305</v>
      </c>
      <c r="F60" s="177" t="s">
        <v>61</v>
      </c>
      <c r="G60" s="341">
        <f t="shared" si="18"/>
        <v>75.116670517493901</v>
      </c>
      <c r="H60" s="342">
        <f t="shared" si="19"/>
        <v>64.277940042151002</v>
      </c>
      <c r="I60" s="342">
        <f t="shared" si="20"/>
        <v>85.9554009928368</v>
      </c>
      <c r="J60" s="343">
        <v>22.9954</v>
      </c>
      <c r="K60" s="344">
        <v>135.87100000000001</v>
      </c>
      <c r="L60" s="344">
        <v>79.689287366055794</v>
      </c>
      <c r="M60" s="344">
        <v>95.590243000000001</v>
      </c>
      <c r="N60" s="345">
        <f t="shared" si="21"/>
        <v>67.511749258180615</v>
      </c>
      <c r="O60" s="343">
        <f t="shared" si="22"/>
        <v>1.8729283057990325</v>
      </c>
      <c r="P60" s="346">
        <v>37018</v>
      </c>
      <c r="Q60" s="346">
        <v>19764771.5</v>
      </c>
      <c r="R60" s="344">
        <v>0.63</v>
      </c>
      <c r="S60" s="344">
        <v>0</v>
      </c>
      <c r="T60" s="347">
        <v>12.6</v>
      </c>
      <c r="U60" s="345">
        <f t="shared" si="23"/>
        <v>73.009946133561058</v>
      </c>
      <c r="V60" s="343">
        <f t="shared" si="16"/>
        <v>1789.4464400967145</v>
      </c>
      <c r="W60" s="348">
        <v>35368</v>
      </c>
      <c r="X60" s="346">
        <v>19764771.5</v>
      </c>
      <c r="Y60" s="352">
        <v>17.149999999999999</v>
      </c>
      <c r="Z60" s="345">
        <f t="shared" si="24"/>
        <v>71.850406238984107</v>
      </c>
      <c r="AA60" s="343">
        <v>2.9666666666666668</v>
      </c>
      <c r="AB60" s="343">
        <f>AC60/AD60</f>
        <v>1.0788583111117678</v>
      </c>
      <c r="AC60" s="346">
        <v>21323388</v>
      </c>
      <c r="AD60" s="346">
        <v>19764771.5</v>
      </c>
      <c r="AE60" s="344">
        <v>41.666666666666664</v>
      </c>
      <c r="AF60" s="343">
        <v>107.75</v>
      </c>
      <c r="AG60" s="344">
        <v>24.48</v>
      </c>
      <c r="AH60" s="343">
        <v>5.22</v>
      </c>
      <c r="AI60" s="343">
        <f t="shared" si="25"/>
        <v>0.11866842696810484</v>
      </c>
      <c r="AJ60" s="346">
        <v>88267</v>
      </c>
      <c r="AK60" s="346">
        <v>743812</v>
      </c>
      <c r="AL60" s="345">
        <f t="shared" ref="AL60:AL75" si="31">((AA60/4.5)*100*1.5+(LN(MIN(AB60,5)+1)/LN(5+1))*100+((AE60-(-300))/(150-(-300)))*100+(LN(MIN(AF60,500))/LN(500))*100*0.5+(MAX((60-AG60),0))/60*100*0.5+((AH60-1)/(7-1))*100*2+(LN(MIN(AI60,20)+1)/LN(20+1))*100)/7.5</f>
        <v>56.968012754060609</v>
      </c>
      <c r="AM60" s="343">
        <v>10</v>
      </c>
      <c r="AN60" s="344">
        <v>100</v>
      </c>
      <c r="AO60" s="344">
        <v>1.3</v>
      </c>
      <c r="AP60" s="345">
        <f t="shared" si="26"/>
        <v>94.084150558001838</v>
      </c>
      <c r="AQ60" s="343">
        <v>85.069177819612705</v>
      </c>
      <c r="AR60" s="344">
        <v>96</v>
      </c>
      <c r="AS60" s="345">
        <f t="shared" si="27"/>
        <v>90.534588909806359</v>
      </c>
      <c r="AT60" s="343">
        <v>597.83190013517401</v>
      </c>
      <c r="AU60" s="343">
        <v>3.5766839060223798</v>
      </c>
      <c r="AV60" s="343">
        <v>1563.40716828677</v>
      </c>
      <c r="AW60" s="351">
        <f t="shared" si="28"/>
        <v>56.989964380372072</v>
      </c>
      <c r="AX60" s="293"/>
      <c r="AY60" s="121"/>
    </row>
    <row r="61" spans="1:51" s="5" customFormat="1" ht="15.75" customHeight="1" x14ac:dyDescent="0.2">
      <c r="A61" s="294">
        <v>57</v>
      </c>
      <c r="B61" s="301" t="s">
        <v>23</v>
      </c>
      <c r="C61" s="303" t="s">
        <v>26</v>
      </c>
      <c r="D61" s="145" t="s">
        <v>299</v>
      </c>
      <c r="E61" s="172" t="s">
        <v>305</v>
      </c>
      <c r="F61" s="177" t="s">
        <v>218</v>
      </c>
      <c r="G61" s="341">
        <f t="shared" si="18"/>
        <v>75.018981619989106</v>
      </c>
      <c r="H61" s="342">
        <f t="shared" si="19"/>
        <v>61.739730851567202</v>
      </c>
      <c r="I61" s="342">
        <f t="shared" si="20"/>
        <v>88.298232388411009</v>
      </c>
      <c r="J61" s="343">
        <v>32.403199999999998</v>
      </c>
      <c r="K61" s="344">
        <v>141.71899999999999</v>
      </c>
      <c r="L61" s="344">
        <v>83.989556996545701</v>
      </c>
      <c r="M61" s="344">
        <v>91.991090069999998</v>
      </c>
      <c r="N61" s="345">
        <f t="shared" si="21"/>
        <v>75.721795099969754</v>
      </c>
      <c r="O61" s="343">
        <f t="shared" si="22"/>
        <v>1.5647019307784016</v>
      </c>
      <c r="P61" s="346">
        <v>5299</v>
      </c>
      <c r="Q61" s="346">
        <v>3386587.5</v>
      </c>
      <c r="R61" s="344">
        <v>0.3</v>
      </c>
      <c r="S61" s="344">
        <v>0</v>
      </c>
      <c r="T61" s="347">
        <v>20</v>
      </c>
      <c r="U61" s="345">
        <f t="shared" si="23"/>
        <v>67.90752068691144</v>
      </c>
      <c r="V61" s="343">
        <f t="shared" si="16"/>
        <v>1330.972077349249</v>
      </c>
      <c r="W61" s="348">
        <v>4507.4534000000003</v>
      </c>
      <c r="X61" s="346">
        <v>3386587.5</v>
      </c>
      <c r="Y61" s="344">
        <v>17.3</v>
      </c>
      <c r="Z61" s="345">
        <f t="shared" si="24"/>
        <v>70.733210107317902</v>
      </c>
      <c r="AA61" s="343">
        <v>2.9833333333333329</v>
      </c>
      <c r="AB61" s="350">
        <v>1.0788583111117678</v>
      </c>
      <c r="AC61" s="346"/>
      <c r="AD61" s="346">
        <v>3386587.5</v>
      </c>
      <c r="AE61" s="344">
        <v>-12</v>
      </c>
      <c r="AF61" s="343">
        <v>99.57</v>
      </c>
      <c r="AG61" s="344">
        <v>49</v>
      </c>
      <c r="AH61" s="343">
        <v>3.33</v>
      </c>
      <c r="AI61" s="343">
        <f t="shared" si="25"/>
        <v>5.0469959717738481E-2</v>
      </c>
      <c r="AJ61" s="346">
        <v>8833</v>
      </c>
      <c r="AK61" s="346">
        <v>175015</v>
      </c>
      <c r="AL61" s="345">
        <f t="shared" si="31"/>
        <v>43.967349330390896</v>
      </c>
      <c r="AM61" s="343">
        <v>1.3</v>
      </c>
      <c r="AN61" s="344">
        <v>100</v>
      </c>
      <c r="AO61" s="344">
        <v>0.3</v>
      </c>
      <c r="AP61" s="345">
        <f t="shared" si="26"/>
        <v>98.400804503628379</v>
      </c>
      <c r="AQ61" s="343">
        <v>73.745127556786102</v>
      </c>
      <c r="AR61" s="344">
        <v>99.8</v>
      </c>
      <c r="AS61" s="345">
        <f t="shared" si="27"/>
        <v>86.772563778393049</v>
      </c>
      <c r="AT61" s="343">
        <v>688.39341490869595</v>
      </c>
      <c r="AU61" s="343">
        <v>2.4279515464429902</v>
      </c>
      <c r="AV61" s="343">
        <v>1540.1973483428901</v>
      </c>
      <c r="AW61" s="351">
        <f t="shared" si="28"/>
        <v>59.516184652776843</v>
      </c>
      <c r="AX61" s="293"/>
      <c r="AY61" s="121"/>
    </row>
    <row r="62" spans="1:51" s="5" customFormat="1" ht="15.75" customHeight="1" x14ac:dyDescent="0.2">
      <c r="A62" s="294">
        <v>58</v>
      </c>
      <c r="B62" s="307" t="s">
        <v>10</v>
      </c>
      <c r="C62" s="311" t="s">
        <v>887</v>
      </c>
      <c r="D62" s="147" t="s">
        <v>301</v>
      </c>
      <c r="E62" s="171" t="s">
        <v>304</v>
      </c>
      <c r="F62" s="177" t="s">
        <v>137</v>
      </c>
      <c r="G62" s="341">
        <f t="shared" si="18"/>
        <v>75.00240120429531</v>
      </c>
      <c r="H62" s="342">
        <f t="shared" si="19"/>
        <v>65.163171615172288</v>
      </c>
      <c r="I62" s="342">
        <f t="shared" si="20"/>
        <v>84.841630793418332</v>
      </c>
      <c r="J62" s="343">
        <v>13.028700000000001</v>
      </c>
      <c r="K62" s="344">
        <v>142.732</v>
      </c>
      <c r="L62" s="344">
        <v>80.305283984260896</v>
      </c>
      <c r="M62" s="344">
        <v>98.020605900000007</v>
      </c>
      <c r="N62" s="345">
        <f t="shared" si="21"/>
        <v>60.19645580439856</v>
      </c>
      <c r="O62" s="343">
        <f t="shared" si="22"/>
        <v>1.0925349207675243</v>
      </c>
      <c r="P62" s="346">
        <v>38848</v>
      </c>
      <c r="Q62" s="346">
        <v>35557673.5</v>
      </c>
      <c r="R62" s="344">
        <v>0.2</v>
      </c>
      <c r="S62" s="344">
        <v>0</v>
      </c>
      <c r="T62" s="347">
        <v>7</v>
      </c>
      <c r="U62" s="345">
        <f t="shared" si="23"/>
        <v>66.658112246318723</v>
      </c>
      <c r="V62" s="343">
        <f t="shared" si="16"/>
        <v>188.62313925009744</v>
      </c>
      <c r="W62" s="348">
        <v>6707</v>
      </c>
      <c r="X62" s="346">
        <v>35557673.5</v>
      </c>
      <c r="Y62" s="344">
        <v>15.5</v>
      </c>
      <c r="Z62" s="345">
        <f t="shared" si="24"/>
        <v>67.543705365875667</v>
      </c>
      <c r="AA62" s="343">
        <v>3.6166666666666667</v>
      </c>
      <c r="AB62" s="343">
        <f t="shared" ref="AB62:AB73" si="32">AC62/AD62</f>
        <v>1.3133137352194879</v>
      </c>
      <c r="AC62" s="346">
        <v>46698381</v>
      </c>
      <c r="AD62" s="346">
        <v>35557673.5</v>
      </c>
      <c r="AE62" s="344">
        <v>78</v>
      </c>
      <c r="AF62" s="343">
        <v>484.77</v>
      </c>
      <c r="AG62" s="344">
        <v>4.0999999999999996</v>
      </c>
      <c r="AH62" s="343">
        <v>5.45</v>
      </c>
      <c r="AI62" s="343">
        <f t="shared" si="25"/>
        <v>0.99450265912236824</v>
      </c>
      <c r="AJ62" s="346">
        <v>327621</v>
      </c>
      <c r="AK62" s="346">
        <v>329432</v>
      </c>
      <c r="AL62" s="345">
        <f t="shared" si="31"/>
        <v>69.161018830483556</v>
      </c>
      <c r="AM62" s="343">
        <v>0.2</v>
      </c>
      <c r="AN62" s="344">
        <v>83.8</v>
      </c>
      <c r="AO62" s="344">
        <v>0.2</v>
      </c>
      <c r="AP62" s="345">
        <f t="shared" si="26"/>
        <v>89.732032680134481</v>
      </c>
      <c r="AQ62" s="343">
        <v>88.691801242111595</v>
      </c>
      <c r="AR62" s="344">
        <v>97.6</v>
      </c>
      <c r="AS62" s="345">
        <f t="shared" si="27"/>
        <v>93.145900621055802</v>
      </c>
      <c r="AT62" s="343">
        <v>864.714105845483</v>
      </c>
      <c r="AU62" s="343">
        <v>1.8756940185034701</v>
      </c>
      <c r="AV62" s="343">
        <v>885.73717092894697</v>
      </c>
      <c r="AW62" s="351">
        <f t="shared" si="28"/>
        <v>61.866155305632418</v>
      </c>
      <c r="AX62" s="293"/>
      <c r="AY62" s="121"/>
    </row>
    <row r="63" spans="1:51" s="5" customFormat="1" ht="15.75" customHeight="1" x14ac:dyDescent="0.2">
      <c r="A63" s="294">
        <v>59</v>
      </c>
      <c r="B63" s="301" t="s">
        <v>23</v>
      </c>
      <c r="C63" s="302" t="s">
        <v>24</v>
      </c>
      <c r="D63" s="145" t="s">
        <v>299</v>
      </c>
      <c r="E63" s="172" t="s">
        <v>305</v>
      </c>
      <c r="F63" s="177" t="s">
        <v>208</v>
      </c>
      <c r="G63" s="341">
        <f t="shared" si="18"/>
        <v>74.880220476196314</v>
      </c>
      <c r="H63" s="342">
        <f t="shared" si="19"/>
        <v>59.340725158909962</v>
      </c>
      <c r="I63" s="342">
        <f t="shared" si="20"/>
        <v>90.419715793482652</v>
      </c>
      <c r="J63" s="343">
        <v>26.894200000000001</v>
      </c>
      <c r="K63" s="344">
        <v>134.23099999999999</v>
      </c>
      <c r="L63" s="344">
        <v>69.287647627890195</v>
      </c>
      <c r="M63" s="344">
        <v>82.159896849999996</v>
      </c>
      <c r="N63" s="345">
        <f t="shared" si="21"/>
        <v>64.748086119472546</v>
      </c>
      <c r="O63" s="343">
        <f t="shared" si="22"/>
        <v>1.415324435271291</v>
      </c>
      <c r="P63" s="346">
        <v>2134</v>
      </c>
      <c r="Q63" s="346">
        <v>1507781.5</v>
      </c>
      <c r="R63" s="344">
        <v>0.5</v>
      </c>
      <c r="S63" s="344">
        <v>0</v>
      </c>
      <c r="T63" s="347">
        <v>14.5</v>
      </c>
      <c r="U63" s="345">
        <f t="shared" si="23"/>
        <v>67.687999901716211</v>
      </c>
      <c r="V63" s="343">
        <f t="shared" si="16"/>
        <v>222.97660503196252</v>
      </c>
      <c r="W63" s="348">
        <v>336.2</v>
      </c>
      <c r="X63" s="346">
        <v>1507781.5</v>
      </c>
      <c r="Y63" s="344">
        <v>24.9</v>
      </c>
      <c r="Z63" s="345">
        <f t="shared" si="24"/>
        <v>53.948030185528225</v>
      </c>
      <c r="AA63" s="343">
        <v>2.4833333333333334</v>
      </c>
      <c r="AB63" s="343">
        <f t="shared" si="32"/>
        <v>1.3454529054773521</v>
      </c>
      <c r="AC63" s="346">
        <v>2028649</v>
      </c>
      <c r="AD63" s="346">
        <v>1507781.5</v>
      </c>
      <c r="AE63" s="344">
        <v>-19</v>
      </c>
      <c r="AF63" s="343">
        <v>60.72</v>
      </c>
      <c r="AG63" s="344">
        <v>9.8000000000000007</v>
      </c>
      <c r="AH63" s="343">
        <v>3.9</v>
      </c>
      <c r="AI63" s="343">
        <f t="shared" si="25"/>
        <v>1.8694211654648216</v>
      </c>
      <c r="AJ63" s="346">
        <v>9592</v>
      </c>
      <c r="AK63" s="346">
        <v>5131</v>
      </c>
      <c r="AL63" s="345">
        <f t="shared" si="31"/>
        <v>53.194719255991259</v>
      </c>
      <c r="AM63" s="343">
        <v>8.6300000000000008</v>
      </c>
      <c r="AN63" s="344">
        <v>100</v>
      </c>
      <c r="AO63" s="344">
        <v>0</v>
      </c>
      <c r="AP63" s="345">
        <f t="shared" si="26"/>
        <v>98.767142857142858</v>
      </c>
      <c r="AQ63" s="343">
        <v>74.592064146951898</v>
      </c>
      <c r="AR63" s="344">
        <v>98.1</v>
      </c>
      <c r="AS63" s="345">
        <f t="shared" si="27"/>
        <v>86.346032073475953</v>
      </c>
      <c r="AT63" s="343">
        <v>613.70117046490498</v>
      </c>
      <c r="AU63" s="343">
        <v>0.327192910330591</v>
      </c>
      <c r="AV63" s="343">
        <v>1182.25325057644</v>
      </c>
      <c r="AW63" s="351">
        <f t="shared" si="28"/>
        <v>69.451118322508748</v>
      </c>
      <c r="AX63" s="293"/>
      <c r="AY63" s="121"/>
    </row>
    <row r="64" spans="1:51" s="5" customFormat="1" ht="15.75" customHeight="1" x14ac:dyDescent="0.2">
      <c r="A64" s="294">
        <v>60</v>
      </c>
      <c r="B64" s="295" t="s">
        <v>13</v>
      </c>
      <c r="C64" s="296" t="s">
        <v>14</v>
      </c>
      <c r="D64" s="142" t="s">
        <v>296</v>
      </c>
      <c r="E64" s="172" t="s">
        <v>305</v>
      </c>
      <c r="F64" s="177" t="s">
        <v>51</v>
      </c>
      <c r="G64" s="341">
        <f t="shared" si="18"/>
        <v>74.681541778471825</v>
      </c>
      <c r="H64" s="342">
        <f t="shared" si="19"/>
        <v>64.90683771271128</v>
      </c>
      <c r="I64" s="342">
        <f t="shared" si="20"/>
        <v>84.456245844232384</v>
      </c>
      <c r="J64" s="343">
        <v>37.023600000000002</v>
      </c>
      <c r="K64" s="344">
        <v>117.93300000000001</v>
      </c>
      <c r="L64" s="344">
        <v>81.416817951263795</v>
      </c>
      <c r="M64" s="344">
        <v>82.438955000000007</v>
      </c>
      <c r="N64" s="345">
        <f t="shared" si="21"/>
        <v>75.748043237815949</v>
      </c>
      <c r="O64" s="343">
        <f t="shared" si="22"/>
        <v>2.1758919488520374</v>
      </c>
      <c r="P64" s="346">
        <v>14704</v>
      </c>
      <c r="Q64" s="346">
        <v>6757688.5</v>
      </c>
      <c r="R64" s="344">
        <v>0.6</v>
      </c>
      <c r="S64" s="344">
        <v>0</v>
      </c>
      <c r="T64" s="347">
        <v>20</v>
      </c>
      <c r="U64" s="345">
        <f t="shared" si="23"/>
        <v>74.170270880557538</v>
      </c>
      <c r="V64" s="343">
        <f t="shared" si="16"/>
        <v>805.51715279566383</v>
      </c>
      <c r="W64" s="348">
        <v>5443.4340000000002</v>
      </c>
      <c r="X64" s="346">
        <v>6757688.5</v>
      </c>
      <c r="Y64" s="344">
        <v>3.8</v>
      </c>
      <c r="Z64" s="345">
        <f t="shared" si="24"/>
        <v>89.469533543152977</v>
      </c>
      <c r="AA64" s="343">
        <v>3.2166666666666668</v>
      </c>
      <c r="AB64" s="343">
        <f t="shared" si="32"/>
        <v>0.10711132956187608</v>
      </c>
      <c r="AC64" s="346">
        <v>723825</v>
      </c>
      <c r="AD64" s="346">
        <v>6757688.5</v>
      </c>
      <c r="AE64" s="344">
        <v>5</v>
      </c>
      <c r="AF64" s="343">
        <v>31.63</v>
      </c>
      <c r="AG64" s="344">
        <v>7</v>
      </c>
      <c r="AH64" s="343">
        <v>3.52</v>
      </c>
      <c r="AI64" s="343">
        <f t="shared" si="25"/>
        <v>0.17985233525979594</v>
      </c>
      <c r="AJ64" s="346">
        <v>19512</v>
      </c>
      <c r="AK64" s="346">
        <v>108489</v>
      </c>
      <c r="AL64" s="345">
        <f t="shared" si="31"/>
        <v>45.609099938034589</v>
      </c>
      <c r="AM64" s="343">
        <v>0.2</v>
      </c>
      <c r="AN64" s="352">
        <v>100</v>
      </c>
      <c r="AO64" s="344">
        <v>3.8</v>
      </c>
      <c r="AP64" s="345">
        <f t="shared" si="26"/>
        <v>91.520547765654982</v>
      </c>
      <c r="AQ64" s="343">
        <v>84.724394977155796</v>
      </c>
      <c r="AR64" s="344">
        <v>99.9</v>
      </c>
      <c r="AS64" s="345">
        <f t="shared" si="27"/>
        <v>92.312197488577908</v>
      </c>
      <c r="AT64" s="343">
        <v>418.43641750106599</v>
      </c>
      <c r="AU64" s="343">
        <v>4.3998075051661498</v>
      </c>
      <c r="AV64" s="343">
        <v>2233.2129560783301</v>
      </c>
      <c r="AW64" s="351">
        <f t="shared" si="28"/>
        <v>55.407388435619055</v>
      </c>
      <c r="AX64" s="293"/>
      <c r="AY64" s="121"/>
    </row>
    <row r="65" spans="1:51" s="5" customFormat="1" ht="15.75" customHeight="1" x14ac:dyDescent="0.2">
      <c r="A65" s="294">
        <v>61</v>
      </c>
      <c r="B65" s="295" t="s">
        <v>13</v>
      </c>
      <c r="C65" s="296" t="s">
        <v>14</v>
      </c>
      <c r="D65" s="142" t="s">
        <v>296</v>
      </c>
      <c r="E65" s="172" t="s">
        <v>305</v>
      </c>
      <c r="F65" s="177" t="s">
        <v>174</v>
      </c>
      <c r="G65" s="341">
        <f t="shared" si="18"/>
        <v>74.043436104577481</v>
      </c>
      <c r="H65" s="342">
        <f t="shared" si="19"/>
        <v>61.014026879730842</v>
      </c>
      <c r="I65" s="342">
        <f t="shared" si="20"/>
        <v>87.072845329424112</v>
      </c>
      <c r="J65" s="343">
        <v>34.6706</v>
      </c>
      <c r="K65" s="344">
        <v>123.252</v>
      </c>
      <c r="L65" s="344">
        <v>82.835948355670794</v>
      </c>
      <c r="M65" s="344">
        <v>91.290485509999996</v>
      </c>
      <c r="N65" s="345">
        <f t="shared" si="21"/>
        <v>76.532175133084365</v>
      </c>
      <c r="O65" s="343">
        <f t="shared" si="22"/>
        <v>1.0774601726797162</v>
      </c>
      <c r="P65" s="346">
        <v>20488</v>
      </c>
      <c r="Q65" s="346">
        <v>19015088</v>
      </c>
      <c r="R65" s="344">
        <v>0.5</v>
      </c>
      <c r="S65" s="344">
        <v>0</v>
      </c>
      <c r="T65" s="347">
        <v>60</v>
      </c>
      <c r="U65" s="345">
        <f t="shared" si="23"/>
        <v>51.068025659663626</v>
      </c>
      <c r="V65" s="343">
        <f t="shared" si="16"/>
        <v>428.65959915620692</v>
      </c>
      <c r="W65" s="348">
        <v>8151</v>
      </c>
      <c r="X65" s="346">
        <v>19015088</v>
      </c>
      <c r="Y65" s="344">
        <v>4.5999999999999996</v>
      </c>
      <c r="Z65" s="345">
        <f t="shared" si="24"/>
        <v>86.368106027169461</v>
      </c>
      <c r="AA65" s="343">
        <v>3.2333333333333338</v>
      </c>
      <c r="AB65" s="343">
        <f t="shared" si="32"/>
        <v>0.14760143802647666</v>
      </c>
      <c r="AC65" s="346">
        <v>2806654.3330000001</v>
      </c>
      <c r="AD65" s="346">
        <v>19015088</v>
      </c>
      <c r="AE65" s="344">
        <v>-80</v>
      </c>
      <c r="AF65" s="343">
        <v>79.95</v>
      </c>
      <c r="AG65" s="344">
        <v>19.5</v>
      </c>
      <c r="AH65" s="343">
        <v>2.96</v>
      </c>
      <c r="AI65" s="343">
        <f t="shared" si="25"/>
        <v>0.51498609179415855</v>
      </c>
      <c r="AJ65" s="346">
        <v>118488</v>
      </c>
      <c r="AK65" s="346">
        <v>230080</v>
      </c>
      <c r="AL65" s="345">
        <f t="shared" si="31"/>
        <v>41.643859144534467</v>
      </c>
      <c r="AM65" s="343">
        <v>2.52</v>
      </c>
      <c r="AN65" s="344">
        <v>100</v>
      </c>
      <c r="AO65" s="344">
        <v>1.7</v>
      </c>
      <c r="AP65" s="345">
        <f t="shared" si="26"/>
        <v>94.288879787605083</v>
      </c>
      <c r="AQ65" s="343">
        <v>71.336671900289801</v>
      </c>
      <c r="AR65" s="344">
        <v>99.9</v>
      </c>
      <c r="AS65" s="345">
        <f t="shared" si="27"/>
        <v>85.61833595014491</v>
      </c>
      <c r="AT65" s="343">
        <v>492.181810940221</v>
      </c>
      <c r="AU65" s="343">
        <v>0.59877149926976703</v>
      </c>
      <c r="AV65" s="343">
        <v>2164.0479065925201</v>
      </c>
      <c r="AW65" s="351">
        <f t="shared" si="28"/>
        <v>66.879251334160415</v>
      </c>
      <c r="AX65" s="293"/>
      <c r="AY65" s="121"/>
    </row>
    <row r="66" spans="1:51" s="5" customFormat="1" ht="15.75" customHeight="1" x14ac:dyDescent="0.2">
      <c r="A66" s="294">
        <v>62</v>
      </c>
      <c r="B66" s="297" t="s">
        <v>16</v>
      </c>
      <c r="C66" s="300" t="s">
        <v>21</v>
      </c>
      <c r="D66" s="144" t="s">
        <v>298</v>
      </c>
      <c r="E66" s="172" t="s">
        <v>305</v>
      </c>
      <c r="F66" s="177" t="s">
        <v>183</v>
      </c>
      <c r="G66" s="341">
        <f t="shared" si="18"/>
        <v>74.040905670883973</v>
      </c>
      <c r="H66" s="342">
        <f t="shared" si="19"/>
        <v>62.470959572467819</v>
      </c>
      <c r="I66" s="342">
        <f t="shared" si="20"/>
        <v>85.61085176930014</v>
      </c>
      <c r="J66" s="343">
        <v>30.771899999999999</v>
      </c>
      <c r="K66" s="344">
        <v>184.904</v>
      </c>
      <c r="L66" s="344">
        <v>73.979763645589898</v>
      </c>
      <c r="M66" s="344">
        <v>87.818000789999999</v>
      </c>
      <c r="N66" s="345">
        <f t="shared" si="21"/>
        <v>72.256157775564134</v>
      </c>
      <c r="O66" s="343">
        <f t="shared" si="22"/>
        <v>1.1424759524147265</v>
      </c>
      <c r="P66" s="346">
        <v>149</v>
      </c>
      <c r="Q66" s="346">
        <v>130418.5</v>
      </c>
      <c r="R66" s="344">
        <v>0.5</v>
      </c>
      <c r="S66" s="344">
        <v>0</v>
      </c>
      <c r="T66" s="347">
        <v>21</v>
      </c>
      <c r="U66" s="345">
        <f t="shared" si="23"/>
        <v>62.907480442538734</v>
      </c>
      <c r="V66" s="343">
        <f t="shared" si="16"/>
        <v>86.598143668267923</v>
      </c>
      <c r="W66" s="348">
        <v>11.294</v>
      </c>
      <c r="X66" s="346">
        <v>130418.5</v>
      </c>
      <c r="Y66" s="344">
        <v>17</v>
      </c>
      <c r="Z66" s="345">
        <f t="shared" si="24"/>
        <v>62.94722594276174</v>
      </c>
      <c r="AA66" s="350">
        <v>2.5499999999999998</v>
      </c>
      <c r="AB66" s="343">
        <f t="shared" si="32"/>
        <v>1.8165904377063069</v>
      </c>
      <c r="AC66" s="346">
        <v>236917</v>
      </c>
      <c r="AD66" s="346">
        <v>130418.5</v>
      </c>
      <c r="AE66" s="344">
        <v>-17</v>
      </c>
      <c r="AF66" s="343">
        <v>24.18</v>
      </c>
      <c r="AG66" s="344">
        <v>36.799999999999997</v>
      </c>
      <c r="AH66" s="343">
        <v>4.51</v>
      </c>
      <c r="AI66" s="343">
        <f t="shared" si="25"/>
        <v>1.1925601750547046</v>
      </c>
      <c r="AJ66" s="346">
        <v>545</v>
      </c>
      <c r="AK66" s="346">
        <v>457</v>
      </c>
      <c r="AL66" s="345">
        <f t="shared" si="31"/>
        <v>52.457564559280272</v>
      </c>
      <c r="AM66" s="343">
        <v>48.69</v>
      </c>
      <c r="AN66" s="344">
        <v>100</v>
      </c>
      <c r="AO66" s="344">
        <v>0.1</v>
      </c>
      <c r="AP66" s="345">
        <f t="shared" si="26"/>
        <v>92.530804396198363</v>
      </c>
      <c r="AQ66" s="350">
        <v>77.673216036612956</v>
      </c>
      <c r="AR66" s="344">
        <v>99.9</v>
      </c>
      <c r="AS66" s="345">
        <f t="shared" si="27"/>
        <v>88.786608018306481</v>
      </c>
      <c r="AT66" s="343">
        <v>548.43948269813995</v>
      </c>
      <c r="AU66" s="343">
        <v>2.0069555841138502</v>
      </c>
      <c r="AV66" s="343">
        <v>1252.3133402356</v>
      </c>
      <c r="AW66" s="351">
        <f t="shared" si="28"/>
        <v>61.675237639599125</v>
      </c>
      <c r="AX66" s="293"/>
      <c r="AY66" s="121"/>
    </row>
    <row r="67" spans="1:51" s="5" customFormat="1" ht="15.75" customHeight="1" x14ac:dyDescent="0.2">
      <c r="A67" s="294">
        <v>63</v>
      </c>
      <c r="B67" s="301" t="s">
        <v>23</v>
      </c>
      <c r="C67" s="303" t="s">
        <v>26</v>
      </c>
      <c r="D67" s="145" t="s">
        <v>299</v>
      </c>
      <c r="E67" s="171" t="s">
        <v>304</v>
      </c>
      <c r="F67" s="177" t="s">
        <v>27</v>
      </c>
      <c r="G67" s="341">
        <f t="shared" si="18"/>
        <v>73.062428195813169</v>
      </c>
      <c r="H67" s="342">
        <f t="shared" si="19"/>
        <v>57.46299858462924</v>
      </c>
      <c r="I67" s="342">
        <f t="shared" si="20"/>
        <v>88.661857806997091</v>
      </c>
      <c r="J67" s="343">
        <v>25.3581</v>
      </c>
      <c r="K67" s="344">
        <v>137.70599999999999</v>
      </c>
      <c r="L67" s="344">
        <v>72.164958491047003</v>
      </c>
      <c r="M67" s="344">
        <v>89.667152279999996</v>
      </c>
      <c r="N67" s="345">
        <f t="shared" si="21"/>
        <v>66.179977692761739</v>
      </c>
      <c r="O67" s="343">
        <f t="shared" si="22"/>
        <v>1.0397810459299215</v>
      </c>
      <c r="P67" s="346">
        <v>47514</v>
      </c>
      <c r="Q67" s="346">
        <v>45696159</v>
      </c>
      <c r="R67" s="344">
        <v>0.76</v>
      </c>
      <c r="S67" s="344">
        <v>0</v>
      </c>
      <c r="T67" s="347">
        <v>28.5</v>
      </c>
      <c r="U67" s="345">
        <f t="shared" si="23"/>
        <v>59.416701682582506</v>
      </c>
      <c r="V67" s="343">
        <f t="shared" si="16"/>
        <v>824.79579957694034</v>
      </c>
      <c r="W67" s="348">
        <v>37690</v>
      </c>
      <c r="X67" s="346">
        <v>45696159</v>
      </c>
      <c r="Y67" s="352">
        <v>15.8</v>
      </c>
      <c r="Z67" s="345">
        <f t="shared" si="24"/>
        <v>71.540823636879949</v>
      </c>
      <c r="AA67" s="343">
        <v>2.8166666666666664</v>
      </c>
      <c r="AB67" s="343">
        <f t="shared" si="32"/>
        <v>0.46082234176399817</v>
      </c>
      <c r="AC67" s="346">
        <v>21057811</v>
      </c>
      <c r="AD67" s="346">
        <v>45696159</v>
      </c>
      <c r="AE67" s="344">
        <v>5.333333333333333</v>
      </c>
      <c r="AF67" s="343">
        <v>103.45</v>
      </c>
      <c r="AG67" s="344">
        <v>21.66</v>
      </c>
      <c r="AH67" s="343">
        <v>3.43</v>
      </c>
      <c r="AI67" s="343">
        <f t="shared" si="25"/>
        <v>7.4784867851309431E-2</v>
      </c>
      <c r="AJ67" s="346">
        <v>204663</v>
      </c>
      <c r="AK67" s="346">
        <v>2736690</v>
      </c>
      <c r="AL67" s="345">
        <f t="shared" si="31"/>
        <v>44.738137438945756</v>
      </c>
      <c r="AM67" s="343">
        <v>14.5</v>
      </c>
      <c r="AN67" s="344">
        <v>99.9</v>
      </c>
      <c r="AO67" s="344">
        <v>0</v>
      </c>
      <c r="AP67" s="345">
        <f t="shared" si="26"/>
        <v>97.871428571428581</v>
      </c>
      <c r="AQ67" s="343">
        <v>81.744244686500707</v>
      </c>
      <c r="AR67" s="344">
        <v>92.8</v>
      </c>
      <c r="AS67" s="345">
        <f t="shared" si="27"/>
        <v>87.272122343250345</v>
      </c>
      <c r="AT67" s="343">
        <v>595.48295703675603</v>
      </c>
      <c r="AU67" s="343">
        <v>1.7046564054920501</v>
      </c>
      <c r="AV67" s="343">
        <v>1317.6314433574501</v>
      </c>
      <c r="AW67" s="351">
        <f t="shared" si="28"/>
        <v>62.422880977449346</v>
      </c>
      <c r="AX67" s="293"/>
      <c r="AY67" s="121"/>
    </row>
    <row r="68" spans="1:51" s="5" customFormat="1" ht="15.75" customHeight="1" x14ac:dyDescent="0.2">
      <c r="A68" s="294">
        <v>64</v>
      </c>
      <c r="B68" s="307" t="s">
        <v>10</v>
      </c>
      <c r="C68" s="311" t="s">
        <v>887</v>
      </c>
      <c r="D68" s="147" t="s">
        <v>301</v>
      </c>
      <c r="E68" s="172" t="s">
        <v>305</v>
      </c>
      <c r="F68" s="177" t="s">
        <v>50</v>
      </c>
      <c r="G68" s="341">
        <f t="shared" si="18"/>
        <v>72.996926263914503</v>
      </c>
      <c r="H68" s="342">
        <f t="shared" si="19"/>
        <v>58.64375860189832</v>
      </c>
      <c r="I68" s="342">
        <f t="shared" si="20"/>
        <v>87.350093925930693</v>
      </c>
      <c r="J68" s="343">
        <v>20.212</v>
      </c>
      <c r="K68" s="344">
        <v>127.012</v>
      </c>
      <c r="L68" s="344">
        <v>74.586672365121302</v>
      </c>
      <c r="M68" s="344">
        <v>96.298288009999993</v>
      </c>
      <c r="N68" s="345">
        <f t="shared" si="21"/>
        <v>63.798306760446991</v>
      </c>
      <c r="O68" s="343">
        <f t="shared" si="22"/>
        <v>1.0805635787401277E-2</v>
      </c>
      <c r="P68" s="346">
        <v>5</v>
      </c>
      <c r="Q68" s="346">
        <v>462721.5</v>
      </c>
      <c r="R68" s="344">
        <v>0</v>
      </c>
      <c r="S68" s="344">
        <v>0</v>
      </c>
      <c r="T68" s="347">
        <v>7</v>
      </c>
      <c r="U68" s="345">
        <f t="shared" si="23"/>
        <v>55.25863181200787</v>
      </c>
      <c r="V68" s="343">
        <f t="shared" si="16"/>
        <v>198.82369848818351</v>
      </c>
      <c r="W68" s="348">
        <v>92</v>
      </c>
      <c r="X68" s="346">
        <v>462721.5</v>
      </c>
      <c r="Y68" s="344">
        <v>32.6</v>
      </c>
      <c r="Z68" s="345">
        <f t="shared" si="24"/>
        <v>42.052456051190632</v>
      </c>
      <c r="AA68" s="343">
        <v>2.71</v>
      </c>
      <c r="AB68" s="343">
        <f t="shared" si="32"/>
        <v>1.7740390277953368</v>
      </c>
      <c r="AC68" s="346">
        <v>820886</v>
      </c>
      <c r="AD68" s="346">
        <v>462721.5</v>
      </c>
      <c r="AE68" s="344">
        <v>3</v>
      </c>
      <c r="AF68" s="343">
        <v>26.2</v>
      </c>
      <c r="AG68" s="344">
        <v>1.4</v>
      </c>
      <c r="AH68" s="343">
        <v>4.93</v>
      </c>
      <c r="AI68" s="343">
        <f t="shared" si="25"/>
        <v>0.72485768500948766</v>
      </c>
      <c r="AJ68" s="346">
        <v>3820</v>
      </c>
      <c r="AK68" s="346">
        <v>5270</v>
      </c>
      <c r="AL68" s="345">
        <f t="shared" si="31"/>
        <v>58.483317778499178</v>
      </c>
      <c r="AM68" s="343">
        <v>21.6</v>
      </c>
      <c r="AN68" s="344">
        <v>100</v>
      </c>
      <c r="AO68" s="344">
        <v>0.5</v>
      </c>
      <c r="AP68" s="345">
        <f t="shared" si="26"/>
        <v>94.729852125163873</v>
      </c>
      <c r="AQ68" s="350">
        <v>67.849608180490932</v>
      </c>
      <c r="AR68" s="344">
        <v>99.6</v>
      </c>
      <c r="AS68" s="345">
        <f t="shared" si="27"/>
        <v>83.72480409024547</v>
      </c>
      <c r="AT68" s="343">
        <v>576.075354749653</v>
      </c>
      <c r="AU68" s="343">
        <v>0.41180791720979798</v>
      </c>
      <c r="AV68" s="343">
        <v>1272.4912945620899</v>
      </c>
      <c r="AW68" s="351">
        <f t="shared" si="28"/>
        <v>68.83610916391639</v>
      </c>
      <c r="AX68" s="293"/>
      <c r="AY68" s="121"/>
    </row>
    <row r="69" spans="1:51" s="5" customFormat="1" ht="15.75" customHeight="1" x14ac:dyDescent="0.2">
      <c r="A69" s="294">
        <v>65</v>
      </c>
      <c r="B69" s="307" t="s">
        <v>10</v>
      </c>
      <c r="C69" s="311" t="s">
        <v>887</v>
      </c>
      <c r="D69" s="147" t="s">
        <v>301</v>
      </c>
      <c r="E69" s="171" t="s">
        <v>304</v>
      </c>
      <c r="F69" s="177" t="s">
        <v>204</v>
      </c>
      <c r="G69" s="341">
        <f t="shared" ref="G69:G100" si="33">AVERAGE(H69:I69)</f>
        <v>72.554288186729153</v>
      </c>
      <c r="H69" s="342">
        <f t="shared" ref="H69:H100" si="34">(N69*20+U69*5+Z69*5+AL69*20)/50</f>
        <v>63.52528677945773</v>
      </c>
      <c r="I69" s="342">
        <f t="shared" ref="I69:I100" si="35">(AP69*15+AS69*5+AW69*5)/25</f>
        <v>81.583289594000576</v>
      </c>
      <c r="J69" s="343">
        <v>15.747299999999999</v>
      </c>
      <c r="K69" s="344">
        <v>168.643</v>
      </c>
      <c r="L69" s="344">
        <v>78.572166259074194</v>
      </c>
      <c r="M69" s="344">
        <v>90.867187889999997</v>
      </c>
      <c r="N69" s="345">
        <f t="shared" ref="N69:N100" si="36">((MIN(J69,50)/50)*100*2.5+(MIN(K69,250)/250)*0.5*100+L69*1.5+M69*1.5)/6</f>
        <v>61.104021870601883</v>
      </c>
      <c r="O69" s="343">
        <f t="shared" ref="O69:O100" si="37">(P69*1000)/Q69</f>
        <v>0.74002332784148284</v>
      </c>
      <c r="P69" s="346">
        <v>53036</v>
      </c>
      <c r="Q69" s="346">
        <v>71668011</v>
      </c>
      <c r="R69" s="344">
        <v>0.19</v>
      </c>
      <c r="S69" s="344">
        <v>0</v>
      </c>
      <c r="T69" s="347">
        <v>6.6499999999999995</v>
      </c>
      <c r="U69" s="345">
        <f t="shared" ref="U69:U100" si="38">((MIN(O69,4)/4)*100*1.5+(1-(MIN(R69,15)/15))*100*0.5+(1-(MIN(S69,8)/8))*100*0.5+(1-(MIN(T69,100)/100))*100)/3.5</f>
        <v>62.990726131634929</v>
      </c>
      <c r="V69" s="343">
        <f t="shared" si="16"/>
        <v>799.61755880179237</v>
      </c>
      <c r="W69" s="348">
        <v>57307</v>
      </c>
      <c r="X69" s="346">
        <v>71668011</v>
      </c>
      <c r="Y69" s="352">
        <v>5.65</v>
      </c>
      <c r="Z69" s="345">
        <f t="shared" ref="Z69:Z100" si="39">((LN(MAX(V69,1))/LN(4000))*100*0.5+(MAX((50-Y69),0))/50*100*1.5)/2</f>
        <v>86.672376287540828</v>
      </c>
      <c r="AA69" s="343">
        <v>3.5166666666666671</v>
      </c>
      <c r="AB69" s="343">
        <f t="shared" si="32"/>
        <v>0.72446118254907343</v>
      </c>
      <c r="AC69" s="346">
        <v>51920692</v>
      </c>
      <c r="AD69" s="346">
        <v>71668011</v>
      </c>
      <c r="AE69" s="344">
        <v>31</v>
      </c>
      <c r="AF69" s="343">
        <v>255.75</v>
      </c>
      <c r="AG69" s="344">
        <v>4.8449999999999998</v>
      </c>
      <c r="AH69" s="343">
        <v>4.3600000000000003</v>
      </c>
      <c r="AI69" s="343">
        <f t="shared" ref="AI69:AI100" si="40">AJ69/AK69</f>
        <v>1.3771927420775509</v>
      </c>
      <c r="AJ69" s="346">
        <v>703594</v>
      </c>
      <c r="AK69" s="346">
        <v>510890</v>
      </c>
      <c r="AL69" s="345">
        <f t="shared" si="31"/>
        <v>60.293419473248505</v>
      </c>
      <c r="AM69" s="343">
        <v>2</v>
      </c>
      <c r="AN69" s="344">
        <v>86.8</v>
      </c>
      <c r="AO69" s="344">
        <v>2.1</v>
      </c>
      <c r="AP69" s="345">
        <f t="shared" ref="AP69:AP100" si="41">((100-AM69)*0.5+AN69*2+(1-(LN(MIN(AO69,200)+1)/LN(200+1)))*100*1)/3.5</f>
        <v>86.076026708920509</v>
      </c>
      <c r="AQ69" s="343">
        <v>91.824981469334304</v>
      </c>
      <c r="AR69" s="344">
        <v>98.2</v>
      </c>
      <c r="AS69" s="345">
        <f t="shared" ref="AS69:AS100" si="42">(AQ69+AR69)/2</f>
        <v>95.012490734667153</v>
      </c>
      <c r="AT69" s="343">
        <v>1490.04317223922</v>
      </c>
      <c r="AU69" s="343">
        <v>3.8517141849838201</v>
      </c>
      <c r="AV69" s="343">
        <v>1454.0704754675501</v>
      </c>
      <c r="AW69" s="351">
        <f t="shared" ref="AW69:AW100" si="43">((1-(LN(MIN(AT69,3000)+1)/LN(3000+1)))*100*0.5+(1-(LN(MIN(AU69,1000)+1)/LN(1000+1)))*100*2+(1-(LN(MIN(AV69,3500)+1)/LN(3500+1)))*100*0.5)/3</f>
        <v>54.675877108574262</v>
      </c>
      <c r="AX69" s="293"/>
      <c r="AY69" s="121"/>
    </row>
    <row r="70" spans="1:51" s="5" customFormat="1" ht="15.75" customHeight="1" x14ac:dyDescent="0.2">
      <c r="A70" s="294">
        <v>66</v>
      </c>
      <c r="B70" s="301" t="s">
        <v>23</v>
      </c>
      <c r="C70" s="303" t="s">
        <v>26</v>
      </c>
      <c r="D70" s="145" t="s">
        <v>299</v>
      </c>
      <c r="E70" s="172" t="s">
        <v>305</v>
      </c>
      <c r="F70" s="177" t="s">
        <v>166</v>
      </c>
      <c r="G70" s="341">
        <f t="shared" si="33"/>
        <v>72.396772328645355</v>
      </c>
      <c r="H70" s="342">
        <f t="shared" si="34"/>
        <v>59.680400519453251</v>
      </c>
      <c r="I70" s="342">
        <f t="shared" si="35"/>
        <v>85.113144137837466</v>
      </c>
      <c r="J70" s="343">
        <v>18.1341</v>
      </c>
      <c r="K70" s="344">
        <v>156.58699999999999</v>
      </c>
      <c r="L70" s="344">
        <v>73.503902805307902</v>
      </c>
      <c r="M70" s="344">
        <v>72.771499629999994</v>
      </c>
      <c r="N70" s="345">
        <f t="shared" si="36"/>
        <v>56.900167275493637</v>
      </c>
      <c r="O70" s="343">
        <f t="shared" si="37"/>
        <v>0.91682635463862094</v>
      </c>
      <c r="P70" s="346">
        <v>4140</v>
      </c>
      <c r="Q70" s="346">
        <v>4515577</v>
      </c>
      <c r="R70" s="344">
        <v>0.54</v>
      </c>
      <c r="S70" s="344">
        <v>0</v>
      </c>
      <c r="T70" s="347">
        <v>0.9</v>
      </c>
      <c r="U70" s="345">
        <f t="shared" si="38"/>
        <v>66.194568085413792</v>
      </c>
      <c r="V70" s="343">
        <f t="shared" si="16"/>
        <v>268.27136377034429</v>
      </c>
      <c r="W70" s="348">
        <v>1211.4000000000001</v>
      </c>
      <c r="X70" s="346">
        <v>4515577</v>
      </c>
      <c r="Y70" s="352">
        <v>17.149999999999999</v>
      </c>
      <c r="Z70" s="345">
        <f t="shared" si="39"/>
        <v>66.130454398810372</v>
      </c>
      <c r="AA70" s="343">
        <v>3.1166666666666667</v>
      </c>
      <c r="AB70" s="343">
        <f t="shared" si="32"/>
        <v>3.4879912356715432</v>
      </c>
      <c r="AC70" s="346">
        <v>15750293</v>
      </c>
      <c r="AD70" s="346">
        <v>4515577</v>
      </c>
      <c r="AE70" s="344">
        <v>-96.666666666666671</v>
      </c>
      <c r="AF70" s="343">
        <v>207.41</v>
      </c>
      <c r="AG70" s="344">
        <v>0.45</v>
      </c>
      <c r="AH70" s="343">
        <v>4.3499999999999996</v>
      </c>
      <c r="AI70" s="343">
        <f t="shared" si="40"/>
        <v>0.23999730385548665</v>
      </c>
      <c r="AJ70" s="346">
        <v>17803</v>
      </c>
      <c r="AK70" s="346">
        <v>74180</v>
      </c>
      <c r="AL70" s="345">
        <f t="shared" si="31"/>
        <v>59.219578402083457</v>
      </c>
      <c r="AM70" s="343">
        <v>16.3</v>
      </c>
      <c r="AN70" s="344">
        <v>100</v>
      </c>
      <c r="AO70" s="344">
        <v>0.5</v>
      </c>
      <c r="AP70" s="345">
        <f t="shared" si="41"/>
        <v>95.486994982306712</v>
      </c>
      <c r="AQ70" s="343">
        <v>64.095213116498101</v>
      </c>
      <c r="AR70" s="344">
        <v>90.9</v>
      </c>
      <c r="AS70" s="345">
        <f t="shared" si="42"/>
        <v>77.497606558249061</v>
      </c>
      <c r="AT70" s="343">
        <v>550.61616201348795</v>
      </c>
      <c r="AU70" s="343">
        <v>1.91621608331326</v>
      </c>
      <c r="AV70" s="343">
        <v>1490.6559345926501</v>
      </c>
      <c r="AW70" s="351">
        <f t="shared" si="43"/>
        <v>61.607129184018085</v>
      </c>
      <c r="AX70" s="293"/>
      <c r="AY70" s="121"/>
    </row>
    <row r="71" spans="1:51" s="5" customFormat="1" ht="15.75" customHeight="1" x14ac:dyDescent="0.2">
      <c r="A71" s="294">
        <v>67</v>
      </c>
      <c r="B71" s="301" t="s">
        <v>23</v>
      </c>
      <c r="C71" s="302" t="s">
        <v>24</v>
      </c>
      <c r="D71" s="145" t="s">
        <v>299</v>
      </c>
      <c r="E71" s="172" t="s">
        <v>305</v>
      </c>
      <c r="F71" s="177" t="s">
        <v>34</v>
      </c>
      <c r="G71" s="341">
        <f t="shared" si="33"/>
        <v>71.425285515564084</v>
      </c>
      <c r="H71" s="342">
        <f t="shared" si="34"/>
        <v>60.358036290569615</v>
      </c>
      <c r="I71" s="342">
        <f t="shared" si="35"/>
        <v>82.492534740558554</v>
      </c>
      <c r="J71" s="343">
        <v>23.816299999999998</v>
      </c>
      <c r="K71" s="344">
        <v>100.048</v>
      </c>
      <c r="L71" s="344">
        <v>70.219982066496101</v>
      </c>
      <c r="M71" s="344">
        <v>92.472702029999994</v>
      </c>
      <c r="N71" s="345">
        <f t="shared" si="36"/>
        <v>63.855021024124028</v>
      </c>
      <c r="O71" s="343">
        <f t="shared" si="37"/>
        <v>1.7444048215349268</v>
      </c>
      <c r="P71" s="346">
        <v>700</v>
      </c>
      <c r="Q71" s="346">
        <v>401283</v>
      </c>
      <c r="R71" s="352">
        <v>0.65</v>
      </c>
      <c r="S71" s="352">
        <v>0</v>
      </c>
      <c r="T71" s="353">
        <v>7</v>
      </c>
      <c r="U71" s="345">
        <f t="shared" si="38"/>
        <v>73.213861183112314</v>
      </c>
      <c r="V71" s="350">
        <v>268.27136377034429</v>
      </c>
      <c r="W71" s="348"/>
      <c r="X71" s="346">
        <v>401283</v>
      </c>
      <c r="Y71" s="352">
        <v>17.149999999999999</v>
      </c>
      <c r="Z71" s="345">
        <f t="shared" si="39"/>
        <v>66.130454398810372</v>
      </c>
      <c r="AA71" s="343">
        <v>2.7333333333333329</v>
      </c>
      <c r="AB71" s="343">
        <f t="shared" si="32"/>
        <v>3.6518671087486885</v>
      </c>
      <c r="AC71" s="346">
        <v>1465432.189</v>
      </c>
      <c r="AD71" s="346">
        <v>401283</v>
      </c>
      <c r="AE71" s="344">
        <v>-129.5</v>
      </c>
      <c r="AF71" s="343">
        <v>86.14</v>
      </c>
      <c r="AG71" s="352">
        <v>18.18</v>
      </c>
      <c r="AH71" s="350">
        <v>3.9456636208241602</v>
      </c>
      <c r="AI71" s="343">
        <f t="shared" si="40"/>
        <v>0.26973026973026976</v>
      </c>
      <c r="AJ71" s="346">
        <v>2700</v>
      </c>
      <c r="AK71" s="346">
        <v>10010</v>
      </c>
      <c r="AL71" s="345">
        <f t="shared" si="31"/>
        <v>52.203990806819348</v>
      </c>
      <c r="AM71" s="350">
        <v>8.6300000000000008</v>
      </c>
      <c r="AN71" s="344">
        <v>100</v>
      </c>
      <c r="AO71" s="344">
        <v>0.2</v>
      </c>
      <c r="AP71" s="345">
        <f t="shared" si="41"/>
        <v>97.78488982299163</v>
      </c>
      <c r="AQ71" s="350">
        <v>70.493923403996448</v>
      </c>
      <c r="AR71" s="344">
        <v>95.4</v>
      </c>
      <c r="AS71" s="345">
        <f t="shared" si="42"/>
        <v>82.946961701998219</v>
      </c>
      <c r="AT71" s="343">
        <v>910.41831237365602</v>
      </c>
      <c r="AU71" s="343">
        <v>35.258242983262903</v>
      </c>
      <c r="AV71" s="343">
        <v>1550.38279682499</v>
      </c>
      <c r="AW71" s="351">
        <f t="shared" si="43"/>
        <v>36.161042531819568</v>
      </c>
      <c r="AX71" s="293"/>
      <c r="AY71" s="121"/>
    </row>
    <row r="72" spans="1:51" s="13" customFormat="1" ht="15.75" customHeight="1" x14ac:dyDescent="0.2">
      <c r="A72" s="294">
        <v>68</v>
      </c>
      <c r="B72" s="297" t="s">
        <v>16</v>
      </c>
      <c r="C72" s="300" t="s">
        <v>21</v>
      </c>
      <c r="D72" s="144" t="s">
        <v>298</v>
      </c>
      <c r="E72" s="171" t="s">
        <v>304</v>
      </c>
      <c r="F72" s="177" t="s">
        <v>143</v>
      </c>
      <c r="G72" s="341">
        <f t="shared" si="33"/>
        <v>71.251871512616049</v>
      </c>
      <c r="H72" s="342">
        <f t="shared" si="34"/>
        <v>57.586051272578679</v>
      </c>
      <c r="I72" s="342">
        <f t="shared" si="35"/>
        <v>84.917691752653411</v>
      </c>
      <c r="J72" s="343">
        <v>26.908200000000001</v>
      </c>
      <c r="K72" s="344">
        <v>165.25800000000001</v>
      </c>
      <c r="L72" s="344">
        <v>72.961842000793098</v>
      </c>
      <c r="M72" s="344">
        <v>73.307935330000007</v>
      </c>
      <c r="N72" s="345">
        <f t="shared" si="36"/>
        <v>64.499544332698278</v>
      </c>
      <c r="O72" s="343">
        <f t="shared" si="37"/>
        <v>0.69542287453517193</v>
      </c>
      <c r="P72" s="346">
        <v>884</v>
      </c>
      <c r="Q72" s="346">
        <v>1271169</v>
      </c>
      <c r="R72" s="344">
        <v>1</v>
      </c>
      <c r="S72" s="344">
        <v>0</v>
      </c>
      <c r="T72" s="347">
        <v>30</v>
      </c>
      <c r="U72" s="345">
        <f t="shared" si="38"/>
        <v>55.070006989067323</v>
      </c>
      <c r="V72" s="343">
        <f>(W72*1000000)/X72</f>
        <v>497.18015464505504</v>
      </c>
      <c r="W72" s="348">
        <v>632</v>
      </c>
      <c r="X72" s="346">
        <v>1271169</v>
      </c>
      <c r="Y72" s="344">
        <v>24.3</v>
      </c>
      <c r="Z72" s="345">
        <f t="shared" si="39"/>
        <v>57.265081034088212</v>
      </c>
      <c r="AA72" s="343">
        <v>2.5500000000000003</v>
      </c>
      <c r="AB72" s="343">
        <f t="shared" si="32"/>
        <v>1.1836789600753321</v>
      </c>
      <c r="AC72" s="346">
        <v>1504656</v>
      </c>
      <c r="AD72" s="346">
        <v>1271169</v>
      </c>
      <c r="AE72" s="344">
        <v>-70</v>
      </c>
      <c r="AF72" s="343">
        <v>68.3</v>
      </c>
      <c r="AG72" s="344">
        <v>28.9</v>
      </c>
      <c r="AH72" s="343">
        <v>4.47</v>
      </c>
      <c r="AI72" s="343">
        <f t="shared" si="40"/>
        <v>1.5</v>
      </c>
      <c r="AJ72" s="346">
        <v>3129</v>
      </c>
      <c r="AK72" s="346">
        <v>2086</v>
      </c>
      <c r="AL72" s="345">
        <f t="shared" si="31"/>
        <v>51.381811842959536</v>
      </c>
      <c r="AM72" s="343">
        <v>48.69</v>
      </c>
      <c r="AN72" s="344">
        <v>99.1</v>
      </c>
      <c r="AO72" s="344">
        <v>0.3</v>
      </c>
      <c r="AP72" s="345">
        <f t="shared" si="41"/>
        <v>91.116518789342663</v>
      </c>
      <c r="AQ72" s="343">
        <v>89.598448034754597</v>
      </c>
      <c r="AR72" s="344">
        <v>99.9</v>
      </c>
      <c r="AS72" s="345">
        <f t="shared" si="42"/>
        <v>94.749224017377301</v>
      </c>
      <c r="AT72" s="343">
        <v>607.529493788384</v>
      </c>
      <c r="AU72" s="343">
        <v>4.1379386558965097</v>
      </c>
      <c r="AV72" s="343">
        <v>1137.2970082647901</v>
      </c>
      <c r="AW72" s="351">
        <f t="shared" si="43"/>
        <v>56.489678377861729</v>
      </c>
      <c r="AX72" s="293"/>
      <c r="AY72" s="354"/>
    </row>
    <row r="73" spans="1:51" s="5" customFormat="1" ht="15.75" customHeight="1" x14ac:dyDescent="0.2">
      <c r="A73" s="294">
        <v>69</v>
      </c>
      <c r="B73" s="307" t="s">
        <v>10</v>
      </c>
      <c r="C73" s="308" t="s">
        <v>35</v>
      </c>
      <c r="D73" s="143" t="s">
        <v>297</v>
      </c>
      <c r="E73" s="171" t="s">
        <v>304</v>
      </c>
      <c r="F73" s="177" t="s">
        <v>210</v>
      </c>
      <c r="G73" s="341">
        <f t="shared" si="33"/>
        <v>71.061923962345901</v>
      </c>
      <c r="H73" s="342">
        <f t="shared" si="34"/>
        <v>66.181299796998388</v>
      </c>
      <c r="I73" s="342">
        <f t="shared" si="35"/>
        <v>75.942548127693428</v>
      </c>
      <c r="J73" s="343">
        <v>22.459199999999999</v>
      </c>
      <c r="K73" s="344">
        <v>105.684</v>
      </c>
      <c r="L73" s="344">
        <v>77.8924377333135</v>
      </c>
      <c r="M73" s="344">
        <v>87.307876699999994</v>
      </c>
      <c r="N73" s="345">
        <f t="shared" si="36"/>
        <v>63.538878608328368</v>
      </c>
      <c r="O73" s="343">
        <f t="shared" si="37"/>
        <v>1.2994175799257845</v>
      </c>
      <c r="P73" s="346">
        <v>113665</v>
      </c>
      <c r="Q73" s="346">
        <v>87473805</v>
      </c>
      <c r="R73" s="344">
        <v>0.9</v>
      </c>
      <c r="S73" s="344">
        <v>0</v>
      </c>
      <c r="T73" s="347">
        <v>4</v>
      </c>
      <c r="U73" s="345">
        <f t="shared" si="38"/>
        <v>69.06518835634769</v>
      </c>
      <c r="V73" s="343">
        <f>(W73*1000000)/X73</f>
        <v>737.0165274049757</v>
      </c>
      <c r="W73" s="348">
        <v>64469.64</v>
      </c>
      <c r="X73" s="346">
        <v>87473805</v>
      </c>
      <c r="Y73" s="344">
        <v>3.6</v>
      </c>
      <c r="Z73" s="345">
        <f t="shared" si="39"/>
        <v>89.501648180577064</v>
      </c>
      <c r="AA73" s="343">
        <v>3.4000000000000004</v>
      </c>
      <c r="AB73" s="343">
        <f t="shared" si="32"/>
        <v>1.4397480594333354</v>
      </c>
      <c r="AC73" s="346">
        <v>125940241</v>
      </c>
      <c r="AD73" s="346">
        <v>87473805</v>
      </c>
      <c r="AE73" s="344">
        <v>55</v>
      </c>
      <c r="AF73" s="343">
        <v>286.94</v>
      </c>
      <c r="AG73" s="344">
        <v>13.3</v>
      </c>
      <c r="AH73" s="343">
        <v>4.93</v>
      </c>
      <c r="AI73" s="343">
        <f t="shared" si="40"/>
        <v>0.33932580765872522</v>
      </c>
      <c r="AJ73" s="346">
        <v>261156</v>
      </c>
      <c r="AK73" s="346">
        <v>769632</v>
      </c>
      <c r="AL73" s="345">
        <f t="shared" si="31"/>
        <v>62.272661749936418</v>
      </c>
      <c r="AM73" s="343">
        <v>14.13</v>
      </c>
      <c r="AN73" s="344">
        <v>95.3</v>
      </c>
      <c r="AO73" s="344">
        <v>0</v>
      </c>
      <c r="AP73" s="345">
        <f t="shared" si="41"/>
        <v>95.295714285714283</v>
      </c>
      <c r="AQ73" s="343">
        <v>81.554547835206293</v>
      </c>
      <c r="AR73" s="344">
        <v>98.7</v>
      </c>
      <c r="AS73" s="345">
        <f t="shared" si="42"/>
        <v>90.127273917603148</v>
      </c>
      <c r="AT73" s="343">
        <v>506.76486541012298</v>
      </c>
      <c r="AU73" s="343">
        <v>3200.3372987819998</v>
      </c>
      <c r="AV73" s="343">
        <v>4176.7132770916196</v>
      </c>
      <c r="AW73" s="351">
        <f t="shared" si="43"/>
        <v>3.6983238637211389</v>
      </c>
      <c r="AX73" s="293"/>
      <c r="AY73" s="121"/>
    </row>
    <row r="74" spans="1:51" s="5" customFormat="1" ht="15.75" customHeight="1" x14ac:dyDescent="0.2">
      <c r="A74" s="294">
        <v>70</v>
      </c>
      <c r="B74" s="304" t="s">
        <v>29</v>
      </c>
      <c r="C74" s="316" t="s">
        <v>888</v>
      </c>
      <c r="D74" s="148" t="s">
        <v>302</v>
      </c>
      <c r="E74" s="172" t="s">
        <v>305</v>
      </c>
      <c r="F74" s="177" t="s">
        <v>164</v>
      </c>
      <c r="G74" s="341">
        <f t="shared" si="33"/>
        <v>70.825817846640916</v>
      </c>
      <c r="H74" s="342">
        <f t="shared" si="34"/>
        <v>55.470657837624877</v>
      </c>
      <c r="I74" s="342">
        <f t="shared" si="35"/>
        <v>86.180977855656963</v>
      </c>
      <c r="J74" s="343">
        <v>7.33345</v>
      </c>
      <c r="K74" s="344">
        <v>135.387</v>
      </c>
      <c r="L74" s="352">
        <v>69.061567581680436</v>
      </c>
      <c r="M74" s="344">
        <v>83.925498959999999</v>
      </c>
      <c r="N74" s="345">
        <f t="shared" si="36"/>
        <v>48.870874968753441</v>
      </c>
      <c r="O74" s="343">
        <f t="shared" si="37"/>
        <v>2.4865078692322906</v>
      </c>
      <c r="P74" s="346">
        <v>44</v>
      </c>
      <c r="Q74" s="346">
        <v>17695.5</v>
      </c>
      <c r="R74" s="352">
        <v>0.2</v>
      </c>
      <c r="S74" s="352">
        <v>0</v>
      </c>
      <c r="T74" s="353">
        <v>20</v>
      </c>
      <c r="U74" s="345">
        <f t="shared" si="38"/>
        <v>77.879250979869781</v>
      </c>
      <c r="V74" s="350">
        <v>313.87099080923662</v>
      </c>
      <c r="W74" s="348"/>
      <c r="X74" s="346">
        <v>17695.5</v>
      </c>
      <c r="Y74" s="352">
        <v>2.6</v>
      </c>
      <c r="Z74" s="345">
        <f t="shared" si="39"/>
        <v>88.428634061916227</v>
      </c>
      <c r="AA74" s="350">
        <v>2.2666666666666671</v>
      </c>
      <c r="AB74" s="350">
        <v>3.2732599506131499</v>
      </c>
      <c r="AC74" s="346"/>
      <c r="AD74" s="346">
        <v>17695.5</v>
      </c>
      <c r="AE74" s="352">
        <v>-6</v>
      </c>
      <c r="AF74" s="343">
        <v>6.88</v>
      </c>
      <c r="AG74" s="352">
        <v>12.6</v>
      </c>
      <c r="AH74" s="350">
        <v>3.3119911269773148</v>
      </c>
      <c r="AI74" s="343">
        <f t="shared" si="40"/>
        <v>0.26361655773420478</v>
      </c>
      <c r="AJ74" s="346">
        <v>121</v>
      </c>
      <c r="AK74" s="346">
        <v>459</v>
      </c>
      <c r="AL74" s="345">
        <f t="shared" si="31"/>
        <v>48.228798364862236</v>
      </c>
      <c r="AM74" s="343">
        <v>0.62</v>
      </c>
      <c r="AN74" s="344">
        <v>100</v>
      </c>
      <c r="AO74" s="344">
        <v>2.5</v>
      </c>
      <c r="AP74" s="345">
        <f t="shared" si="41"/>
        <v>93.162197989399687</v>
      </c>
      <c r="AQ74" s="350">
        <v>65.01084648871705</v>
      </c>
      <c r="AR74" s="344">
        <v>99.2</v>
      </c>
      <c r="AS74" s="345">
        <f t="shared" si="42"/>
        <v>82.105423244358519</v>
      </c>
      <c r="AT74" s="343">
        <v>923.05425957900195</v>
      </c>
      <c r="AU74" s="343">
        <v>0</v>
      </c>
      <c r="AV74" s="343">
        <v>3182.3695161005098</v>
      </c>
      <c r="AW74" s="351">
        <f t="shared" si="43"/>
        <v>69.31287206572722</v>
      </c>
      <c r="AX74" s="293"/>
      <c r="AY74" s="121"/>
    </row>
    <row r="75" spans="1:51" s="5" customFormat="1" ht="15.75" customHeight="1" x14ac:dyDescent="0.2">
      <c r="A75" s="294">
        <v>71</v>
      </c>
      <c r="B75" s="301" t="s">
        <v>23</v>
      </c>
      <c r="C75" s="303" t="s">
        <v>26</v>
      </c>
      <c r="D75" s="145" t="s">
        <v>299</v>
      </c>
      <c r="E75" s="172" t="s">
        <v>305</v>
      </c>
      <c r="F75" s="177" t="s">
        <v>67</v>
      </c>
      <c r="G75" s="341">
        <f t="shared" si="33"/>
        <v>70.717466170200851</v>
      </c>
      <c r="H75" s="342">
        <f t="shared" si="34"/>
        <v>56.494542017878942</v>
      </c>
      <c r="I75" s="342">
        <f t="shared" si="35"/>
        <v>84.940390322522745</v>
      </c>
      <c r="J75" s="343">
        <v>22.523099999999999</v>
      </c>
      <c r="K75" s="344">
        <v>145.78899999999999</v>
      </c>
      <c r="L75" s="344">
        <v>73.035467499441694</v>
      </c>
      <c r="M75" s="344">
        <v>87.170196529999998</v>
      </c>
      <c r="N75" s="345">
        <f t="shared" si="36"/>
        <v>63.680299340693757</v>
      </c>
      <c r="O75" s="343">
        <f t="shared" si="37"/>
        <v>0.71521722603320526</v>
      </c>
      <c r="P75" s="346">
        <v>3669</v>
      </c>
      <c r="Q75" s="346">
        <v>5129910</v>
      </c>
      <c r="R75" s="344">
        <v>1.7</v>
      </c>
      <c r="S75" s="344">
        <v>0</v>
      </c>
      <c r="T75" s="347">
        <v>7</v>
      </c>
      <c r="U75" s="345">
        <f t="shared" si="38"/>
        <v>61.186851231308147</v>
      </c>
      <c r="V75" s="343">
        <f t="shared" ref="V75:V95" si="44">(W75*1000000)/X75</f>
        <v>671.90847402780946</v>
      </c>
      <c r="W75" s="348">
        <v>3446.83</v>
      </c>
      <c r="X75" s="346">
        <v>5129910</v>
      </c>
      <c r="Y75" s="344">
        <v>17</v>
      </c>
      <c r="Z75" s="345">
        <f t="shared" si="39"/>
        <v>69.122869449705007</v>
      </c>
      <c r="AA75" s="343">
        <v>2.8833333333333333</v>
      </c>
      <c r="AB75" s="343">
        <f t="shared" ref="AB75:AB80" si="45">AC75/AD75</f>
        <v>0.38422837827564227</v>
      </c>
      <c r="AC75" s="346">
        <v>1971057</v>
      </c>
      <c r="AD75" s="346">
        <v>5129910</v>
      </c>
      <c r="AE75" s="344">
        <v>19</v>
      </c>
      <c r="AF75" s="343">
        <v>89.45</v>
      </c>
      <c r="AG75" s="344">
        <v>14.4</v>
      </c>
      <c r="AH75" s="343">
        <v>2.71</v>
      </c>
      <c r="AI75" s="343">
        <f t="shared" si="40"/>
        <v>0.89749706687524444</v>
      </c>
      <c r="AJ75" s="346">
        <v>45898</v>
      </c>
      <c r="AK75" s="346">
        <v>51140</v>
      </c>
      <c r="AL75" s="345">
        <f t="shared" si="31"/>
        <v>44.978625533750304</v>
      </c>
      <c r="AM75" s="343">
        <v>3.55</v>
      </c>
      <c r="AN75" s="344">
        <v>96.6</v>
      </c>
      <c r="AO75" s="344">
        <v>1.5</v>
      </c>
      <c r="AP75" s="345">
        <f t="shared" si="41"/>
        <v>92.613505559218197</v>
      </c>
      <c r="AQ75" s="343">
        <v>71.352707079364194</v>
      </c>
      <c r="AR75" s="344">
        <v>98.4</v>
      </c>
      <c r="AS75" s="345">
        <f t="shared" si="42"/>
        <v>84.8763535396821</v>
      </c>
      <c r="AT75" s="343">
        <v>895.61218877311501</v>
      </c>
      <c r="AU75" s="343">
        <v>1.4633157069445999</v>
      </c>
      <c r="AV75" s="343">
        <v>1676.2672558532599</v>
      </c>
      <c r="AW75" s="351">
        <f t="shared" si="43"/>
        <v>61.985081395277028</v>
      </c>
      <c r="AX75" s="293"/>
      <c r="AY75" s="121"/>
    </row>
    <row r="76" spans="1:51" s="5" customFormat="1" ht="15.75" customHeight="1" x14ac:dyDescent="0.2">
      <c r="A76" s="294">
        <v>72</v>
      </c>
      <c r="B76" s="295" t="s">
        <v>13</v>
      </c>
      <c r="C76" s="296" t="s">
        <v>14</v>
      </c>
      <c r="D76" s="143" t="s">
        <v>297</v>
      </c>
      <c r="E76" s="171" t="s">
        <v>304</v>
      </c>
      <c r="F76" s="177" t="s">
        <v>33</v>
      </c>
      <c r="G76" s="341">
        <f t="shared" si="33"/>
        <v>70.513832958380064</v>
      </c>
      <c r="H76" s="342">
        <f t="shared" si="34"/>
        <v>59.299039725295131</v>
      </c>
      <c r="I76" s="342">
        <f t="shared" si="35"/>
        <v>81.728626191464997</v>
      </c>
      <c r="J76" s="343">
        <v>20.8825</v>
      </c>
      <c r="K76" s="344">
        <v>107.687</v>
      </c>
      <c r="L76" s="344">
        <v>73.8387490590097</v>
      </c>
      <c r="M76" s="344">
        <v>90.439796450000003</v>
      </c>
      <c r="N76" s="345">
        <f t="shared" si="36"/>
        <v>62.061286377252429</v>
      </c>
      <c r="O76" s="343">
        <f t="shared" si="37"/>
        <v>0.76505013385716891</v>
      </c>
      <c r="P76" s="346">
        <v>7908</v>
      </c>
      <c r="Q76" s="346">
        <v>10336577.5</v>
      </c>
      <c r="R76" s="344">
        <v>0.3</v>
      </c>
      <c r="S76" s="344">
        <v>0</v>
      </c>
      <c r="T76" s="347">
        <v>10</v>
      </c>
      <c r="U76" s="345">
        <f t="shared" si="38"/>
        <v>62.196965719898238</v>
      </c>
      <c r="V76" s="343">
        <f t="shared" si="44"/>
        <v>1260.2817518661279</v>
      </c>
      <c r="W76" s="348">
        <v>13027</v>
      </c>
      <c r="X76" s="346">
        <v>10336577.5</v>
      </c>
      <c r="Y76" s="344">
        <v>2.9</v>
      </c>
      <c r="Z76" s="345">
        <f t="shared" si="39"/>
        <v>92.168711899861208</v>
      </c>
      <c r="AA76" s="343">
        <v>2.4500000000000002</v>
      </c>
      <c r="AB76" s="343">
        <f t="shared" si="45"/>
        <v>0.2497771627020646</v>
      </c>
      <c r="AC76" s="346">
        <v>2581841</v>
      </c>
      <c r="AD76" s="346">
        <v>10336577.5</v>
      </c>
      <c r="AE76" s="349" t="s">
        <v>931</v>
      </c>
      <c r="AF76" s="349" t="s">
        <v>931</v>
      </c>
      <c r="AG76" s="344">
        <v>7.8</v>
      </c>
      <c r="AH76" s="343">
        <v>4.78</v>
      </c>
      <c r="AI76" s="343">
        <f t="shared" si="40"/>
        <v>0.95138535995160312</v>
      </c>
      <c r="AJ76" s="346">
        <v>78632</v>
      </c>
      <c r="AK76" s="346">
        <v>82650</v>
      </c>
      <c r="AL76" s="345">
        <f>((AA76/4.5)*100*1.5+(LN(MIN(AB76,5)+1)/LN(5+1))*100+(MAX((60-AG76),0))/60*100*0.5+((AH76-1)/(7-1))*100*2+(LN(MIN(AI76,20)+1)/LN(20+1))*100)/6</f>
        <v>47.594893531045535</v>
      </c>
      <c r="AM76" s="343">
        <v>16.899999999999999</v>
      </c>
      <c r="AN76" s="344">
        <v>98.9</v>
      </c>
      <c r="AO76" s="344">
        <v>3.1</v>
      </c>
      <c r="AP76" s="345">
        <f t="shared" si="41"/>
        <v>89.355484224746192</v>
      </c>
      <c r="AQ76" s="343">
        <v>56.304665557395701</v>
      </c>
      <c r="AR76" s="344">
        <v>91.7</v>
      </c>
      <c r="AS76" s="345">
        <f t="shared" si="42"/>
        <v>74.002332778697848</v>
      </c>
      <c r="AT76" s="343">
        <v>397.78475793267597</v>
      </c>
      <c r="AU76" s="343">
        <v>0.77637952939329402</v>
      </c>
      <c r="AV76" s="343">
        <v>1896.53215182035</v>
      </c>
      <c r="AW76" s="351">
        <f t="shared" si="43"/>
        <v>66.574345504388546</v>
      </c>
      <c r="AX76" s="293"/>
      <c r="AY76" s="121"/>
    </row>
    <row r="77" spans="1:51" s="13" customFormat="1" ht="15.75" customHeight="1" x14ac:dyDescent="0.2">
      <c r="A77" s="294">
        <v>73</v>
      </c>
      <c r="B77" s="301" t="s">
        <v>23</v>
      </c>
      <c r="C77" s="302" t="s">
        <v>24</v>
      </c>
      <c r="D77" s="145" t="s">
        <v>299</v>
      </c>
      <c r="E77" s="172" t="s">
        <v>305</v>
      </c>
      <c r="F77" s="177" t="s">
        <v>25</v>
      </c>
      <c r="G77" s="341">
        <f t="shared" si="33"/>
        <v>70.170846242533116</v>
      </c>
      <c r="H77" s="342">
        <f t="shared" si="34"/>
        <v>53.784440730378066</v>
      </c>
      <c r="I77" s="342">
        <f t="shared" si="35"/>
        <v>86.557251754688181</v>
      </c>
      <c r="J77" s="343">
        <v>10.8345210833333</v>
      </c>
      <c r="K77" s="344">
        <v>200.08117916666666</v>
      </c>
      <c r="L77" s="352">
        <v>76.608096072629905</v>
      </c>
      <c r="M77" s="344">
        <v>72.730400090000003</v>
      </c>
      <c r="N77" s="345">
        <f t="shared" si="36"/>
        <v>53.03276424899078</v>
      </c>
      <c r="O77" s="343">
        <f t="shared" si="37"/>
        <v>1.588968929792101</v>
      </c>
      <c r="P77" s="346">
        <v>149</v>
      </c>
      <c r="Q77" s="346">
        <v>93771.5</v>
      </c>
      <c r="R77" s="344">
        <v>2.52</v>
      </c>
      <c r="S77" s="344">
        <v>1.8</v>
      </c>
      <c r="T77" s="347">
        <v>4.5</v>
      </c>
      <c r="U77" s="345">
        <f t="shared" si="38"/>
        <v>67.267524247772513</v>
      </c>
      <c r="V77" s="343">
        <f t="shared" si="44"/>
        <v>46.922572423390903</v>
      </c>
      <c r="W77" s="348">
        <v>4.4000000000000004</v>
      </c>
      <c r="X77" s="346">
        <v>93771.5</v>
      </c>
      <c r="Y77" s="352">
        <v>17.149999999999999</v>
      </c>
      <c r="Z77" s="345">
        <f t="shared" si="39"/>
        <v>60.875180294942233</v>
      </c>
      <c r="AA77" s="343">
        <v>2.8833333333333333</v>
      </c>
      <c r="AB77" s="343">
        <f t="shared" si="45"/>
        <v>0.32416459158699601</v>
      </c>
      <c r="AC77" s="346">
        <v>30397.399999999994</v>
      </c>
      <c r="AD77" s="346">
        <v>93771.5</v>
      </c>
      <c r="AE77" s="352">
        <v>-9</v>
      </c>
      <c r="AF77" s="343">
        <v>26.14</v>
      </c>
      <c r="AG77" s="344">
        <v>21.96</v>
      </c>
      <c r="AH77" s="350">
        <v>3.8062021337774814</v>
      </c>
      <c r="AI77" s="343">
        <f t="shared" si="40"/>
        <v>2.6470588235294117</v>
      </c>
      <c r="AJ77" s="346">
        <v>1170</v>
      </c>
      <c r="AK77" s="346">
        <v>442</v>
      </c>
      <c r="AL77" s="345">
        <f>((AA77/4.5)*100*1.5+(LN(MIN(AB77,5)+1)/LN(5+1))*100+((AE77-(-300))/(150-(-300)))*100+(LN(MIN(AF77,500))/LN(500))*100*0.5+(MAX((60-AG77),0))/60*100*0.5+((AH77-1)/(7-1))*100*2+(LN(MIN(AI77,20)+1)/LN(20+1))*100)/7.5</f>
        <v>49.392661441275706</v>
      </c>
      <c r="AM77" s="343">
        <v>2.65</v>
      </c>
      <c r="AN77" s="344">
        <v>100</v>
      </c>
      <c r="AO77" s="344">
        <v>0.3</v>
      </c>
      <c r="AP77" s="345">
        <f t="shared" si="41"/>
        <v>98.207947360771257</v>
      </c>
      <c r="AQ77" s="350">
        <v>79.748784298303562</v>
      </c>
      <c r="AR77" s="344">
        <v>100</v>
      </c>
      <c r="AS77" s="345">
        <f t="shared" si="42"/>
        <v>89.874392149151788</v>
      </c>
      <c r="AT77" s="343">
        <v>229.74291041609001</v>
      </c>
      <c r="AU77" s="343">
        <v>12.908748267492101</v>
      </c>
      <c r="AV77" s="343">
        <v>1533.9394163172201</v>
      </c>
      <c r="AW77" s="351">
        <f t="shared" si="43"/>
        <v>48.288024541975354</v>
      </c>
      <c r="AX77" s="293"/>
      <c r="AY77" s="354"/>
    </row>
    <row r="78" spans="1:51" s="5" customFormat="1" ht="15.75" customHeight="1" x14ac:dyDescent="0.2">
      <c r="A78" s="294">
        <v>74</v>
      </c>
      <c r="B78" s="301" t="s">
        <v>23</v>
      </c>
      <c r="C78" s="303" t="s">
        <v>26</v>
      </c>
      <c r="D78" s="145" t="s">
        <v>299</v>
      </c>
      <c r="E78" s="171" t="s">
        <v>304</v>
      </c>
      <c r="F78" s="177" t="s">
        <v>48</v>
      </c>
      <c r="G78" s="341">
        <f t="shared" si="33"/>
        <v>69.775922214691448</v>
      </c>
      <c r="H78" s="342">
        <f t="shared" si="34"/>
        <v>56.776784537550114</v>
      </c>
      <c r="I78" s="342">
        <f t="shared" si="35"/>
        <v>82.775059891832782</v>
      </c>
      <c r="J78" s="343">
        <v>22.4192</v>
      </c>
      <c r="K78" s="344">
        <v>101.02</v>
      </c>
      <c r="L78" s="344">
        <v>77.115911076934694</v>
      </c>
      <c r="M78" s="344">
        <v>84.463472269999997</v>
      </c>
      <c r="N78" s="345">
        <f t="shared" si="36"/>
        <v>62.44484583673367</v>
      </c>
      <c r="O78" s="343">
        <f t="shared" si="37"/>
        <v>1.1356349999213555</v>
      </c>
      <c r="P78" s="346">
        <v>240753</v>
      </c>
      <c r="Q78" s="346">
        <v>211998573.5</v>
      </c>
      <c r="R78" s="344">
        <v>1.36</v>
      </c>
      <c r="S78" s="344">
        <v>0</v>
      </c>
      <c r="T78" s="347">
        <v>5.95</v>
      </c>
      <c r="U78" s="345">
        <f t="shared" si="38"/>
        <v>66.315136903919296</v>
      </c>
      <c r="V78" s="343">
        <f t="shared" si="44"/>
        <v>320.47385450921445</v>
      </c>
      <c r="W78" s="348">
        <v>67940</v>
      </c>
      <c r="X78" s="346">
        <v>211998573.5</v>
      </c>
      <c r="Y78" s="352">
        <v>15.8</v>
      </c>
      <c r="Z78" s="345">
        <f t="shared" si="39"/>
        <v>68.691385831420618</v>
      </c>
      <c r="AA78" s="343">
        <v>3.1666666666666665</v>
      </c>
      <c r="AB78" s="343">
        <f t="shared" si="45"/>
        <v>0.44999588169398697</v>
      </c>
      <c r="AC78" s="346">
        <v>95398485</v>
      </c>
      <c r="AD78" s="346">
        <v>211998573.5</v>
      </c>
      <c r="AE78" s="344">
        <v>31.666666666666668</v>
      </c>
      <c r="AF78" s="343">
        <v>137.62</v>
      </c>
      <c r="AG78" s="344">
        <v>23.715</v>
      </c>
      <c r="AH78" s="343">
        <v>3.03</v>
      </c>
      <c r="AI78" s="343">
        <f t="shared" si="40"/>
        <v>0.18481362911866617</v>
      </c>
      <c r="AJ78" s="346">
        <v>1563600</v>
      </c>
      <c r="AK78" s="346">
        <v>8460415</v>
      </c>
      <c r="AL78" s="345">
        <f>((AA78/4.5)*100*1.5+(LN(MIN(AB78,5)+1)/LN(5+1))*100+((AE78-(-300))/(150-(-300)))*100+(LN(MIN(AF78,500))/LN(500))*100*0.5+(MAX((60-AG78),0))/60*100*0.5+((AH78-1)/(7-1))*100*2+(LN(MIN(AI78,20)+1)/LN(20+1))*100)/7.5</f>
        <v>45.745484823306633</v>
      </c>
      <c r="AM78" s="343">
        <v>14.9</v>
      </c>
      <c r="AN78" s="344">
        <v>96.5</v>
      </c>
      <c r="AO78" s="344">
        <v>2.2000000000000002</v>
      </c>
      <c r="AP78" s="345">
        <f t="shared" si="41"/>
        <v>89.604981354776825</v>
      </c>
      <c r="AQ78" s="343">
        <v>86.381178231154095</v>
      </c>
      <c r="AR78" s="344">
        <v>97</v>
      </c>
      <c r="AS78" s="345">
        <f t="shared" si="42"/>
        <v>91.690589115577041</v>
      </c>
      <c r="AT78" s="343">
        <v>965.08866906610501</v>
      </c>
      <c r="AU78" s="343">
        <v>5.1770693176462101</v>
      </c>
      <c r="AV78" s="343">
        <v>1370.35143313821</v>
      </c>
      <c r="AW78" s="351">
        <f t="shared" si="43"/>
        <v>53.369766279256446</v>
      </c>
      <c r="AX78" s="293"/>
      <c r="AY78" s="121"/>
    </row>
    <row r="79" spans="1:51" s="13" customFormat="1" ht="15.75" customHeight="1" x14ac:dyDescent="0.2">
      <c r="A79" s="294">
        <v>75</v>
      </c>
      <c r="B79" s="307" t="s">
        <v>10</v>
      </c>
      <c r="C79" s="315" t="s">
        <v>115</v>
      </c>
      <c r="D79" s="141" t="s">
        <v>295</v>
      </c>
      <c r="E79" s="171" t="s">
        <v>304</v>
      </c>
      <c r="F79" s="177" t="s">
        <v>116</v>
      </c>
      <c r="G79" s="341">
        <f t="shared" si="33"/>
        <v>69.385183849769248</v>
      </c>
      <c r="H79" s="342">
        <f t="shared" si="34"/>
        <v>53.257211601946054</v>
      </c>
      <c r="I79" s="342">
        <f t="shared" si="35"/>
        <v>85.513156097592457</v>
      </c>
      <c r="J79" s="343">
        <v>14.345700000000001</v>
      </c>
      <c r="K79" s="344">
        <v>127.11499999999999</v>
      </c>
      <c r="L79" s="344">
        <v>76.882606262625899</v>
      </c>
      <c r="M79" s="344">
        <v>93.391672540000002</v>
      </c>
      <c r="N79" s="345">
        <f t="shared" si="36"/>
        <v>58.760486367323132</v>
      </c>
      <c r="O79" s="343">
        <f t="shared" si="37"/>
        <v>1.3291200986996718</v>
      </c>
      <c r="P79" s="346">
        <v>27370</v>
      </c>
      <c r="Q79" s="346">
        <v>20592571</v>
      </c>
      <c r="R79" s="344">
        <v>0.5</v>
      </c>
      <c r="S79" s="344">
        <v>0</v>
      </c>
      <c r="T79" s="347">
        <v>14</v>
      </c>
      <c r="U79" s="345">
        <f t="shared" si="38"/>
        <v>66.90723915273459</v>
      </c>
      <c r="V79" s="343">
        <f t="shared" si="44"/>
        <v>1212.378969095214</v>
      </c>
      <c r="W79" s="348">
        <v>24966</v>
      </c>
      <c r="X79" s="346">
        <v>20592571</v>
      </c>
      <c r="Y79" s="344">
        <v>4.3</v>
      </c>
      <c r="Z79" s="345">
        <f t="shared" si="39"/>
        <v>89.951908918521696</v>
      </c>
      <c r="AA79" s="343">
        <v>2.6833333333333331</v>
      </c>
      <c r="AB79" s="343">
        <f t="shared" si="45"/>
        <v>0.5771130296940582</v>
      </c>
      <c r="AC79" s="346">
        <v>11884241.039000001</v>
      </c>
      <c r="AD79" s="346">
        <v>20592571</v>
      </c>
      <c r="AE79" s="349" t="s">
        <v>931</v>
      </c>
      <c r="AF79" s="349" t="s">
        <v>931</v>
      </c>
      <c r="AG79" s="344">
        <v>35.200000000000003</v>
      </c>
      <c r="AH79" s="343">
        <v>3.23</v>
      </c>
      <c r="AI79" s="343">
        <f t="shared" si="40"/>
        <v>3.5152794754972773E-2</v>
      </c>
      <c r="AJ79" s="346">
        <v>94902</v>
      </c>
      <c r="AK79" s="346">
        <v>2699700</v>
      </c>
      <c r="AL79" s="345">
        <f>((AA79/4.5)*100*1.5+(LN(MIN(AB79,5)+1)/LN(5+1))*100+(MAX((60-AG79),0))/60*100*0.5+((AH79-1)/(7-1))*100*2+(LN(MIN(AI79,20)+1)/LN(20+1))*100)/6</f>
        <v>35.167755619727942</v>
      </c>
      <c r="AM79" s="343">
        <v>0.79</v>
      </c>
      <c r="AN79" s="344">
        <v>94.2</v>
      </c>
      <c r="AO79" s="344">
        <v>0.9</v>
      </c>
      <c r="AP79" s="345">
        <f t="shared" si="41"/>
        <v>93.114884655889554</v>
      </c>
      <c r="AQ79" s="343">
        <v>87.048644746441497</v>
      </c>
      <c r="AR79" s="344">
        <v>72.400000000000006</v>
      </c>
      <c r="AS79" s="345">
        <f t="shared" si="42"/>
        <v>79.724322373220758</v>
      </c>
      <c r="AT79" s="343">
        <v>730.27623635153805</v>
      </c>
      <c r="AU79" s="343">
        <v>0.29013752484791799</v>
      </c>
      <c r="AV79" s="343">
        <v>1807.2239568630901</v>
      </c>
      <c r="AW79" s="351">
        <f t="shared" si="43"/>
        <v>68.496804147072837</v>
      </c>
      <c r="AX79" s="293"/>
      <c r="AY79" s="354"/>
    </row>
    <row r="80" spans="1:51" s="13" customFormat="1" ht="15.75" customHeight="1" x14ac:dyDescent="0.2">
      <c r="A80" s="294">
        <v>76</v>
      </c>
      <c r="B80" s="307" t="s">
        <v>10</v>
      </c>
      <c r="C80" s="309" t="s">
        <v>11</v>
      </c>
      <c r="D80" s="141" t="s">
        <v>295</v>
      </c>
      <c r="E80" s="171" t="s">
        <v>304</v>
      </c>
      <c r="F80" s="177" t="s">
        <v>138</v>
      </c>
      <c r="G80" s="341">
        <f t="shared" si="33"/>
        <v>69.154972248593296</v>
      </c>
      <c r="H80" s="342">
        <f t="shared" si="34"/>
        <v>56.608407923803831</v>
      </c>
      <c r="I80" s="342">
        <f t="shared" si="35"/>
        <v>81.701536573382768</v>
      </c>
      <c r="J80" s="343">
        <v>18.727799999999998</v>
      </c>
      <c r="K80" s="344">
        <v>141.601</v>
      </c>
      <c r="L80" s="344">
        <v>64.166703760835603</v>
      </c>
      <c r="M80" s="344">
        <v>85.239997860000003</v>
      </c>
      <c r="N80" s="345">
        <f t="shared" si="36"/>
        <v>57.678208738542232</v>
      </c>
      <c r="O80" s="343">
        <f t="shared" si="37"/>
        <v>0.89049050869743973</v>
      </c>
      <c r="P80" s="346">
        <v>470</v>
      </c>
      <c r="Q80" s="346">
        <v>527799</v>
      </c>
      <c r="R80" s="344">
        <v>0.6</v>
      </c>
      <c r="S80" s="344">
        <v>0</v>
      </c>
      <c r="T80" s="347">
        <v>14</v>
      </c>
      <c r="U80" s="345">
        <f t="shared" si="38"/>
        <v>62.112398307472567</v>
      </c>
      <c r="V80" s="343">
        <f t="shared" si="44"/>
        <v>8.9049050869743969</v>
      </c>
      <c r="W80" s="348">
        <v>4.7</v>
      </c>
      <c r="X80" s="346">
        <v>527799</v>
      </c>
      <c r="Y80" s="344">
        <v>2.9</v>
      </c>
      <c r="Z80" s="345">
        <f t="shared" si="39"/>
        <v>77.240876451099012</v>
      </c>
      <c r="AA80" s="343">
        <v>2.67</v>
      </c>
      <c r="AB80" s="343">
        <f t="shared" si="45"/>
        <v>2.6794176286806151</v>
      </c>
      <c r="AC80" s="346">
        <v>1414193.9450000001</v>
      </c>
      <c r="AD80" s="346">
        <v>527799</v>
      </c>
      <c r="AE80" s="352">
        <v>0</v>
      </c>
      <c r="AF80" s="343">
        <v>16.309999999999999</v>
      </c>
      <c r="AG80" s="344">
        <v>26.9</v>
      </c>
      <c r="AH80" s="350">
        <v>3.4148973200507999</v>
      </c>
      <c r="AI80" s="343">
        <f t="shared" si="40"/>
        <v>0.3</v>
      </c>
      <c r="AJ80" s="346">
        <v>90</v>
      </c>
      <c r="AK80" s="346">
        <v>300</v>
      </c>
      <c r="AL80" s="345">
        <f>((AA80/4.5)*100*1.5+(LN(MIN(AB80,5)+1)/LN(5+1))*100+((AE80-(-300))/(150-(-300)))*100+(LN(MIN(AF80,500))/LN(500))*100*0.5+(MAX((60-AG80),0))/60*100*0.5+((AH80-1)/(7-1))*100*2+(LN(MIN(AI80,20)+1)/LN(20+1))*100)/7.5</f>
        <v>49.004492381324468</v>
      </c>
      <c r="AM80" s="343">
        <v>34.85</v>
      </c>
      <c r="AN80" s="344">
        <v>99.8</v>
      </c>
      <c r="AO80" s="344">
        <v>1.1000000000000001</v>
      </c>
      <c r="AP80" s="345">
        <f t="shared" si="41"/>
        <v>90.90997312677392</v>
      </c>
      <c r="AQ80" s="350">
        <v>72.036848451332204</v>
      </c>
      <c r="AR80" s="344">
        <v>94.1</v>
      </c>
      <c r="AS80" s="345">
        <f t="shared" si="42"/>
        <v>83.068424225666092</v>
      </c>
      <c r="AT80" s="343">
        <v>175.66736860998901</v>
      </c>
      <c r="AU80" s="343">
        <v>8.7928261759538096</v>
      </c>
      <c r="AV80" s="343">
        <v>1212.6045067641901</v>
      </c>
      <c r="AW80" s="351">
        <f t="shared" si="43"/>
        <v>52.709339260925958</v>
      </c>
      <c r="AX80" s="293"/>
      <c r="AY80" s="354"/>
    </row>
    <row r="81" spans="1:51" s="13" customFormat="1" ht="15.75" customHeight="1" x14ac:dyDescent="0.2">
      <c r="A81" s="294">
        <v>77</v>
      </c>
      <c r="B81" s="301" t="s">
        <v>23</v>
      </c>
      <c r="C81" s="302" t="s">
        <v>24</v>
      </c>
      <c r="D81" s="145" t="s">
        <v>299</v>
      </c>
      <c r="E81" s="171" t="s">
        <v>304</v>
      </c>
      <c r="F81" s="177" t="s">
        <v>196</v>
      </c>
      <c r="G81" s="341">
        <f t="shared" si="33"/>
        <v>68.802177197533368</v>
      </c>
      <c r="H81" s="342">
        <f t="shared" si="34"/>
        <v>57.350625924580548</v>
      </c>
      <c r="I81" s="342">
        <f t="shared" si="35"/>
        <v>80.25372847048618</v>
      </c>
      <c r="J81" s="343">
        <v>30.493600000000001</v>
      </c>
      <c r="K81" s="344">
        <v>101.631</v>
      </c>
      <c r="L81" s="344">
        <v>61.969081402369</v>
      </c>
      <c r="M81" s="344">
        <v>76.190101619999993</v>
      </c>
      <c r="N81" s="345">
        <f t="shared" si="36"/>
        <v>63.338829088925586</v>
      </c>
      <c r="O81" s="343">
        <f t="shared" si="37"/>
        <v>0.60626540510455595</v>
      </c>
      <c r="P81" s="346">
        <v>61</v>
      </c>
      <c r="Q81" s="346">
        <v>100616</v>
      </c>
      <c r="R81" s="344">
        <v>1.53</v>
      </c>
      <c r="S81" s="344">
        <v>0.9</v>
      </c>
      <c r="T81" s="347">
        <v>6.3</v>
      </c>
      <c r="U81" s="345">
        <f t="shared" si="38"/>
        <v>58.774272197548818</v>
      </c>
      <c r="V81" s="343">
        <f t="shared" si="44"/>
        <v>78.516339349606426</v>
      </c>
      <c r="W81" s="348">
        <v>7.9</v>
      </c>
      <c r="X81" s="346">
        <v>100616</v>
      </c>
      <c r="Y81" s="352">
        <v>15.8</v>
      </c>
      <c r="Z81" s="345">
        <f t="shared" si="39"/>
        <v>64.45191895709641</v>
      </c>
      <c r="AA81" s="350">
        <v>2.6666666666666665</v>
      </c>
      <c r="AB81" s="350">
        <v>0.44999588169398697</v>
      </c>
      <c r="AC81" s="346"/>
      <c r="AD81" s="346">
        <v>100616</v>
      </c>
      <c r="AE81" s="352">
        <v>5.333333333333333</v>
      </c>
      <c r="AF81" s="343">
        <v>21.85</v>
      </c>
      <c r="AG81" s="344">
        <v>10.8</v>
      </c>
      <c r="AH81" s="350">
        <v>3.6535607171507976</v>
      </c>
      <c r="AI81" s="343">
        <f t="shared" si="40"/>
        <v>2.1311053984575836</v>
      </c>
      <c r="AJ81" s="346">
        <v>829</v>
      </c>
      <c r="AK81" s="346">
        <v>389</v>
      </c>
      <c r="AL81" s="345">
        <f>((AA81/4.5)*100*1.5+(LN(MIN(AB81,5)+1)/LN(5+1))*100+((AE81-(-300))/(150-(-300)))*100+(LN(MIN(AF81,500))/LN(500))*100*0.5+(MAX((60-AG81),0))/60*100*0.5+((AH81-1)/(7-1))*100*2+(LN(MIN(AI81,20)+1)/LN(20+1))*100)/7.5</f>
        <v>49.231187933864476</v>
      </c>
      <c r="AM81" s="343">
        <v>2.76</v>
      </c>
      <c r="AN81" s="344">
        <v>89.5</v>
      </c>
      <c r="AO81" s="344">
        <v>2.4</v>
      </c>
      <c r="AP81" s="345">
        <f t="shared" si="41"/>
        <v>87.012653366488919</v>
      </c>
      <c r="AQ81" s="350">
        <v>70.513854469369122</v>
      </c>
      <c r="AR81" s="344">
        <v>95.2</v>
      </c>
      <c r="AS81" s="345">
        <f t="shared" si="42"/>
        <v>82.856927234684562</v>
      </c>
      <c r="AT81" s="343">
        <v>279.14707943946701</v>
      </c>
      <c r="AU81" s="343">
        <v>4.2189632536159198</v>
      </c>
      <c r="AV81" s="343">
        <v>1510.9163420346099</v>
      </c>
      <c r="AW81" s="351">
        <f t="shared" si="43"/>
        <v>57.373755018279589</v>
      </c>
      <c r="AX81" s="293"/>
      <c r="AY81" s="354"/>
    </row>
    <row r="82" spans="1:51" s="13" customFormat="1" ht="15.75" customHeight="1" x14ac:dyDescent="0.2">
      <c r="A82" s="294">
        <v>78</v>
      </c>
      <c r="B82" s="297" t="s">
        <v>16</v>
      </c>
      <c r="C82" s="298" t="s">
        <v>17</v>
      </c>
      <c r="D82" s="143" t="s">
        <v>297</v>
      </c>
      <c r="E82" s="173" t="s">
        <v>306</v>
      </c>
      <c r="F82" s="177" t="s">
        <v>78</v>
      </c>
      <c r="G82" s="341">
        <f t="shared" si="33"/>
        <v>68.710595926710283</v>
      </c>
      <c r="H82" s="342">
        <f t="shared" si="34"/>
        <v>52.277825408449537</v>
      </c>
      <c r="I82" s="342">
        <f t="shared" si="35"/>
        <v>85.143366444971036</v>
      </c>
      <c r="J82" s="343">
        <v>10.8645</v>
      </c>
      <c r="K82" s="344">
        <v>92.8262</v>
      </c>
      <c r="L82" s="344">
        <v>65.853310815227303</v>
      </c>
      <c r="M82" s="344">
        <v>74.648399350000005</v>
      </c>
      <c r="N82" s="345">
        <f t="shared" si="36"/>
        <v>47.273384207973493</v>
      </c>
      <c r="O82" s="343">
        <f t="shared" si="37"/>
        <v>0.52950851783587038</v>
      </c>
      <c r="P82" s="346">
        <v>61708</v>
      </c>
      <c r="Q82" s="346">
        <v>116538257.5</v>
      </c>
      <c r="R82" s="352">
        <v>0.4</v>
      </c>
      <c r="S82" s="352">
        <v>0</v>
      </c>
      <c r="T82" s="353">
        <v>45</v>
      </c>
      <c r="U82" s="345">
        <f t="shared" si="38"/>
        <v>49.578067453003378</v>
      </c>
      <c r="V82" s="343">
        <f t="shared" si="44"/>
        <v>665.01766597977496</v>
      </c>
      <c r="W82" s="348">
        <v>77500</v>
      </c>
      <c r="X82" s="346">
        <v>116538257.5</v>
      </c>
      <c r="Y82" s="352">
        <v>11</v>
      </c>
      <c r="Z82" s="345">
        <f t="shared" si="39"/>
        <v>78.091797396109399</v>
      </c>
      <c r="AA82" s="343">
        <v>3.0666666666666669</v>
      </c>
      <c r="AB82" s="343">
        <f>AC82/AD82</f>
        <v>0.14306127154852988</v>
      </c>
      <c r="AC82" s="346">
        <v>16672111.301999999</v>
      </c>
      <c r="AD82" s="346">
        <v>116538257.5</v>
      </c>
      <c r="AE82" s="344">
        <v>48</v>
      </c>
      <c r="AF82" s="343">
        <v>235.94</v>
      </c>
      <c r="AG82" s="352">
        <v>20.5</v>
      </c>
      <c r="AH82" s="343">
        <v>4.5199999999999996</v>
      </c>
      <c r="AI82" s="343">
        <f t="shared" si="40"/>
        <v>0.16627756291124618</v>
      </c>
      <c r="AJ82" s="346">
        <v>165521</v>
      </c>
      <c r="AK82" s="346">
        <v>995450</v>
      </c>
      <c r="AL82" s="345">
        <f>((AA82/4.5)*100*1.5+(LN(MIN(AB82,5)+1)/LN(5+1))*100+((AE82-(-300))/(150-(-300)))*100+(LN(MIN(AF82,500))/LN(500))*100*0.5+(MAX((60-AG82),0))/60*100*0.5+((AH82-1)/(7-1))*100*2+(LN(MIN(AI82,20)+1)/LN(20+1))*100)/7.5</f>
        <v>51.503713100872147</v>
      </c>
      <c r="AM82" s="343">
        <v>3.84</v>
      </c>
      <c r="AN82" s="344">
        <v>99.9</v>
      </c>
      <c r="AO82" s="344">
        <v>0.8</v>
      </c>
      <c r="AP82" s="345">
        <f t="shared" si="41"/>
        <v>96.227599091012635</v>
      </c>
      <c r="AQ82" s="343">
        <v>43.113436803424698</v>
      </c>
      <c r="AR82" s="344">
        <v>96.2</v>
      </c>
      <c r="AS82" s="345">
        <f t="shared" si="42"/>
        <v>69.656718401712354</v>
      </c>
      <c r="AT82" s="343">
        <v>932.68429335121198</v>
      </c>
      <c r="AU82" s="343">
        <v>0.54856733869998597</v>
      </c>
      <c r="AV82" s="343">
        <v>1028.1882894887101</v>
      </c>
      <c r="AW82" s="351">
        <f t="shared" si="43"/>
        <v>67.377316550104936</v>
      </c>
      <c r="AX82" s="293"/>
      <c r="AY82" s="354"/>
    </row>
    <row r="83" spans="1:51" s="13" customFormat="1" ht="15.75" customHeight="1" x14ac:dyDescent="0.2">
      <c r="A83" s="294">
        <v>79</v>
      </c>
      <c r="B83" s="295" t="s">
        <v>13</v>
      </c>
      <c r="C83" s="296" t="s">
        <v>14</v>
      </c>
      <c r="D83" s="142" t="s">
        <v>296</v>
      </c>
      <c r="E83" s="171" t="s">
        <v>304</v>
      </c>
      <c r="F83" s="177" t="s">
        <v>160</v>
      </c>
      <c r="G83" s="341">
        <f t="shared" si="33"/>
        <v>68.677552147577273</v>
      </c>
      <c r="H83" s="342">
        <f t="shared" si="34"/>
        <v>58.27226297958412</v>
      </c>
      <c r="I83" s="342">
        <f t="shared" si="35"/>
        <v>79.08284131557042</v>
      </c>
      <c r="J83" s="343">
        <v>29.177199999999999</v>
      </c>
      <c r="K83" s="344">
        <v>104.837</v>
      </c>
      <c r="L83" s="344">
        <v>75.972615517177303</v>
      </c>
      <c r="M83" s="344">
        <v>93.6</v>
      </c>
      <c r="N83" s="345">
        <f t="shared" si="36"/>
        <v>70.202053879294326</v>
      </c>
      <c r="O83" s="343">
        <f t="shared" si="37"/>
        <v>1.3823299830116034</v>
      </c>
      <c r="P83" s="346">
        <v>2520</v>
      </c>
      <c r="Q83" s="346">
        <v>1823009</v>
      </c>
      <c r="R83" s="352">
        <v>0.45</v>
      </c>
      <c r="S83" s="352">
        <v>0</v>
      </c>
      <c r="T83" s="353">
        <v>90</v>
      </c>
      <c r="U83" s="345">
        <f t="shared" si="38"/>
        <v>45.810678389410036</v>
      </c>
      <c r="V83" s="343">
        <f t="shared" si="44"/>
        <v>1191.1625230594034</v>
      </c>
      <c r="W83" s="348">
        <v>2171.5</v>
      </c>
      <c r="X83" s="346">
        <v>1823009</v>
      </c>
      <c r="Y83" s="352">
        <v>4.8</v>
      </c>
      <c r="Z83" s="345">
        <f t="shared" si="39"/>
        <v>89.148693722329369</v>
      </c>
      <c r="AA83" s="343">
        <v>3.1333333333333329</v>
      </c>
      <c r="AB83" s="350">
        <v>0.14602345049452914</v>
      </c>
      <c r="AC83" s="346"/>
      <c r="AD83" s="346">
        <v>1823009</v>
      </c>
      <c r="AE83" s="349" t="s">
        <v>931</v>
      </c>
      <c r="AF83" s="349" t="s">
        <v>931</v>
      </c>
      <c r="AG83" s="352">
        <v>6.2424999999999997</v>
      </c>
      <c r="AH83" s="343">
        <v>3.35</v>
      </c>
      <c r="AI83" s="343">
        <f t="shared" si="40"/>
        <v>0.59088025376685172</v>
      </c>
      <c r="AJ83" s="346">
        <v>14902</v>
      </c>
      <c r="AK83" s="346">
        <v>25220</v>
      </c>
      <c r="AL83" s="345">
        <f>((AA83/4.5)*100*1.5+(LN(MIN(AB83,5)+1)/LN(5+1))*100+(MAX((60-AG83),0))/60*100*0.5+((AH83-1)/(7-1))*100*2+(LN(MIN(AI83,20)+1)/LN(20+1))*100)/6</f>
        <v>41.738760541731132</v>
      </c>
      <c r="AM83" s="343">
        <v>0.28000000000000003</v>
      </c>
      <c r="AN83" s="344">
        <v>81.3</v>
      </c>
      <c r="AO83" s="344">
        <v>7</v>
      </c>
      <c r="AP83" s="345">
        <f t="shared" si="41"/>
        <v>78.071344056852169</v>
      </c>
      <c r="AQ83" s="343">
        <v>84.254864890534705</v>
      </c>
      <c r="AR83" s="344">
        <v>99.4</v>
      </c>
      <c r="AS83" s="345">
        <f t="shared" si="42"/>
        <v>91.827432445267362</v>
      </c>
      <c r="AT83" s="343">
        <v>293.17458652123997</v>
      </c>
      <c r="AU83" s="343">
        <v>0.50568281446887098</v>
      </c>
      <c r="AV83" s="343">
        <v>1434.6261152044999</v>
      </c>
      <c r="AW83" s="351">
        <f t="shared" si="43"/>
        <v>69.372741962028257</v>
      </c>
      <c r="AX83" s="293"/>
      <c r="AY83" s="354"/>
    </row>
    <row r="84" spans="1:51" s="13" customFormat="1" ht="15.75" customHeight="1" x14ac:dyDescent="0.2">
      <c r="A84" s="294">
        <v>80</v>
      </c>
      <c r="B84" s="307" t="s">
        <v>10</v>
      </c>
      <c r="C84" s="311" t="s">
        <v>887</v>
      </c>
      <c r="D84" s="147" t="s">
        <v>301</v>
      </c>
      <c r="E84" s="173" t="s">
        <v>306</v>
      </c>
      <c r="F84" s="177" t="s">
        <v>222</v>
      </c>
      <c r="G84" s="341">
        <f t="shared" si="33"/>
        <v>68.058531874406185</v>
      </c>
      <c r="H84" s="342">
        <f t="shared" si="34"/>
        <v>63.623783926332251</v>
      </c>
      <c r="I84" s="342">
        <f t="shared" si="35"/>
        <v>72.493279822480133</v>
      </c>
      <c r="J84" s="343">
        <v>22.680700000000002</v>
      </c>
      <c r="K84" s="344">
        <v>130.99100000000001</v>
      </c>
      <c r="L84" s="344">
        <v>79.454976052333905</v>
      </c>
      <c r="M84" s="344">
        <v>84.15</v>
      </c>
      <c r="N84" s="345">
        <f t="shared" si="36"/>
        <v>64.168194013083493</v>
      </c>
      <c r="O84" s="343">
        <f t="shared" si="37"/>
        <v>0.86316463938403021</v>
      </c>
      <c r="P84" s="346">
        <v>87169</v>
      </c>
      <c r="Q84" s="346">
        <v>100987686.5</v>
      </c>
      <c r="R84" s="344">
        <v>0.7</v>
      </c>
      <c r="S84" s="344">
        <v>0</v>
      </c>
      <c r="T84" s="347">
        <v>5</v>
      </c>
      <c r="U84" s="345">
        <f t="shared" si="38"/>
        <v>64.295811612447935</v>
      </c>
      <c r="V84" s="343">
        <f t="shared" si="44"/>
        <v>810.6136781339178</v>
      </c>
      <c r="W84" s="348">
        <v>81862</v>
      </c>
      <c r="X84" s="346">
        <v>100987686.5</v>
      </c>
      <c r="Y84" s="344">
        <v>1.5</v>
      </c>
      <c r="Z84" s="345">
        <f t="shared" si="39"/>
        <v>92.93854443477629</v>
      </c>
      <c r="AA84" s="343">
        <v>3.25</v>
      </c>
      <c r="AB84" s="343">
        <f>AC84/AD84</f>
        <v>0.54575794247945264</v>
      </c>
      <c r="AC84" s="346">
        <v>55114832</v>
      </c>
      <c r="AD84" s="346">
        <v>100987686.5</v>
      </c>
      <c r="AE84" s="344">
        <v>79.666666666666671</v>
      </c>
      <c r="AF84" s="343">
        <v>405.74</v>
      </c>
      <c r="AG84" s="344">
        <v>8.4</v>
      </c>
      <c r="AH84" s="343">
        <v>3.16</v>
      </c>
      <c r="AI84" s="343">
        <f t="shared" si="40"/>
        <v>2.041907417628873</v>
      </c>
      <c r="AJ84" s="346">
        <v>639993</v>
      </c>
      <c r="AK84" s="346">
        <v>313429</v>
      </c>
      <c r="AL84" s="345">
        <f>((AA84/4.5)*100*1.5+(LN(MIN(AB84,5)+1)/LN(5+1))*100+((AE84-(-300))/(150-(-300)))*100+(LN(MIN(AF84,500))/LN(500))*100*0.5+(MAX((60-AG84),0))/60*100*0.5+((AH84-1)/(7-1))*100*2+(LN(MIN(AI84,20)+1)/LN(20+1))*100)/7.5</f>
        <v>55.582676790941072</v>
      </c>
      <c r="AM84" s="343">
        <v>32.5</v>
      </c>
      <c r="AN84" s="344">
        <v>98.7</v>
      </c>
      <c r="AO84" s="344">
        <v>33.9</v>
      </c>
      <c r="AP84" s="345">
        <f t="shared" si="41"/>
        <v>75.475347740452463</v>
      </c>
      <c r="AQ84" s="343">
        <v>70.550753356758307</v>
      </c>
      <c r="AR84" s="344">
        <v>97.6</v>
      </c>
      <c r="AS84" s="345">
        <f t="shared" si="42"/>
        <v>84.075376678379143</v>
      </c>
      <c r="AT84" s="343">
        <v>1178.591743</v>
      </c>
      <c r="AU84" s="343">
        <v>5.1982939313500198</v>
      </c>
      <c r="AV84" s="343">
        <v>2189.0625045596398</v>
      </c>
      <c r="AW84" s="351">
        <f t="shared" si="43"/>
        <v>51.964979212664154</v>
      </c>
      <c r="AX84" s="293"/>
      <c r="AY84" s="354"/>
    </row>
    <row r="85" spans="1:51" s="13" customFormat="1" ht="15.75" customHeight="1" x14ac:dyDescent="0.2">
      <c r="A85" s="294">
        <v>81</v>
      </c>
      <c r="B85" s="301" t="s">
        <v>23</v>
      </c>
      <c r="C85" s="302" t="s">
        <v>24</v>
      </c>
      <c r="D85" s="145" t="s">
        <v>299</v>
      </c>
      <c r="E85" s="151" t="s">
        <v>304</v>
      </c>
      <c r="F85" s="177" t="s">
        <v>95</v>
      </c>
      <c r="G85" s="341">
        <f t="shared" si="33"/>
        <v>67.98318315975915</v>
      </c>
      <c r="H85" s="342">
        <f t="shared" si="34"/>
        <v>58.531502548568007</v>
      </c>
      <c r="I85" s="342">
        <f t="shared" si="35"/>
        <v>77.434863770950287</v>
      </c>
      <c r="J85" s="343">
        <v>31.781256249999998</v>
      </c>
      <c r="K85" s="344">
        <v>95.218931666666677</v>
      </c>
      <c r="L85" s="352">
        <v>69.84902294424063</v>
      </c>
      <c r="M85" s="344">
        <v>70.161598209999994</v>
      </c>
      <c r="N85" s="345">
        <f t="shared" si="36"/>
        <v>64.660999885782388</v>
      </c>
      <c r="O85" s="343">
        <f t="shared" si="37"/>
        <v>0.59723140584006995</v>
      </c>
      <c r="P85" s="346">
        <v>70</v>
      </c>
      <c r="Q85" s="346">
        <v>117207.5</v>
      </c>
      <c r="R85" s="344">
        <v>0.63</v>
      </c>
      <c r="S85" s="344">
        <v>0</v>
      </c>
      <c r="T85" s="347">
        <v>6.3</v>
      </c>
      <c r="U85" s="345">
        <f t="shared" si="38"/>
        <v>61.141765062572176</v>
      </c>
      <c r="V85" s="343">
        <f t="shared" si="44"/>
        <v>120.29946889064266</v>
      </c>
      <c r="W85" s="348">
        <v>14.1</v>
      </c>
      <c r="X85" s="346">
        <v>117207.5</v>
      </c>
      <c r="Y85" s="352">
        <v>15.8</v>
      </c>
      <c r="Z85" s="345">
        <f t="shared" si="39"/>
        <v>65.738014046048804</v>
      </c>
      <c r="AA85" s="343">
        <v>2.5499999999999998</v>
      </c>
      <c r="AB85" s="350">
        <v>0.44999588169398697</v>
      </c>
      <c r="AC85" s="346"/>
      <c r="AD85" s="346">
        <v>117207.5</v>
      </c>
      <c r="AE85" s="352">
        <v>5.333333333333333</v>
      </c>
      <c r="AF85" s="343">
        <v>24.82</v>
      </c>
      <c r="AG85" s="344">
        <v>13.32</v>
      </c>
      <c r="AH85" s="350">
        <v>3.6477517702914701</v>
      </c>
      <c r="AI85" s="343">
        <f t="shared" si="40"/>
        <v>3.3147058823529414</v>
      </c>
      <c r="AJ85" s="346">
        <v>1127</v>
      </c>
      <c r="AK85" s="346">
        <v>340</v>
      </c>
      <c r="AL85" s="345">
        <f>((AA85/4.5)*100*1.5+(LN(MIN(AB85,5)+1)/LN(5+1))*100+((AE85-(-300))/(150-(-300)))*100+(LN(MIN(AF85,500))/LN(500))*100*0.5+(MAX((60-AG85),0))/60*100*0.5+((AH85-1)/(7-1))*100*2+(LN(MIN(AI85,20)+1)/LN(20+1))*100)/7.5</f>
        <v>49.947811708482369</v>
      </c>
      <c r="AM85" s="350">
        <v>15</v>
      </c>
      <c r="AN85" s="344">
        <v>84.2</v>
      </c>
      <c r="AO85" s="344">
        <v>3.2</v>
      </c>
      <c r="AP85" s="345">
        <f t="shared" si="41"/>
        <v>81.097087812391308</v>
      </c>
      <c r="AQ85" s="350">
        <v>68.764329802793469</v>
      </c>
      <c r="AR85" s="344">
        <v>100</v>
      </c>
      <c r="AS85" s="345">
        <f t="shared" si="42"/>
        <v>84.382164901396735</v>
      </c>
      <c r="AT85" s="343">
        <v>324.27324922072103</v>
      </c>
      <c r="AU85" s="343">
        <v>2.9157204914952399</v>
      </c>
      <c r="AV85" s="343">
        <v>1779.8079502298699</v>
      </c>
      <c r="AW85" s="351">
        <f t="shared" si="43"/>
        <v>59.500890516180817</v>
      </c>
      <c r="AX85" s="293"/>
      <c r="AY85" s="354"/>
    </row>
    <row r="86" spans="1:51" s="5" customFormat="1" ht="15.75" customHeight="1" x14ac:dyDescent="0.2">
      <c r="A86" s="294">
        <v>82</v>
      </c>
      <c r="B86" s="295" t="s">
        <v>13</v>
      </c>
      <c r="C86" s="296" t="s">
        <v>14</v>
      </c>
      <c r="D86" s="142" t="s">
        <v>296</v>
      </c>
      <c r="E86" s="151" t="s">
        <v>304</v>
      </c>
      <c r="F86" s="177" t="s">
        <v>214</v>
      </c>
      <c r="G86" s="341">
        <f t="shared" si="33"/>
        <v>67.749342958856289</v>
      </c>
      <c r="H86" s="342">
        <f t="shared" si="34"/>
        <v>51.157808746567</v>
      </c>
      <c r="I86" s="342">
        <f t="shared" si="35"/>
        <v>84.340877171145578</v>
      </c>
      <c r="J86" s="343">
        <v>19.675000000000001</v>
      </c>
      <c r="K86" s="344">
        <v>122.758</v>
      </c>
      <c r="L86" s="344">
        <v>71.264182876751306</v>
      </c>
      <c r="M86" s="344">
        <v>82.474899289999996</v>
      </c>
      <c r="N86" s="345">
        <f t="shared" si="36"/>
        <v>58.922537208354491</v>
      </c>
      <c r="O86" s="343">
        <f t="shared" si="37"/>
        <v>1.160241495153429</v>
      </c>
      <c r="P86" s="346">
        <v>43927</v>
      </c>
      <c r="Q86" s="346">
        <v>37860221.5</v>
      </c>
      <c r="R86" s="352">
        <v>0.45</v>
      </c>
      <c r="S86" s="352">
        <v>0</v>
      </c>
      <c r="T86" s="353">
        <v>90</v>
      </c>
      <c r="U86" s="345">
        <f t="shared" si="38"/>
        <v>43.431158876643885</v>
      </c>
      <c r="V86" s="343">
        <f t="shared" si="44"/>
        <v>128.39069100533393</v>
      </c>
      <c r="W86" s="348">
        <v>4860.8999999999996</v>
      </c>
      <c r="X86" s="346">
        <v>37860221.5</v>
      </c>
      <c r="Y86" s="352">
        <v>4.8</v>
      </c>
      <c r="Z86" s="345">
        <f t="shared" si="39"/>
        <v>82.434220011159212</v>
      </c>
      <c r="AA86" s="343">
        <v>2.65</v>
      </c>
      <c r="AB86" s="343">
        <f>AC86/AD86</f>
        <v>0</v>
      </c>
      <c r="AC86" s="346">
        <v>0</v>
      </c>
      <c r="AD86" s="346">
        <v>37860221.5</v>
      </c>
      <c r="AE86" s="352">
        <v>0</v>
      </c>
      <c r="AF86" s="343">
        <v>7.35</v>
      </c>
      <c r="AG86" s="352">
        <v>6.2424999999999997</v>
      </c>
      <c r="AH86" s="343">
        <v>2.72</v>
      </c>
      <c r="AI86" s="343">
        <f t="shared" si="40"/>
        <v>0.28016501821069167</v>
      </c>
      <c r="AJ86" s="346">
        <v>162308</v>
      </c>
      <c r="AK86" s="346">
        <v>579330</v>
      </c>
      <c r="AL86" s="345">
        <f>((AA86/4.5)*100*1.5+(LN(MIN(AB86,5)+1)/LN(5+1))*100+((AE86-(-300))/(150-(-300)))*100+(LN(MIN(AF86,500))/LN(500))*100*0.5+(MAX((60-AG86),0))/60*100*0.5+((AH86-1)/(7-1))*100*2+(LN(MIN(AI86,20)+1)/LN(20+1))*100)/7.5</f>
        <v>37.505639936112217</v>
      </c>
      <c r="AM86" s="343">
        <v>0.11</v>
      </c>
      <c r="AN86" s="344">
        <v>94.9</v>
      </c>
      <c r="AO86" s="344">
        <v>4.0999999999999996</v>
      </c>
      <c r="AP86" s="345">
        <f t="shared" si="41"/>
        <v>88.29250549165279</v>
      </c>
      <c r="AQ86" s="343">
        <v>87.581225854265995</v>
      </c>
      <c r="AR86" s="344">
        <v>99.9</v>
      </c>
      <c r="AS86" s="345">
        <f t="shared" si="42"/>
        <v>93.740612927133</v>
      </c>
      <c r="AT86" s="343">
        <v>615.07396742296203</v>
      </c>
      <c r="AU86" s="343">
        <v>1.38783788369511</v>
      </c>
      <c r="AV86" s="343">
        <v>1660.1253189056999</v>
      </c>
      <c r="AW86" s="351">
        <f t="shared" si="43"/>
        <v>63.086256453636537</v>
      </c>
      <c r="AX86" s="293"/>
      <c r="AY86" s="121"/>
    </row>
    <row r="87" spans="1:51" s="13" customFormat="1" ht="15.75" customHeight="1" x14ac:dyDescent="0.2">
      <c r="A87" s="294">
        <v>83</v>
      </c>
      <c r="B87" s="307" t="s">
        <v>10</v>
      </c>
      <c r="C87" s="308" t="s">
        <v>35</v>
      </c>
      <c r="D87" s="143" t="s">
        <v>297</v>
      </c>
      <c r="E87" s="173" t="s">
        <v>306</v>
      </c>
      <c r="F87" s="177" t="s">
        <v>114</v>
      </c>
      <c r="G87" s="341">
        <f t="shared" si="33"/>
        <v>67.710485170590019</v>
      </c>
      <c r="H87" s="342">
        <f t="shared" si="34"/>
        <v>50.101250522786394</v>
      </c>
      <c r="I87" s="342">
        <f t="shared" si="35"/>
        <v>85.319719818393637</v>
      </c>
      <c r="J87" s="343">
        <v>7.03749</v>
      </c>
      <c r="K87" s="344">
        <v>67.545699999999997</v>
      </c>
      <c r="L87" s="344">
        <v>66.184607473461796</v>
      </c>
      <c r="M87" s="344">
        <v>95.622449849999995</v>
      </c>
      <c r="N87" s="345">
        <f t="shared" si="36"/>
        <v>48.567862664198778</v>
      </c>
      <c r="O87" s="343">
        <f t="shared" si="37"/>
        <v>0.64312990116054214</v>
      </c>
      <c r="P87" s="346">
        <v>7430</v>
      </c>
      <c r="Q87" s="346">
        <v>11552876</v>
      </c>
      <c r="R87" s="344">
        <v>0.1</v>
      </c>
      <c r="S87" s="344">
        <v>0</v>
      </c>
      <c r="T87" s="347">
        <v>60</v>
      </c>
      <c r="U87" s="345">
        <f t="shared" si="38"/>
        <v>46.795439417196285</v>
      </c>
      <c r="V87" s="343">
        <f t="shared" si="44"/>
        <v>82.219353864786569</v>
      </c>
      <c r="W87" s="348">
        <v>949.87</v>
      </c>
      <c r="X87" s="346">
        <v>11552876</v>
      </c>
      <c r="Y87" s="344">
        <v>6</v>
      </c>
      <c r="Z87" s="345">
        <f t="shared" si="39"/>
        <v>79.290825694801882</v>
      </c>
      <c r="AA87" s="343">
        <v>2.69</v>
      </c>
      <c r="AB87" s="343">
        <f>AC87/AD87</f>
        <v>0.32297974980429117</v>
      </c>
      <c r="AC87" s="346">
        <v>3731345</v>
      </c>
      <c r="AD87" s="346">
        <v>11552876</v>
      </c>
      <c r="AE87" s="344">
        <v>66</v>
      </c>
      <c r="AF87" s="343">
        <v>52.13</v>
      </c>
      <c r="AG87" s="344">
        <v>36.9</v>
      </c>
      <c r="AH87" s="343">
        <v>3.94</v>
      </c>
      <c r="AI87" s="343">
        <f t="shared" si="40"/>
        <v>9.7202513683356986E-2</v>
      </c>
      <c r="AJ87" s="346">
        <v>8631</v>
      </c>
      <c r="AK87" s="346">
        <v>88794</v>
      </c>
      <c r="AL87" s="345">
        <f>((AA87/4.5)*100*1.5+(LN(MIN(AB87,5)+1)/LN(5+1))*100+((AE87-(-300))/(150-(-300)))*100+(LN(MIN(AF87,500))/LN(500))*100*0.5+(MAX((60-AG87),0))/60*100*0.5+((AH87-1)/(7-1))*100*2+(LN(MIN(AI87,20)+1)/LN(20+1))*100)/7.5</f>
        <v>45.163697364767678</v>
      </c>
      <c r="AM87" s="343">
        <v>33.9</v>
      </c>
      <c r="AN87" s="344">
        <v>99.4</v>
      </c>
      <c r="AO87" s="344">
        <v>0</v>
      </c>
      <c r="AP87" s="345">
        <f t="shared" si="41"/>
        <v>94.814285714285717</v>
      </c>
      <c r="AQ87" s="343">
        <v>46.457313811545497</v>
      </c>
      <c r="AR87" s="344">
        <v>96.1</v>
      </c>
      <c r="AS87" s="345">
        <f t="shared" si="42"/>
        <v>71.278656905772749</v>
      </c>
      <c r="AT87" s="343">
        <v>625.50595450421599</v>
      </c>
      <c r="AU87" s="343">
        <v>0.20983503996918801</v>
      </c>
      <c r="AV87" s="343">
        <v>893.132862513394</v>
      </c>
      <c r="AW87" s="351">
        <f t="shared" si="43"/>
        <v>70.877085043338312</v>
      </c>
      <c r="AX87" s="293"/>
      <c r="AY87" s="354"/>
    </row>
    <row r="88" spans="1:51" s="13" customFormat="1" ht="15.75" customHeight="1" x14ac:dyDescent="0.2">
      <c r="A88" s="294">
        <v>84</v>
      </c>
      <c r="B88" s="297" t="s">
        <v>16</v>
      </c>
      <c r="C88" s="298" t="s">
        <v>17</v>
      </c>
      <c r="D88" s="143" t="s">
        <v>297</v>
      </c>
      <c r="E88" s="173" t="s">
        <v>306</v>
      </c>
      <c r="F88" s="177" t="s">
        <v>209</v>
      </c>
      <c r="G88" s="341">
        <f t="shared" si="33"/>
        <v>67.448448729555295</v>
      </c>
      <c r="H88" s="342">
        <f t="shared" si="34"/>
        <v>49.563147179043028</v>
      </c>
      <c r="I88" s="342">
        <f t="shared" si="35"/>
        <v>85.333750280067562</v>
      </c>
      <c r="J88" s="343">
        <v>14.143599999999999</v>
      </c>
      <c r="K88" s="344">
        <v>134.136</v>
      </c>
      <c r="L88" s="344">
        <v>66.640211507742094</v>
      </c>
      <c r="M88" s="344">
        <v>76.5</v>
      </c>
      <c r="N88" s="345">
        <f t="shared" si="36"/>
        <v>52.042586210268858</v>
      </c>
      <c r="O88" s="343">
        <f t="shared" si="37"/>
        <v>0.44774384588423871</v>
      </c>
      <c r="P88" s="346">
        <v>5497</v>
      </c>
      <c r="Q88" s="346">
        <v>12277109</v>
      </c>
      <c r="R88" s="344">
        <v>0.4</v>
      </c>
      <c r="S88" s="344">
        <v>0</v>
      </c>
      <c r="T88" s="347">
        <v>45</v>
      </c>
      <c r="U88" s="345">
        <f t="shared" si="38"/>
        <v>48.702017396378757</v>
      </c>
      <c r="V88" s="343">
        <f t="shared" si="44"/>
        <v>314.73207576800041</v>
      </c>
      <c r="W88" s="348">
        <v>3864</v>
      </c>
      <c r="X88" s="346">
        <v>12277109</v>
      </c>
      <c r="Y88" s="344">
        <v>16</v>
      </c>
      <c r="Z88" s="345">
        <f t="shared" si="39"/>
        <v>68.336892029114622</v>
      </c>
      <c r="AA88" s="343">
        <v>2.57</v>
      </c>
      <c r="AB88" s="343">
        <f>AC88/AD88</f>
        <v>0.334790951192174</v>
      </c>
      <c r="AC88" s="346">
        <v>4110265</v>
      </c>
      <c r="AD88" s="346">
        <v>12277109</v>
      </c>
      <c r="AE88" s="344">
        <v>-5</v>
      </c>
      <c r="AF88" s="343">
        <v>29.51</v>
      </c>
      <c r="AG88" s="344">
        <v>25.6</v>
      </c>
      <c r="AH88" s="343">
        <v>3.77</v>
      </c>
      <c r="AI88" s="343">
        <f t="shared" si="40"/>
        <v>0.12849510813594234</v>
      </c>
      <c r="AJ88" s="346">
        <v>19963</v>
      </c>
      <c r="AK88" s="346">
        <v>155360</v>
      </c>
      <c r="AL88" s="345">
        <f>((AA88/4.5)*100*1.5+(LN(MIN(AB88,5)+1)/LN(5+1))*100+((AE88-(-300))/(150-(-300)))*100+(LN(MIN(AF88,500))/LN(500))*100*0.5+(MAX((60-AG88),0))/60*100*0.5+((AH88-1)/(7-1))*100*2+(LN(MIN(AI88,20)+1)/LN(20+1))*100)/7.5</f>
        <v>42.605554380965351</v>
      </c>
      <c r="AM88" s="343">
        <v>7.64</v>
      </c>
      <c r="AN88" s="344">
        <v>99.9</v>
      </c>
      <c r="AO88" s="344">
        <v>0.4</v>
      </c>
      <c r="AP88" s="345">
        <f t="shared" si="41"/>
        <v>97.038692430181484</v>
      </c>
      <c r="AQ88" s="343">
        <v>37.844486032855897</v>
      </c>
      <c r="AR88" s="344">
        <v>97.7</v>
      </c>
      <c r="AS88" s="345">
        <f t="shared" si="42"/>
        <v>67.77224301642795</v>
      </c>
      <c r="AT88" s="343">
        <v>835.90646108252599</v>
      </c>
      <c r="AU88" s="343">
        <v>0.38728450339862103</v>
      </c>
      <c r="AV88" s="343">
        <v>1587.15453902937</v>
      </c>
      <c r="AW88" s="351">
        <f t="shared" si="43"/>
        <v>67.780431093365394</v>
      </c>
      <c r="AX88" s="293"/>
      <c r="AY88" s="354"/>
    </row>
    <row r="89" spans="1:51" s="13" customFormat="1" ht="15.75" customHeight="1" x14ac:dyDescent="0.2">
      <c r="A89" s="294">
        <v>85</v>
      </c>
      <c r="B89" s="295" t="s">
        <v>13</v>
      </c>
      <c r="C89" s="296" t="s">
        <v>14</v>
      </c>
      <c r="D89" s="142" t="s">
        <v>296</v>
      </c>
      <c r="E89" s="171" t="s">
        <v>304</v>
      </c>
      <c r="F89" s="177" t="s">
        <v>182</v>
      </c>
      <c r="G89" s="341">
        <f t="shared" si="33"/>
        <v>67.373102487573647</v>
      </c>
      <c r="H89" s="342">
        <f t="shared" si="34"/>
        <v>58.670596509103341</v>
      </c>
      <c r="I89" s="342">
        <f t="shared" si="35"/>
        <v>76.075608466043946</v>
      </c>
      <c r="J89" s="343">
        <v>31.269500000000001</v>
      </c>
      <c r="K89" s="344">
        <v>128.471</v>
      </c>
      <c r="L89" s="344">
        <v>77.402086106761701</v>
      </c>
      <c r="M89" s="344">
        <v>87.690712939999997</v>
      </c>
      <c r="N89" s="345">
        <f t="shared" si="36"/>
        <v>71.613483095023753</v>
      </c>
      <c r="O89" s="343">
        <f t="shared" si="37"/>
        <v>1.2539681031605874</v>
      </c>
      <c r="P89" s="346">
        <v>8447</v>
      </c>
      <c r="Q89" s="346">
        <v>6736216</v>
      </c>
      <c r="R89" s="344">
        <v>0.5</v>
      </c>
      <c r="S89" s="344">
        <v>0</v>
      </c>
      <c r="T89" s="347">
        <v>210</v>
      </c>
      <c r="U89" s="345">
        <f t="shared" si="38"/>
        <v>41.530610629101531</v>
      </c>
      <c r="V89" s="343">
        <f t="shared" si="44"/>
        <v>755.76555146093892</v>
      </c>
      <c r="W89" s="348">
        <v>5091</v>
      </c>
      <c r="X89" s="346">
        <v>6736216</v>
      </c>
      <c r="Y89" s="344">
        <v>4.8</v>
      </c>
      <c r="Z89" s="345">
        <f t="shared" si="39"/>
        <v>87.777367807526744</v>
      </c>
      <c r="AA89" s="343">
        <v>2.75</v>
      </c>
      <c r="AB89" s="343">
        <f>AC89/AD89</f>
        <v>0.57429423284526504</v>
      </c>
      <c r="AC89" s="346">
        <v>3868570</v>
      </c>
      <c r="AD89" s="346">
        <v>6736216</v>
      </c>
      <c r="AE89" s="349" t="s">
        <v>931</v>
      </c>
      <c r="AF89" s="349" t="s">
        <v>931</v>
      </c>
      <c r="AG89" s="344">
        <v>6.5</v>
      </c>
      <c r="AH89" s="343">
        <v>3.43</v>
      </c>
      <c r="AI89" s="343">
        <f t="shared" si="40"/>
        <v>0.52397202228273765</v>
      </c>
      <c r="AJ89" s="346">
        <v>46371</v>
      </c>
      <c r="AK89" s="346">
        <v>88499</v>
      </c>
      <c r="AL89" s="345">
        <f>((AA89/4.5)*100*1.5+(LN(MIN(AB89,5)+1)/LN(5+1))*100+(MAX((60-AG89),0))/60*100*0.5+((AH89-1)/(7-1))*100*2+(LN(MIN(AI89,20)+1)/LN(20+1))*100)/6</f>
        <v>42.736013568577526</v>
      </c>
      <c r="AM89" s="343">
        <v>1.42</v>
      </c>
      <c r="AN89" s="344">
        <v>83.1</v>
      </c>
      <c r="AO89" s="344">
        <v>14</v>
      </c>
      <c r="AP89" s="345">
        <f t="shared" si="41"/>
        <v>75.550444198473997</v>
      </c>
      <c r="AQ89" s="343">
        <v>83.254445850027395</v>
      </c>
      <c r="AR89" s="344">
        <v>96.4</v>
      </c>
      <c r="AS89" s="345">
        <f t="shared" si="42"/>
        <v>89.8272229250137</v>
      </c>
      <c r="AT89" s="343">
        <v>321.14491214391302</v>
      </c>
      <c r="AU89" s="343">
        <v>1.5862088345354</v>
      </c>
      <c r="AV89" s="343">
        <v>1480.52673601266</v>
      </c>
      <c r="AW89" s="351">
        <f t="shared" si="43"/>
        <v>63.899486809783987</v>
      </c>
      <c r="AX89" s="293"/>
      <c r="AY89" s="354"/>
    </row>
    <row r="90" spans="1:51" s="5" customFormat="1" ht="15.75" customHeight="1" x14ac:dyDescent="0.2">
      <c r="A90" s="294">
        <v>86</v>
      </c>
      <c r="B90" s="301" t="s">
        <v>23</v>
      </c>
      <c r="C90" s="303" t="s">
        <v>26</v>
      </c>
      <c r="D90" s="145" t="s">
        <v>299</v>
      </c>
      <c r="E90" s="151" t="s">
        <v>304</v>
      </c>
      <c r="F90" s="177" t="s">
        <v>144</v>
      </c>
      <c r="G90" s="341">
        <f t="shared" si="33"/>
        <v>66.821175428460975</v>
      </c>
      <c r="H90" s="342">
        <f t="shared" si="34"/>
        <v>60.357868565998942</v>
      </c>
      <c r="I90" s="342">
        <f t="shared" si="35"/>
        <v>73.284482290923023</v>
      </c>
      <c r="J90" s="343">
        <v>20.088200000000001</v>
      </c>
      <c r="K90" s="344">
        <v>111.562</v>
      </c>
      <c r="L90" s="344">
        <v>76.264805751048598</v>
      </c>
      <c r="M90" s="344">
        <v>83.122337990000005</v>
      </c>
      <c r="N90" s="345">
        <f t="shared" si="36"/>
        <v>60.305685935262147</v>
      </c>
      <c r="O90" s="343">
        <f t="shared" si="37"/>
        <v>0.91354180088190828</v>
      </c>
      <c r="P90" s="346">
        <v>119547</v>
      </c>
      <c r="Q90" s="346">
        <v>130861007</v>
      </c>
      <c r="R90" s="344">
        <v>0.2</v>
      </c>
      <c r="S90" s="344">
        <v>0</v>
      </c>
      <c r="T90" s="347">
        <v>5</v>
      </c>
      <c r="U90" s="345">
        <f t="shared" si="38"/>
        <v>65.311757390401397</v>
      </c>
      <c r="V90" s="343">
        <f t="shared" si="44"/>
        <v>686.25484442435936</v>
      </c>
      <c r="W90" s="348">
        <v>89804</v>
      </c>
      <c r="X90" s="346">
        <v>130861007</v>
      </c>
      <c r="Y90" s="344">
        <v>4.5</v>
      </c>
      <c r="Z90" s="345">
        <f t="shared" si="39"/>
        <v>87.936550405035163</v>
      </c>
      <c r="AA90" s="343">
        <v>2.9499999999999997</v>
      </c>
      <c r="AB90" s="343">
        <f>AC90/AD90</f>
        <v>0.60188532707837106</v>
      </c>
      <c r="AC90" s="346">
        <v>78763320</v>
      </c>
      <c r="AD90" s="346">
        <v>130861007</v>
      </c>
      <c r="AE90" s="344">
        <v>30</v>
      </c>
      <c r="AF90" s="343">
        <v>189.44</v>
      </c>
      <c r="AG90" s="344">
        <v>25.2</v>
      </c>
      <c r="AH90" s="343">
        <v>4.5</v>
      </c>
      <c r="AI90" s="343">
        <f t="shared" si="40"/>
        <v>0.20977031302245427</v>
      </c>
      <c r="AJ90" s="346">
        <v>407783</v>
      </c>
      <c r="AK90" s="346">
        <v>1943950</v>
      </c>
      <c r="AL90" s="345">
        <f t="shared" ref="AL90:AL95" si="46">((AA90/4.5)*100*1.5+(LN(MIN(AB90,5)+1)/LN(5+1))*100+((AE90-(-300))/(150-(-300)))*100+(LN(MIN(AF90,500))/LN(500))*100*0.5+(MAX((60-AG90),0))/60*100*0.5+((AH90-1)/(7-1))*100*2+(LN(MIN(AI90,20)+1)/LN(20+1))*100)/7.5</f>
        <v>52.276908530876071</v>
      </c>
      <c r="AM90" s="343">
        <v>17.600000000000001</v>
      </c>
      <c r="AN90" s="344">
        <v>85.1</v>
      </c>
      <c r="AO90" s="344">
        <v>4.5</v>
      </c>
      <c r="AP90" s="345">
        <f t="shared" si="41"/>
        <v>79.787138926748256</v>
      </c>
      <c r="AQ90" s="343">
        <v>53.032083331672901</v>
      </c>
      <c r="AR90" s="344">
        <v>99.2</v>
      </c>
      <c r="AS90" s="345">
        <f t="shared" si="42"/>
        <v>76.116041665836448</v>
      </c>
      <c r="AT90" s="343">
        <v>786.66400480376001</v>
      </c>
      <c r="AU90" s="343">
        <v>6.5820842401113397</v>
      </c>
      <c r="AV90" s="343">
        <v>2100.968192065</v>
      </c>
      <c r="AW90" s="351">
        <f t="shared" si="43"/>
        <v>50.944953008533851</v>
      </c>
      <c r="AX90" s="293"/>
      <c r="AY90" s="121"/>
    </row>
    <row r="91" spans="1:51" s="5" customFormat="1" ht="15.75" customHeight="1" x14ac:dyDescent="0.2">
      <c r="A91" s="294">
        <v>87</v>
      </c>
      <c r="B91" s="301" t="s">
        <v>23</v>
      </c>
      <c r="C91" s="302" t="s">
        <v>24</v>
      </c>
      <c r="D91" s="145" t="s">
        <v>299</v>
      </c>
      <c r="E91" s="151" t="s">
        <v>304</v>
      </c>
      <c r="F91" s="177" t="s">
        <v>112</v>
      </c>
      <c r="G91" s="341">
        <f t="shared" si="33"/>
        <v>66.661359831291605</v>
      </c>
      <c r="H91" s="342">
        <f t="shared" si="34"/>
        <v>52.485163294223867</v>
      </c>
      <c r="I91" s="342">
        <f t="shared" si="35"/>
        <v>80.837556368359358</v>
      </c>
      <c r="J91" s="343">
        <v>15.7852</v>
      </c>
      <c r="K91" s="344">
        <v>115.092</v>
      </c>
      <c r="L91" s="344">
        <v>55.4597713903784</v>
      </c>
      <c r="M91" s="344">
        <v>90.108703610000006</v>
      </c>
      <c r="N91" s="345">
        <f t="shared" si="36"/>
        <v>53.382852083427935</v>
      </c>
      <c r="O91" s="343">
        <f t="shared" si="37"/>
        <v>0.37827890144143983</v>
      </c>
      <c r="P91" s="346">
        <v>1074</v>
      </c>
      <c r="Q91" s="346">
        <v>2839175</v>
      </c>
      <c r="R91" s="344">
        <v>2.6</v>
      </c>
      <c r="S91" s="344">
        <v>0.8</v>
      </c>
      <c r="T91" s="347">
        <v>14</v>
      </c>
      <c r="U91" s="345">
        <f t="shared" si="38"/>
        <v>53.291083467824947</v>
      </c>
      <c r="V91" s="343">
        <f t="shared" si="44"/>
        <v>472.03585548618878</v>
      </c>
      <c r="W91" s="348">
        <v>1340.1923999999999</v>
      </c>
      <c r="X91" s="346">
        <v>2839175</v>
      </c>
      <c r="Y91" s="344">
        <v>22.8</v>
      </c>
      <c r="Z91" s="345">
        <f t="shared" si="39"/>
        <v>59.35865112605515</v>
      </c>
      <c r="AA91" s="343">
        <v>2.5333333333333337</v>
      </c>
      <c r="AB91" s="350">
        <v>0.44999588169398697</v>
      </c>
      <c r="AC91" s="346"/>
      <c r="AD91" s="346">
        <v>2839175</v>
      </c>
      <c r="AE91" s="344">
        <v>-76</v>
      </c>
      <c r="AF91" s="343">
        <v>122.34</v>
      </c>
      <c r="AG91" s="344">
        <v>5.3</v>
      </c>
      <c r="AH91" s="343">
        <v>3.9</v>
      </c>
      <c r="AI91" s="343">
        <f t="shared" si="40"/>
        <v>2.0496768236380425</v>
      </c>
      <c r="AJ91" s="346">
        <v>22198</v>
      </c>
      <c r="AK91" s="346">
        <v>10830</v>
      </c>
      <c r="AL91" s="345">
        <f t="shared" si="46"/>
        <v>49.667622503661711</v>
      </c>
      <c r="AM91" s="343">
        <v>0.88</v>
      </c>
      <c r="AN91" s="344">
        <v>93</v>
      </c>
      <c r="AO91" s="344">
        <v>8.3000000000000007</v>
      </c>
      <c r="AP91" s="345">
        <f t="shared" si="41"/>
        <v>83.860136376844622</v>
      </c>
      <c r="AQ91" s="343">
        <v>73.300361510501105</v>
      </c>
      <c r="AR91" s="344">
        <v>99.8</v>
      </c>
      <c r="AS91" s="345">
        <f t="shared" si="42"/>
        <v>86.550180755250551</v>
      </c>
      <c r="AT91" s="343">
        <v>321.35210235151402</v>
      </c>
      <c r="AU91" s="343">
        <v>1.18228365600924</v>
      </c>
      <c r="AV91" s="343">
        <v>1147.3088085204199</v>
      </c>
      <c r="AW91" s="351">
        <f t="shared" si="43"/>
        <v>66.057191956012431</v>
      </c>
      <c r="AX91" s="293"/>
      <c r="AY91" s="121"/>
    </row>
    <row r="92" spans="1:51" s="5" customFormat="1" ht="15.75" customHeight="1" x14ac:dyDescent="0.2">
      <c r="A92" s="294">
        <v>88</v>
      </c>
      <c r="B92" s="295" t="s">
        <v>13</v>
      </c>
      <c r="C92" s="296" t="s">
        <v>14</v>
      </c>
      <c r="D92" s="142" t="s">
        <v>296</v>
      </c>
      <c r="E92" s="171" t="s">
        <v>304</v>
      </c>
      <c r="F92" s="177" t="s">
        <v>148</v>
      </c>
      <c r="G92" s="341">
        <f t="shared" si="33"/>
        <v>66.337785566039088</v>
      </c>
      <c r="H92" s="342">
        <f t="shared" si="34"/>
        <v>63.997234130550751</v>
      </c>
      <c r="I92" s="342">
        <f t="shared" si="35"/>
        <v>68.67833700152741</v>
      </c>
      <c r="J92" s="343">
        <v>32.015500000000003</v>
      </c>
      <c r="K92" s="344">
        <v>207.238</v>
      </c>
      <c r="L92" s="344">
        <v>75.568913752938897</v>
      </c>
      <c r="M92" s="344">
        <v>88.882584280000003</v>
      </c>
      <c r="N92" s="345">
        <f t="shared" si="36"/>
        <v>74.700391174901384</v>
      </c>
      <c r="O92" s="343">
        <f t="shared" si="37"/>
        <v>1.708749785623165</v>
      </c>
      <c r="P92" s="346">
        <v>1091</v>
      </c>
      <c r="Q92" s="346">
        <v>638478.5</v>
      </c>
      <c r="R92" s="344">
        <v>1.8</v>
      </c>
      <c r="S92" s="344">
        <v>0</v>
      </c>
      <c r="T92" s="347">
        <v>90</v>
      </c>
      <c r="U92" s="345">
        <f t="shared" si="38"/>
        <v>48.02231913167676</v>
      </c>
      <c r="V92" s="343">
        <f t="shared" si="44"/>
        <v>3456.7178064727318</v>
      </c>
      <c r="W92" s="348">
        <v>2207.04</v>
      </c>
      <c r="X92" s="346">
        <v>638478.5</v>
      </c>
      <c r="Y92" s="344">
        <v>2.8</v>
      </c>
      <c r="Z92" s="345">
        <f t="shared" si="39"/>
        <v>95.360001327920372</v>
      </c>
      <c r="AA92" s="343">
        <v>2.8499999999999996</v>
      </c>
      <c r="AB92" s="343">
        <f>AC92/AD92</f>
        <v>0.59370519132594124</v>
      </c>
      <c r="AC92" s="346">
        <v>379068</v>
      </c>
      <c r="AD92" s="346">
        <v>638478.5</v>
      </c>
      <c r="AE92" s="344">
        <v>10</v>
      </c>
      <c r="AF92" s="343">
        <v>15.06</v>
      </c>
      <c r="AG92" s="344">
        <v>3.2</v>
      </c>
      <c r="AH92" s="343">
        <v>3.81</v>
      </c>
      <c r="AI92" s="343">
        <f t="shared" si="40"/>
        <v>0.73684210526315785</v>
      </c>
      <c r="AJ92" s="346">
        <v>9912</v>
      </c>
      <c r="AK92" s="346">
        <v>13452</v>
      </c>
      <c r="AL92" s="345">
        <f t="shared" si="46"/>
        <v>49.44711403657621</v>
      </c>
      <c r="AM92" s="343">
        <v>8.77</v>
      </c>
      <c r="AN92" s="344">
        <v>61.4</v>
      </c>
      <c r="AO92" s="344">
        <v>16.7</v>
      </c>
      <c r="AP92" s="345">
        <f t="shared" si="41"/>
        <v>61.208739112968587</v>
      </c>
      <c r="AQ92" s="343">
        <v>75.411629701388605</v>
      </c>
      <c r="AR92" s="344">
        <v>99.4</v>
      </c>
      <c r="AS92" s="345">
        <f t="shared" si="42"/>
        <v>87.405814850694298</v>
      </c>
      <c r="AT92" s="343">
        <v>358.68744180538698</v>
      </c>
      <c r="AU92" s="343">
        <v>1.53396159734449E-2</v>
      </c>
      <c r="AV92" s="343">
        <v>1742.4341255356201</v>
      </c>
      <c r="AW92" s="351">
        <f t="shared" si="43"/>
        <v>72.359652818036963</v>
      </c>
      <c r="AX92" s="293"/>
      <c r="AY92" s="121"/>
    </row>
    <row r="93" spans="1:51" s="5" customFormat="1" ht="15.75" customHeight="1" x14ac:dyDescent="0.2">
      <c r="A93" s="294">
        <v>89</v>
      </c>
      <c r="B93" s="301" t="s">
        <v>23</v>
      </c>
      <c r="C93" s="303" t="s">
        <v>26</v>
      </c>
      <c r="D93" s="145" t="s">
        <v>299</v>
      </c>
      <c r="E93" s="151" t="s">
        <v>304</v>
      </c>
      <c r="F93" s="177" t="s">
        <v>63</v>
      </c>
      <c r="G93" s="341">
        <f t="shared" si="33"/>
        <v>66.242106666696216</v>
      </c>
      <c r="H93" s="342">
        <f t="shared" si="34"/>
        <v>56.573959264974299</v>
      </c>
      <c r="I93" s="342">
        <f t="shared" si="35"/>
        <v>75.910254068418141</v>
      </c>
      <c r="J93" s="343">
        <v>17.036999999999999</v>
      </c>
      <c r="K93" s="344">
        <v>166.98</v>
      </c>
      <c r="L93" s="344">
        <v>72.211026642014005</v>
      </c>
      <c r="M93" s="344">
        <v>79.345432990000006</v>
      </c>
      <c r="N93" s="345">
        <f t="shared" si="36"/>
        <v>57.6526149080035</v>
      </c>
      <c r="O93" s="343">
        <f t="shared" si="37"/>
        <v>0.35612204647044793</v>
      </c>
      <c r="P93" s="346">
        <v>18834</v>
      </c>
      <c r="Q93" s="346">
        <v>52886363.5</v>
      </c>
      <c r="R93" s="344">
        <v>0.7</v>
      </c>
      <c r="S93" s="344">
        <v>0</v>
      </c>
      <c r="T93" s="347">
        <v>15</v>
      </c>
      <c r="U93" s="345">
        <f t="shared" si="38"/>
        <v>56.006069545516702</v>
      </c>
      <c r="V93" s="343">
        <f t="shared" si="44"/>
        <v>458.78820917607618</v>
      </c>
      <c r="W93" s="348">
        <v>24263.64</v>
      </c>
      <c r="X93" s="346">
        <v>52886363.5</v>
      </c>
      <c r="Y93" s="344">
        <v>8</v>
      </c>
      <c r="Z93" s="345">
        <f t="shared" si="39"/>
        <v>81.472847859583425</v>
      </c>
      <c r="AA93" s="343">
        <v>2.9666666666666668</v>
      </c>
      <c r="AB93" s="343">
        <f>AC93/AD93</f>
        <v>0.80170087701341008</v>
      </c>
      <c r="AC93" s="346">
        <v>42399044</v>
      </c>
      <c r="AD93" s="346">
        <v>52886363.5</v>
      </c>
      <c r="AE93" s="344">
        <v>56.666666666666664</v>
      </c>
      <c r="AF93" s="343">
        <v>188.75</v>
      </c>
      <c r="AG93" s="344">
        <v>17</v>
      </c>
      <c r="AH93" s="343">
        <v>3.27</v>
      </c>
      <c r="AI93" s="343">
        <f t="shared" si="40"/>
        <v>0.19772407817464138</v>
      </c>
      <c r="AJ93" s="346">
        <v>205376</v>
      </c>
      <c r="AK93" s="346">
        <v>1038700</v>
      </c>
      <c r="AL93" s="345">
        <f t="shared" si="46"/>
        <v>49.41255390315721</v>
      </c>
      <c r="AM93" s="343">
        <v>9.6999999999999993</v>
      </c>
      <c r="AN93" s="344">
        <v>91.8</v>
      </c>
      <c r="AO93" s="344">
        <v>1.3</v>
      </c>
      <c r="AP93" s="345">
        <f t="shared" si="41"/>
        <v>89.441293415144699</v>
      </c>
      <c r="AQ93" s="343">
        <v>57.059485628137402</v>
      </c>
      <c r="AR93" s="344">
        <v>83.6</v>
      </c>
      <c r="AS93" s="345">
        <f t="shared" si="42"/>
        <v>70.329742814068695</v>
      </c>
      <c r="AT93" s="343">
        <v>860.14491986730195</v>
      </c>
      <c r="AU93" s="343">
        <v>21.7848211683655</v>
      </c>
      <c r="AV93" s="343">
        <v>1450.74673194395</v>
      </c>
      <c r="AW93" s="351">
        <f t="shared" si="43"/>
        <v>40.897647282587911</v>
      </c>
      <c r="AX93" s="293"/>
      <c r="AY93" s="121"/>
    </row>
    <row r="94" spans="1:51" s="5" customFormat="1" ht="15.75" customHeight="1" x14ac:dyDescent="0.2">
      <c r="A94" s="294">
        <v>90</v>
      </c>
      <c r="B94" s="307" t="s">
        <v>10</v>
      </c>
      <c r="C94" s="308" t="s">
        <v>35</v>
      </c>
      <c r="D94" s="143" t="s">
        <v>297</v>
      </c>
      <c r="E94" s="171" t="s">
        <v>304</v>
      </c>
      <c r="F94" s="177" t="s">
        <v>107</v>
      </c>
      <c r="G94" s="341">
        <f t="shared" si="33"/>
        <v>66.234263956909189</v>
      </c>
      <c r="H94" s="342">
        <f t="shared" si="34"/>
        <v>52.177723507422236</v>
      </c>
      <c r="I94" s="342">
        <f t="shared" si="35"/>
        <v>80.290804406396134</v>
      </c>
      <c r="J94" s="343">
        <v>12.0206</v>
      </c>
      <c r="K94" s="344">
        <v>166.28</v>
      </c>
      <c r="L94" s="344">
        <v>65.388344361776902</v>
      </c>
      <c r="M94" s="344">
        <v>85.340400700000004</v>
      </c>
      <c r="N94" s="345">
        <f t="shared" si="36"/>
        <v>53.242019598777553</v>
      </c>
      <c r="O94" s="343">
        <f t="shared" si="37"/>
        <v>1.0379747561197523</v>
      </c>
      <c r="P94" s="346">
        <v>95045</v>
      </c>
      <c r="Q94" s="346">
        <v>91567737.5</v>
      </c>
      <c r="R94" s="352">
        <v>1.4</v>
      </c>
      <c r="S94" s="352">
        <v>0</v>
      </c>
      <c r="T94" s="353">
        <v>10</v>
      </c>
      <c r="U94" s="345">
        <f t="shared" si="38"/>
        <v>64.073539053664007</v>
      </c>
      <c r="V94" s="343">
        <f t="shared" si="44"/>
        <v>1015.095518768278</v>
      </c>
      <c r="W94" s="348">
        <v>92950</v>
      </c>
      <c r="X94" s="346">
        <v>91567737.5</v>
      </c>
      <c r="Y94" s="352">
        <v>15.45</v>
      </c>
      <c r="Z94" s="345">
        <f t="shared" si="39"/>
        <v>72.691579941652577</v>
      </c>
      <c r="AA94" s="343">
        <v>2.3666666666666667</v>
      </c>
      <c r="AB94" s="343">
        <f>AC94/AD94</f>
        <v>0.19731188618698808</v>
      </c>
      <c r="AC94" s="346">
        <v>18067403</v>
      </c>
      <c r="AD94" s="346">
        <v>91567737.5</v>
      </c>
      <c r="AE94" s="352">
        <v>-18</v>
      </c>
      <c r="AF94" s="343">
        <v>60.05</v>
      </c>
      <c r="AG94" s="352">
        <v>15.8</v>
      </c>
      <c r="AH94" s="343">
        <v>3.91</v>
      </c>
      <c r="AI94" s="343">
        <f t="shared" si="40"/>
        <v>0.13624221879815099</v>
      </c>
      <c r="AJ94" s="346">
        <v>221053</v>
      </c>
      <c r="AK94" s="346">
        <v>1622500</v>
      </c>
      <c r="AL94" s="345">
        <f t="shared" si="46"/>
        <v>43.011009420948895</v>
      </c>
      <c r="AM94" s="343">
        <v>44.69</v>
      </c>
      <c r="AN94" s="344">
        <v>95.7</v>
      </c>
      <c r="AO94" s="344">
        <v>0.1</v>
      </c>
      <c r="AP94" s="345">
        <f t="shared" si="41"/>
        <v>90.645090110484077</v>
      </c>
      <c r="AQ94" s="343">
        <v>91.061004463567599</v>
      </c>
      <c r="AR94" s="344">
        <v>83.5</v>
      </c>
      <c r="AS94" s="345">
        <f t="shared" si="42"/>
        <v>87.2805022317838</v>
      </c>
      <c r="AT94" s="343">
        <v>1128.0719166502499</v>
      </c>
      <c r="AU94" s="343">
        <v>18.380247901342798</v>
      </c>
      <c r="AV94" s="343">
        <v>1226.42858232192</v>
      </c>
      <c r="AW94" s="351">
        <f t="shared" si="43"/>
        <v>42.238249468744648</v>
      </c>
      <c r="AX94" s="293"/>
      <c r="AY94" s="121"/>
    </row>
    <row r="95" spans="1:51" s="5" customFormat="1" ht="15.75" customHeight="1" x14ac:dyDescent="0.2">
      <c r="A95" s="294">
        <v>91</v>
      </c>
      <c r="B95" s="295" t="s">
        <v>13</v>
      </c>
      <c r="C95" s="296" t="s">
        <v>14</v>
      </c>
      <c r="D95" s="143" t="s">
        <v>297</v>
      </c>
      <c r="E95" s="171" t="s">
        <v>304</v>
      </c>
      <c r="F95" s="177" t="s">
        <v>91</v>
      </c>
      <c r="G95" s="341">
        <f t="shared" si="33"/>
        <v>65.711595790317489</v>
      </c>
      <c r="H95" s="342">
        <f t="shared" si="34"/>
        <v>58.469778921376886</v>
      </c>
      <c r="I95" s="342">
        <f t="shared" si="35"/>
        <v>72.953412659258078</v>
      </c>
      <c r="J95" s="343">
        <v>29.308599999999998</v>
      </c>
      <c r="K95" s="344">
        <v>155.25</v>
      </c>
      <c r="L95" s="344">
        <v>74.914537601612494</v>
      </c>
      <c r="M95" s="344">
        <v>83.79855689</v>
      </c>
      <c r="N95" s="345">
        <f t="shared" si="36"/>
        <v>69.277106956236466</v>
      </c>
      <c r="O95" s="343">
        <f t="shared" si="37"/>
        <v>1.1119661105085261</v>
      </c>
      <c r="P95" s="346">
        <v>4234</v>
      </c>
      <c r="Q95" s="346">
        <v>3807670</v>
      </c>
      <c r="R95" s="344">
        <v>1.4</v>
      </c>
      <c r="S95" s="344">
        <v>0</v>
      </c>
      <c r="T95" s="347">
        <v>30</v>
      </c>
      <c r="U95" s="345">
        <f t="shared" si="38"/>
        <v>59.15201785068659</v>
      </c>
      <c r="V95" s="343">
        <f t="shared" si="44"/>
        <v>339.67754558562058</v>
      </c>
      <c r="W95" s="348">
        <v>1293.3800000000001</v>
      </c>
      <c r="X95" s="346">
        <v>3807670</v>
      </c>
      <c r="Y95" s="344">
        <v>12.6</v>
      </c>
      <c r="Z95" s="345">
        <f t="shared" si="39"/>
        <v>73.666800975255256</v>
      </c>
      <c r="AA95" s="343">
        <v>2.6833333333333336</v>
      </c>
      <c r="AB95" s="343">
        <f>AC95/AD95</f>
        <v>8.4253624920226811E-2</v>
      </c>
      <c r="AC95" s="346">
        <v>320810</v>
      </c>
      <c r="AD95" s="346">
        <v>3807670</v>
      </c>
      <c r="AE95" s="344">
        <v>-18</v>
      </c>
      <c r="AF95" s="343">
        <v>25.24</v>
      </c>
      <c r="AG95" s="344">
        <v>15.8</v>
      </c>
      <c r="AH95" s="343">
        <v>3.79</v>
      </c>
      <c r="AI95" s="343">
        <f t="shared" si="40"/>
        <v>0.59142322636350553</v>
      </c>
      <c r="AJ95" s="346">
        <v>41098</v>
      </c>
      <c r="AK95" s="346">
        <v>69490</v>
      </c>
      <c r="AL95" s="345">
        <f t="shared" si="46"/>
        <v>43.692635640720283</v>
      </c>
      <c r="AM95" s="343">
        <v>7.08</v>
      </c>
      <c r="AN95" s="344">
        <v>93.2</v>
      </c>
      <c r="AO95" s="344">
        <v>9.6</v>
      </c>
      <c r="AP95" s="345">
        <f t="shared" si="41"/>
        <v>82.383812579152888</v>
      </c>
      <c r="AQ95" s="343">
        <v>78.823641095933894</v>
      </c>
      <c r="AR95" s="344">
        <v>76.5</v>
      </c>
      <c r="AS95" s="345">
        <f t="shared" si="42"/>
        <v>77.661820547966954</v>
      </c>
      <c r="AT95" s="343">
        <v>832.26305362968401</v>
      </c>
      <c r="AU95" s="343">
        <v>22.274886575074401</v>
      </c>
      <c r="AV95" s="343">
        <v>2154.2728204226601</v>
      </c>
      <c r="AW95" s="351">
        <f t="shared" si="43"/>
        <v>39.953805010864727</v>
      </c>
      <c r="AX95" s="293"/>
      <c r="AY95" s="121"/>
    </row>
    <row r="96" spans="1:51" s="5" customFormat="1" ht="15.75" customHeight="1" x14ac:dyDescent="0.2">
      <c r="A96" s="294">
        <v>92</v>
      </c>
      <c r="B96" s="295" t="s">
        <v>13</v>
      </c>
      <c r="C96" s="296" t="s">
        <v>14</v>
      </c>
      <c r="D96" s="142" t="s">
        <v>296</v>
      </c>
      <c r="E96" s="171" t="s">
        <v>304</v>
      </c>
      <c r="F96" s="177" t="s">
        <v>122</v>
      </c>
      <c r="G96" s="341">
        <f t="shared" si="33"/>
        <v>65.698306154133988</v>
      </c>
      <c r="H96" s="342">
        <f t="shared" si="34"/>
        <v>50.75019937569342</v>
      </c>
      <c r="I96" s="342">
        <f t="shared" si="35"/>
        <v>80.646412932574549</v>
      </c>
      <c r="J96" s="350">
        <v>24.2258215336132</v>
      </c>
      <c r="K96" s="344">
        <v>34.780315384615399</v>
      </c>
      <c r="L96" s="352">
        <v>69.929142282610499</v>
      </c>
      <c r="M96" s="344">
        <v>89.443031973487905</v>
      </c>
      <c r="N96" s="345">
        <f t="shared" si="36"/>
        <v>61.19057202152279</v>
      </c>
      <c r="O96" s="343">
        <f t="shared" si="37"/>
        <v>0.87963485063420366</v>
      </c>
      <c r="P96" s="346">
        <v>1482</v>
      </c>
      <c r="Q96" s="346">
        <v>1684790</v>
      </c>
      <c r="R96" s="352">
        <v>0.45</v>
      </c>
      <c r="S96" s="352">
        <v>0</v>
      </c>
      <c r="T96" s="353">
        <v>90</v>
      </c>
      <c r="U96" s="345">
        <f t="shared" si="38"/>
        <v>40.424659113937892</v>
      </c>
      <c r="V96" s="350">
        <v>282.11705061868213</v>
      </c>
      <c r="W96" s="348"/>
      <c r="X96" s="346">
        <v>1684790</v>
      </c>
      <c r="Y96" s="352">
        <v>4.8</v>
      </c>
      <c r="Z96" s="345">
        <f t="shared" si="39"/>
        <v>84.80713855947451</v>
      </c>
      <c r="AA96" s="350">
        <v>2.7249999999999996</v>
      </c>
      <c r="AB96" s="350">
        <v>0.146023450494529</v>
      </c>
      <c r="AC96" s="346"/>
      <c r="AD96" s="346">
        <v>1684790</v>
      </c>
      <c r="AE96" s="349" t="s">
        <v>931</v>
      </c>
      <c r="AF96" s="349" t="s">
        <v>931</v>
      </c>
      <c r="AG96" s="352">
        <v>6.2424999999999997</v>
      </c>
      <c r="AH96" s="350">
        <v>2.3221152267885801</v>
      </c>
      <c r="AI96" s="343">
        <f t="shared" si="40"/>
        <v>0.7807476807201249</v>
      </c>
      <c r="AJ96" s="346">
        <v>8500</v>
      </c>
      <c r="AK96" s="346">
        <v>10887</v>
      </c>
      <c r="AL96" s="345">
        <f>((AA96/4.5)*100*1.5+(LN(MIN(AB96,5)+1)/LN(5+1))*100+(MAX((60-AG96),0))/60*100*0.5+((AH96-1)/(7-1))*100*2+(LN(MIN(AI96,20)+1)/LN(20+1))*100)/6</f>
        <v>34.376976999357652</v>
      </c>
      <c r="AM96" s="350">
        <v>0.31</v>
      </c>
      <c r="AN96" s="352">
        <v>100</v>
      </c>
      <c r="AO96" s="352">
        <v>13.15</v>
      </c>
      <c r="AP96" s="345">
        <f t="shared" si="41"/>
        <v>85.680440012536039</v>
      </c>
      <c r="AQ96" s="343">
        <v>64.161772171711306</v>
      </c>
      <c r="AR96" s="352">
        <v>99.955782131971702</v>
      </c>
      <c r="AS96" s="345">
        <f t="shared" si="42"/>
        <v>82.058777151841497</v>
      </c>
      <c r="AT96" s="350">
        <v>371.48310997463648</v>
      </c>
      <c r="AU96" s="350">
        <v>1.3759187971170901</v>
      </c>
      <c r="AV96" s="350">
        <v>1701.27972222066</v>
      </c>
      <c r="AW96" s="351">
        <f t="shared" si="43"/>
        <v>64.13196747342316</v>
      </c>
      <c r="AX96" s="293"/>
      <c r="AY96" s="121"/>
    </row>
    <row r="97" spans="1:51" s="5" customFormat="1" ht="15.75" customHeight="1" x14ac:dyDescent="0.2">
      <c r="A97" s="294">
        <v>93</v>
      </c>
      <c r="B97" s="304" t="s">
        <v>29</v>
      </c>
      <c r="C97" s="316" t="s">
        <v>888</v>
      </c>
      <c r="D97" s="148" t="s">
        <v>302</v>
      </c>
      <c r="E97" s="172" t="s">
        <v>305</v>
      </c>
      <c r="F97" s="177" t="s">
        <v>332</v>
      </c>
      <c r="G97" s="341">
        <f t="shared" si="33"/>
        <v>65.585502541024283</v>
      </c>
      <c r="H97" s="342">
        <f t="shared" si="34"/>
        <v>53.086932422913144</v>
      </c>
      <c r="I97" s="342">
        <f t="shared" si="35"/>
        <v>78.08407265913543</v>
      </c>
      <c r="J97" s="343">
        <v>10.006526000000001</v>
      </c>
      <c r="K97" s="344">
        <v>87.236514374999985</v>
      </c>
      <c r="L97" s="352">
        <v>57.892466156671851</v>
      </c>
      <c r="M97" s="344">
        <v>83.011703490000002</v>
      </c>
      <c r="N97" s="345">
        <f t="shared" si="36"/>
        <v>46.472697890834638</v>
      </c>
      <c r="O97" s="343">
        <f t="shared" si="37"/>
        <v>1.5904239735487382</v>
      </c>
      <c r="P97" s="346">
        <v>19</v>
      </c>
      <c r="Q97" s="346">
        <v>11946.5</v>
      </c>
      <c r="R97" s="352">
        <v>0.2</v>
      </c>
      <c r="S97" s="352">
        <v>0</v>
      </c>
      <c r="T97" s="353">
        <v>20</v>
      </c>
      <c r="U97" s="345">
        <f t="shared" si="38"/>
        <v>68.278352097546005</v>
      </c>
      <c r="V97" s="350">
        <v>313.87099080923662</v>
      </c>
      <c r="W97" s="348"/>
      <c r="X97" s="346">
        <v>11946.5</v>
      </c>
      <c r="Y97" s="352">
        <v>2.6</v>
      </c>
      <c r="Z97" s="345">
        <f t="shared" si="39"/>
        <v>88.428634061916227</v>
      </c>
      <c r="AA97" s="350">
        <v>2.2666666666666671</v>
      </c>
      <c r="AB97" s="343">
        <f t="shared" ref="AB97:AB104" si="47">AC97/AD97</f>
        <v>3.2732599506131503</v>
      </c>
      <c r="AC97" s="346">
        <v>39104</v>
      </c>
      <c r="AD97" s="346">
        <v>11946.5</v>
      </c>
      <c r="AE97" s="352">
        <v>-6</v>
      </c>
      <c r="AF97" s="343">
        <v>5</v>
      </c>
      <c r="AG97" s="352">
        <v>12.6</v>
      </c>
      <c r="AH97" s="350">
        <v>2.4554907729862414</v>
      </c>
      <c r="AI97" s="343">
        <f t="shared" si="40"/>
        <v>1.5</v>
      </c>
      <c r="AJ97" s="346">
        <v>30</v>
      </c>
      <c r="AK97" s="346">
        <v>20</v>
      </c>
      <c r="AL97" s="345">
        <f>((AA97/4.5)*100*1.5+(LN(MIN(AB97,5)+1)/LN(5+1))*100+((AE97-(-300))/(150-(-300)))*100+(LN(MIN(AF97,500))/LN(500))*100*0.5+(MAX((60-AG97),0))/60*100*0.5+((AH97-1)/(7-1))*100*2+(LN(MIN(AI97,20)+1)/LN(20+1))*100)/7.5</f>
        <v>47.067886626582656</v>
      </c>
      <c r="AM97" s="343">
        <v>0.6</v>
      </c>
      <c r="AN97" s="344">
        <v>100</v>
      </c>
      <c r="AO97" s="344">
        <v>20.2</v>
      </c>
      <c r="AP97" s="345">
        <f t="shared" si="41"/>
        <v>83.460927264770262</v>
      </c>
      <c r="AQ97" s="350">
        <v>44.785588896592529</v>
      </c>
      <c r="AR97" s="344">
        <v>100</v>
      </c>
      <c r="AS97" s="345">
        <f t="shared" si="42"/>
        <v>72.392794448296257</v>
      </c>
      <c r="AT97" s="343">
        <v>3577.63469818365</v>
      </c>
      <c r="AU97" s="343">
        <v>0</v>
      </c>
      <c r="AV97" s="343">
        <v>2167.6692289866</v>
      </c>
      <c r="AW97" s="351">
        <f t="shared" si="43"/>
        <v>67.64478705307009</v>
      </c>
      <c r="AX97" s="293"/>
      <c r="AY97" s="121"/>
    </row>
    <row r="98" spans="1:51" s="5" customFormat="1" ht="15.75" customHeight="1" x14ac:dyDescent="0.2">
      <c r="A98" s="294">
        <v>94</v>
      </c>
      <c r="B98" s="295" t="s">
        <v>13</v>
      </c>
      <c r="C98" s="296" t="s">
        <v>14</v>
      </c>
      <c r="D98" s="143" t="s">
        <v>297</v>
      </c>
      <c r="E98" s="171" t="s">
        <v>304</v>
      </c>
      <c r="F98" s="177" t="s">
        <v>28</v>
      </c>
      <c r="G98" s="341">
        <f t="shared" si="33"/>
        <v>64.774481167818379</v>
      </c>
      <c r="H98" s="342">
        <f t="shared" si="34"/>
        <v>50.101726720391532</v>
      </c>
      <c r="I98" s="342">
        <f t="shared" si="35"/>
        <v>79.447235615245233</v>
      </c>
      <c r="J98" s="343">
        <v>18.5458</v>
      </c>
      <c r="K98" s="344">
        <v>134.52000000000001</v>
      </c>
      <c r="L98" s="344">
        <v>72.287918986620397</v>
      </c>
      <c r="M98" s="344">
        <v>81.339302059999994</v>
      </c>
      <c r="N98" s="345">
        <f t="shared" si="36"/>
        <v>58.345638594988429</v>
      </c>
      <c r="O98" s="343">
        <f t="shared" si="37"/>
        <v>1.3682643706009114</v>
      </c>
      <c r="P98" s="346">
        <v>4069</v>
      </c>
      <c r="Q98" s="346">
        <v>2973840.5</v>
      </c>
      <c r="R98" s="344">
        <v>1.4</v>
      </c>
      <c r="S98" s="344">
        <v>0</v>
      </c>
      <c r="T98" s="347">
        <v>90</v>
      </c>
      <c r="U98" s="345">
        <f t="shared" si="38"/>
        <v>44.755213494533571</v>
      </c>
      <c r="V98" s="343">
        <f t="shared" ref="V98:V121" si="48">(W98*1000000)/X98</f>
        <v>1033.0076545799952</v>
      </c>
      <c r="W98" s="348">
        <v>3072</v>
      </c>
      <c r="X98" s="346">
        <v>2973840.5</v>
      </c>
      <c r="Y98" s="344">
        <v>18.3</v>
      </c>
      <c r="Z98" s="345">
        <f t="shared" si="39"/>
        <v>68.469304140598339</v>
      </c>
      <c r="AA98" s="343">
        <v>2.4833333333333329</v>
      </c>
      <c r="AB98" s="343">
        <f t="shared" si="47"/>
        <v>0.44101423731366896</v>
      </c>
      <c r="AC98" s="346">
        <v>1311506</v>
      </c>
      <c r="AD98" s="346">
        <v>2973840.5</v>
      </c>
      <c r="AE98" s="349" t="s">
        <v>931</v>
      </c>
      <c r="AF98" s="349" t="s">
        <v>931</v>
      </c>
      <c r="AG98" s="344">
        <v>19.8</v>
      </c>
      <c r="AH98" s="343">
        <v>3.62</v>
      </c>
      <c r="AI98" s="343">
        <f t="shared" si="40"/>
        <v>0.2608710923779417</v>
      </c>
      <c r="AJ98" s="346">
        <v>7427</v>
      </c>
      <c r="AK98" s="346">
        <v>28470</v>
      </c>
      <c r="AL98" s="345">
        <f>((AA98/4.5)*100*1.5+(LN(MIN(AB98,5)+1)/LN(5+1))*100+(MAX((60-AG98),0))/60*100*0.5+((AH98-1)/(7-1))*100*2+(LN(MIN(AI98,20)+1)/LN(20+1))*100)/6</f>
        <v>38.602548797207426</v>
      </c>
      <c r="AM98" s="343">
        <v>8.39</v>
      </c>
      <c r="AN98" s="344">
        <v>98.8</v>
      </c>
      <c r="AO98" s="344">
        <v>0.8</v>
      </c>
      <c r="AP98" s="345">
        <f t="shared" si="41"/>
        <v>94.949027662441196</v>
      </c>
      <c r="AQ98" s="343">
        <v>71.373473468325699</v>
      </c>
      <c r="AR98" s="344">
        <v>99.9</v>
      </c>
      <c r="AS98" s="345">
        <f t="shared" si="42"/>
        <v>85.636736734162852</v>
      </c>
      <c r="AT98" s="343">
        <v>555.94536775835297</v>
      </c>
      <c r="AU98" s="343">
        <v>108.55804698233101</v>
      </c>
      <c r="AV98" s="343">
        <v>1380.7678224122899</v>
      </c>
      <c r="AW98" s="351">
        <f t="shared" si="43"/>
        <v>26.752358354739687</v>
      </c>
      <c r="AX98" s="293"/>
      <c r="AY98" s="121"/>
    </row>
    <row r="99" spans="1:51" s="5" customFormat="1" ht="15.75" customHeight="1" x14ac:dyDescent="0.2">
      <c r="A99" s="294">
        <v>95</v>
      </c>
      <c r="B99" s="295" t="s">
        <v>13</v>
      </c>
      <c r="C99" s="296" t="s">
        <v>14</v>
      </c>
      <c r="D99" s="142" t="s">
        <v>296</v>
      </c>
      <c r="E99" s="171" t="s">
        <v>304</v>
      </c>
      <c r="F99" s="177" t="s">
        <v>15</v>
      </c>
      <c r="G99" s="341">
        <f t="shared" si="33"/>
        <v>64.575271993570055</v>
      </c>
      <c r="H99" s="342">
        <f t="shared" si="34"/>
        <v>54.956761958155333</v>
      </c>
      <c r="I99" s="342">
        <f t="shared" si="35"/>
        <v>74.193782028984771</v>
      </c>
      <c r="J99" s="343">
        <v>22.504899999999999</v>
      </c>
      <c r="K99" s="344">
        <v>92.997299999999996</v>
      </c>
      <c r="L99" s="344">
        <v>72.210204101871696</v>
      </c>
      <c r="M99" s="344">
        <v>85.863899230000001</v>
      </c>
      <c r="N99" s="345">
        <f t="shared" si="36"/>
        <v>61.372519166301252</v>
      </c>
      <c r="O99" s="343">
        <f t="shared" si="37"/>
        <v>1.2615677289398872</v>
      </c>
      <c r="P99" s="346">
        <v>3522</v>
      </c>
      <c r="Q99" s="346">
        <v>2791764.5</v>
      </c>
      <c r="R99" s="344">
        <v>0.9</v>
      </c>
      <c r="S99" s="344">
        <v>0</v>
      </c>
      <c r="T99" s="347">
        <v>10</v>
      </c>
      <c r="U99" s="345">
        <f t="shared" si="38"/>
        <v>66.945368524355928</v>
      </c>
      <c r="V99" s="343">
        <f t="shared" si="48"/>
        <v>285.48253264199042</v>
      </c>
      <c r="W99" s="348">
        <v>797</v>
      </c>
      <c r="X99" s="346">
        <v>2791764.5</v>
      </c>
      <c r="Y99" s="344">
        <v>17.600000000000001</v>
      </c>
      <c r="Z99" s="345">
        <f t="shared" si="39"/>
        <v>65.642883425265993</v>
      </c>
      <c r="AA99" s="343">
        <v>2.5</v>
      </c>
      <c r="AB99" s="343">
        <f t="shared" si="47"/>
        <v>0.13425201158622083</v>
      </c>
      <c r="AC99" s="346">
        <v>374800</v>
      </c>
      <c r="AD99" s="346">
        <v>2791764.5</v>
      </c>
      <c r="AE99" s="344">
        <v>-10</v>
      </c>
      <c r="AF99" s="343">
        <v>12.4</v>
      </c>
      <c r="AG99" s="344">
        <v>19.5</v>
      </c>
      <c r="AH99" s="343">
        <v>4.26</v>
      </c>
      <c r="AI99" s="343">
        <f t="shared" si="40"/>
        <v>0.13160583941605838</v>
      </c>
      <c r="AJ99" s="346">
        <v>3606</v>
      </c>
      <c r="AK99" s="346">
        <v>27400</v>
      </c>
      <c r="AL99" s="345">
        <f>((AA99/4.5)*100*1.5+(LN(MIN(AB99,5)+1)/LN(5+1))*100+((AE99-(-300))/(150-(-300)))*100+(LN(MIN(AF99,500))/LN(500))*100*0.5+(MAX((60-AG99),0))/60*100*0.5+((AH99-1)/(7-1))*100*2+(LN(MIN(AI99,20)+1)/LN(20+1))*100)/7.5</f>
        <v>42.872322741681593</v>
      </c>
      <c r="AM99" s="350">
        <v>0.31</v>
      </c>
      <c r="AN99" s="344">
        <v>86.1</v>
      </c>
      <c r="AO99" s="344">
        <v>12.3</v>
      </c>
      <c r="AP99" s="345">
        <f t="shared" si="41"/>
        <v>78.07134018804949</v>
      </c>
      <c r="AQ99" s="343">
        <v>46.069250627042003</v>
      </c>
      <c r="AR99" s="344">
        <v>100</v>
      </c>
      <c r="AS99" s="345">
        <f t="shared" si="42"/>
        <v>73.034625313521005</v>
      </c>
      <c r="AT99" s="343">
        <v>384.27877814388597</v>
      </c>
      <c r="AU99" s="343">
        <v>1.36399971053907</v>
      </c>
      <c r="AV99" s="343">
        <v>2059.39000876724</v>
      </c>
      <c r="AW99" s="351">
        <f t="shared" si="43"/>
        <v>63.720264267254358</v>
      </c>
      <c r="AX99" s="293"/>
      <c r="AY99" s="121"/>
    </row>
    <row r="100" spans="1:51" s="5" customFormat="1" ht="15.75" customHeight="1" x14ac:dyDescent="0.2">
      <c r="A100" s="294">
        <v>96</v>
      </c>
      <c r="B100" s="307" t="s">
        <v>10</v>
      </c>
      <c r="C100" s="315" t="s">
        <v>115</v>
      </c>
      <c r="D100" s="141" t="s">
        <v>295</v>
      </c>
      <c r="E100" s="173" t="s">
        <v>306</v>
      </c>
      <c r="F100" s="177" t="s">
        <v>219</v>
      </c>
      <c r="G100" s="341">
        <f t="shared" si="33"/>
        <v>64.245158816904066</v>
      </c>
      <c r="H100" s="342">
        <f t="shared" si="34"/>
        <v>58.27405681815106</v>
      </c>
      <c r="I100" s="342">
        <f t="shared" si="35"/>
        <v>70.21626081565708</v>
      </c>
      <c r="J100" s="343">
        <v>30.2699</v>
      </c>
      <c r="K100" s="344">
        <v>106.88500000000001</v>
      </c>
      <c r="L100" s="344">
        <v>67.787296696335602</v>
      </c>
      <c r="M100" s="344">
        <v>89.505500789999999</v>
      </c>
      <c r="N100" s="345">
        <f t="shared" si="36"/>
        <v>68.110949371583914</v>
      </c>
      <c r="O100" s="343">
        <f t="shared" si="37"/>
        <v>0.52123297656481204</v>
      </c>
      <c r="P100" s="346">
        <v>18953</v>
      </c>
      <c r="Q100" s="346">
        <v>36361859</v>
      </c>
      <c r="R100" s="344">
        <v>0.7</v>
      </c>
      <c r="S100" s="344">
        <v>0</v>
      </c>
      <c r="T100" s="347">
        <v>5</v>
      </c>
      <c r="U100" s="345">
        <f t="shared" si="38"/>
        <v>60.632258082242039</v>
      </c>
      <c r="V100" s="343">
        <f t="shared" si="48"/>
        <v>1179.8076660491972</v>
      </c>
      <c r="W100" s="348">
        <v>42900</v>
      </c>
      <c r="X100" s="346">
        <v>36361859</v>
      </c>
      <c r="Y100" s="344">
        <v>1.7</v>
      </c>
      <c r="Z100" s="345">
        <f t="shared" si="39"/>
        <v>93.769822692832435</v>
      </c>
      <c r="AA100" s="343">
        <v>2.5666666666666664</v>
      </c>
      <c r="AB100" s="343">
        <f t="shared" si="47"/>
        <v>0.13337984177321627</v>
      </c>
      <c r="AC100" s="346">
        <v>4849939</v>
      </c>
      <c r="AD100" s="346">
        <v>36361859</v>
      </c>
      <c r="AE100" s="349" t="s">
        <v>931</v>
      </c>
      <c r="AF100" s="349" t="s">
        <v>931</v>
      </c>
      <c r="AG100" s="344">
        <v>1.3</v>
      </c>
      <c r="AH100" s="350">
        <v>3.6768520906295259</v>
      </c>
      <c r="AI100" s="343">
        <f t="shared" si="40"/>
        <v>0.10077338975082276</v>
      </c>
      <c r="AJ100" s="346">
        <v>42869</v>
      </c>
      <c r="AK100" s="346">
        <v>425400</v>
      </c>
      <c r="AL100" s="345">
        <f>((AA100/4.5)*100*1.5+(LN(MIN(AB100,5)+1)/LN(5+1))*100+(MAX((60-AG100),0))/60*100*0.5+((AH100-1)/(7-1))*100*2+(LN(MIN(AI100,20)+1)/LN(20+1))*100)/6</f>
        <v>38.973672480025108</v>
      </c>
      <c r="AM100" s="343">
        <v>7.1</v>
      </c>
      <c r="AN100" s="344">
        <v>78.099999999999994</v>
      </c>
      <c r="AO100" s="344">
        <v>25.1</v>
      </c>
      <c r="AP100" s="345">
        <f t="shared" si="41"/>
        <v>68.897829946854969</v>
      </c>
      <c r="AQ100" s="343">
        <v>59.658383014518598</v>
      </c>
      <c r="AR100" s="344">
        <v>88.5</v>
      </c>
      <c r="AS100" s="345">
        <f t="shared" si="42"/>
        <v>74.079191507259296</v>
      </c>
      <c r="AT100" s="343">
        <v>562.61560440644598</v>
      </c>
      <c r="AU100" s="343">
        <v>0.18928301010210399</v>
      </c>
      <c r="AV100" s="343">
        <v>1425.4962299190299</v>
      </c>
      <c r="AW100" s="351">
        <f t="shared" si="43"/>
        <v>70.308622730461181</v>
      </c>
      <c r="AX100" s="293"/>
      <c r="AY100" s="121"/>
    </row>
    <row r="101" spans="1:51" s="5" customFormat="1" ht="15.75" customHeight="1" x14ac:dyDescent="0.2">
      <c r="A101" s="294">
        <v>97</v>
      </c>
      <c r="B101" s="301" t="s">
        <v>23</v>
      </c>
      <c r="C101" s="302" t="s">
        <v>24</v>
      </c>
      <c r="D101" s="145" t="s">
        <v>299</v>
      </c>
      <c r="E101" s="171" t="s">
        <v>304</v>
      </c>
      <c r="F101" s="177" t="s">
        <v>198</v>
      </c>
      <c r="G101" s="341">
        <f t="shared" ref="G101:G132" si="49">AVERAGE(H101:I101)</f>
        <v>64.215417802580788</v>
      </c>
      <c r="H101" s="342">
        <f t="shared" ref="H101:H132" si="50">(N101*20+U101*5+Z101*5+AL101*20)/50</f>
        <v>49.443179862122982</v>
      </c>
      <c r="I101" s="342">
        <f t="shared" ref="I101:I132" si="51">(AP101*15+AS101*5+AW101*5)/25</f>
        <v>78.987655743038587</v>
      </c>
      <c r="J101" s="343">
        <v>17.537400000000002</v>
      </c>
      <c r="K101" s="344">
        <v>157.24600000000001</v>
      </c>
      <c r="L101" s="344">
        <v>60.063224267502697</v>
      </c>
      <c r="M101" s="344">
        <v>93.588767050634615</v>
      </c>
      <c r="N101" s="345">
        <f t="shared" ref="N101:N132" si="52">((MIN(J101,50)/50)*100*2.5+(MIN(K101,250)/250)*0.5*100+L101*1.5+M101*1.5)/6</f>
        <v>58.269031162867662</v>
      </c>
      <c r="O101" s="343">
        <f t="shared" ref="O101:O132" si="53">(P101*1000)/Q101</f>
        <v>0.92366230527827298</v>
      </c>
      <c r="P101" s="346">
        <v>586</v>
      </c>
      <c r="Q101" s="346">
        <v>634431</v>
      </c>
      <c r="R101" s="344">
        <v>1.3</v>
      </c>
      <c r="S101" s="344">
        <v>1</v>
      </c>
      <c r="T101" s="347">
        <v>90</v>
      </c>
      <c r="U101" s="345">
        <f t="shared" ref="U101:U132" si="54">((MIN(O101,4)/4)*100*1.5+(1-(MIN(R101,15)/15))*100*0.5+(1-(MIN(S101,8)/8))*100*0.5+(1-(MIN(T101,100)/100))*100)/3.5</f>
        <v>38.301143747029116</v>
      </c>
      <c r="V101" s="343">
        <f t="shared" si="48"/>
        <v>970.79114986499712</v>
      </c>
      <c r="W101" s="348">
        <v>615.9</v>
      </c>
      <c r="X101" s="346">
        <v>634431</v>
      </c>
      <c r="Y101" s="344">
        <v>20.3</v>
      </c>
      <c r="Z101" s="345">
        <f t="shared" ref="Z101:Z132" si="55">((LN(MAX(V101,1))/LN(4000))*100*0.5+(MAX((50-Y101),0))/50*100*1.5)/2</f>
        <v>65.282065926586341</v>
      </c>
      <c r="AA101" s="350">
        <v>2.6666666666666665</v>
      </c>
      <c r="AB101" s="343">
        <f t="shared" si="47"/>
        <v>0.23591533200615986</v>
      </c>
      <c r="AC101" s="346">
        <v>149672</v>
      </c>
      <c r="AD101" s="346">
        <v>634431</v>
      </c>
      <c r="AE101" s="352">
        <v>5.333333333333333</v>
      </c>
      <c r="AF101" s="343">
        <v>42.92</v>
      </c>
      <c r="AG101" s="344">
        <v>7.3</v>
      </c>
      <c r="AH101" s="350">
        <v>2.5622855022748299</v>
      </c>
      <c r="AI101" s="343">
        <f t="shared" ref="AI101:AI132" si="56">AJ101/AK101</f>
        <v>3.1615384615384615E-2</v>
      </c>
      <c r="AJ101" s="346">
        <v>4932</v>
      </c>
      <c r="AK101" s="346">
        <v>156000</v>
      </c>
      <c r="AL101" s="345">
        <f>((AA101/4.5)*100*1.5+(LN(MIN(AB101,5)+1)/LN(5+1))*100+((AE101-(-300))/(150-(-300)))*100+(LN(MIN(AF101,500))/LN(500))*100*0.5+(MAX((60-AG101),0))/60*100*0.5+((AH101-1)/(7-1))*100*2+(LN(MIN(AI101,20)+1)/LN(20+1))*100)/7.5</f>
        <v>39.443116074035906</v>
      </c>
      <c r="AM101" s="343">
        <v>15.8</v>
      </c>
      <c r="AN101" s="344">
        <v>95.7</v>
      </c>
      <c r="AO101" s="344">
        <v>3.4</v>
      </c>
      <c r="AP101" s="345">
        <f t="shared" ref="AP101:AP132" si="57">((100-AM101)*0.5+AN101*2+(1-(LN(MIN(AO101,200)+1)/LN(200+1)))*100*1)/3.5</f>
        <v>87.303605196004582</v>
      </c>
      <c r="AQ101" s="350">
        <v>43.6370837272679</v>
      </c>
      <c r="AR101" s="344">
        <v>81.599999999999994</v>
      </c>
      <c r="AS101" s="345">
        <f t="shared" ref="AS101:AS132" si="58">(AQ101+AR101)/2</f>
        <v>62.618541863633951</v>
      </c>
      <c r="AT101" s="343">
        <v>982.92872015564501</v>
      </c>
      <c r="AU101" s="343">
        <v>0</v>
      </c>
      <c r="AV101" s="343">
        <v>1744.9008177604401</v>
      </c>
      <c r="AW101" s="351">
        <f t="shared" ref="AW101:AW132" si="59">((1-(LN(MIN(AT101,3000)+1)/LN(3000+1)))*100*0.5+(1-(LN(MIN(AU101,1000)+1)/LN(1000+1)))*100*2+(1-(LN(MIN(AV101,3500)+1)/LN(3500+1)))*100*0.5)/3</f>
        <v>70.408921263545238</v>
      </c>
      <c r="AX101" s="293"/>
      <c r="AY101" s="121"/>
    </row>
    <row r="102" spans="1:51" s="5" customFormat="1" ht="15.75" customHeight="1" x14ac:dyDescent="0.2">
      <c r="A102" s="294">
        <v>98</v>
      </c>
      <c r="B102" s="307" t="s">
        <v>10</v>
      </c>
      <c r="C102" s="315" t="s">
        <v>115</v>
      </c>
      <c r="D102" s="141" t="s">
        <v>295</v>
      </c>
      <c r="E102" s="171" t="s">
        <v>304</v>
      </c>
      <c r="F102" s="177" t="s">
        <v>211</v>
      </c>
      <c r="G102" s="341">
        <f t="shared" si="49"/>
        <v>64.108753990802114</v>
      </c>
      <c r="H102" s="342">
        <f t="shared" si="50"/>
        <v>44.268344567863785</v>
      </c>
      <c r="I102" s="342">
        <f t="shared" si="51"/>
        <v>83.94916341374045</v>
      </c>
      <c r="J102" s="343">
        <v>5.9819805479166668</v>
      </c>
      <c r="K102" s="344">
        <v>75.599638181818179</v>
      </c>
      <c r="L102" s="352">
        <v>68.08317472086064</v>
      </c>
      <c r="M102" s="344">
        <v>37.977364846666667</v>
      </c>
      <c r="N102" s="345">
        <f t="shared" si="52"/>
        <v>34.020106621206317</v>
      </c>
      <c r="O102" s="343">
        <f t="shared" si="53"/>
        <v>0.86877060553151086</v>
      </c>
      <c r="P102" s="346">
        <v>6511</v>
      </c>
      <c r="Q102" s="346">
        <v>7494498.5</v>
      </c>
      <c r="R102" s="344">
        <v>0.4</v>
      </c>
      <c r="S102" s="344">
        <v>0</v>
      </c>
      <c r="T102" s="347">
        <v>7</v>
      </c>
      <c r="U102" s="345">
        <f t="shared" si="54"/>
        <v>64.070161249742384</v>
      </c>
      <c r="V102" s="343">
        <f t="shared" si="48"/>
        <v>3501.9020952502692</v>
      </c>
      <c r="W102" s="348">
        <v>26245</v>
      </c>
      <c r="X102" s="346">
        <v>7494498.5</v>
      </c>
      <c r="Y102" s="344">
        <v>3.3</v>
      </c>
      <c r="Z102" s="345">
        <f t="shared" si="55"/>
        <v>94.649146104050487</v>
      </c>
      <c r="AA102" s="343">
        <v>2.41</v>
      </c>
      <c r="AB102" s="343">
        <f t="shared" si="47"/>
        <v>0.14385464097430936</v>
      </c>
      <c r="AC102" s="346">
        <v>1078118.3910000001</v>
      </c>
      <c r="AD102" s="346">
        <v>7494498.5</v>
      </c>
      <c r="AE102" s="349" t="s">
        <v>931</v>
      </c>
      <c r="AF102" s="349" t="s">
        <v>931</v>
      </c>
      <c r="AG102" s="344">
        <v>10.8</v>
      </c>
      <c r="AH102" s="350">
        <v>3.7612655351150512</v>
      </c>
      <c r="AI102" s="343">
        <f t="shared" si="56"/>
        <v>2.9308620432830421E-2</v>
      </c>
      <c r="AJ102" s="346">
        <v>13773</v>
      </c>
      <c r="AK102" s="346">
        <v>469930</v>
      </c>
      <c r="AL102" s="345">
        <f>((AA102/4.5)*100*1.5+(LN(MIN(AB102,5)+1)/LN(5+1))*100+(MAX((60-AG102),0))/60*100*0.5+((AH102-1)/(7-1))*100*2+(LN(MIN(AI102,20)+1)/LN(20+1))*100)/6</f>
        <v>36.970927960004929</v>
      </c>
      <c r="AM102" s="343">
        <v>8.3800000000000008</v>
      </c>
      <c r="AN102" s="344">
        <v>99.8</v>
      </c>
      <c r="AO102" s="344">
        <v>0</v>
      </c>
      <c r="AP102" s="345">
        <f t="shared" si="57"/>
        <v>98.688571428571422</v>
      </c>
      <c r="AQ102" s="343">
        <v>38.547592537059373</v>
      </c>
      <c r="AR102" s="344">
        <v>63.6</v>
      </c>
      <c r="AS102" s="345">
        <f t="shared" si="58"/>
        <v>51.073796268529691</v>
      </c>
      <c r="AT102" s="343">
        <v>302.717994198101</v>
      </c>
      <c r="AU102" s="343">
        <v>6.3842996898007404E-2</v>
      </c>
      <c r="AV102" s="343">
        <v>1471.53916327058</v>
      </c>
      <c r="AW102" s="351">
        <f t="shared" si="59"/>
        <v>72.606306514458296</v>
      </c>
      <c r="AX102" s="293"/>
      <c r="AY102" s="121"/>
    </row>
    <row r="103" spans="1:51" s="5" customFormat="1" ht="15.75" customHeight="1" x14ac:dyDescent="0.2">
      <c r="A103" s="294">
        <v>99</v>
      </c>
      <c r="B103" s="301" t="s">
        <v>23</v>
      </c>
      <c r="C103" s="303" t="s">
        <v>26</v>
      </c>
      <c r="D103" s="145" t="s">
        <v>299</v>
      </c>
      <c r="E103" s="171" t="s">
        <v>304</v>
      </c>
      <c r="F103" s="177" t="s">
        <v>70</v>
      </c>
      <c r="G103" s="341">
        <f t="shared" si="49"/>
        <v>63.971838420314434</v>
      </c>
      <c r="H103" s="342">
        <f t="shared" si="50"/>
        <v>44.74833907197457</v>
      </c>
      <c r="I103" s="342">
        <f t="shared" si="51"/>
        <v>83.195337768654298</v>
      </c>
      <c r="J103" s="343">
        <v>2.9711799999999999</v>
      </c>
      <c r="K103" s="344">
        <v>69.576800000000006</v>
      </c>
      <c r="L103" s="352">
        <v>67.922398758395872</v>
      </c>
      <c r="M103" s="344">
        <v>70.47699738</v>
      </c>
      <c r="N103" s="345">
        <f t="shared" si="52"/>
        <v>39.395059034598965</v>
      </c>
      <c r="O103" s="343">
        <f t="shared" si="53"/>
        <v>0.48898962757278536</v>
      </c>
      <c r="P103" s="346">
        <v>5369</v>
      </c>
      <c r="Q103" s="346">
        <v>10979783</v>
      </c>
      <c r="R103" s="352">
        <v>1.2349999999999999</v>
      </c>
      <c r="S103" s="352">
        <v>0</v>
      </c>
      <c r="T103" s="353">
        <v>10</v>
      </c>
      <c r="U103" s="345">
        <f t="shared" si="54"/>
        <v>58.348698390660793</v>
      </c>
      <c r="V103" s="343">
        <f t="shared" si="48"/>
        <v>633.71015620254059</v>
      </c>
      <c r="W103" s="348">
        <v>6958</v>
      </c>
      <c r="X103" s="346">
        <v>10979783</v>
      </c>
      <c r="Y103" s="352">
        <v>15.8</v>
      </c>
      <c r="Z103" s="345">
        <f t="shared" si="55"/>
        <v>70.746446437449421</v>
      </c>
      <c r="AA103" s="343">
        <v>2.25</v>
      </c>
      <c r="AB103" s="343">
        <f t="shared" si="47"/>
        <v>1.2477295771692392E-2</v>
      </c>
      <c r="AC103" s="346">
        <v>136998</v>
      </c>
      <c r="AD103" s="346">
        <v>10979783</v>
      </c>
      <c r="AE103" s="344">
        <v>-11</v>
      </c>
      <c r="AF103" s="343">
        <v>25.11</v>
      </c>
      <c r="AG103" s="352">
        <v>17</v>
      </c>
      <c r="AH103" s="350">
        <v>3.503139388776952</v>
      </c>
      <c r="AI103" s="343">
        <f t="shared" si="56"/>
        <v>0.64739179498380106</v>
      </c>
      <c r="AJ103" s="346">
        <v>71138</v>
      </c>
      <c r="AK103" s="346">
        <v>109884</v>
      </c>
      <c r="AL103" s="345">
        <f>((AA103/4.5)*100*1.5+(LN(MIN(AB103,5)+1)/LN(5+1))*100+((AE103-(-300))/(150-(-300)))*100+(LN(MIN(AF103,500))/LN(500))*100*0.5+(MAX((60-AG103),0))/60*100*0.5+((AH103-1)/(7-1))*100*2+(LN(MIN(AI103,20)+1)/LN(20+1))*100)/7.5</f>
        <v>40.202002438309911</v>
      </c>
      <c r="AM103" s="343">
        <v>11.04</v>
      </c>
      <c r="AN103" s="344">
        <v>94.9</v>
      </c>
      <c r="AO103" s="344">
        <v>1.3</v>
      </c>
      <c r="AP103" s="345">
        <f t="shared" si="57"/>
        <v>91.021293415144712</v>
      </c>
      <c r="AQ103" s="350">
        <v>70.568287527556166</v>
      </c>
      <c r="AR103" s="344">
        <v>93</v>
      </c>
      <c r="AS103" s="345">
        <f t="shared" si="58"/>
        <v>81.784143763778076</v>
      </c>
      <c r="AT103" s="343">
        <v>294.35594305273497</v>
      </c>
      <c r="AU103" s="343">
        <v>2.42447439744309</v>
      </c>
      <c r="AV103" s="343">
        <v>1667.21088359584</v>
      </c>
      <c r="AW103" s="351">
        <f t="shared" si="59"/>
        <v>61.1286648340593</v>
      </c>
      <c r="AX103" s="293"/>
      <c r="AY103" s="121"/>
    </row>
    <row r="104" spans="1:51" s="5" customFormat="1" ht="15.75" customHeight="1" x14ac:dyDescent="0.2">
      <c r="A104" s="294">
        <v>100</v>
      </c>
      <c r="B104" s="297" t="s">
        <v>16</v>
      </c>
      <c r="C104" s="298" t="s">
        <v>17</v>
      </c>
      <c r="D104" s="143" t="s">
        <v>297</v>
      </c>
      <c r="E104" s="171" t="s">
        <v>304</v>
      </c>
      <c r="F104" s="177" t="s">
        <v>18</v>
      </c>
      <c r="G104" s="341">
        <f t="shared" si="49"/>
        <v>63.837866311294093</v>
      </c>
      <c r="H104" s="342">
        <f t="shared" si="50"/>
        <v>45.832226992063084</v>
      </c>
      <c r="I104" s="342">
        <f t="shared" si="51"/>
        <v>81.843505630525101</v>
      </c>
      <c r="J104" s="343">
        <v>12.008699999999999</v>
      </c>
      <c r="K104" s="344">
        <v>111.60599999999999</v>
      </c>
      <c r="L104" s="344">
        <v>57.8864313187348</v>
      </c>
      <c r="M104" s="344">
        <v>77.417800900000003</v>
      </c>
      <c r="N104" s="345">
        <f t="shared" si="52"/>
        <v>47.553508054683704</v>
      </c>
      <c r="O104" s="343">
        <f t="shared" si="53"/>
        <v>0.47981057927643167</v>
      </c>
      <c r="P104" s="346">
        <v>22462</v>
      </c>
      <c r="Q104" s="346">
        <v>46814307.5</v>
      </c>
      <c r="R104" s="352">
        <v>1.4</v>
      </c>
      <c r="S104" s="352">
        <v>0</v>
      </c>
      <c r="T104" s="353">
        <v>10</v>
      </c>
      <c r="U104" s="345">
        <f t="shared" si="54"/>
        <v>58.09320858748557</v>
      </c>
      <c r="V104" s="343">
        <f t="shared" si="48"/>
        <v>219.84731911285883</v>
      </c>
      <c r="W104" s="348">
        <v>10292</v>
      </c>
      <c r="X104" s="346">
        <v>46814307.5</v>
      </c>
      <c r="Y104" s="344">
        <v>22.6</v>
      </c>
      <c r="Z104" s="345">
        <f t="shared" si="55"/>
        <v>57.355428697076384</v>
      </c>
      <c r="AA104" s="343">
        <v>2.4500000000000002</v>
      </c>
      <c r="AB104" s="343">
        <f t="shared" si="47"/>
        <v>0.15295884383209127</v>
      </c>
      <c r="AC104" s="346">
        <v>7160662.3499999996</v>
      </c>
      <c r="AD104" s="346">
        <v>46814307.5</v>
      </c>
      <c r="AE104" s="344">
        <v>-129</v>
      </c>
      <c r="AF104" s="343">
        <v>70.430000000000007</v>
      </c>
      <c r="AG104" s="352">
        <v>15.8</v>
      </c>
      <c r="AH104" s="343">
        <v>3.57</v>
      </c>
      <c r="AI104" s="343">
        <f t="shared" si="56"/>
        <v>5.9410322113109697E-2</v>
      </c>
      <c r="AJ104" s="346">
        <v>141500</v>
      </c>
      <c r="AK104" s="346">
        <v>2381741</v>
      </c>
      <c r="AL104" s="345">
        <f>((AA104/4.5)*100*1.5+(LN(MIN(AB104,5)+1)/LN(5+1))*100+((AE104-(-300))/(150-(-300)))*100+(LN(MIN(AF104,500))/LN(500))*100*0.5+(MAX((60-AG104),0))/60*100*0.5+((AH104-1)/(7-1))*100*2+(LN(MIN(AI104,20)+1)/LN(20+1))*100)/7.5</f>
        <v>38.164900104333519</v>
      </c>
      <c r="AM104" s="343">
        <v>13.25</v>
      </c>
      <c r="AN104" s="344">
        <v>99.7</v>
      </c>
      <c r="AO104" s="344">
        <v>0</v>
      </c>
      <c r="AP104" s="345">
        <f t="shared" si="57"/>
        <v>97.935714285714283</v>
      </c>
      <c r="AQ104" s="343">
        <v>35.290106909717302</v>
      </c>
      <c r="AR104" s="344">
        <v>89.8</v>
      </c>
      <c r="AS104" s="345">
        <f t="shared" si="58"/>
        <v>62.545053454858646</v>
      </c>
      <c r="AT104" s="343">
        <v>1003.77228774512</v>
      </c>
      <c r="AU104" s="343">
        <v>5.5258705137842696</v>
      </c>
      <c r="AV104" s="343">
        <v>1300.13225116791</v>
      </c>
      <c r="AW104" s="351">
        <f t="shared" si="59"/>
        <v>52.865331840624044</v>
      </c>
      <c r="AX104" s="293"/>
      <c r="AY104" s="121"/>
    </row>
    <row r="105" spans="1:51" s="5" customFormat="1" ht="15.75" customHeight="1" x14ac:dyDescent="0.2">
      <c r="A105" s="294">
        <v>101</v>
      </c>
      <c r="B105" s="301" t="s">
        <v>23</v>
      </c>
      <c r="C105" s="302" t="s">
        <v>24</v>
      </c>
      <c r="D105" s="145" t="s">
        <v>299</v>
      </c>
      <c r="E105" s="171" t="s">
        <v>304</v>
      </c>
      <c r="F105" s="177" t="s">
        <v>195</v>
      </c>
      <c r="G105" s="341">
        <f t="shared" si="49"/>
        <v>63.422134591172401</v>
      </c>
      <c r="H105" s="342">
        <f t="shared" si="50"/>
        <v>45.752225214332512</v>
      </c>
      <c r="I105" s="342">
        <f t="shared" si="51"/>
        <v>81.092043968012291</v>
      </c>
      <c r="J105" s="343">
        <v>12.804889791666666</v>
      </c>
      <c r="K105" s="344">
        <v>98.219123749999994</v>
      </c>
      <c r="L105" s="344">
        <v>60.825393295016603</v>
      </c>
      <c r="M105" s="344">
        <v>68.20500183</v>
      </c>
      <c r="N105" s="345">
        <f t="shared" si="52"/>
        <v>46.202311065976367</v>
      </c>
      <c r="O105" s="343">
        <f t="shared" si="53"/>
        <v>0.52296745083966878</v>
      </c>
      <c r="P105" s="346">
        <v>94</v>
      </c>
      <c r="Q105" s="346">
        <v>179743.5</v>
      </c>
      <c r="R105" s="344">
        <v>0.3</v>
      </c>
      <c r="S105" s="344">
        <v>0</v>
      </c>
      <c r="T105" s="347">
        <v>7</v>
      </c>
      <c r="U105" s="345">
        <f t="shared" si="54"/>
        <v>60.46036554471074</v>
      </c>
      <c r="V105" s="343">
        <f t="shared" si="48"/>
        <v>238.6734429895935</v>
      </c>
      <c r="W105" s="348">
        <v>42.9</v>
      </c>
      <c r="X105" s="346">
        <v>179743.5</v>
      </c>
      <c r="Y105" s="344">
        <v>52</v>
      </c>
      <c r="Z105" s="345">
        <f t="shared" si="55"/>
        <v>16.50308506664733</v>
      </c>
      <c r="AA105" s="350">
        <v>2.6666666666666665</v>
      </c>
      <c r="AB105" s="350">
        <v>0.44999588169398697</v>
      </c>
      <c r="AC105" s="346"/>
      <c r="AD105" s="346">
        <v>179743.5</v>
      </c>
      <c r="AE105" s="344">
        <v>3</v>
      </c>
      <c r="AF105" s="343">
        <v>28.85</v>
      </c>
      <c r="AG105" s="344">
        <v>13.5</v>
      </c>
      <c r="AH105" s="350">
        <v>3.650981199977323</v>
      </c>
      <c r="AI105" s="343">
        <f t="shared" si="56"/>
        <v>1.9836065573770492</v>
      </c>
      <c r="AJ105" s="346">
        <v>1210</v>
      </c>
      <c r="AK105" s="346">
        <v>610</v>
      </c>
      <c r="AL105" s="345">
        <f>((AA105/4.5)*100*1.5+(LN(MIN(AB105,5)+1)/LN(5+1))*100+((AE105-(-300))/(150-(-300)))*100+(LN(MIN(AF105,500))/LN(500))*100*0.5+(MAX((60-AG105),0))/60*100*0.5+((AH105-1)/(7-1))*100*2+(LN(MIN(AI105,20)+1)/LN(20+1))*100)/7.5</f>
        <v>48.937389317015395</v>
      </c>
      <c r="AM105" s="343">
        <v>0.44</v>
      </c>
      <c r="AN105" s="344">
        <v>92.1</v>
      </c>
      <c r="AO105" s="344">
        <v>1.6</v>
      </c>
      <c r="AP105" s="345">
        <f t="shared" si="57"/>
        <v>90.275062046388626</v>
      </c>
      <c r="AQ105" s="350">
        <v>55.095232437289937</v>
      </c>
      <c r="AR105" s="344">
        <v>100</v>
      </c>
      <c r="AS105" s="345">
        <f t="shared" si="58"/>
        <v>77.547616218644976</v>
      </c>
      <c r="AT105" s="343">
        <v>553.89936157659099</v>
      </c>
      <c r="AU105" s="343">
        <v>3.7075540058308398</v>
      </c>
      <c r="AV105" s="343">
        <v>1409.91300202862</v>
      </c>
      <c r="AW105" s="351">
        <f t="shared" si="59"/>
        <v>57.08741748225065</v>
      </c>
      <c r="AX105" s="293"/>
      <c r="AY105" s="121"/>
    </row>
    <row r="106" spans="1:51" s="5" customFormat="1" ht="15.75" customHeight="1" x14ac:dyDescent="0.2">
      <c r="A106" s="294">
        <v>102</v>
      </c>
      <c r="B106" s="301" t="s">
        <v>23</v>
      </c>
      <c r="C106" s="303" t="s">
        <v>26</v>
      </c>
      <c r="D106" s="145" t="s">
        <v>299</v>
      </c>
      <c r="E106" s="171" t="s">
        <v>304</v>
      </c>
      <c r="F106" s="177" t="s">
        <v>76</v>
      </c>
      <c r="G106" s="341">
        <f t="shared" si="49"/>
        <v>63.386025224798729</v>
      </c>
      <c r="H106" s="342">
        <f t="shared" si="50"/>
        <v>52.346494902606111</v>
      </c>
      <c r="I106" s="342">
        <f t="shared" si="51"/>
        <v>74.425555546991347</v>
      </c>
      <c r="J106" s="343">
        <v>11.134600000000001</v>
      </c>
      <c r="K106" s="344">
        <v>91.867599999999996</v>
      </c>
      <c r="L106" s="344">
        <v>70.270036986320505</v>
      </c>
      <c r="M106" s="344">
        <v>91.002244599999997</v>
      </c>
      <c r="N106" s="345">
        <f t="shared" si="52"/>
        <v>52.659157063246795</v>
      </c>
      <c r="O106" s="343">
        <f t="shared" si="53"/>
        <v>0.55567432304209907</v>
      </c>
      <c r="P106" s="346">
        <v>6350</v>
      </c>
      <c r="Q106" s="346">
        <v>11427557</v>
      </c>
      <c r="R106" s="344">
        <v>7.03</v>
      </c>
      <c r="S106" s="344">
        <v>0.38</v>
      </c>
      <c r="T106" s="347">
        <v>4.75</v>
      </c>
      <c r="U106" s="345">
        <f t="shared" si="54"/>
        <v>54.365558223070103</v>
      </c>
      <c r="V106" s="343">
        <f t="shared" si="48"/>
        <v>624.54293599235598</v>
      </c>
      <c r="W106" s="348">
        <v>7137</v>
      </c>
      <c r="X106" s="346">
        <v>11427557</v>
      </c>
      <c r="Y106" s="352">
        <v>15.8</v>
      </c>
      <c r="Z106" s="345">
        <f t="shared" si="55"/>
        <v>70.702524578189468</v>
      </c>
      <c r="AA106" s="343">
        <v>2.6333333333333333</v>
      </c>
      <c r="AB106" s="343">
        <f>AC106/AD106</f>
        <v>8.7178563187214911E-2</v>
      </c>
      <c r="AC106" s="346">
        <v>996238</v>
      </c>
      <c r="AD106" s="346">
        <v>11427557</v>
      </c>
      <c r="AE106" s="344">
        <v>-9</v>
      </c>
      <c r="AF106" s="343">
        <v>130.02000000000001</v>
      </c>
      <c r="AG106" s="344">
        <v>13.11</v>
      </c>
      <c r="AH106" s="343">
        <v>4.3899999999999997</v>
      </c>
      <c r="AI106" s="343">
        <f t="shared" si="56"/>
        <v>0.1193294701986755</v>
      </c>
      <c r="AJ106" s="346">
        <v>5766</v>
      </c>
      <c r="AK106" s="346">
        <v>48320</v>
      </c>
      <c r="AL106" s="345">
        <f>((AA106/4.5)*100*1.5+(LN(MIN(AB106,5)+1)/LN(5+1))*100+((AE106-(-300))/(150-(-300)))*100+(LN(MIN(AF106,500))/LN(500))*100*0.5+(MAX((60-AG106),0))/60*100*0.5+((AH106-1)/(7-1))*100*2+(LN(MIN(AI106,20)+1)/LN(20+1))*100)/7.5</f>
        <v>46.940059492953587</v>
      </c>
      <c r="AM106" s="343">
        <v>11.25</v>
      </c>
      <c r="AN106" s="344">
        <v>93.5</v>
      </c>
      <c r="AO106" s="344">
        <v>6.6</v>
      </c>
      <c r="AP106" s="345">
        <f t="shared" si="57"/>
        <v>83.751971169981488</v>
      </c>
      <c r="AQ106" s="343">
        <v>64.777963876998001</v>
      </c>
      <c r="AR106" s="344">
        <v>97.1</v>
      </c>
      <c r="AS106" s="345">
        <f t="shared" si="58"/>
        <v>80.938981938498998</v>
      </c>
      <c r="AT106" s="343">
        <v>1713.55888994055</v>
      </c>
      <c r="AU106" s="343">
        <v>20.919308888216701</v>
      </c>
      <c r="AV106" s="343">
        <v>1384.7480881656099</v>
      </c>
      <c r="AW106" s="351">
        <f t="shared" si="59"/>
        <v>39.932882286513298</v>
      </c>
      <c r="AX106" s="293"/>
      <c r="AY106" s="121"/>
    </row>
    <row r="107" spans="1:51" s="5" customFormat="1" ht="15.75" customHeight="1" x14ac:dyDescent="0.2">
      <c r="A107" s="294">
        <v>103</v>
      </c>
      <c r="B107" s="301" t="s">
        <v>23</v>
      </c>
      <c r="C107" s="302" t="s">
        <v>24</v>
      </c>
      <c r="D107" s="145" t="s">
        <v>299</v>
      </c>
      <c r="E107" s="172" t="s">
        <v>305</v>
      </c>
      <c r="F107" s="177" t="s">
        <v>99</v>
      </c>
      <c r="G107" s="341">
        <f t="shared" si="49"/>
        <v>63.255954625684787</v>
      </c>
      <c r="H107" s="342">
        <f t="shared" si="50"/>
        <v>47.146128116270276</v>
      </c>
      <c r="I107" s="342">
        <f t="shared" si="51"/>
        <v>79.365781135099297</v>
      </c>
      <c r="J107" s="343">
        <v>13.8408460833333</v>
      </c>
      <c r="K107" s="344">
        <v>118.00998249999999</v>
      </c>
      <c r="L107" s="344">
        <v>63.919198275193303</v>
      </c>
      <c r="M107" s="344">
        <v>83.000801089999996</v>
      </c>
      <c r="N107" s="345">
        <f t="shared" si="52"/>
        <v>52.197704327409404</v>
      </c>
      <c r="O107" s="343">
        <f t="shared" si="53"/>
        <v>0.43677763987262458</v>
      </c>
      <c r="P107" s="346">
        <v>363</v>
      </c>
      <c r="Q107" s="346">
        <v>831086.5</v>
      </c>
      <c r="R107" s="352">
        <v>0.65</v>
      </c>
      <c r="S107" s="352">
        <v>0</v>
      </c>
      <c r="T107" s="353">
        <v>7</v>
      </c>
      <c r="U107" s="345">
        <f t="shared" si="54"/>
        <v>59.20356995101622</v>
      </c>
      <c r="V107" s="343">
        <f t="shared" si="48"/>
        <v>1738.3268769255667</v>
      </c>
      <c r="W107" s="348">
        <v>1444.7</v>
      </c>
      <c r="X107" s="346">
        <v>831086.5</v>
      </c>
      <c r="Y107" s="352">
        <v>17.149999999999999</v>
      </c>
      <c r="Z107" s="345">
        <f t="shared" si="55"/>
        <v>71.763044707830176</v>
      </c>
      <c r="AA107" s="343">
        <v>2.3666666666666663</v>
      </c>
      <c r="AB107" s="343">
        <f>AC107/AD107</f>
        <v>0</v>
      </c>
      <c r="AC107" s="346">
        <v>0</v>
      </c>
      <c r="AD107" s="346">
        <v>831086.5</v>
      </c>
      <c r="AE107" s="344">
        <v>-9</v>
      </c>
      <c r="AF107" s="343">
        <v>36.380000000000003</v>
      </c>
      <c r="AG107" s="352">
        <v>18.18</v>
      </c>
      <c r="AH107" s="350">
        <v>2.1689003481236302</v>
      </c>
      <c r="AI107" s="343">
        <f t="shared" si="56"/>
        <v>2.0294640589281179E-2</v>
      </c>
      <c r="AJ107" s="346">
        <v>3995</v>
      </c>
      <c r="AK107" s="346">
        <v>196850</v>
      </c>
      <c r="AL107" s="345">
        <f>((AA107/4.5)*100*1.5+(LN(MIN(AB107,5)+1)/LN(5+1))*100+((AE107-(-300))/(150-(-300)))*100+(LN(MIN(AF107,500))/LN(500))*100*0.5+(MAX((60-AG107),0))/60*100*0.5+((AH107-1)/(7-1))*100*2+(LN(MIN(AI107,20)+1)/LN(20+1))*100)/7.5</f>
        <v>32.925962298554694</v>
      </c>
      <c r="AM107" s="343">
        <v>11.3</v>
      </c>
      <c r="AN107" s="344">
        <v>100</v>
      </c>
      <c r="AO107" s="344">
        <v>3.4</v>
      </c>
      <c r="AP107" s="345">
        <f t="shared" si="57"/>
        <v>90.403605196004577</v>
      </c>
      <c r="AQ107" s="350">
        <v>43.471075116722901</v>
      </c>
      <c r="AR107" s="344">
        <v>81.099999999999994</v>
      </c>
      <c r="AS107" s="345">
        <f t="shared" si="58"/>
        <v>62.285537558361447</v>
      </c>
      <c r="AT107" s="343">
        <v>865.23177603965996</v>
      </c>
      <c r="AU107" s="343">
        <v>1.0263837398775999</v>
      </c>
      <c r="AV107" s="343">
        <v>2258.3500111312101</v>
      </c>
      <c r="AW107" s="351">
        <f t="shared" si="59"/>
        <v>63.332552529121294</v>
      </c>
      <c r="AX107" s="293"/>
      <c r="AY107" s="121"/>
    </row>
    <row r="108" spans="1:51" s="5" customFormat="1" ht="15.75" customHeight="1" x14ac:dyDescent="0.2">
      <c r="A108" s="294">
        <v>104</v>
      </c>
      <c r="B108" s="295" t="s">
        <v>13</v>
      </c>
      <c r="C108" s="296" t="s">
        <v>14</v>
      </c>
      <c r="D108" s="142" t="s">
        <v>296</v>
      </c>
      <c r="E108" s="171" t="s">
        <v>304</v>
      </c>
      <c r="F108" s="177" t="s">
        <v>324</v>
      </c>
      <c r="G108" s="341">
        <f t="shared" si="49"/>
        <v>63.230765317615123</v>
      </c>
      <c r="H108" s="342">
        <f t="shared" si="50"/>
        <v>49.824223399602658</v>
      </c>
      <c r="I108" s="342">
        <f t="shared" si="51"/>
        <v>76.637307235627588</v>
      </c>
      <c r="J108" s="343">
        <v>27.4209</v>
      </c>
      <c r="K108" s="344">
        <v>130.77199999999999</v>
      </c>
      <c r="L108" s="344">
        <v>72.9674023762839</v>
      </c>
      <c r="M108" s="344">
        <v>77.368797299999997</v>
      </c>
      <c r="N108" s="345">
        <f t="shared" si="52"/>
        <v>64.793866585737646</v>
      </c>
      <c r="O108" s="343">
        <f t="shared" si="53"/>
        <v>0.26721929329887489</v>
      </c>
      <c r="P108" s="346">
        <v>811</v>
      </c>
      <c r="Q108" s="346">
        <v>3034960.5</v>
      </c>
      <c r="R108" s="344">
        <v>0.4</v>
      </c>
      <c r="S108" s="344">
        <v>0</v>
      </c>
      <c r="T108" s="347">
        <v>180</v>
      </c>
      <c r="U108" s="345">
        <f t="shared" si="54"/>
        <v>31.05354004724985</v>
      </c>
      <c r="V108" s="343">
        <f t="shared" si="48"/>
        <v>278.75156859537378</v>
      </c>
      <c r="W108" s="348">
        <v>846</v>
      </c>
      <c r="X108" s="346">
        <v>3034960.5</v>
      </c>
      <c r="Y108" s="344">
        <v>5.8</v>
      </c>
      <c r="Z108" s="345">
        <f t="shared" si="55"/>
        <v>83.27096471060311</v>
      </c>
      <c r="AA108" s="343">
        <v>2.5166666666666671</v>
      </c>
      <c r="AB108" s="343">
        <f>AC108/AD108</f>
        <v>0.27269031442089608</v>
      </c>
      <c r="AC108" s="346">
        <v>827604.33299999998</v>
      </c>
      <c r="AD108" s="346">
        <v>3034960.5</v>
      </c>
      <c r="AE108" s="349" t="s">
        <v>931</v>
      </c>
      <c r="AF108" s="349" t="s">
        <v>931</v>
      </c>
      <c r="AG108" s="344">
        <v>22.7</v>
      </c>
      <c r="AH108" s="343">
        <v>2.42</v>
      </c>
      <c r="AI108" s="343">
        <f t="shared" si="56"/>
        <v>0.41276918410676372</v>
      </c>
      <c r="AJ108" s="346">
        <v>13609</v>
      </c>
      <c r="AK108" s="346">
        <v>32970</v>
      </c>
      <c r="AL108" s="345">
        <f>((AA108/4.5)*100*1.5+(LN(MIN(AB108,5)+1)/LN(5+1))*100+(MAX((60-AG108),0))/60*100*0.5+((AH108-1)/(7-1))*100*2+(LN(MIN(AI108,20)+1)/LN(20+1))*100)/6</f>
        <v>31.185565723805762</v>
      </c>
      <c r="AM108" s="343">
        <v>4.2777777777777777</v>
      </c>
      <c r="AN108" s="344">
        <v>98.3</v>
      </c>
      <c r="AO108" s="344">
        <v>14.8</v>
      </c>
      <c r="AP108" s="345">
        <f t="shared" si="57"/>
        <v>83.547972663026357</v>
      </c>
      <c r="AQ108" s="343">
        <v>55.544249263448997</v>
      </c>
      <c r="AR108" s="344">
        <v>100</v>
      </c>
      <c r="AS108" s="345">
        <f t="shared" si="58"/>
        <v>77.772124631724495</v>
      </c>
      <c r="AT108" s="343">
        <v>431.48425048190097</v>
      </c>
      <c r="AU108" s="343">
        <v>4.9533471953487203</v>
      </c>
      <c r="AV108" s="343">
        <v>1864.28691785614</v>
      </c>
      <c r="AW108" s="351">
        <f t="shared" si="59"/>
        <v>54.770493557334333</v>
      </c>
      <c r="AX108" s="293"/>
      <c r="AY108" s="121"/>
    </row>
    <row r="109" spans="1:51" s="5" customFormat="1" ht="15.75" customHeight="1" x14ac:dyDescent="0.2">
      <c r="A109" s="294">
        <v>105</v>
      </c>
      <c r="B109" s="307" t="s">
        <v>10</v>
      </c>
      <c r="C109" s="308" t="s">
        <v>35</v>
      </c>
      <c r="D109" s="143" t="s">
        <v>297</v>
      </c>
      <c r="E109" s="178" t="s">
        <v>304</v>
      </c>
      <c r="F109" s="177" t="s">
        <v>108</v>
      </c>
      <c r="G109" s="341">
        <f t="shared" si="49"/>
        <v>63.007738755378256</v>
      </c>
      <c r="H109" s="342">
        <f t="shared" si="50"/>
        <v>47.824225511935047</v>
      </c>
      <c r="I109" s="342">
        <f t="shared" si="51"/>
        <v>78.191251998821457</v>
      </c>
      <c r="J109" s="343">
        <v>17.231300000000001</v>
      </c>
      <c r="K109" s="344">
        <v>101.389</v>
      </c>
      <c r="L109" s="344">
        <v>55.970446064792398</v>
      </c>
      <c r="M109" s="344">
        <v>81.474502560000005</v>
      </c>
      <c r="N109" s="345">
        <f t="shared" si="52"/>
        <v>52.1002871561981</v>
      </c>
      <c r="O109" s="343">
        <f t="shared" si="53"/>
        <v>0.72036378077718799</v>
      </c>
      <c r="P109" s="346">
        <v>33167</v>
      </c>
      <c r="Q109" s="346">
        <v>46042015</v>
      </c>
      <c r="R109" s="344">
        <v>12.3</v>
      </c>
      <c r="S109" s="344">
        <v>0</v>
      </c>
      <c r="T109" s="347">
        <v>3</v>
      </c>
      <c r="U109" s="345">
        <f t="shared" si="54"/>
        <v>52.289611936898446</v>
      </c>
      <c r="V109" s="343">
        <f t="shared" si="48"/>
        <v>921.41275745642326</v>
      </c>
      <c r="W109" s="348">
        <v>42423.7</v>
      </c>
      <c r="X109" s="346">
        <v>46042015</v>
      </c>
      <c r="Y109" s="344">
        <v>25.9</v>
      </c>
      <c r="Z109" s="345">
        <f t="shared" si="55"/>
        <v>56.724714386604724</v>
      </c>
      <c r="AA109" s="343">
        <v>2.4</v>
      </c>
      <c r="AB109" s="343">
        <f>AC109/AD109</f>
        <v>8.1581529392230123E-2</v>
      </c>
      <c r="AC109" s="346">
        <v>3756178</v>
      </c>
      <c r="AD109" s="346">
        <v>46042015</v>
      </c>
      <c r="AE109" s="344">
        <v>-3</v>
      </c>
      <c r="AF109" s="343">
        <v>73.42</v>
      </c>
      <c r="AG109" s="344">
        <v>34.6</v>
      </c>
      <c r="AH109" s="350">
        <v>3.7638337898172698</v>
      </c>
      <c r="AI109" s="343">
        <f t="shared" si="56"/>
        <v>0.10614426785742866</v>
      </c>
      <c r="AJ109" s="346">
        <v>46424</v>
      </c>
      <c r="AK109" s="346">
        <v>437367</v>
      </c>
      <c r="AL109" s="345">
        <f t="shared" ref="AL109:AL123" si="60">((AA109/4.5)*100*1.5+(LN(MIN(AB109,5)+1)/LN(5+1))*100+((AE109-(-300))/(150-(-300)))*100+(LN(MIN(AF109,500))/LN(500))*100*0.5+(MAX((60-AG109),0))/60*100*0.5+((AH109-1)/(7-1))*100*2+(LN(MIN(AI109,20)+1)/LN(20+1))*100)/7.5</f>
        <v>40.20669504276372</v>
      </c>
      <c r="AM109" s="343">
        <v>49.34</v>
      </c>
      <c r="AN109" s="344">
        <v>99.5</v>
      </c>
      <c r="AO109" s="344">
        <v>0.8</v>
      </c>
      <c r="AP109" s="345">
        <f t="shared" si="57"/>
        <v>89.499027662441208</v>
      </c>
      <c r="AQ109" s="343">
        <v>30.1610517779513</v>
      </c>
      <c r="AR109" s="344">
        <v>83.5</v>
      </c>
      <c r="AS109" s="345">
        <f t="shared" si="58"/>
        <v>56.83052588897565</v>
      </c>
      <c r="AT109" s="343">
        <v>1024.58703897338</v>
      </c>
      <c r="AU109" s="343">
        <v>0.54670223011577301</v>
      </c>
      <c r="AV109" s="343">
        <v>2213.4554038719598</v>
      </c>
      <c r="AW109" s="351">
        <f t="shared" si="59"/>
        <v>65.628651117807976</v>
      </c>
      <c r="AX109" s="293"/>
      <c r="AY109" s="121"/>
    </row>
    <row r="110" spans="1:51" s="5" customFormat="1" ht="15.75" customHeight="1" x14ac:dyDescent="0.2">
      <c r="A110" s="294">
        <v>106</v>
      </c>
      <c r="B110" s="297" t="s">
        <v>16</v>
      </c>
      <c r="C110" s="298" t="s">
        <v>17</v>
      </c>
      <c r="D110" s="143" t="s">
        <v>297</v>
      </c>
      <c r="E110" s="173" t="s">
        <v>306</v>
      </c>
      <c r="F110" s="177" t="s">
        <v>149</v>
      </c>
      <c r="G110" s="341">
        <f t="shared" si="49"/>
        <v>62.990279860216653</v>
      </c>
      <c r="H110" s="342">
        <f t="shared" si="50"/>
        <v>54.070807582759244</v>
      </c>
      <c r="I110" s="342">
        <f t="shared" si="51"/>
        <v>71.909752137674062</v>
      </c>
      <c r="J110" s="343">
        <v>7.0218400000000001</v>
      </c>
      <c r="K110" s="344">
        <v>148.155</v>
      </c>
      <c r="L110" s="344">
        <v>65.252374054158494</v>
      </c>
      <c r="M110" s="344">
        <v>91.2</v>
      </c>
      <c r="N110" s="345">
        <f t="shared" si="52"/>
        <v>49.903126846872958</v>
      </c>
      <c r="O110" s="343">
        <f t="shared" si="53"/>
        <v>0.11457105063439091</v>
      </c>
      <c r="P110" s="346">
        <v>4363</v>
      </c>
      <c r="Q110" s="346">
        <v>38081173</v>
      </c>
      <c r="R110" s="344">
        <v>0.2</v>
      </c>
      <c r="S110" s="344">
        <v>0</v>
      </c>
      <c r="T110" s="347">
        <v>3</v>
      </c>
      <c r="U110" s="345">
        <f t="shared" si="54"/>
        <v>57.322785066320861</v>
      </c>
      <c r="V110" s="343">
        <f t="shared" si="48"/>
        <v>277.64375850502296</v>
      </c>
      <c r="W110" s="348">
        <v>10573</v>
      </c>
      <c r="X110" s="346">
        <v>38081173</v>
      </c>
      <c r="Y110" s="344">
        <v>3.5</v>
      </c>
      <c r="Z110" s="345">
        <f t="shared" si="55"/>
        <v>86.708961821583529</v>
      </c>
      <c r="AA110" s="343">
        <v>2.54</v>
      </c>
      <c r="AB110" s="343">
        <f>AC110/AD110</f>
        <v>0.24563836308298592</v>
      </c>
      <c r="AC110" s="346">
        <v>9354197</v>
      </c>
      <c r="AD110" s="346">
        <v>38081173</v>
      </c>
      <c r="AE110" s="344">
        <v>36.666666666666664</v>
      </c>
      <c r="AF110" s="343">
        <v>259.33</v>
      </c>
      <c r="AG110" s="344">
        <v>20.5</v>
      </c>
      <c r="AH110" s="343">
        <v>4.4800000000000004</v>
      </c>
      <c r="AI110" s="343">
        <f t="shared" si="56"/>
        <v>0.1336298453954739</v>
      </c>
      <c r="AJ110" s="346">
        <v>59639</v>
      </c>
      <c r="AK110" s="346">
        <v>446300</v>
      </c>
      <c r="AL110" s="345">
        <f t="shared" si="60"/>
        <v>49.265955388049044</v>
      </c>
      <c r="AM110" s="343">
        <v>10.85</v>
      </c>
      <c r="AN110" s="344">
        <v>98.1</v>
      </c>
      <c r="AO110" s="344">
        <v>1.4</v>
      </c>
      <c r="AP110" s="345">
        <f t="shared" si="57"/>
        <v>92.647718794323296</v>
      </c>
      <c r="AQ110" s="343">
        <v>44.386329146852397</v>
      </c>
      <c r="AR110" s="344">
        <v>99.1</v>
      </c>
      <c r="AS110" s="345">
        <f t="shared" si="58"/>
        <v>71.743164573426199</v>
      </c>
      <c r="AT110" s="343">
        <v>1356.1868425794501</v>
      </c>
      <c r="AU110" s="343">
        <v>482.255417145634</v>
      </c>
      <c r="AV110" s="343">
        <v>1959.98702243975</v>
      </c>
      <c r="AW110" s="351">
        <f t="shared" si="59"/>
        <v>9.8624397319742325</v>
      </c>
      <c r="AX110" s="293"/>
      <c r="AY110" s="121"/>
    </row>
    <row r="111" spans="1:51" s="5" customFormat="1" ht="15.75" customHeight="1" x14ac:dyDescent="0.2">
      <c r="A111" s="294">
        <v>107</v>
      </c>
      <c r="B111" s="301" t="s">
        <v>23</v>
      </c>
      <c r="C111" s="302" t="s">
        <v>24</v>
      </c>
      <c r="D111" s="145" t="s">
        <v>299</v>
      </c>
      <c r="E111" s="151" t="s">
        <v>304</v>
      </c>
      <c r="F111" s="177" t="s">
        <v>75</v>
      </c>
      <c r="G111" s="341">
        <f t="shared" si="49"/>
        <v>62.739405128824203</v>
      </c>
      <c r="H111" s="342">
        <f t="shared" si="50"/>
        <v>55.04021079797203</v>
      </c>
      <c r="I111" s="342">
        <f t="shared" si="51"/>
        <v>70.438599459676368</v>
      </c>
      <c r="J111" s="343">
        <v>20.661780208333333</v>
      </c>
      <c r="K111" s="344">
        <v>80.168133541666663</v>
      </c>
      <c r="L111" s="352">
        <v>67.873870986467665</v>
      </c>
      <c r="M111" s="344">
        <v>82.046897889999997</v>
      </c>
      <c r="N111" s="345">
        <f t="shared" si="52"/>
        <v>57.370613510783585</v>
      </c>
      <c r="O111" s="343">
        <f t="shared" si="53"/>
        <v>0.60418397402008917</v>
      </c>
      <c r="P111" s="346">
        <v>40</v>
      </c>
      <c r="Q111" s="346">
        <v>66205</v>
      </c>
      <c r="R111" s="344">
        <v>2.52</v>
      </c>
      <c r="S111" s="344">
        <v>1.8</v>
      </c>
      <c r="T111" s="347">
        <v>4.5</v>
      </c>
      <c r="U111" s="345">
        <f t="shared" si="54"/>
        <v>56.716256864500956</v>
      </c>
      <c r="V111" s="343">
        <f t="shared" si="48"/>
        <v>302.09198701004453</v>
      </c>
      <c r="W111" s="348">
        <v>20</v>
      </c>
      <c r="X111" s="346">
        <v>66205</v>
      </c>
      <c r="Y111" s="352">
        <v>15.8</v>
      </c>
      <c r="Z111" s="345">
        <f t="shared" si="55"/>
        <v>68.513339115227907</v>
      </c>
      <c r="AA111" s="350">
        <v>2.6666666666666665</v>
      </c>
      <c r="AB111" s="350">
        <v>0.44999588169398697</v>
      </c>
      <c r="AC111" s="346"/>
      <c r="AD111" s="346">
        <v>66205</v>
      </c>
      <c r="AE111" s="352">
        <v>5.333333333333333</v>
      </c>
      <c r="AF111" s="343">
        <v>24.44</v>
      </c>
      <c r="AG111" s="344">
        <v>10.620000000000001</v>
      </c>
      <c r="AH111" s="350">
        <v>3.5894781588142148</v>
      </c>
      <c r="AI111" s="343">
        <f t="shared" si="56"/>
        <v>2.016</v>
      </c>
      <c r="AJ111" s="346">
        <v>1512</v>
      </c>
      <c r="AK111" s="346">
        <v>750</v>
      </c>
      <c r="AL111" s="345">
        <f t="shared" si="60"/>
        <v>48.922514489214294</v>
      </c>
      <c r="AM111" s="350">
        <v>15</v>
      </c>
      <c r="AN111" s="344">
        <v>86.2</v>
      </c>
      <c r="AO111" s="344">
        <v>7.7</v>
      </c>
      <c r="AP111" s="345">
        <f t="shared" si="57"/>
        <v>78.316577421787997</v>
      </c>
      <c r="AQ111" s="350">
        <v>63.772767295669055</v>
      </c>
      <c r="AR111" s="344">
        <v>99.2</v>
      </c>
      <c r="AS111" s="345">
        <f t="shared" si="58"/>
        <v>81.486383647834529</v>
      </c>
      <c r="AT111" s="343">
        <v>686.73649356446299</v>
      </c>
      <c r="AU111" s="343">
        <v>41.106052102871999</v>
      </c>
      <c r="AV111" s="343">
        <v>1242.0514140000801</v>
      </c>
      <c r="AW111" s="351">
        <f t="shared" si="59"/>
        <v>35.756881385183362</v>
      </c>
      <c r="AX111" s="293"/>
      <c r="AY111" s="121"/>
    </row>
    <row r="112" spans="1:51" s="5" customFormat="1" ht="15.75" customHeight="1" x14ac:dyDescent="0.2">
      <c r="A112" s="294">
        <v>108</v>
      </c>
      <c r="B112" s="307" t="s">
        <v>10</v>
      </c>
      <c r="C112" s="308" t="s">
        <v>35</v>
      </c>
      <c r="D112" s="143" t="s">
        <v>297</v>
      </c>
      <c r="E112" s="173" t="s">
        <v>306</v>
      </c>
      <c r="F112" s="177" t="s">
        <v>127</v>
      </c>
      <c r="G112" s="341">
        <f t="shared" si="49"/>
        <v>62.27660435907606</v>
      </c>
      <c r="H112" s="342">
        <f t="shared" si="50"/>
        <v>47.917781666697429</v>
      </c>
      <c r="I112" s="342">
        <f t="shared" si="51"/>
        <v>76.635427051454684</v>
      </c>
      <c r="J112" s="343">
        <v>7.3643794166666661</v>
      </c>
      <c r="K112" s="344">
        <v>74.649532083333327</v>
      </c>
      <c r="L112" s="344">
        <v>66.702511268234304</v>
      </c>
      <c r="M112" s="344">
        <v>80.634002690000003</v>
      </c>
      <c r="N112" s="345">
        <f t="shared" si="52"/>
        <v>45.459429072891908</v>
      </c>
      <c r="O112" s="343">
        <f t="shared" si="53"/>
        <v>0.58353814437109164</v>
      </c>
      <c r="P112" s="346">
        <v>3388</v>
      </c>
      <c r="Q112" s="346">
        <v>5805961.5</v>
      </c>
      <c r="R112" s="344">
        <v>0.56999999999999995</v>
      </c>
      <c r="S112" s="344">
        <v>0</v>
      </c>
      <c r="T112" s="347">
        <v>85.5</v>
      </c>
      <c r="U112" s="345">
        <f t="shared" si="54"/>
        <v>38.423622975404555</v>
      </c>
      <c r="V112" s="343">
        <f t="shared" si="48"/>
        <v>312.09300991747881</v>
      </c>
      <c r="W112" s="348">
        <v>1812</v>
      </c>
      <c r="X112" s="346">
        <v>5805961.5</v>
      </c>
      <c r="Y112" s="352">
        <v>11</v>
      </c>
      <c r="Z112" s="345">
        <f t="shared" si="55"/>
        <v>75.811510966623317</v>
      </c>
      <c r="AA112" s="343">
        <v>2.72</v>
      </c>
      <c r="AB112" s="343">
        <f t="shared" ref="AB112:AB121" si="61">AC112/AD112</f>
        <v>0.46387114347899139</v>
      </c>
      <c r="AC112" s="346">
        <v>2693218</v>
      </c>
      <c r="AD112" s="346">
        <v>5805961.5</v>
      </c>
      <c r="AE112" s="344">
        <v>51</v>
      </c>
      <c r="AF112" s="343">
        <v>112</v>
      </c>
      <c r="AG112" s="344">
        <v>6.84</v>
      </c>
      <c r="AH112" s="343">
        <v>2.62</v>
      </c>
      <c r="AI112" s="343">
        <f t="shared" si="56"/>
        <v>0.68426197458455518</v>
      </c>
      <c r="AJ112" s="346">
        <v>7000</v>
      </c>
      <c r="AK112" s="346">
        <v>10230</v>
      </c>
      <c r="AL112" s="345">
        <f t="shared" si="60"/>
        <v>45.776241608344691</v>
      </c>
      <c r="AM112" s="343">
        <v>4.53</v>
      </c>
      <c r="AN112" s="352">
        <v>77.798866385726498</v>
      </c>
      <c r="AO112" s="344">
        <v>0.6</v>
      </c>
      <c r="AP112" s="345">
        <f t="shared" si="57"/>
        <v>84.134361746717431</v>
      </c>
      <c r="AQ112" s="343">
        <v>23.0438575680739</v>
      </c>
      <c r="AR112" s="344">
        <v>100</v>
      </c>
      <c r="AS112" s="345">
        <f t="shared" si="58"/>
        <v>61.521928784036952</v>
      </c>
      <c r="AT112" s="343">
        <v>524.09984047120201</v>
      </c>
      <c r="AU112" s="343">
        <v>0.32202581763218102</v>
      </c>
      <c r="AV112" s="343">
        <v>1559.04936521937</v>
      </c>
      <c r="AW112" s="351">
        <f t="shared" si="59"/>
        <v>69.252121233084196</v>
      </c>
      <c r="AX112" s="293"/>
      <c r="AY112" s="121"/>
    </row>
    <row r="113" spans="1:51" s="5" customFormat="1" ht="15.75" customHeight="1" x14ac:dyDescent="0.2">
      <c r="A113" s="294">
        <v>109</v>
      </c>
      <c r="B113" s="301" t="s">
        <v>23</v>
      </c>
      <c r="C113" s="303" t="s">
        <v>26</v>
      </c>
      <c r="D113" s="145" t="s">
        <v>299</v>
      </c>
      <c r="E113" s="171" t="s">
        <v>304</v>
      </c>
      <c r="F113" s="177" t="s">
        <v>77</v>
      </c>
      <c r="G113" s="341">
        <f t="shared" si="49"/>
        <v>61.998960132629868</v>
      </c>
      <c r="H113" s="342">
        <f t="shared" si="50"/>
        <v>53.400440058936582</v>
      </c>
      <c r="I113" s="342">
        <f t="shared" si="51"/>
        <v>70.597480206323155</v>
      </c>
      <c r="J113" s="343">
        <v>16.067900000000002</v>
      </c>
      <c r="K113" s="344">
        <v>101.032</v>
      </c>
      <c r="L113" s="344">
        <v>68.816433422756404</v>
      </c>
      <c r="M113" s="344">
        <v>77.172731150000004</v>
      </c>
      <c r="N113" s="345">
        <f t="shared" si="52"/>
        <v>53.254941143189107</v>
      </c>
      <c r="O113" s="343">
        <f t="shared" si="53"/>
        <v>0.456343098768698</v>
      </c>
      <c r="P113" s="346">
        <v>8276</v>
      </c>
      <c r="Q113" s="346">
        <v>18135477.5</v>
      </c>
      <c r="R113" s="344">
        <v>0.6</v>
      </c>
      <c r="S113" s="344">
        <v>0</v>
      </c>
      <c r="T113" s="347">
        <v>30</v>
      </c>
      <c r="U113" s="345">
        <f t="shared" si="54"/>
        <v>52.889390343950332</v>
      </c>
      <c r="V113" s="343">
        <f t="shared" si="48"/>
        <v>546.76255422555039</v>
      </c>
      <c r="W113" s="348">
        <v>9915.7999999999993</v>
      </c>
      <c r="X113" s="346">
        <v>18135477.5</v>
      </c>
      <c r="Y113" s="344">
        <v>19.2</v>
      </c>
      <c r="Z113" s="345">
        <f t="shared" si="55"/>
        <v>65.201618311878775</v>
      </c>
      <c r="AA113" s="343">
        <v>2.88</v>
      </c>
      <c r="AB113" s="343">
        <f t="shared" si="61"/>
        <v>0.25185016495981427</v>
      </c>
      <c r="AC113" s="346">
        <v>4567423</v>
      </c>
      <c r="AD113" s="346">
        <v>18135477.5</v>
      </c>
      <c r="AE113" s="344">
        <v>22</v>
      </c>
      <c r="AF113" s="343">
        <v>118.93</v>
      </c>
      <c r="AG113" s="344">
        <v>34</v>
      </c>
      <c r="AH113" s="343">
        <v>4.95</v>
      </c>
      <c r="AI113" s="343">
        <f t="shared" si="56"/>
        <v>0.29749567441238833</v>
      </c>
      <c r="AJ113" s="346">
        <v>82359</v>
      </c>
      <c r="AK113" s="346">
        <v>276841</v>
      </c>
      <c r="AL113" s="345">
        <f t="shared" si="60"/>
        <v>50.723406840195061</v>
      </c>
      <c r="AM113" s="343">
        <v>57.8</v>
      </c>
      <c r="AN113" s="344">
        <v>94.7</v>
      </c>
      <c r="AO113" s="344">
        <v>3.2</v>
      </c>
      <c r="AP113" s="345">
        <f t="shared" si="57"/>
        <v>80.982802098105594</v>
      </c>
      <c r="AQ113" s="343">
        <v>64.505210387057701</v>
      </c>
      <c r="AR113" s="344">
        <v>94</v>
      </c>
      <c r="AS113" s="345">
        <f t="shared" si="58"/>
        <v>79.252605193528851</v>
      </c>
      <c r="AT113" s="343">
        <v>1437.96619074655</v>
      </c>
      <c r="AU113" s="343">
        <v>53.342858735467402</v>
      </c>
      <c r="AV113" s="343">
        <v>1999.60926002786</v>
      </c>
      <c r="AW113" s="351">
        <f t="shared" si="59"/>
        <v>30.786389543770213</v>
      </c>
      <c r="AX113" s="293"/>
      <c r="AY113" s="121"/>
    </row>
    <row r="114" spans="1:51" s="5" customFormat="1" ht="15.75" customHeight="1" x14ac:dyDescent="0.2">
      <c r="A114" s="294">
        <v>110</v>
      </c>
      <c r="B114" s="297" t="s">
        <v>16</v>
      </c>
      <c r="C114" s="300" t="s">
        <v>21</v>
      </c>
      <c r="D114" s="144" t="s">
        <v>298</v>
      </c>
      <c r="E114" s="171" t="s">
        <v>304</v>
      </c>
      <c r="F114" s="177" t="s">
        <v>190</v>
      </c>
      <c r="G114" s="341">
        <f t="shared" si="49"/>
        <v>61.509198221864551</v>
      </c>
      <c r="H114" s="342">
        <f t="shared" si="50"/>
        <v>48.450202425847401</v>
      </c>
      <c r="I114" s="342">
        <f t="shared" si="51"/>
        <v>74.568194017881694</v>
      </c>
      <c r="J114" s="343">
        <v>3.4056600000000001</v>
      </c>
      <c r="K114" s="344">
        <v>171.50899999999999</v>
      </c>
      <c r="L114" s="344">
        <v>71.684862711179207</v>
      </c>
      <c r="M114" s="344">
        <v>78.357597350000006</v>
      </c>
      <c r="N114" s="345">
        <f t="shared" si="52"/>
        <v>46.065631681961463</v>
      </c>
      <c r="O114" s="343">
        <f t="shared" si="53"/>
        <v>0.92956749473748546</v>
      </c>
      <c r="P114" s="346">
        <v>59499</v>
      </c>
      <c r="Q114" s="346">
        <v>64007186.5</v>
      </c>
      <c r="R114" s="344">
        <v>7.7</v>
      </c>
      <c r="S114" s="344">
        <v>2</v>
      </c>
      <c r="T114" s="347">
        <v>7</v>
      </c>
      <c r="U114" s="345">
        <f t="shared" si="54"/>
        <v>54.197746967425438</v>
      </c>
      <c r="V114" s="343">
        <f t="shared" si="48"/>
        <v>329.80671631301902</v>
      </c>
      <c r="W114" s="348">
        <v>21110</v>
      </c>
      <c r="X114" s="346">
        <v>64007186.5</v>
      </c>
      <c r="Y114" s="352">
        <v>24.7</v>
      </c>
      <c r="Z114" s="345">
        <f t="shared" si="55"/>
        <v>55.427911955964646</v>
      </c>
      <c r="AA114" s="343">
        <v>3.6500000000000004</v>
      </c>
      <c r="AB114" s="343">
        <f t="shared" si="61"/>
        <v>0.24145094549656543</v>
      </c>
      <c r="AC114" s="346">
        <v>15454595.698999999</v>
      </c>
      <c r="AD114" s="346">
        <v>64007186.5</v>
      </c>
      <c r="AE114" s="344">
        <v>-244.66666666666666</v>
      </c>
      <c r="AF114" s="343">
        <v>107.21</v>
      </c>
      <c r="AG114" s="344">
        <v>1.6</v>
      </c>
      <c r="AH114" s="343">
        <v>4.2699999999999996</v>
      </c>
      <c r="AI114" s="343">
        <f t="shared" si="56"/>
        <v>0.63205184154404803</v>
      </c>
      <c r="AJ114" s="346">
        <v>767608</v>
      </c>
      <c r="AK114" s="346">
        <v>1214470</v>
      </c>
      <c r="AL114" s="345">
        <f t="shared" si="60"/>
        <v>47.65345965180952</v>
      </c>
      <c r="AM114" s="343">
        <v>24.2</v>
      </c>
      <c r="AN114" s="344">
        <v>89.8</v>
      </c>
      <c r="AO114" s="344">
        <v>9.6</v>
      </c>
      <c r="AP114" s="345">
        <f t="shared" si="57"/>
        <v>77.995241150581464</v>
      </c>
      <c r="AQ114" s="343">
        <v>81.125966205201095</v>
      </c>
      <c r="AR114" s="344">
        <v>99.4</v>
      </c>
      <c r="AS114" s="345">
        <f t="shared" si="58"/>
        <v>90.262983102600543</v>
      </c>
      <c r="AT114" s="343">
        <v>2025.8905164176299</v>
      </c>
      <c r="AU114" s="343">
        <v>7.7966958958736203</v>
      </c>
      <c r="AV114" s="343">
        <v>1256.8721311558299</v>
      </c>
      <c r="AW114" s="351">
        <f t="shared" si="59"/>
        <v>48.592263535063516</v>
      </c>
      <c r="AX114" s="293"/>
      <c r="AY114" s="121"/>
    </row>
    <row r="115" spans="1:51" s="5" customFormat="1" ht="15.75" customHeight="1" x14ac:dyDescent="0.2">
      <c r="A115" s="294">
        <v>111</v>
      </c>
      <c r="B115" s="307" t="s">
        <v>10</v>
      </c>
      <c r="C115" s="311" t="s">
        <v>887</v>
      </c>
      <c r="D115" s="147" t="s">
        <v>301</v>
      </c>
      <c r="E115" s="171" t="s">
        <v>304</v>
      </c>
      <c r="F115" s="177" t="s">
        <v>106</v>
      </c>
      <c r="G115" s="341">
        <f t="shared" si="49"/>
        <v>61.295157053330051</v>
      </c>
      <c r="H115" s="342">
        <f t="shared" si="50"/>
        <v>53.491918783907394</v>
      </c>
      <c r="I115" s="342">
        <f t="shared" si="51"/>
        <v>69.098395322752708</v>
      </c>
      <c r="J115" s="343">
        <v>4.8166399999999996</v>
      </c>
      <c r="K115" s="344">
        <v>125.238</v>
      </c>
      <c r="L115" s="344">
        <v>76.319905836370097</v>
      </c>
      <c r="M115" s="344">
        <v>72.780755439999993</v>
      </c>
      <c r="N115" s="345">
        <f t="shared" si="52"/>
        <v>45.463631985759186</v>
      </c>
      <c r="O115" s="343">
        <f t="shared" si="53"/>
        <v>0.34383827144979634</v>
      </c>
      <c r="P115" s="346">
        <v>97474</v>
      </c>
      <c r="Q115" s="346">
        <v>283487930.5</v>
      </c>
      <c r="R115" s="344">
        <v>0.2</v>
      </c>
      <c r="S115" s="344">
        <v>0</v>
      </c>
      <c r="T115" s="347">
        <v>3</v>
      </c>
      <c r="U115" s="345">
        <f t="shared" si="54"/>
        <v>59.779219575057347</v>
      </c>
      <c r="V115" s="343">
        <f t="shared" si="48"/>
        <v>785.34207649450525</v>
      </c>
      <c r="W115" s="348">
        <v>222635</v>
      </c>
      <c r="X115" s="346">
        <v>283487930.5</v>
      </c>
      <c r="Y115" s="344">
        <v>2</v>
      </c>
      <c r="Z115" s="345">
        <f t="shared" si="55"/>
        <v>92.093077803838995</v>
      </c>
      <c r="AA115" s="343">
        <v>2.9833333333333329</v>
      </c>
      <c r="AB115" s="343">
        <f t="shared" si="61"/>
        <v>0.34232774772046243</v>
      </c>
      <c r="AC115" s="346">
        <v>97045784.753999993</v>
      </c>
      <c r="AD115" s="346">
        <v>283487930.5</v>
      </c>
      <c r="AE115" s="344">
        <v>19.333333333333332</v>
      </c>
      <c r="AF115" s="343">
        <v>230.68</v>
      </c>
      <c r="AG115" s="344">
        <v>10</v>
      </c>
      <c r="AH115" s="343">
        <v>3.89</v>
      </c>
      <c r="AI115" s="343">
        <f t="shared" si="56"/>
        <v>0.30013761551450702</v>
      </c>
      <c r="AJ115" s="346">
        <v>543720</v>
      </c>
      <c r="AK115" s="346">
        <v>1811569</v>
      </c>
      <c r="AL115" s="345">
        <f t="shared" si="60"/>
        <v>50.298090629285227</v>
      </c>
      <c r="AM115" s="343">
        <v>19.41</v>
      </c>
      <c r="AN115" s="344">
        <v>90.6</v>
      </c>
      <c r="AO115" s="344">
        <v>18.8</v>
      </c>
      <c r="AP115" s="345">
        <f t="shared" si="57"/>
        <v>75.770424131949724</v>
      </c>
      <c r="AQ115" s="343">
        <v>56.327849371802102</v>
      </c>
      <c r="AR115" s="344">
        <v>91.3</v>
      </c>
      <c r="AS115" s="345">
        <f t="shared" si="58"/>
        <v>73.813924685901043</v>
      </c>
      <c r="AT115" s="343">
        <v>947.61924694828394</v>
      </c>
      <c r="AU115" s="343">
        <v>14.971049491381899</v>
      </c>
      <c r="AV115" s="343">
        <v>1288.61684964396</v>
      </c>
      <c r="AW115" s="351">
        <f t="shared" si="59"/>
        <v>44.366779532013318</v>
      </c>
      <c r="AX115" s="293"/>
      <c r="AY115" s="121"/>
    </row>
    <row r="116" spans="1:51" s="5" customFormat="1" ht="15.75" customHeight="1" x14ac:dyDescent="0.2">
      <c r="A116" s="294">
        <v>112</v>
      </c>
      <c r="B116" s="301" t="s">
        <v>23</v>
      </c>
      <c r="C116" s="303" t="s">
        <v>26</v>
      </c>
      <c r="D116" s="145" t="s">
        <v>299</v>
      </c>
      <c r="E116" s="150" t="s">
        <v>306</v>
      </c>
      <c r="F116" s="177" t="s">
        <v>221</v>
      </c>
      <c r="G116" s="341">
        <f t="shared" si="49"/>
        <v>61.216686516355836</v>
      </c>
      <c r="H116" s="342">
        <f t="shared" si="50"/>
        <v>46.549875969753906</v>
      </c>
      <c r="I116" s="342">
        <f t="shared" si="51"/>
        <v>75.883497062957758</v>
      </c>
      <c r="J116" s="343">
        <v>10.6381</v>
      </c>
      <c r="K116" s="344">
        <v>70.219700000000003</v>
      </c>
      <c r="L116" s="344">
        <v>59.788250486823202</v>
      </c>
      <c r="M116" s="344">
        <v>76.678901670000002</v>
      </c>
      <c r="N116" s="345">
        <f t="shared" si="52"/>
        <v>45.3225280392058</v>
      </c>
      <c r="O116" s="343">
        <f t="shared" si="53"/>
        <v>1.2557408249509612</v>
      </c>
      <c r="P116" s="346">
        <v>35670</v>
      </c>
      <c r="Q116" s="346">
        <v>28405543</v>
      </c>
      <c r="R116" s="352">
        <v>1.5</v>
      </c>
      <c r="S116" s="352">
        <v>0</v>
      </c>
      <c r="T116" s="353">
        <v>7</v>
      </c>
      <c r="U116" s="345">
        <f t="shared" si="54"/>
        <v>67.168651695903151</v>
      </c>
      <c r="V116" s="343">
        <f t="shared" si="48"/>
        <v>796.36217480510754</v>
      </c>
      <c r="W116" s="348">
        <v>22621.1</v>
      </c>
      <c r="X116" s="346">
        <v>28405543</v>
      </c>
      <c r="Y116" s="352">
        <v>13.7</v>
      </c>
      <c r="Z116" s="345">
        <f t="shared" si="55"/>
        <v>74.585079863585847</v>
      </c>
      <c r="AA116" s="343">
        <v>2.3000000000000003</v>
      </c>
      <c r="AB116" s="343">
        <f t="shared" si="61"/>
        <v>6.2792920381771963E-2</v>
      </c>
      <c r="AC116" s="346">
        <v>1783667</v>
      </c>
      <c r="AD116" s="346">
        <v>28405543</v>
      </c>
      <c r="AE116" s="344">
        <v>-3.5</v>
      </c>
      <c r="AF116" s="343">
        <v>35.54</v>
      </c>
      <c r="AG116" s="352">
        <v>25.174999999999997</v>
      </c>
      <c r="AH116" s="343">
        <v>2.8</v>
      </c>
      <c r="AI116" s="343">
        <f t="shared" si="56"/>
        <v>0.10905164106343178</v>
      </c>
      <c r="AJ116" s="346">
        <v>96189</v>
      </c>
      <c r="AK116" s="346">
        <v>882050</v>
      </c>
      <c r="AL116" s="345">
        <f t="shared" si="60"/>
        <v>35.613728995306715</v>
      </c>
      <c r="AM116" s="343">
        <v>25.7</v>
      </c>
      <c r="AN116" s="344">
        <v>93.5</v>
      </c>
      <c r="AO116" s="344">
        <v>2.5</v>
      </c>
      <c r="AP116" s="345">
        <f t="shared" si="57"/>
        <v>85.865055132256813</v>
      </c>
      <c r="AQ116" s="343">
        <v>87.318462795485104</v>
      </c>
      <c r="AR116" s="344">
        <v>77.8</v>
      </c>
      <c r="AS116" s="345">
        <f t="shared" si="58"/>
        <v>82.55923139774255</v>
      </c>
      <c r="AT116" s="343">
        <v>997.66710985146199</v>
      </c>
      <c r="AU116" s="343">
        <v>22.910746230503701</v>
      </c>
      <c r="AV116" s="343">
        <v>2211.7092627779698</v>
      </c>
      <c r="AW116" s="351">
        <f t="shared" si="59"/>
        <v>39.263088520275829</v>
      </c>
      <c r="AX116" s="293"/>
      <c r="AY116" s="121"/>
    </row>
    <row r="117" spans="1:51" s="5" customFormat="1" ht="15.75" customHeight="1" x14ac:dyDescent="0.2">
      <c r="A117" s="294">
        <v>113</v>
      </c>
      <c r="B117" s="301" t="s">
        <v>23</v>
      </c>
      <c r="C117" s="303" t="s">
        <v>26</v>
      </c>
      <c r="D117" s="145" t="s">
        <v>299</v>
      </c>
      <c r="E117" s="151" t="s">
        <v>304</v>
      </c>
      <c r="F117" s="177" t="s">
        <v>169</v>
      </c>
      <c r="G117" s="341">
        <f t="shared" si="49"/>
        <v>60.831265467830747</v>
      </c>
      <c r="H117" s="342">
        <f t="shared" si="50"/>
        <v>52.856448842652206</v>
      </c>
      <c r="I117" s="342">
        <f t="shared" si="51"/>
        <v>68.806082093009294</v>
      </c>
      <c r="J117" s="343">
        <v>10.436400000000001</v>
      </c>
      <c r="K117" s="344">
        <v>121.97499999999999</v>
      </c>
      <c r="L117" s="344">
        <v>72.343974516858907</v>
      </c>
      <c r="M117" s="344">
        <v>81.957059920000006</v>
      </c>
      <c r="N117" s="345">
        <f t="shared" si="52"/>
        <v>51.338091942548061</v>
      </c>
      <c r="O117" s="343">
        <f t="shared" si="53"/>
        <v>0.47817151561038429</v>
      </c>
      <c r="P117" s="346">
        <v>16362</v>
      </c>
      <c r="Q117" s="346">
        <v>34217847.5</v>
      </c>
      <c r="R117" s="344">
        <v>0.6</v>
      </c>
      <c r="S117" s="344">
        <v>0</v>
      </c>
      <c r="T117" s="347">
        <v>30</v>
      </c>
      <c r="U117" s="345">
        <f t="shared" si="54"/>
        <v>53.123266238682689</v>
      </c>
      <c r="V117" s="343">
        <f t="shared" si="48"/>
        <v>757.47020615484359</v>
      </c>
      <c r="W117" s="348">
        <v>25919</v>
      </c>
      <c r="X117" s="346">
        <v>34217847.5</v>
      </c>
      <c r="Y117" s="344">
        <v>8.4</v>
      </c>
      <c r="Z117" s="345">
        <f t="shared" si="55"/>
        <v>82.384158802067603</v>
      </c>
      <c r="AA117" s="343">
        <v>2.9499999999999997</v>
      </c>
      <c r="AB117" s="343">
        <f t="shared" si="61"/>
        <v>0.51778249707261681</v>
      </c>
      <c r="AC117" s="346">
        <v>17717402.522999998</v>
      </c>
      <c r="AD117" s="346">
        <v>34217847.5</v>
      </c>
      <c r="AE117" s="344">
        <v>50.666666666666664</v>
      </c>
      <c r="AF117" s="343">
        <v>133.53</v>
      </c>
      <c r="AG117" s="344">
        <v>16.2</v>
      </c>
      <c r="AH117" s="343">
        <v>3.17</v>
      </c>
      <c r="AI117" s="343">
        <f t="shared" si="56"/>
        <v>0.13602230006968771</v>
      </c>
      <c r="AJ117" s="346">
        <v>174108</v>
      </c>
      <c r="AK117" s="346">
        <v>1279996</v>
      </c>
      <c r="AL117" s="345">
        <f t="shared" si="60"/>
        <v>46.926173903894906</v>
      </c>
      <c r="AM117" s="343">
        <v>45.06</v>
      </c>
      <c r="AN117" s="344">
        <v>91.8</v>
      </c>
      <c r="AO117" s="344">
        <v>6.7</v>
      </c>
      <c r="AP117" s="345">
        <f t="shared" si="57"/>
        <v>77.880117071215437</v>
      </c>
      <c r="AQ117" s="343">
        <v>59.309897824801702</v>
      </c>
      <c r="AR117" s="344">
        <v>84.1</v>
      </c>
      <c r="AS117" s="345">
        <f t="shared" si="58"/>
        <v>71.704948912400852</v>
      </c>
      <c r="AT117" s="343">
        <v>913.64937688746102</v>
      </c>
      <c r="AU117" s="343">
        <v>24.982801897466398</v>
      </c>
      <c r="AV117" s="343">
        <v>2167.6908575501602</v>
      </c>
      <c r="AW117" s="351">
        <f t="shared" si="59"/>
        <v>38.685110338999259</v>
      </c>
      <c r="AX117" s="293"/>
      <c r="AY117" s="121"/>
    </row>
    <row r="118" spans="1:51" s="5" customFormat="1" ht="15.75" customHeight="1" x14ac:dyDescent="0.2">
      <c r="A118" s="294">
        <v>114</v>
      </c>
      <c r="B118" s="301" t="s">
        <v>23</v>
      </c>
      <c r="C118" s="303" t="s">
        <v>26</v>
      </c>
      <c r="D118" s="145" t="s">
        <v>299</v>
      </c>
      <c r="E118" s="171" t="s">
        <v>304</v>
      </c>
      <c r="F118" s="177" t="s">
        <v>79</v>
      </c>
      <c r="G118" s="341">
        <f t="shared" si="49"/>
        <v>60.09371083804632</v>
      </c>
      <c r="H118" s="342">
        <f t="shared" si="50"/>
        <v>49.387791638983273</v>
      </c>
      <c r="I118" s="342">
        <f t="shared" si="51"/>
        <v>70.799630037109367</v>
      </c>
      <c r="J118" s="343">
        <v>11.6272</v>
      </c>
      <c r="K118" s="344">
        <v>179.70599999999999</v>
      </c>
      <c r="L118" s="344">
        <v>66.255304575127496</v>
      </c>
      <c r="M118" s="344">
        <v>66.477699279999996</v>
      </c>
      <c r="N118" s="345">
        <f t="shared" si="52"/>
        <v>48.862784297115205</v>
      </c>
      <c r="O118" s="343">
        <f t="shared" si="53"/>
        <v>0.4730054764820194</v>
      </c>
      <c r="P118" s="346">
        <v>2998</v>
      </c>
      <c r="Q118" s="346">
        <v>6338193</v>
      </c>
      <c r="R118" s="344">
        <v>1.2</v>
      </c>
      <c r="S118" s="344">
        <v>0</v>
      </c>
      <c r="T118" s="347">
        <v>15</v>
      </c>
      <c r="U118" s="345">
        <f t="shared" si="54"/>
        <v>56.782201533735922</v>
      </c>
      <c r="V118" s="343">
        <f t="shared" si="48"/>
        <v>305.84784969470007</v>
      </c>
      <c r="W118" s="348">
        <v>1938.5227</v>
      </c>
      <c r="X118" s="346">
        <v>6338193</v>
      </c>
      <c r="Y118" s="344">
        <v>15.8</v>
      </c>
      <c r="Z118" s="345">
        <f t="shared" si="55"/>
        <v>68.550583259728327</v>
      </c>
      <c r="AA118" s="343">
        <v>2.6666666666666665</v>
      </c>
      <c r="AB118" s="343">
        <f t="shared" si="61"/>
        <v>0.51496112535544436</v>
      </c>
      <c r="AC118" s="346">
        <v>3263923</v>
      </c>
      <c r="AD118" s="346">
        <v>6338193</v>
      </c>
      <c r="AE118" s="344">
        <v>-98</v>
      </c>
      <c r="AF118" s="343">
        <v>26.05</v>
      </c>
      <c r="AG118" s="344">
        <v>24.6</v>
      </c>
      <c r="AH118" s="343">
        <v>4</v>
      </c>
      <c r="AI118" s="343">
        <f t="shared" si="56"/>
        <v>0.43494208494208492</v>
      </c>
      <c r="AJ118" s="346">
        <v>9012</v>
      </c>
      <c r="AK118" s="346">
        <v>20720</v>
      </c>
      <c r="AL118" s="345">
        <f t="shared" si="60"/>
        <v>43.273498601976904</v>
      </c>
      <c r="AM118" s="343">
        <v>16.48</v>
      </c>
      <c r="AN118" s="344">
        <v>94.4</v>
      </c>
      <c r="AO118" s="344">
        <v>14.1</v>
      </c>
      <c r="AP118" s="345">
        <f t="shared" si="57"/>
        <v>79.820361168935364</v>
      </c>
      <c r="AQ118" s="343">
        <v>43.4036648969414</v>
      </c>
      <c r="AR118" s="344">
        <v>99.1</v>
      </c>
      <c r="AS118" s="345">
        <f t="shared" si="58"/>
        <v>71.251832448470694</v>
      </c>
      <c r="AT118" s="343">
        <v>996.41819188865304</v>
      </c>
      <c r="AU118" s="343">
        <v>15.6962187974994</v>
      </c>
      <c r="AV118" s="343">
        <v>1686.05813891562</v>
      </c>
      <c r="AW118" s="351">
        <f t="shared" si="59"/>
        <v>43.285234230270028</v>
      </c>
      <c r="AX118" s="293"/>
      <c r="AY118" s="121"/>
    </row>
    <row r="119" spans="1:51" s="5" customFormat="1" ht="15.75" customHeight="1" x14ac:dyDescent="0.2">
      <c r="A119" s="294">
        <v>115</v>
      </c>
      <c r="B119" s="301" t="s">
        <v>23</v>
      </c>
      <c r="C119" s="302" t="s">
        <v>24</v>
      </c>
      <c r="D119" s="145" t="s">
        <v>299</v>
      </c>
      <c r="E119" s="171" t="s">
        <v>304</v>
      </c>
      <c r="F119" s="177" t="s">
        <v>41</v>
      </c>
      <c r="G119" s="341">
        <f t="shared" si="49"/>
        <v>59.589723890565161</v>
      </c>
      <c r="H119" s="342">
        <f t="shared" si="50"/>
        <v>49.133126395879287</v>
      </c>
      <c r="I119" s="342">
        <f t="shared" si="51"/>
        <v>70.046321385251034</v>
      </c>
      <c r="J119" s="343">
        <v>10.642171187499999</v>
      </c>
      <c r="K119" s="344">
        <v>67.77092833333333</v>
      </c>
      <c r="L119" s="344">
        <v>64.244371346051906</v>
      </c>
      <c r="M119" s="344">
        <v>80.005822620000004</v>
      </c>
      <c r="N119" s="345">
        <f t="shared" si="52"/>
        <v>47.190055425540756</v>
      </c>
      <c r="O119" s="343">
        <f t="shared" si="53"/>
        <v>0.32368550716124211</v>
      </c>
      <c r="P119" s="346">
        <v>135</v>
      </c>
      <c r="Q119" s="346">
        <v>417071.5</v>
      </c>
      <c r="R119" s="344">
        <v>2.25</v>
      </c>
      <c r="S119" s="344">
        <v>0.9</v>
      </c>
      <c r="T119" s="347">
        <v>6.3</v>
      </c>
      <c r="U119" s="345">
        <f t="shared" si="54"/>
        <v>55.060916148156174</v>
      </c>
      <c r="V119" s="343">
        <f t="shared" si="48"/>
        <v>242.16471276507744</v>
      </c>
      <c r="W119" s="348">
        <v>101</v>
      </c>
      <c r="X119" s="346">
        <v>417071.5</v>
      </c>
      <c r="Y119" s="352">
        <v>15.8</v>
      </c>
      <c r="Z119" s="345">
        <f t="shared" si="55"/>
        <v>67.846856976085689</v>
      </c>
      <c r="AA119" s="350">
        <v>2.6666666666666665</v>
      </c>
      <c r="AB119" s="343">
        <f t="shared" si="61"/>
        <v>1.8610664790089948</v>
      </c>
      <c r="AC119" s="346">
        <v>776197.78799999994</v>
      </c>
      <c r="AD119" s="346">
        <v>417071.5</v>
      </c>
      <c r="AE119" s="344">
        <v>6</v>
      </c>
      <c r="AF119" s="343">
        <v>18.170000000000002</v>
      </c>
      <c r="AG119" s="344">
        <v>50.49</v>
      </c>
      <c r="AH119" s="350">
        <v>3.5048999279852122</v>
      </c>
      <c r="AI119" s="343">
        <f t="shared" si="56"/>
        <v>0.22104340201665937</v>
      </c>
      <c r="AJ119" s="346">
        <v>5042</v>
      </c>
      <c r="AK119" s="346">
        <v>22810</v>
      </c>
      <c r="AL119" s="345">
        <f t="shared" si="60"/>
        <v>44.915817283096992</v>
      </c>
      <c r="AM119" s="343">
        <v>15.73</v>
      </c>
      <c r="AN119" s="344">
        <v>82.9</v>
      </c>
      <c r="AO119" s="344">
        <v>16.8</v>
      </c>
      <c r="AP119" s="345">
        <f t="shared" si="57"/>
        <v>72.469815625952066</v>
      </c>
      <c r="AQ119" s="343">
        <v>67.968200151200705</v>
      </c>
      <c r="AR119" s="344">
        <v>89.5</v>
      </c>
      <c r="AS119" s="345">
        <f t="shared" si="58"/>
        <v>78.734100075600352</v>
      </c>
      <c r="AT119" s="343">
        <v>1121.3506576366101</v>
      </c>
      <c r="AU119" s="343">
        <v>4.3276502792916496</v>
      </c>
      <c r="AV119" s="343">
        <v>1664.7033879447499</v>
      </c>
      <c r="AW119" s="351">
        <f t="shared" si="59"/>
        <v>54.088059972798582</v>
      </c>
      <c r="AX119" s="293"/>
      <c r="AY119" s="121"/>
    </row>
    <row r="120" spans="1:51" s="5" customFormat="1" ht="15.75" customHeight="1" x14ac:dyDescent="0.2">
      <c r="A120" s="294">
        <v>116</v>
      </c>
      <c r="B120" s="307" t="s">
        <v>10</v>
      </c>
      <c r="C120" s="309" t="s">
        <v>11</v>
      </c>
      <c r="D120" s="141" t="s">
        <v>295</v>
      </c>
      <c r="E120" s="173" t="s">
        <v>306</v>
      </c>
      <c r="F120" s="177" t="s">
        <v>105</v>
      </c>
      <c r="G120" s="341">
        <f t="shared" si="49"/>
        <v>59.329034092258361</v>
      </c>
      <c r="H120" s="342">
        <f t="shared" si="50"/>
        <v>53.369725854900736</v>
      </c>
      <c r="I120" s="342">
        <f t="shared" si="51"/>
        <v>65.288342329615986</v>
      </c>
      <c r="J120" s="343">
        <v>2.7453500000000002</v>
      </c>
      <c r="K120" s="344">
        <v>80.563199999999995</v>
      </c>
      <c r="L120" s="344">
        <v>69.157763952240899</v>
      </c>
      <c r="M120" s="344">
        <v>64.943496699999997</v>
      </c>
      <c r="N120" s="345">
        <f t="shared" si="52"/>
        <v>38.498546829726898</v>
      </c>
      <c r="O120" s="343">
        <f t="shared" si="53"/>
        <v>0.35754166601849302</v>
      </c>
      <c r="P120" s="346">
        <v>518770</v>
      </c>
      <c r="Q120" s="346">
        <v>1450935791</v>
      </c>
      <c r="R120" s="344">
        <v>1.3</v>
      </c>
      <c r="S120" s="344">
        <v>0</v>
      </c>
      <c r="T120" s="347">
        <v>16</v>
      </c>
      <c r="U120" s="345">
        <f t="shared" si="54"/>
        <v>55.16413689781718</v>
      </c>
      <c r="V120" s="343">
        <f t="shared" si="48"/>
        <v>446.26371753758741</v>
      </c>
      <c r="W120" s="348">
        <v>647500</v>
      </c>
      <c r="X120" s="346">
        <v>1450935791</v>
      </c>
      <c r="Y120" s="352">
        <v>4.0999999999999996</v>
      </c>
      <c r="Z120" s="345">
        <f t="shared" si="55"/>
        <v>87.239418730698532</v>
      </c>
      <c r="AA120" s="343">
        <v>3.3666666666666667</v>
      </c>
      <c r="AB120" s="343">
        <f t="shared" si="61"/>
        <v>0.12434443022709886</v>
      </c>
      <c r="AC120" s="346">
        <v>180415784.22799999</v>
      </c>
      <c r="AD120" s="346">
        <v>1450935791</v>
      </c>
      <c r="AE120" s="344">
        <v>94</v>
      </c>
      <c r="AF120" s="343">
        <v>332.21</v>
      </c>
      <c r="AG120" s="344">
        <v>12.4</v>
      </c>
      <c r="AH120" s="343">
        <v>4.4400000000000004</v>
      </c>
      <c r="AI120" s="343">
        <f t="shared" si="56"/>
        <v>2.1391179171193229</v>
      </c>
      <c r="AJ120" s="346">
        <v>6360004</v>
      </c>
      <c r="AK120" s="346">
        <v>2973190</v>
      </c>
      <c r="AL120" s="345">
        <f t="shared" si="60"/>
        <v>59.324878900396008</v>
      </c>
      <c r="AM120" s="343">
        <v>5.4</v>
      </c>
      <c r="AN120" s="344">
        <v>76.7</v>
      </c>
      <c r="AO120" s="344">
        <v>87</v>
      </c>
      <c r="AP120" s="345">
        <f t="shared" si="57"/>
        <v>61.792740526360674</v>
      </c>
      <c r="AQ120" s="343">
        <v>89.024822450254703</v>
      </c>
      <c r="AR120" s="344">
        <v>99</v>
      </c>
      <c r="AS120" s="345">
        <f t="shared" si="58"/>
        <v>94.012411225127352</v>
      </c>
      <c r="AT120" s="343">
        <v>831.06144138876596</v>
      </c>
      <c r="AU120" s="343">
        <v>10.5274417652693</v>
      </c>
      <c r="AV120" s="343">
        <v>1847.0845913605699</v>
      </c>
      <c r="AW120" s="351">
        <f t="shared" si="59"/>
        <v>47.051078843870584</v>
      </c>
      <c r="AX120" s="293"/>
      <c r="AY120" s="121"/>
    </row>
    <row r="121" spans="1:51" s="5" customFormat="1" ht="15.75" customHeight="1" x14ac:dyDescent="0.2">
      <c r="A121" s="294">
        <v>117</v>
      </c>
      <c r="B121" s="297" t="s">
        <v>16</v>
      </c>
      <c r="C121" s="298" t="s">
        <v>17</v>
      </c>
      <c r="D121" s="143" t="s">
        <v>297</v>
      </c>
      <c r="E121" s="171" t="s">
        <v>304</v>
      </c>
      <c r="F121" s="177" t="s">
        <v>130</v>
      </c>
      <c r="G121" s="341">
        <f t="shared" si="49"/>
        <v>59.151389325692868</v>
      </c>
      <c r="H121" s="342">
        <f t="shared" si="50"/>
        <v>48.432557947905337</v>
      </c>
      <c r="I121" s="342">
        <f t="shared" si="51"/>
        <v>69.870220703480399</v>
      </c>
      <c r="J121" s="343">
        <v>4.5187100000000004</v>
      </c>
      <c r="K121" s="344">
        <v>211.37262041666668</v>
      </c>
      <c r="L121" s="344">
        <v>67.094335532733993</v>
      </c>
      <c r="M121" s="344">
        <v>81.954498290000004</v>
      </c>
      <c r="N121" s="345">
        <f t="shared" si="52"/>
        <v>48.073554136239046</v>
      </c>
      <c r="O121" s="343">
        <f t="shared" si="53"/>
        <v>1.5477529334348368</v>
      </c>
      <c r="P121" s="346">
        <v>11424</v>
      </c>
      <c r="Q121" s="346">
        <v>7381023</v>
      </c>
      <c r="R121" s="352">
        <v>1.4</v>
      </c>
      <c r="S121" s="352">
        <v>0</v>
      </c>
      <c r="T121" s="353">
        <v>10</v>
      </c>
      <c r="U121" s="345">
        <f t="shared" si="54"/>
        <v>69.535448096325624</v>
      </c>
      <c r="V121" s="343">
        <f t="shared" si="48"/>
        <v>774.96032731506193</v>
      </c>
      <c r="W121" s="348">
        <v>5720</v>
      </c>
      <c r="X121" s="346">
        <v>7381023</v>
      </c>
      <c r="Y121" s="352">
        <v>15.45</v>
      </c>
      <c r="Z121" s="345">
        <f t="shared" si="55"/>
        <v>71.877966060497357</v>
      </c>
      <c r="AA121" s="343">
        <v>1.9166666666666667</v>
      </c>
      <c r="AB121" s="343">
        <f t="shared" si="61"/>
        <v>0.14829643777021154</v>
      </c>
      <c r="AC121" s="346">
        <v>1094579.4180000001</v>
      </c>
      <c r="AD121" s="346">
        <v>7381023</v>
      </c>
      <c r="AE121" s="344">
        <v>-18</v>
      </c>
      <c r="AF121" s="343">
        <v>53.87</v>
      </c>
      <c r="AG121" s="352">
        <v>15.8</v>
      </c>
      <c r="AH121" s="350">
        <v>3.3563348420851402</v>
      </c>
      <c r="AI121" s="343">
        <f t="shared" si="56"/>
        <v>2.1028223285631472E-2</v>
      </c>
      <c r="AJ121" s="346">
        <v>37000</v>
      </c>
      <c r="AK121" s="346">
        <v>1759540</v>
      </c>
      <c r="AL121" s="345">
        <f t="shared" si="60"/>
        <v>37.654487194318541</v>
      </c>
      <c r="AM121" s="343">
        <v>16.579999999999998</v>
      </c>
      <c r="AN121" s="352">
        <v>99.860209850655096</v>
      </c>
      <c r="AO121" s="344">
        <v>0.1</v>
      </c>
      <c r="AP121" s="345">
        <f t="shared" si="57"/>
        <v>97.038067168001277</v>
      </c>
      <c r="AQ121" s="343">
        <v>33.119090821516302</v>
      </c>
      <c r="AR121" s="344">
        <v>78.900000000000006</v>
      </c>
      <c r="AS121" s="345">
        <f t="shared" si="58"/>
        <v>56.00954541075815</v>
      </c>
      <c r="AT121" s="343">
        <v>1028.3410979909199</v>
      </c>
      <c r="AU121" s="343">
        <v>10425.9310509313</v>
      </c>
      <c r="AV121" s="343">
        <v>11605.652284311</v>
      </c>
      <c r="AW121" s="351">
        <f t="shared" si="59"/>
        <v>2.2273566026400147</v>
      </c>
      <c r="AX121" s="293"/>
      <c r="AY121" s="121"/>
    </row>
    <row r="122" spans="1:51" s="5" customFormat="1" ht="15.75" customHeight="1" x14ac:dyDescent="0.2">
      <c r="A122" s="294">
        <v>118</v>
      </c>
      <c r="B122" s="304" t="s">
        <v>29</v>
      </c>
      <c r="C122" s="316" t="s">
        <v>888</v>
      </c>
      <c r="D122" s="148" t="s">
        <v>302</v>
      </c>
      <c r="E122" s="151" t="s">
        <v>304</v>
      </c>
      <c r="F122" s="177" t="s">
        <v>207</v>
      </c>
      <c r="G122" s="341">
        <f t="shared" si="49"/>
        <v>58.576215285487123</v>
      </c>
      <c r="H122" s="342">
        <f t="shared" si="50"/>
        <v>49.277936696198488</v>
      </c>
      <c r="I122" s="342">
        <f t="shared" si="51"/>
        <v>67.874493874775766</v>
      </c>
      <c r="J122" s="343">
        <v>9.1804621250000018</v>
      </c>
      <c r="K122" s="344">
        <v>75.790700000000001</v>
      </c>
      <c r="L122" s="344">
        <v>64.170136056943093</v>
      </c>
      <c r="M122" s="344">
        <v>67.441703799999999</v>
      </c>
      <c r="N122" s="345">
        <f t="shared" si="52"/>
        <v>43.079701735069108</v>
      </c>
      <c r="O122" s="343">
        <f t="shared" si="53"/>
        <v>0.33597150961598454</v>
      </c>
      <c r="P122" s="346">
        <v>35</v>
      </c>
      <c r="Q122" s="346">
        <v>104175.5</v>
      </c>
      <c r="R122" s="344">
        <v>4</v>
      </c>
      <c r="S122" s="344">
        <v>1</v>
      </c>
      <c r="T122" s="347">
        <v>1</v>
      </c>
      <c r="U122" s="345">
        <f t="shared" si="54"/>
        <v>54.861599507790309</v>
      </c>
      <c r="V122" s="350">
        <v>91.409843408155183</v>
      </c>
      <c r="W122" s="348"/>
      <c r="X122" s="346">
        <v>104175.5</v>
      </c>
      <c r="Y122" s="344">
        <v>1.1000000000000001</v>
      </c>
      <c r="Z122" s="345">
        <f t="shared" si="55"/>
        <v>86.960218664357555</v>
      </c>
      <c r="AA122" s="350">
        <v>2.2666666666666671</v>
      </c>
      <c r="AB122" s="350">
        <v>0.7857186534569085</v>
      </c>
      <c r="AC122" s="346"/>
      <c r="AD122" s="346">
        <v>104175.5</v>
      </c>
      <c r="AE122" s="352">
        <v>-6</v>
      </c>
      <c r="AF122" s="343">
        <v>29.02</v>
      </c>
      <c r="AG122" s="344">
        <v>2.8</v>
      </c>
      <c r="AH122" s="350">
        <v>2.952778258410607</v>
      </c>
      <c r="AI122" s="343">
        <f t="shared" si="56"/>
        <v>0.94444444444444442</v>
      </c>
      <c r="AJ122" s="346">
        <v>680</v>
      </c>
      <c r="AK122" s="346">
        <v>720</v>
      </c>
      <c r="AL122" s="345">
        <f t="shared" si="60"/>
        <v>44.659685462390144</v>
      </c>
      <c r="AM122" s="343">
        <v>0.31</v>
      </c>
      <c r="AN122" s="344">
        <v>90.1</v>
      </c>
      <c r="AO122" s="344">
        <v>102.8</v>
      </c>
      <c r="AP122" s="345">
        <f t="shared" si="57"/>
        <v>69.287396853923809</v>
      </c>
      <c r="AQ122" s="350">
        <v>58.535944538823891</v>
      </c>
      <c r="AR122" s="344">
        <v>100</v>
      </c>
      <c r="AS122" s="345">
        <f t="shared" si="58"/>
        <v>79.267972269411942</v>
      </c>
      <c r="AT122" s="343">
        <v>562.87710817125799</v>
      </c>
      <c r="AU122" s="343">
        <v>7.0011380821878397</v>
      </c>
      <c r="AV122" s="343">
        <v>1213.23718231931</v>
      </c>
      <c r="AW122" s="351">
        <f t="shared" si="59"/>
        <v>52.242306542695495</v>
      </c>
      <c r="AX122" s="293"/>
      <c r="AY122" s="121"/>
    </row>
    <row r="123" spans="1:51" s="5" customFormat="1" ht="15.75" customHeight="1" x14ac:dyDescent="0.2">
      <c r="A123" s="294">
        <v>119</v>
      </c>
      <c r="B123" s="297" t="s">
        <v>16</v>
      </c>
      <c r="C123" s="310" t="s">
        <v>886</v>
      </c>
      <c r="D123" s="144" t="s">
        <v>298</v>
      </c>
      <c r="E123" s="151" t="s">
        <v>304</v>
      </c>
      <c r="F123" s="177" t="s">
        <v>89</v>
      </c>
      <c r="G123" s="341">
        <f t="shared" si="49"/>
        <v>58.082230977311482</v>
      </c>
      <c r="H123" s="342">
        <f t="shared" si="50"/>
        <v>39.647497131525562</v>
      </c>
      <c r="I123" s="342">
        <f t="shared" si="51"/>
        <v>76.51696482309741</v>
      </c>
      <c r="J123" s="343">
        <v>3.9729299999999999</v>
      </c>
      <c r="K123" s="344">
        <v>122.607</v>
      </c>
      <c r="L123" s="344">
        <v>55.189634854624302</v>
      </c>
      <c r="M123" s="344">
        <v>68.720901490000003</v>
      </c>
      <c r="N123" s="345">
        <f t="shared" si="52"/>
        <v>38.375309086156072</v>
      </c>
      <c r="O123" s="343">
        <f t="shared" si="53"/>
        <v>0.30563797693654249</v>
      </c>
      <c r="P123" s="346">
        <v>776</v>
      </c>
      <c r="Q123" s="346">
        <v>2538951.5</v>
      </c>
      <c r="R123" s="344">
        <v>7.9</v>
      </c>
      <c r="S123" s="344">
        <v>1.5</v>
      </c>
      <c r="T123" s="347">
        <v>7</v>
      </c>
      <c r="U123" s="345">
        <f t="shared" si="54"/>
        <v>48.215168800510575</v>
      </c>
      <c r="V123" s="343">
        <f t="shared" ref="V123:V129" si="62">(W123*1000000)/X123</f>
        <v>54.786395092619927</v>
      </c>
      <c r="W123" s="348">
        <v>139.1</v>
      </c>
      <c r="X123" s="346">
        <v>2538951.5</v>
      </c>
      <c r="Y123" s="344">
        <v>39.200000000000003</v>
      </c>
      <c r="Z123" s="345">
        <f t="shared" si="55"/>
        <v>28.267211049235769</v>
      </c>
      <c r="AA123" s="343">
        <v>2.3833333333333333</v>
      </c>
      <c r="AB123" s="350">
        <v>0.13676423238206284</v>
      </c>
      <c r="AC123" s="346"/>
      <c r="AD123" s="346">
        <v>2538951.5</v>
      </c>
      <c r="AE123" s="344">
        <v>-30</v>
      </c>
      <c r="AF123" s="343">
        <v>35.31</v>
      </c>
      <c r="AG123" s="344">
        <v>18.100000000000001</v>
      </c>
      <c r="AH123" s="350">
        <v>4.0061862025687658</v>
      </c>
      <c r="AI123" s="343">
        <f t="shared" si="56"/>
        <v>5.549734156091124E-2</v>
      </c>
      <c r="AJ123" s="346">
        <v>14300</v>
      </c>
      <c r="AK123" s="346">
        <v>257670</v>
      </c>
      <c r="AL123" s="345">
        <f t="shared" si="60"/>
        <v>41.622838780221237</v>
      </c>
      <c r="AM123" s="343">
        <v>38.770000000000003</v>
      </c>
      <c r="AN123" s="344">
        <v>91.4</v>
      </c>
      <c r="AO123" s="344">
        <v>3.2</v>
      </c>
      <c r="AP123" s="345">
        <f t="shared" si="57"/>
        <v>81.815659240962745</v>
      </c>
      <c r="AQ123" s="343">
        <v>68.181256293414094</v>
      </c>
      <c r="AR123" s="344">
        <v>66.900000000000006</v>
      </c>
      <c r="AS123" s="345">
        <f t="shared" si="58"/>
        <v>67.54062814670705</v>
      </c>
      <c r="AT123" s="343">
        <v>1646.87533621954</v>
      </c>
      <c r="AU123" s="343">
        <v>1.43443066550068E-2</v>
      </c>
      <c r="AV123" s="343">
        <v>1434.92846894741</v>
      </c>
      <c r="AW123" s="351">
        <f t="shared" si="59"/>
        <v>69.59721824589171</v>
      </c>
      <c r="AX123" s="293"/>
      <c r="AY123" s="121"/>
    </row>
    <row r="124" spans="1:51" s="5" customFormat="1" ht="15.75" customHeight="1" x14ac:dyDescent="0.2">
      <c r="A124" s="294">
        <v>120</v>
      </c>
      <c r="B124" s="307" t="s">
        <v>10</v>
      </c>
      <c r="C124" s="309" t="s">
        <v>11</v>
      </c>
      <c r="D124" s="141" t="s">
        <v>295</v>
      </c>
      <c r="E124" s="180" t="s">
        <v>306</v>
      </c>
      <c r="F124" s="177" t="s">
        <v>44</v>
      </c>
      <c r="G124" s="341">
        <f t="shared" si="49"/>
        <v>57.71253789405138</v>
      </c>
      <c r="H124" s="342">
        <f t="shared" si="50"/>
        <v>49.453546101844147</v>
      </c>
      <c r="I124" s="342">
        <f t="shared" si="51"/>
        <v>65.97152968625862</v>
      </c>
      <c r="J124" s="343">
        <v>1.3188200000000001</v>
      </c>
      <c r="K124" s="344">
        <v>95.626099999999994</v>
      </c>
      <c r="L124" s="344">
        <v>64.359718895995897</v>
      </c>
      <c r="M124" s="344">
        <v>91.277397160000007</v>
      </c>
      <c r="N124" s="345">
        <f t="shared" si="52"/>
        <v>43.195832347332306</v>
      </c>
      <c r="O124" s="343">
        <f t="shared" si="53"/>
        <v>3.1167702326333551</v>
      </c>
      <c r="P124" s="346">
        <v>2467</v>
      </c>
      <c r="Q124" s="346">
        <v>791524.5</v>
      </c>
      <c r="R124" s="344">
        <v>0.4</v>
      </c>
      <c r="S124" s="344">
        <v>0</v>
      </c>
      <c r="T124" s="347">
        <v>7</v>
      </c>
      <c r="U124" s="345">
        <f t="shared" si="54"/>
        <v>88.155871540119279</v>
      </c>
      <c r="V124" s="343">
        <f t="shared" si="62"/>
        <v>426.89771447377814</v>
      </c>
      <c r="W124" s="348">
        <v>337.9</v>
      </c>
      <c r="X124" s="346">
        <v>791524.5</v>
      </c>
      <c r="Y124" s="344">
        <v>19.600000000000001</v>
      </c>
      <c r="Z124" s="345">
        <f t="shared" si="55"/>
        <v>63.85569143778612</v>
      </c>
      <c r="AA124" s="343">
        <v>2.4500000000000002</v>
      </c>
      <c r="AB124" s="343">
        <f t="shared" ref="AB124:AB130" si="63">AC124/AD124</f>
        <v>0.23988897374623275</v>
      </c>
      <c r="AC124" s="346">
        <v>189878</v>
      </c>
      <c r="AD124" s="346">
        <v>791524.5</v>
      </c>
      <c r="AE124" s="349" t="s">
        <v>931</v>
      </c>
      <c r="AF124" s="349" t="s">
        <v>931</v>
      </c>
      <c r="AG124" s="344">
        <v>3.1</v>
      </c>
      <c r="AH124" s="350">
        <v>4.0188739733359657</v>
      </c>
      <c r="AI124" s="343">
        <f t="shared" si="56"/>
        <v>0.48093864708966966</v>
      </c>
      <c r="AJ124" s="346">
        <v>18343</v>
      </c>
      <c r="AK124" s="346">
        <v>38140</v>
      </c>
      <c r="AL124" s="345">
        <f>((AA124/4.5)*100*1.5+(LN(MIN(AB124,5)+1)/LN(5+1))*100+(MAX((60-AG124),0))/60*100*0.5+((AH124-1)/(7-1))*100*2+(LN(MIN(AI124,20)+1)/LN(20+1))*100)/6</f>
        <v>42.435142162801711</v>
      </c>
      <c r="AM124" s="343">
        <v>44.69</v>
      </c>
      <c r="AN124" s="344">
        <v>91.6</v>
      </c>
      <c r="AO124" s="344">
        <v>15.9</v>
      </c>
      <c r="AP124" s="345">
        <f t="shared" si="57"/>
        <v>73.583629651995466</v>
      </c>
      <c r="AQ124" s="343">
        <v>30.299321711485529</v>
      </c>
      <c r="AR124" s="344">
        <v>88.6</v>
      </c>
      <c r="AS124" s="345">
        <f t="shared" si="58"/>
        <v>59.449660855742763</v>
      </c>
      <c r="AT124" s="343">
        <v>447.44683216460197</v>
      </c>
      <c r="AU124" s="343">
        <v>8.7551835789019101</v>
      </c>
      <c r="AV124" s="343">
        <v>2130.5852143412699</v>
      </c>
      <c r="AW124" s="351">
        <f t="shared" si="59"/>
        <v>49.657098619563953</v>
      </c>
      <c r="AX124" s="293"/>
      <c r="AY124" s="121"/>
    </row>
    <row r="125" spans="1:51" s="5" customFormat="1" ht="15.75" customHeight="1" x14ac:dyDescent="0.2">
      <c r="A125" s="294">
        <v>121</v>
      </c>
      <c r="B125" s="295" t="s">
        <v>13</v>
      </c>
      <c r="C125" s="296" t="s">
        <v>14</v>
      </c>
      <c r="D125" s="142" t="s">
        <v>296</v>
      </c>
      <c r="E125" s="178" t="s">
        <v>304</v>
      </c>
      <c r="F125" s="177" t="s">
        <v>46</v>
      </c>
      <c r="G125" s="341">
        <f t="shared" si="49"/>
        <v>56.850824240857904</v>
      </c>
      <c r="H125" s="342">
        <f t="shared" si="50"/>
        <v>54.045651298370458</v>
      </c>
      <c r="I125" s="342">
        <f t="shared" si="51"/>
        <v>59.655997183345356</v>
      </c>
      <c r="J125" s="343">
        <v>28.506399999999999</v>
      </c>
      <c r="K125" s="344">
        <v>117.73399999999999</v>
      </c>
      <c r="L125" s="344">
        <v>67.688859007446695</v>
      </c>
      <c r="M125" s="344">
        <v>86.100911030000006</v>
      </c>
      <c r="N125" s="345">
        <f t="shared" si="52"/>
        <v>66.127242509361665</v>
      </c>
      <c r="O125" s="343">
        <f t="shared" si="53"/>
        <v>1.5027243396782748</v>
      </c>
      <c r="P125" s="346">
        <v>4755</v>
      </c>
      <c r="Q125" s="346">
        <v>3164253</v>
      </c>
      <c r="R125" s="344">
        <v>0.3</v>
      </c>
      <c r="S125" s="344">
        <v>0</v>
      </c>
      <c r="T125" s="347">
        <v>90</v>
      </c>
      <c r="U125" s="345">
        <f t="shared" si="54"/>
        <v>47.243475067981521</v>
      </c>
      <c r="V125" s="343">
        <f t="shared" si="62"/>
        <v>98.612531930917029</v>
      </c>
      <c r="W125" s="348">
        <v>312.03500000000003</v>
      </c>
      <c r="X125" s="346">
        <v>3164253</v>
      </c>
      <c r="Y125" s="344">
        <v>1.6</v>
      </c>
      <c r="Z125" s="345">
        <f t="shared" si="55"/>
        <v>86.43883190795141</v>
      </c>
      <c r="AA125" s="343">
        <v>2.9499999999999997</v>
      </c>
      <c r="AB125" s="343">
        <f t="shared" si="63"/>
        <v>0</v>
      </c>
      <c r="AC125" s="346">
        <v>0</v>
      </c>
      <c r="AD125" s="346">
        <v>3164253</v>
      </c>
      <c r="AE125" s="349" t="s">
        <v>932</v>
      </c>
      <c r="AF125" s="349" t="s">
        <v>932</v>
      </c>
      <c r="AG125" s="344">
        <v>1</v>
      </c>
      <c r="AH125" s="343">
        <v>2.81</v>
      </c>
      <c r="AI125" s="343">
        <f t="shared" si="56"/>
        <v>0.18460937499999999</v>
      </c>
      <c r="AJ125" s="346">
        <v>9452</v>
      </c>
      <c r="AK125" s="346">
        <v>51200</v>
      </c>
      <c r="AL125" s="345">
        <f>((AA125/4.5)*100*1.5+(LN(MIN(AB125,5)+1)/LN(5+1))*100+(MAX((60-AG125),0))/60*100*0.5+((AH125-1)/(7-1))*100*2+(LN(MIN(AI125,20)+1)/LN(20+1))*100)/6</f>
        <v>35.566308992581249</v>
      </c>
      <c r="AM125" s="343">
        <v>0.31</v>
      </c>
      <c r="AN125" s="344">
        <v>39.5</v>
      </c>
      <c r="AO125" s="344">
        <v>24.4</v>
      </c>
      <c r="AP125" s="345">
        <f t="shared" si="57"/>
        <v>47.957151771509452</v>
      </c>
      <c r="AQ125" s="343">
        <v>77.458892294691196</v>
      </c>
      <c r="AR125" s="344">
        <v>100</v>
      </c>
      <c r="AS125" s="345">
        <f t="shared" si="58"/>
        <v>88.729446147345598</v>
      </c>
      <c r="AT125" s="343">
        <v>209.18035077831101</v>
      </c>
      <c r="AU125" s="343">
        <v>1.39800557114317</v>
      </c>
      <c r="AV125" s="343">
        <v>1367.81334239641</v>
      </c>
      <c r="AW125" s="351">
        <f t="shared" si="59"/>
        <v>65.679084454852799</v>
      </c>
      <c r="AX125" s="293"/>
      <c r="AY125" s="121"/>
    </row>
    <row r="126" spans="1:51" s="5" customFormat="1" ht="15.75" customHeight="1" x14ac:dyDescent="0.2">
      <c r="A126" s="294">
        <v>122</v>
      </c>
      <c r="B126" s="301" t="s">
        <v>23</v>
      </c>
      <c r="C126" s="303" t="s">
        <v>26</v>
      </c>
      <c r="D126" s="145" t="s">
        <v>299</v>
      </c>
      <c r="E126" s="151" t="s">
        <v>304</v>
      </c>
      <c r="F126" s="177" t="s">
        <v>168</v>
      </c>
      <c r="G126" s="341">
        <f t="shared" si="49"/>
        <v>56.276475477551799</v>
      </c>
      <c r="H126" s="342">
        <f t="shared" si="50"/>
        <v>47.988973512114562</v>
      </c>
      <c r="I126" s="342">
        <f t="shared" si="51"/>
        <v>64.563977442989028</v>
      </c>
      <c r="J126" s="343">
        <v>12.883599999999999</v>
      </c>
      <c r="K126" s="344">
        <v>126.605</v>
      </c>
      <c r="L126" s="344">
        <v>73.070152892710496</v>
      </c>
      <c r="M126" s="344">
        <v>81.578067930000003</v>
      </c>
      <c r="N126" s="345">
        <f t="shared" si="52"/>
        <v>53.61855520567763</v>
      </c>
      <c r="O126" s="343">
        <f t="shared" si="53"/>
        <v>1.2826964565510388</v>
      </c>
      <c r="P126" s="346">
        <v>8888</v>
      </c>
      <c r="Q126" s="346">
        <v>6929153</v>
      </c>
      <c r="R126" s="344">
        <v>2.2000000000000002</v>
      </c>
      <c r="S126" s="344">
        <v>0.5</v>
      </c>
      <c r="T126" s="347">
        <v>10</v>
      </c>
      <c r="U126" s="345">
        <f t="shared" si="54"/>
        <v>65.040795367808741</v>
      </c>
      <c r="V126" s="343">
        <f t="shared" si="62"/>
        <v>348.23881071755812</v>
      </c>
      <c r="W126" s="348">
        <v>2413</v>
      </c>
      <c r="X126" s="346">
        <v>6929153</v>
      </c>
      <c r="Y126" s="344">
        <v>9.4</v>
      </c>
      <c r="Z126" s="345">
        <f t="shared" si="55"/>
        <v>78.541829793905094</v>
      </c>
      <c r="AA126" s="343">
        <v>2.6666666666666665</v>
      </c>
      <c r="AB126" s="343">
        <f t="shared" si="63"/>
        <v>5.8862172620520861E-2</v>
      </c>
      <c r="AC126" s="346">
        <v>407865</v>
      </c>
      <c r="AD126" s="346">
        <v>6929153</v>
      </c>
      <c r="AE126" s="349" t="s">
        <v>931</v>
      </c>
      <c r="AF126" s="343">
        <v>8.76</v>
      </c>
      <c r="AG126" s="344">
        <v>20.2</v>
      </c>
      <c r="AH126" s="343">
        <v>2.48</v>
      </c>
      <c r="AI126" s="343">
        <f t="shared" si="56"/>
        <v>0.19811980870878429</v>
      </c>
      <c r="AJ126" s="346">
        <v>78713</v>
      </c>
      <c r="AK126" s="346">
        <v>397300</v>
      </c>
      <c r="AL126" s="345">
        <f>((AA126/4.5)*100*1.5+(LN(MIN(AB126,5)+1)/LN(5+1))*100+(LN(MIN(AF126,500))/LN(500))*100*0.5+(MAX((60-AG126),0))/60*100*0.5+((AH126-1)/(7-1))*100*2+(LN(MIN(AI126,20)+1)/LN(20+1))*100)/6.5</f>
        <v>30.45822228418033</v>
      </c>
      <c r="AM126" s="343">
        <v>15.1</v>
      </c>
      <c r="AN126" s="344">
        <v>71.3</v>
      </c>
      <c r="AO126" s="344">
        <v>23.1</v>
      </c>
      <c r="AP126" s="345">
        <f t="shared" si="57"/>
        <v>64.298766830090557</v>
      </c>
      <c r="AQ126" s="343">
        <v>60.916761008040098</v>
      </c>
      <c r="AR126" s="344">
        <v>97.6</v>
      </c>
      <c r="AS126" s="345">
        <f t="shared" si="58"/>
        <v>79.258380504020039</v>
      </c>
      <c r="AT126" s="343">
        <v>1312.89976225188</v>
      </c>
      <c r="AU126" s="343">
        <v>6.5173468292861996</v>
      </c>
      <c r="AV126" s="343">
        <v>1489.0885544437899</v>
      </c>
      <c r="AW126" s="351">
        <f t="shared" si="59"/>
        <v>50.66520622065341</v>
      </c>
      <c r="AX126" s="293"/>
      <c r="AY126" s="121"/>
    </row>
    <row r="127" spans="1:51" s="5" customFormat="1" ht="15.75" customHeight="1" x14ac:dyDescent="0.2">
      <c r="A127" s="294">
        <v>123</v>
      </c>
      <c r="B127" s="307" t="s">
        <v>10</v>
      </c>
      <c r="C127" s="315" t="s">
        <v>115</v>
      </c>
      <c r="D127" s="141" t="s">
        <v>295</v>
      </c>
      <c r="E127" s="150" t="s">
        <v>306</v>
      </c>
      <c r="F127" s="177" t="s">
        <v>124</v>
      </c>
      <c r="G127" s="341">
        <f t="shared" si="49"/>
        <v>55.972609158020376</v>
      </c>
      <c r="H127" s="342">
        <f t="shared" si="50"/>
        <v>46.876928094395332</v>
      </c>
      <c r="I127" s="342">
        <f t="shared" si="51"/>
        <v>65.068290221645427</v>
      </c>
      <c r="J127" s="343">
        <v>6.4465300000000001</v>
      </c>
      <c r="K127" s="344">
        <v>108.59099999999999</v>
      </c>
      <c r="L127" s="344">
        <v>62.797647914237302</v>
      </c>
      <c r="M127" s="344">
        <v>92.028602599999999</v>
      </c>
      <c r="N127" s="345">
        <f t="shared" si="52"/>
        <v>47.698370961892657</v>
      </c>
      <c r="O127" s="343">
        <f t="shared" si="53"/>
        <v>0.53840734126550638</v>
      </c>
      <c r="P127" s="346">
        <v>3869</v>
      </c>
      <c r="Q127" s="346">
        <v>7186009</v>
      </c>
      <c r="R127" s="352">
        <v>1.3</v>
      </c>
      <c r="S127" s="352">
        <v>0</v>
      </c>
      <c r="T127" s="353">
        <v>7</v>
      </c>
      <c r="U127" s="345">
        <f t="shared" si="54"/>
        <v>59.673411989749475</v>
      </c>
      <c r="V127" s="343">
        <f t="shared" si="62"/>
        <v>1072.5007441543701</v>
      </c>
      <c r="W127" s="348">
        <v>7707</v>
      </c>
      <c r="X127" s="346">
        <v>7186009</v>
      </c>
      <c r="Y127" s="352">
        <v>4.0999999999999996</v>
      </c>
      <c r="Z127" s="345">
        <f t="shared" si="55"/>
        <v>89.882392641208995</v>
      </c>
      <c r="AA127" s="343">
        <v>2.3166666666666669</v>
      </c>
      <c r="AB127" s="343">
        <f t="shared" si="63"/>
        <v>0.11195062516620839</v>
      </c>
      <c r="AC127" s="346">
        <v>804478.2</v>
      </c>
      <c r="AD127" s="346">
        <v>7186009</v>
      </c>
      <c r="AE127" s="349" t="s">
        <v>931</v>
      </c>
      <c r="AF127" s="349" t="s">
        <v>931</v>
      </c>
      <c r="AG127" s="352">
        <v>7.4499999999999993</v>
      </c>
      <c r="AH127" s="343">
        <v>2.81</v>
      </c>
      <c r="AI127" s="343">
        <f t="shared" si="56"/>
        <v>0.17726798748696559</v>
      </c>
      <c r="AJ127" s="346">
        <v>34000</v>
      </c>
      <c r="AK127" s="346">
        <v>191800</v>
      </c>
      <c r="AL127" s="345">
        <f>((AA127/4.5)*100*1.5+(LN(MIN(AB127,5)+1)/LN(5+1))*100+(MAX((60-AG127),0))/60*100*0.5+((AH127-1)/(7-1))*100*2+(LN(MIN(AI127,20)+1)/LN(20+1))*100)/6</f>
        <v>32.104998116356057</v>
      </c>
      <c r="AM127" s="343">
        <v>2.44</v>
      </c>
      <c r="AN127" s="344">
        <v>79.599999999999994</v>
      </c>
      <c r="AO127" s="344">
        <v>77.5</v>
      </c>
      <c r="AP127" s="345">
        <f t="shared" si="57"/>
        <v>64.488196045784548</v>
      </c>
      <c r="AQ127" s="343">
        <v>72.264237594665403</v>
      </c>
      <c r="AR127" s="344">
        <v>78</v>
      </c>
      <c r="AS127" s="345">
        <f t="shared" si="58"/>
        <v>75.132118797332708</v>
      </c>
      <c r="AT127" s="343">
        <v>696.88137319839097</v>
      </c>
      <c r="AU127" s="343">
        <v>3.7922873500438801</v>
      </c>
      <c r="AV127" s="343">
        <v>1213.1717112542999</v>
      </c>
      <c r="AW127" s="351">
        <f t="shared" si="59"/>
        <v>56.744744173540738</v>
      </c>
      <c r="AX127" s="293"/>
      <c r="AY127" s="121"/>
    </row>
    <row r="128" spans="1:51" s="5" customFormat="1" ht="15.75" customHeight="1" x14ac:dyDescent="0.2">
      <c r="A128" s="294">
        <v>124</v>
      </c>
      <c r="B128" s="297" t="s">
        <v>16</v>
      </c>
      <c r="C128" s="310" t="s">
        <v>886</v>
      </c>
      <c r="D128" s="144" t="s">
        <v>298</v>
      </c>
      <c r="E128" s="171" t="s">
        <v>304</v>
      </c>
      <c r="F128" s="177" t="s">
        <v>54</v>
      </c>
      <c r="G128" s="341">
        <f t="shared" si="49"/>
        <v>55.558480651725453</v>
      </c>
      <c r="H128" s="342">
        <f t="shared" si="50"/>
        <v>44.80822826977797</v>
      </c>
      <c r="I128" s="342">
        <f t="shared" si="51"/>
        <v>66.308733033672937</v>
      </c>
      <c r="J128" s="343">
        <v>7.2300899999999997</v>
      </c>
      <c r="K128" s="344">
        <v>113.023</v>
      </c>
      <c r="L128" s="344">
        <v>60.049693135215101</v>
      </c>
      <c r="M128" s="344">
        <v>74.735198969999999</v>
      </c>
      <c r="N128" s="345">
        <f t="shared" si="52"/>
        <v>43.488731359637107</v>
      </c>
      <c r="O128" s="343">
        <f t="shared" si="53"/>
        <v>0.37532602876483445</v>
      </c>
      <c r="P128" s="346">
        <v>197</v>
      </c>
      <c r="Q128" s="346">
        <v>524877</v>
      </c>
      <c r="R128" s="344">
        <v>0.8</v>
      </c>
      <c r="S128" s="344">
        <v>0</v>
      </c>
      <c r="T128" s="347">
        <v>30</v>
      </c>
      <c r="U128" s="345">
        <f t="shared" si="54"/>
        <v>51.830874117718459</v>
      </c>
      <c r="V128" s="343">
        <f t="shared" si="62"/>
        <v>341.12969324241681</v>
      </c>
      <c r="W128" s="348">
        <v>179.05113</v>
      </c>
      <c r="X128" s="346">
        <v>524877</v>
      </c>
      <c r="Y128" s="344">
        <v>29.6</v>
      </c>
      <c r="Z128" s="345">
        <f t="shared" si="55"/>
        <v>48.179659485233849</v>
      </c>
      <c r="AA128" s="350">
        <v>2.5499999999999998</v>
      </c>
      <c r="AB128" s="343">
        <f t="shared" si="63"/>
        <v>0.13676423238206284</v>
      </c>
      <c r="AC128" s="346">
        <v>71784.399999999994</v>
      </c>
      <c r="AD128" s="346">
        <v>524877</v>
      </c>
      <c r="AE128" s="352">
        <v>-50</v>
      </c>
      <c r="AF128" s="343">
        <v>11.66</v>
      </c>
      <c r="AG128" s="344">
        <v>3.5</v>
      </c>
      <c r="AH128" s="343">
        <v>3.83</v>
      </c>
      <c r="AI128" s="343">
        <f t="shared" si="56"/>
        <v>0.7079097446069923</v>
      </c>
      <c r="AJ128" s="346">
        <v>2855</v>
      </c>
      <c r="AK128" s="346">
        <v>4033</v>
      </c>
      <c r="AL128" s="345">
        <f>((AA128/4.5)*100*1.5+(LN(MIN(AB128,5)+1)/LN(5+1))*100+((AE128-(-300))/(150-(-300)))*100+(LN(MIN(AF128,500))/LN(500))*100*0.5+(MAX((60-AG128),0))/60*100*0.5+((AH128-1)/(7-1))*100*2+(LN(MIN(AI128,20)+1)/LN(20+1))*100)/7.5</f>
        <v>43.529205914069735</v>
      </c>
      <c r="AM128" s="343">
        <v>46.41</v>
      </c>
      <c r="AN128" s="344">
        <v>83.9</v>
      </c>
      <c r="AO128" s="344">
        <v>32</v>
      </c>
      <c r="AP128" s="345">
        <f t="shared" si="57"/>
        <v>65.332648994575479</v>
      </c>
      <c r="AQ128" s="350">
        <v>45.344775791427651</v>
      </c>
      <c r="AR128" s="344">
        <v>99.2</v>
      </c>
      <c r="AS128" s="345">
        <f t="shared" si="58"/>
        <v>72.27238789571382</v>
      </c>
      <c r="AT128" s="343">
        <v>371.30029263103398</v>
      </c>
      <c r="AU128" s="343">
        <v>1.7541498949765</v>
      </c>
      <c r="AV128" s="343">
        <v>1289.3507629189501</v>
      </c>
      <c r="AW128" s="351">
        <f t="shared" si="59"/>
        <v>63.273330288924392</v>
      </c>
      <c r="AX128" s="293"/>
      <c r="AY128" s="121"/>
    </row>
    <row r="129" spans="1:51" s="5" customFormat="1" ht="15.75" customHeight="1" x14ac:dyDescent="0.2">
      <c r="A129" s="294">
        <v>125</v>
      </c>
      <c r="B129" s="301" t="s">
        <v>23</v>
      </c>
      <c r="C129" s="303" t="s">
        <v>26</v>
      </c>
      <c r="D129" s="145" t="s">
        <v>299</v>
      </c>
      <c r="E129" s="173" t="s">
        <v>306</v>
      </c>
      <c r="F129" s="177" t="s">
        <v>327</v>
      </c>
      <c r="G129" s="341">
        <f t="shared" si="49"/>
        <v>55.224889569416668</v>
      </c>
      <c r="H129" s="342">
        <f t="shared" si="50"/>
        <v>44.295950169694919</v>
      </c>
      <c r="I129" s="342">
        <f t="shared" si="51"/>
        <v>66.153828969138416</v>
      </c>
      <c r="J129" s="343">
        <v>12.440627687500001</v>
      </c>
      <c r="K129" s="344">
        <v>102.758970625</v>
      </c>
      <c r="L129" s="344">
        <v>62.1623436384806</v>
      </c>
      <c r="M129" s="344">
        <v>79.704696659999996</v>
      </c>
      <c r="N129" s="345">
        <f t="shared" si="52"/>
        <v>49.259248835036821</v>
      </c>
      <c r="O129" s="343">
        <f t="shared" si="53"/>
        <v>0.33464066609120929</v>
      </c>
      <c r="P129" s="346">
        <v>4154</v>
      </c>
      <c r="Q129" s="346">
        <v>12413315</v>
      </c>
      <c r="R129" s="344">
        <v>0.3</v>
      </c>
      <c r="S129" s="344">
        <v>0</v>
      </c>
      <c r="T129" s="347">
        <v>7</v>
      </c>
      <c r="U129" s="345">
        <f t="shared" si="54"/>
        <v>58.442578565262956</v>
      </c>
      <c r="V129" s="343">
        <f t="shared" si="62"/>
        <v>29.008028878667787</v>
      </c>
      <c r="W129" s="348">
        <v>360.08580000000001</v>
      </c>
      <c r="X129" s="346">
        <v>12413315</v>
      </c>
      <c r="Y129" s="344">
        <v>13.7</v>
      </c>
      <c r="Z129" s="345">
        <f t="shared" si="55"/>
        <v>64.600568165372323</v>
      </c>
      <c r="AA129" s="343">
        <v>2.3833333333333333</v>
      </c>
      <c r="AB129" s="343">
        <f t="shared" si="63"/>
        <v>0.45123339776683341</v>
      </c>
      <c r="AC129" s="346">
        <v>5601302.3049999997</v>
      </c>
      <c r="AD129" s="346">
        <v>12413315</v>
      </c>
      <c r="AE129" s="349" t="s">
        <v>931</v>
      </c>
      <c r="AF129" s="349" t="s">
        <v>931</v>
      </c>
      <c r="AG129" s="344">
        <v>60.4</v>
      </c>
      <c r="AH129" s="343">
        <v>3.35</v>
      </c>
      <c r="AI129" s="343">
        <f t="shared" si="56"/>
        <v>0.19155174005354011</v>
      </c>
      <c r="AJ129" s="346">
        <v>207508</v>
      </c>
      <c r="AK129" s="346">
        <v>1083300</v>
      </c>
      <c r="AL129" s="345">
        <f>((AA129/4.5)*100*1.5+(LN(MIN(AB129,5)+1)/LN(5+1))*100+(MAX((60-AG129),0))/60*100*0.5+((AH129-1)/(7-1))*100*2+(LN(MIN(AI129,20)+1)/LN(20+1))*100)/6</f>
        <v>30.719839906541655</v>
      </c>
      <c r="AM129" s="343">
        <v>46.63</v>
      </c>
      <c r="AN129" s="344">
        <v>90.6</v>
      </c>
      <c r="AO129" s="344">
        <v>18.5</v>
      </c>
      <c r="AP129" s="345">
        <f t="shared" si="57"/>
        <v>71.964105844959519</v>
      </c>
      <c r="AQ129" s="343">
        <v>56.849052664468999</v>
      </c>
      <c r="AR129" s="344">
        <v>88.2</v>
      </c>
      <c r="AS129" s="345">
        <f t="shared" si="58"/>
        <v>72.524526332234501</v>
      </c>
      <c r="AT129" s="343">
        <v>1412.0984157611399</v>
      </c>
      <c r="AU129" s="343">
        <v>15.0653070751664</v>
      </c>
      <c r="AV129" s="343">
        <v>2239.55736576974</v>
      </c>
      <c r="AW129" s="351">
        <f t="shared" si="59"/>
        <v>42.352300978579073</v>
      </c>
      <c r="AX129" s="293"/>
      <c r="AY129" s="121"/>
    </row>
    <row r="130" spans="1:51" s="5" customFormat="1" ht="15.75" customHeight="1" x14ac:dyDescent="0.2">
      <c r="A130" s="294">
        <v>126</v>
      </c>
      <c r="B130" s="304" t="s">
        <v>29</v>
      </c>
      <c r="C130" s="316" t="s">
        <v>888</v>
      </c>
      <c r="D130" s="148" t="s">
        <v>302</v>
      </c>
      <c r="E130" s="178" t="s">
        <v>304</v>
      </c>
      <c r="F130" s="177" t="s">
        <v>141</v>
      </c>
      <c r="G130" s="341">
        <f t="shared" si="49"/>
        <v>54.075077391675265</v>
      </c>
      <c r="H130" s="342">
        <f t="shared" si="50"/>
        <v>48.1808864560576</v>
      </c>
      <c r="I130" s="342">
        <f t="shared" si="51"/>
        <v>59.969268327292937</v>
      </c>
      <c r="J130" s="343">
        <v>2.3792408750000003</v>
      </c>
      <c r="K130" s="344">
        <v>40.779063749999999</v>
      </c>
      <c r="L130" s="352">
        <v>64.768664922416477</v>
      </c>
      <c r="M130" s="344">
        <v>65.915801999999999</v>
      </c>
      <c r="N130" s="345">
        <f t="shared" si="52"/>
        <v>36.013119584770784</v>
      </c>
      <c r="O130" s="343">
        <f t="shared" si="53"/>
        <v>0.85224246298071804</v>
      </c>
      <c r="P130" s="346">
        <v>32</v>
      </c>
      <c r="Q130" s="346">
        <v>37548</v>
      </c>
      <c r="R130" s="352">
        <v>1.9</v>
      </c>
      <c r="S130" s="352">
        <v>1</v>
      </c>
      <c r="T130" s="353">
        <v>6</v>
      </c>
      <c r="U130" s="345">
        <f t="shared" si="54"/>
        <v>60.964502579555308</v>
      </c>
      <c r="V130" s="350">
        <v>91.409843408155183</v>
      </c>
      <c r="W130" s="348"/>
      <c r="X130" s="346">
        <v>37548</v>
      </c>
      <c r="Y130" s="352">
        <v>13.2</v>
      </c>
      <c r="Z130" s="345">
        <f t="shared" si="55"/>
        <v>68.810218664357564</v>
      </c>
      <c r="AA130" s="350">
        <v>2.2666666666666671</v>
      </c>
      <c r="AB130" s="343">
        <f t="shared" si="63"/>
        <v>0.7857186534569085</v>
      </c>
      <c r="AC130" s="346">
        <v>29502.164000000001</v>
      </c>
      <c r="AD130" s="346">
        <v>37548</v>
      </c>
      <c r="AE130" s="352">
        <v>-6</v>
      </c>
      <c r="AF130" s="343">
        <v>21.57</v>
      </c>
      <c r="AG130" s="352">
        <v>10.9</v>
      </c>
      <c r="AH130" s="350">
        <v>3.0624532442524428</v>
      </c>
      <c r="AI130" s="343">
        <f t="shared" si="56"/>
        <v>11.266666666666667</v>
      </c>
      <c r="AJ130" s="346">
        <v>2028</v>
      </c>
      <c r="AK130" s="346">
        <v>180</v>
      </c>
      <c r="AL130" s="345">
        <f>((AA130/4.5)*100*1.5+(LN(MIN(AB130,5)+1)/LN(5+1))*100+((AE130-(-300))/(150-(-300)))*100+(LN(MIN(AF130,500))/LN(500))*100*0.5+(MAX((60-AG130),0))/60*100*0.5+((AH130-1)/(7-1))*100*2+(LN(MIN(AI130,20)+1)/LN(20+1))*100)/7.5</f>
        <v>51.995416244394981</v>
      </c>
      <c r="AM130" s="343">
        <v>2.38</v>
      </c>
      <c r="AN130" s="344">
        <v>64.8</v>
      </c>
      <c r="AO130" s="344">
        <v>133.9</v>
      </c>
      <c r="AP130" s="345">
        <f t="shared" si="57"/>
        <v>53.122655736153078</v>
      </c>
      <c r="AQ130" s="350">
        <v>52.747158636677327</v>
      </c>
      <c r="AR130" s="344">
        <v>86.2</v>
      </c>
      <c r="AS130" s="345">
        <f t="shared" si="58"/>
        <v>69.473579318338665</v>
      </c>
      <c r="AT130" s="343">
        <v>923.98386391521103</v>
      </c>
      <c r="AU130" s="343">
        <v>0</v>
      </c>
      <c r="AV130" s="343">
        <v>1387.8391387752799</v>
      </c>
      <c r="AW130" s="351">
        <f t="shared" si="59"/>
        <v>71.004795109666802</v>
      </c>
      <c r="AX130" s="293"/>
      <c r="AY130" s="121"/>
    </row>
    <row r="131" spans="1:51" s="5" customFormat="1" ht="15.75" customHeight="1" x14ac:dyDescent="0.2">
      <c r="A131" s="294">
        <v>127</v>
      </c>
      <c r="B131" s="304" t="s">
        <v>29</v>
      </c>
      <c r="C131" s="316" t="s">
        <v>888</v>
      </c>
      <c r="D131" s="148" t="s">
        <v>302</v>
      </c>
      <c r="E131" s="151" t="s">
        <v>304</v>
      </c>
      <c r="F131" s="177" t="s">
        <v>212</v>
      </c>
      <c r="G131" s="341">
        <f t="shared" si="49"/>
        <v>53.906118397146855</v>
      </c>
      <c r="H131" s="342">
        <f t="shared" si="50"/>
        <v>44.266999507500415</v>
      </c>
      <c r="I131" s="342">
        <f t="shared" si="51"/>
        <v>63.545237286793288</v>
      </c>
      <c r="J131" s="343">
        <v>4.614282291666667</v>
      </c>
      <c r="K131" s="344">
        <v>104.15153479166666</v>
      </c>
      <c r="L131" s="352">
        <v>60.197904032238831</v>
      </c>
      <c r="M131" s="344">
        <v>56.112501092500004</v>
      </c>
      <c r="N131" s="345">
        <f t="shared" si="52"/>
        <v>36.394554350629157</v>
      </c>
      <c r="O131" s="343">
        <f t="shared" si="53"/>
        <v>0.72572702296407654</v>
      </c>
      <c r="P131" s="346">
        <v>7</v>
      </c>
      <c r="Q131" s="346">
        <v>9645.5</v>
      </c>
      <c r="R131" s="352">
        <v>1.9</v>
      </c>
      <c r="S131" s="352">
        <v>1</v>
      </c>
      <c r="T131" s="353">
        <v>6</v>
      </c>
      <c r="U131" s="345">
        <f t="shared" si="54"/>
        <v>59.608980007948439</v>
      </c>
      <c r="V131" s="350">
        <v>91.409843408155183</v>
      </c>
      <c r="W131" s="348"/>
      <c r="X131" s="346">
        <v>9645.5</v>
      </c>
      <c r="Y131" s="352">
        <v>13.2</v>
      </c>
      <c r="Z131" s="345">
        <f t="shared" si="55"/>
        <v>68.810218664357564</v>
      </c>
      <c r="AA131" s="350">
        <v>2.2666666666666671</v>
      </c>
      <c r="AB131" s="350">
        <v>0.7857186534569085</v>
      </c>
      <c r="AC131" s="346"/>
      <c r="AD131" s="346">
        <v>9645.5</v>
      </c>
      <c r="AE131" s="352">
        <v>-6</v>
      </c>
      <c r="AF131" s="343">
        <v>5.05</v>
      </c>
      <c r="AG131" s="352">
        <v>10.8</v>
      </c>
      <c r="AH131" s="350">
        <v>3.1820247647900155</v>
      </c>
      <c r="AI131" s="343">
        <f t="shared" si="56"/>
        <v>0.64</v>
      </c>
      <c r="AJ131" s="346">
        <v>16</v>
      </c>
      <c r="AK131" s="346">
        <v>25</v>
      </c>
      <c r="AL131" s="345">
        <f>((AA131/4.5)*100*1.5+(LN(MIN(AB131,5)+1)/LN(5+1))*100+((AE131-(-300))/(150-(-300)))*100+(LN(MIN(AF131,500))/LN(500))*100*0.5+(MAX((60-AG131),0))/60*100*0.5+((AH131-1)/(7-1))*100*2+(LN(MIN(AI131,20)+1)/LN(20+1))*100)/7.5</f>
        <v>42.168144750045364</v>
      </c>
      <c r="AM131" s="343">
        <v>50.9</v>
      </c>
      <c r="AN131" s="344">
        <v>77</v>
      </c>
      <c r="AO131" s="344">
        <v>46.9</v>
      </c>
      <c r="AP131" s="345">
        <f t="shared" si="57"/>
        <v>58.740946883963765</v>
      </c>
      <c r="AQ131" s="350">
        <v>45.532663592243708</v>
      </c>
      <c r="AR131" s="344">
        <v>100</v>
      </c>
      <c r="AS131" s="345">
        <f t="shared" si="58"/>
        <v>72.766331796121847</v>
      </c>
      <c r="AT131" s="343">
        <v>1894.7410934275399</v>
      </c>
      <c r="AU131" s="343">
        <v>0</v>
      </c>
      <c r="AV131" s="343">
        <v>2027.8785109462499</v>
      </c>
      <c r="AW131" s="351">
        <f t="shared" si="59"/>
        <v>68.737013985953283</v>
      </c>
      <c r="AX131" s="293"/>
      <c r="AY131" s="121"/>
    </row>
    <row r="132" spans="1:51" s="5" customFormat="1" ht="15.75" customHeight="1" x14ac:dyDescent="0.2">
      <c r="A132" s="294">
        <v>128</v>
      </c>
      <c r="B132" s="307" t="s">
        <v>10</v>
      </c>
      <c r="C132" s="311" t="s">
        <v>887</v>
      </c>
      <c r="D132" s="147" t="s">
        <v>301</v>
      </c>
      <c r="E132" s="178" t="s">
        <v>304</v>
      </c>
      <c r="F132" s="177" t="s">
        <v>147</v>
      </c>
      <c r="G132" s="341">
        <f t="shared" si="49"/>
        <v>53.504548209242472</v>
      </c>
      <c r="H132" s="342">
        <f t="shared" si="50"/>
        <v>48.48607506830453</v>
      </c>
      <c r="I132" s="342">
        <f t="shared" si="51"/>
        <v>58.523021350180422</v>
      </c>
      <c r="J132" s="343">
        <v>14.552899999999999</v>
      </c>
      <c r="K132" s="344">
        <v>141.08500000000001</v>
      </c>
      <c r="L132" s="344">
        <v>68.208555928520596</v>
      </c>
      <c r="M132" s="344">
        <v>85.123497009999994</v>
      </c>
      <c r="N132" s="345">
        <f t="shared" si="52"/>
        <v>55.163263234630143</v>
      </c>
      <c r="O132" s="343">
        <f t="shared" si="53"/>
        <v>0.45978466655541295</v>
      </c>
      <c r="P132" s="346">
        <v>1598</v>
      </c>
      <c r="Q132" s="346">
        <v>3475540</v>
      </c>
      <c r="R132" s="344">
        <v>0.2</v>
      </c>
      <c r="S132" s="344">
        <v>0</v>
      </c>
      <c r="T132" s="347">
        <v>30</v>
      </c>
      <c r="U132" s="345">
        <f t="shared" si="54"/>
        <v>53.307216665474662</v>
      </c>
      <c r="V132" s="343">
        <f t="shared" ref="V132:V149" si="64">(W132*1000000)/X132</f>
        <v>133.04407372667268</v>
      </c>
      <c r="W132" s="348">
        <v>462.4</v>
      </c>
      <c r="X132" s="346">
        <v>3475540</v>
      </c>
      <c r="Y132" s="344">
        <v>9.3000000000000007</v>
      </c>
      <c r="Z132" s="345">
        <f t="shared" si="55"/>
        <v>75.791533590189772</v>
      </c>
      <c r="AA132" s="343">
        <v>2.4499999999999997</v>
      </c>
      <c r="AB132" s="343">
        <f t="shared" ref="AB132:AB140" si="65">AC132/AD132</f>
        <v>0.22261346438251323</v>
      </c>
      <c r="AC132" s="346">
        <v>773702</v>
      </c>
      <c r="AD132" s="346">
        <v>3475540</v>
      </c>
      <c r="AE132" s="349" t="s">
        <v>931</v>
      </c>
      <c r="AF132" s="349" t="s">
        <v>931</v>
      </c>
      <c r="AG132" s="344">
        <v>16.600000000000001</v>
      </c>
      <c r="AH132" s="343">
        <v>3.14</v>
      </c>
      <c r="AI132" s="343">
        <f t="shared" si="56"/>
        <v>7.1856498879298777E-2</v>
      </c>
      <c r="AJ132" s="346">
        <v>111917</v>
      </c>
      <c r="AK132" s="346">
        <v>1557507</v>
      </c>
      <c r="AL132" s="345">
        <f>((AA132/4.5)*100*1.5+(LN(MIN(AB132,5)+1)/LN(5+1))*100+(MAX((60-AG132),0))/60*100*0.5+((AH132-1)/(7-1))*100*2+(LN(MIN(AI132,20)+1)/LN(20+1))*100)/6</f>
        <v>33.777236872215063</v>
      </c>
      <c r="AM132" s="343">
        <v>17.88</v>
      </c>
      <c r="AN132" s="344">
        <v>55.8</v>
      </c>
      <c r="AO132" s="344">
        <v>26.9</v>
      </c>
      <c r="AP132" s="345">
        <f t="shared" si="57"/>
        <v>54.255674616197318</v>
      </c>
      <c r="AQ132" s="343">
        <v>98.278700798272894</v>
      </c>
      <c r="AR132" s="344">
        <v>76.3</v>
      </c>
      <c r="AS132" s="345">
        <f t="shared" si="58"/>
        <v>87.289350399136453</v>
      </c>
      <c r="AT132" s="343">
        <v>813.262331184201</v>
      </c>
      <c r="AU132" s="343">
        <v>17.261633183777899</v>
      </c>
      <c r="AV132" s="343">
        <v>1937.7875265043599</v>
      </c>
      <c r="AW132" s="351">
        <f t="shared" si="59"/>
        <v>42.558732503173736</v>
      </c>
      <c r="AX132" s="293"/>
      <c r="AY132" s="121"/>
    </row>
    <row r="133" spans="1:51" s="5" customFormat="1" ht="15.75" customHeight="1" x14ac:dyDescent="0.2">
      <c r="A133" s="294">
        <v>129</v>
      </c>
      <c r="B133" s="297" t="s">
        <v>16</v>
      </c>
      <c r="C133" s="300" t="s">
        <v>21</v>
      </c>
      <c r="D133" s="144" t="s">
        <v>298</v>
      </c>
      <c r="E133" s="151" t="s">
        <v>304</v>
      </c>
      <c r="F133" s="177" t="s">
        <v>47</v>
      </c>
      <c r="G133" s="341">
        <f t="shared" ref="G133:G164" si="66">AVERAGE(H133:I133)</f>
        <v>52.568756103952722</v>
      </c>
      <c r="H133" s="342">
        <f t="shared" ref="H133:H164" si="67">(N133*20+U133*5+Z133*5+AL133*20)/50</f>
        <v>41.280064664276516</v>
      </c>
      <c r="I133" s="342">
        <f t="shared" ref="I133:I164" si="68">(AP133*15+AS133*5+AW133*5)/25</f>
        <v>63.857447543628922</v>
      </c>
      <c r="J133" s="343">
        <v>3.4100299999999999</v>
      </c>
      <c r="K133" s="344">
        <v>179.02699999999999</v>
      </c>
      <c r="L133" s="344">
        <v>64.438229915275798</v>
      </c>
      <c r="M133" s="344">
        <v>57.45950036</v>
      </c>
      <c r="N133" s="345">
        <f t="shared" ref="N133:N164" si="69">((MIN(J133,50)/50)*100*2.5+(MIN(K133,250)/250)*0.5*100+L133*1.5+M133*1.5)/6</f>
        <v>39.28369090215228</v>
      </c>
      <c r="O133" s="343">
        <f t="shared" ref="O133:O164" si="70">(P133*1000)/Q133</f>
        <v>0.3034342810927918</v>
      </c>
      <c r="P133" s="346">
        <v>765</v>
      </c>
      <c r="Q133" s="346">
        <v>2521139</v>
      </c>
      <c r="R133" s="344">
        <v>2.4</v>
      </c>
      <c r="S133" s="344">
        <v>2</v>
      </c>
      <c r="T133" s="347">
        <v>30</v>
      </c>
      <c r="U133" s="345">
        <f t="shared" ref="U133:U164" si="71">((MIN(O133,4)/4)*100*1.5+(1-(MIN(R133,15)/15))*100*0.5+(1-(MIN(S133,8)/8))*100*0.5+(1-(MIN(T133,100)/100))*100)/3.5</f>
        <v>45.965367297422766</v>
      </c>
      <c r="V133" s="343">
        <f t="shared" si="64"/>
        <v>84.587101306195336</v>
      </c>
      <c r="W133" s="348">
        <v>213.25584000000001</v>
      </c>
      <c r="X133" s="346">
        <v>2521139</v>
      </c>
      <c r="Y133" s="344">
        <v>24.7</v>
      </c>
      <c r="Z133" s="345">
        <f t="shared" ref="Z133:Z164" si="72">((LN(MAX(V133,1))/LN(4000))*100*0.5+(MAX((50-Y133),0))/50*100*1.5)/2</f>
        <v>51.326402302625652</v>
      </c>
      <c r="AA133" s="343">
        <v>3.1333333333333333</v>
      </c>
      <c r="AB133" s="343">
        <f t="shared" si="65"/>
        <v>6.8508717686728102E-2</v>
      </c>
      <c r="AC133" s="346">
        <v>172720</v>
      </c>
      <c r="AD133" s="346">
        <v>2521139</v>
      </c>
      <c r="AE133" s="349" t="s">
        <v>931</v>
      </c>
      <c r="AF133" s="349" t="s">
        <v>931</v>
      </c>
      <c r="AG133" s="344">
        <v>12.5</v>
      </c>
      <c r="AH133" s="343">
        <v>3.64</v>
      </c>
      <c r="AI133" s="343">
        <f t="shared" ref="AI133:AI164" si="73">AJ133/AK133</f>
        <v>5.746122492192049E-2</v>
      </c>
      <c r="AJ133" s="346">
        <v>32565</v>
      </c>
      <c r="AK133" s="346">
        <v>566730</v>
      </c>
      <c r="AL133" s="345">
        <f>((AA133/4.5)*100*1.5+(LN(MIN(AB133,5)+1)/LN(5+1))*100+(MAX((60-AG133),0))/60*100*0.5+((AH133-1)/(7-1))*100*2+(LN(MIN(AI133,20)+1)/LN(20+1))*100)/6</f>
        <v>39.59352835852691</v>
      </c>
      <c r="AM133" s="343">
        <v>39.6</v>
      </c>
      <c r="AN133" s="344">
        <v>66.400000000000006</v>
      </c>
      <c r="AO133" s="344">
        <v>15.2</v>
      </c>
      <c r="AP133" s="345">
        <f t="shared" ref="AP133:AP164" si="74">((100-AM133)*0.5+AN133*2+(1-(LN(MIN(AO133,200)+1)/LN(200+1)))*100*1)/3.5</f>
        <v>60.138675569718025</v>
      </c>
      <c r="AQ133" s="343">
        <v>61.438469056556499</v>
      </c>
      <c r="AR133" s="344">
        <v>82.6</v>
      </c>
      <c r="AS133" s="345">
        <f t="shared" ref="AS133:AS164" si="75">(AQ133+AR133)/2</f>
        <v>72.019234528278247</v>
      </c>
      <c r="AT133" s="343">
        <v>1213.5508531078201</v>
      </c>
      <c r="AU133" s="343">
        <v>0.49505432743202898</v>
      </c>
      <c r="AV133" s="343">
        <v>1201.15185049048</v>
      </c>
      <c r="AW133" s="351">
        <f t="shared" ref="AW133:AW164" si="76">((1-(LN(MIN(AT133,3000)+1)/LN(3000+1)))*100*0.5+(1-(LN(MIN(AU133,1000)+1)/LN(1000+1)))*100*2+(1-(LN(MIN(AV133,3500)+1)/LN(3500+1)))*100*0.5)/3</f>
        <v>66.851976480712295</v>
      </c>
      <c r="AX133" s="293"/>
      <c r="AY133" s="121"/>
    </row>
    <row r="134" spans="1:51" s="5" customFormat="1" ht="15.75" customHeight="1" x14ac:dyDescent="0.2">
      <c r="A134" s="294">
        <v>130</v>
      </c>
      <c r="B134" s="307" t="s">
        <v>10</v>
      </c>
      <c r="C134" s="315" t="s">
        <v>115</v>
      </c>
      <c r="D134" s="141" t="s">
        <v>295</v>
      </c>
      <c r="E134" s="173" t="s">
        <v>306</v>
      </c>
      <c r="F134" s="177" t="s">
        <v>203</v>
      </c>
      <c r="G134" s="341">
        <f t="shared" si="66"/>
        <v>51.350523618096602</v>
      </c>
      <c r="H134" s="342">
        <f t="shared" si="67"/>
        <v>43.712613584971201</v>
      </c>
      <c r="I134" s="342">
        <f t="shared" si="68"/>
        <v>58.98843365122201</v>
      </c>
      <c r="J134" s="343">
        <v>6.0450128749999998E-2</v>
      </c>
      <c r="K134" s="344">
        <v>129.668940625</v>
      </c>
      <c r="L134" s="344">
        <v>44.340311711654998</v>
      </c>
      <c r="M134" s="344">
        <v>55.793399809999997</v>
      </c>
      <c r="N134" s="345">
        <f t="shared" si="69"/>
        <v>29.406101008538752</v>
      </c>
      <c r="O134" s="343">
        <f t="shared" si="70"/>
        <v>0.62421350726836722</v>
      </c>
      <c r="P134" s="346">
        <v>6611</v>
      </c>
      <c r="Q134" s="346">
        <v>10590927.5</v>
      </c>
      <c r="R134" s="344">
        <v>2.5</v>
      </c>
      <c r="S134" s="344">
        <v>0</v>
      </c>
      <c r="T134" s="347">
        <v>7</v>
      </c>
      <c r="U134" s="345">
        <f t="shared" si="71"/>
        <v>59.449906625494414</v>
      </c>
      <c r="V134" s="343">
        <f t="shared" si="64"/>
        <v>1001.0454702857705</v>
      </c>
      <c r="W134" s="348">
        <v>10602</v>
      </c>
      <c r="X134" s="346">
        <v>10590927.5</v>
      </c>
      <c r="Y134" s="344">
        <v>1.8</v>
      </c>
      <c r="Z134" s="345">
        <f t="shared" si="72"/>
        <v>93.124568524825804</v>
      </c>
      <c r="AA134" s="343">
        <v>2.4833333333333334</v>
      </c>
      <c r="AB134" s="343">
        <f t="shared" si="65"/>
        <v>6.5214059580711886E-2</v>
      </c>
      <c r="AC134" s="346">
        <v>690677.37699999998</v>
      </c>
      <c r="AD134" s="346">
        <v>10590927.5</v>
      </c>
      <c r="AE134" s="349" t="s">
        <v>931</v>
      </c>
      <c r="AF134" s="349" t="s">
        <v>931</v>
      </c>
      <c r="AG134" s="344">
        <v>11.1</v>
      </c>
      <c r="AH134" s="343">
        <v>4.53</v>
      </c>
      <c r="AI134" s="343">
        <f t="shared" si="73"/>
        <v>0.18843897957741501</v>
      </c>
      <c r="AJ134" s="346">
        <v>26666</v>
      </c>
      <c r="AK134" s="346">
        <v>141510</v>
      </c>
      <c r="AL134" s="345">
        <f>((AA134/4.5)*100*1.5+(LN(MIN(AB134,5)+1)/LN(5+1))*100+(MAX((60-AG134),0))/60*100*0.5+((AH134-1)/(7-1))*100*2+(LN(MIN(AI134,20)+1)/LN(20+1))*100)/6</f>
        <v>41.731814166309199</v>
      </c>
      <c r="AM134" s="350">
        <v>42.375</v>
      </c>
      <c r="AN134" s="344">
        <v>87.9</v>
      </c>
      <c r="AO134" s="344">
        <v>119.1</v>
      </c>
      <c r="AP134" s="345">
        <f t="shared" si="74"/>
        <v>61.235157704359338</v>
      </c>
      <c r="AQ134" s="343">
        <v>54.519377139053901</v>
      </c>
      <c r="AR134" s="344">
        <v>78.8</v>
      </c>
      <c r="AS134" s="345">
        <f t="shared" si="75"/>
        <v>66.659688569526949</v>
      </c>
      <c r="AT134" s="343">
        <v>335.17985518693803</v>
      </c>
      <c r="AU134" s="343">
        <v>18.299265474085502</v>
      </c>
      <c r="AV134" s="343">
        <v>1368.3833187907201</v>
      </c>
      <c r="AW134" s="351">
        <f t="shared" si="76"/>
        <v>44.577006573505123</v>
      </c>
      <c r="AX134" s="293"/>
      <c r="AY134" s="121"/>
    </row>
    <row r="135" spans="1:51" ht="15.75" customHeight="1" x14ac:dyDescent="0.25">
      <c r="A135" s="294">
        <v>131</v>
      </c>
      <c r="B135" s="304" t="s">
        <v>29</v>
      </c>
      <c r="C135" s="313" t="s">
        <v>85</v>
      </c>
      <c r="D135" s="148" t="s">
        <v>302</v>
      </c>
      <c r="E135" s="171" t="s">
        <v>304</v>
      </c>
      <c r="F135" s="177" t="s">
        <v>86</v>
      </c>
      <c r="G135" s="341">
        <f t="shared" si="66"/>
        <v>51.028335082584626</v>
      </c>
      <c r="H135" s="342">
        <f t="shared" si="67"/>
        <v>45.259571426304326</v>
      </c>
      <c r="I135" s="342">
        <f t="shared" si="68"/>
        <v>56.797098738864925</v>
      </c>
      <c r="J135" s="343">
        <v>2.7458314166666669</v>
      </c>
      <c r="K135" s="344">
        <v>111.97714375</v>
      </c>
      <c r="L135" s="344">
        <v>61.661351877853903</v>
      </c>
      <c r="M135" s="344">
        <v>74.705200199999993</v>
      </c>
      <c r="N135" s="345">
        <f t="shared" si="69"/>
        <v>40.112402325019026</v>
      </c>
      <c r="O135" s="343">
        <f t="shared" si="70"/>
        <v>0.40590707850264429</v>
      </c>
      <c r="P135" s="346">
        <v>377</v>
      </c>
      <c r="Q135" s="346">
        <v>928784</v>
      </c>
      <c r="R135" s="344">
        <v>1.9</v>
      </c>
      <c r="S135" s="344">
        <v>1</v>
      </c>
      <c r="T135" s="347">
        <v>14</v>
      </c>
      <c r="U135" s="345">
        <f t="shared" si="71"/>
        <v>53.896623460147381</v>
      </c>
      <c r="V135" s="343">
        <f t="shared" si="64"/>
        <v>91.409843408155183</v>
      </c>
      <c r="W135" s="348">
        <v>84.9</v>
      </c>
      <c r="X135" s="346">
        <v>928784</v>
      </c>
      <c r="Y135" s="344">
        <v>31.5</v>
      </c>
      <c r="Z135" s="345">
        <f t="shared" si="72"/>
        <v>41.360218664357561</v>
      </c>
      <c r="AA135" s="343">
        <v>2.2666666666666671</v>
      </c>
      <c r="AB135" s="343">
        <f t="shared" si="65"/>
        <v>2.3197643370256165</v>
      </c>
      <c r="AC135" s="346">
        <v>2154560</v>
      </c>
      <c r="AD135" s="346">
        <v>928784</v>
      </c>
      <c r="AE135" s="352">
        <v>-6</v>
      </c>
      <c r="AF135" s="343">
        <v>41.68</v>
      </c>
      <c r="AG135" s="344">
        <v>10.9</v>
      </c>
      <c r="AH135" s="350">
        <v>3.5415579077645805</v>
      </c>
      <c r="AI135" s="343">
        <f t="shared" si="73"/>
        <v>0.18826619964973731</v>
      </c>
      <c r="AJ135" s="346">
        <v>3440</v>
      </c>
      <c r="AK135" s="346">
        <v>18272</v>
      </c>
      <c r="AL135" s="345">
        <f>((AA135/4.5)*100*1.5+(LN(MIN(AB135,5)+1)/LN(5+1))*100+((AE135-(-300))/(150-(-300)))*100+(LN(MIN(AF135,500))/LN(500))*100*0.5+(MAX((60-AG135),0))/60*100*0.5+((AH135-1)/(7-1))*100*2+(LN(MIN(AI135,20)+1)/LN(20+1))*100)/7.5</f>
        <v>49.222315709615557</v>
      </c>
      <c r="AM135" s="343">
        <v>9.4</v>
      </c>
      <c r="AN135" s="344">
        <v>54.1</v>
      </c>
      <c r="AO135" s="344">
        <v>39.4</v>
      </c>
      <c r="AP135" s="345">
        <f t="shared" si="74"/>
        <v>52.501214274645761</v>
      </c>
      <c r="AQ135" s="350">
        <v>56.977767222463044</v>
      </c>
      <c r="AR135" s="344">
        <v>96.7</v>
      </c>
      <c r="AS135" s="345">
        <f t="shared" si="75"/>
        <v>76.838883611231523</v>
      </c>
      <c r="AT135" s="343">
        <v>542.33451138781095</v>
      </c>
      <c r="AU135" s="343">
        <v>9.1835477931354603</v>
      </c>
      <c r="AV135" s="343">
        <v>1439.6651527280801</v>
      </c>
      <c r="AW135" s="351">
        <f t="shared" si="76"/>
        <v>49.642967259155832</v>
      </c>
      <c r="AX135" s="293"/>
    </row>
    <row r="136" spans="1:51" ht="15.75" customHeight="1" x14ac:dyDescent="0.25">
      <c r="A136" s="294">
        <v>132</v>
      </c>
      <c r="B136" s="307" t="s">
        <v>10</v>
      </c>
      <c r="C136" s="311" t="s">
        <v>887</v>
      </c>
      <c r="D136" s="147" t="s">
        <v>301</v>
      </c>
      <c r="E136" s="150" t="s">
        <v>306</v>
      </c>
      <c r="F136" s="177" t="s">
        <v>170</v>
      </c>
      <c r="G136" s="341">
        <f t="shared" si="66"/>
        <v>50.980886684701431</v>
      </c>
      <c r="H136" s="342">
        <f t="shared" si="67"/>
        <v>49.73651750588828</v>
      </c>
      <c r="I136" s="342">
        <f t="shared" si="68"/>
        <v>52.225255863514576</v>
      </c>
      <c r="J136" s="343">
        <v>6.5393100000000004</v>
      </c>
      <c r="K136" s="344">
        <v>117.276</v>
      </c>
      <c r="L136" s="344">
        <v>71.538266139228199</v>
      </c>
      <c r="M136" s="344">
        <v>67.263009139999994</v>
      </c>
      <c r="N136" s="345">
        <f t="shared" si="69"/>
        <v>44.058943819807041</v>
      </c>
      <c r="O136" s="343">
        <f t="shared" si="70"/>
        <v>0.24940508294240454</v>
      </c>
      <c r="P136" s="346">
        <v>28892</v>
      </c>
      <c r="Q136" s="346">
        <v>115843669.5</v>
      </c>
      <c r="R136" s="344">
        <v>0.8</v>
      </c>
      <c r="S136" s="344">
        <v>0</v>
      </c>
      <c r="T136" s="347">
        <v>10</v>
      </c>
      <c r="U136" s="345">
        <f t="shared" si="71"/>
        <v>56.196006841049567</v>
      </c>
      <c r="V136" s="343">
        <f t="shared" si="64"/>
        <v>785.85991269898443</v>
      </c>
      <c r="W136" s="348">
        <v>91036.895999999993</v>
      </c>
      <c r="X136" s="346">
        <v>115843669.5</v>
      </c>
      <c r="Y136" s="344">
        <v>15.9</v>
      </c>
      <c r="Z136" s="345">
        <f t="shared" si="72"/>
        <v>71.245064647889961</v>
      </c>
      <c r="AA136" s="343">
        <v>3.2666666666666662</v>
      </c>
      <c r="AB136" s="343">
        <f t="shared" si="65"/>
        <v>0.35825724598615205</v>
      </c>
      <c r="AC136" s="346">
        <v>41501834</v>
      </c>
      <c r="AD136" s="346">
        <v>115843669.5</v>
      </c>
      <c r="AE136" s="344">
        <v>8.3333333333333339</v>
      </c>
      <c r="AF136" s="343">
        <v>181.35</v>
      </c>
      <c r="AG136" s="344">
        <v>13.4</v>
      </c>
      <c r="AH136" s="343">
        <v>3.53</v>
      </c>
      <c r="AI136" s="343">
        <f t="shared" si="73"/>
        <v>0.11793272294328738</v>
      </c>
      <c r="AJ136" s="346">
        <v>35164</v>
      </c>
      <c r="AK136" s="346">
        <v>298170</v>
      </c>
      <c r="AL136" s="345">
        <f>((AA136/4.5)*100*1.5+(LN(MIN(AB136,5)+1)/LN(5+1))*100+((AE136-(-300))/(150-(-300)))*100+(LN(MIN(AF136,500))/LN(500))*100*0.5+(MAX((60-AG136),0))/60*100*0.5+((AH136-1)/(7-1))*100*2+(LN(MIN(AI136,20)+1)/LN(20+1))*100)/7.5</f>
        <v>48.422082072678755</v>
      </c>
      <c r="AM136" s="343">
        <v>35.869999999999997</v>
      </c>
      <c r="AN136" s="344">
        <v>59.5</v>
      </c>
      <c r="AO136" s="344">
        <v>76.900000000000006</v>
      </c>
      <c r="AP136" s="345">
        <f t="shared" si="74"/>
        <v>48.268103811088736</v>
      </c>
      <c r="AQ136" s="343">
        <v>50.182422142925397</v>
      </c>
      <c r="AR136" s="344">
        <v>97.5</v>
      </c>
      <c r="AS136" s="345">
        <f t="shared" si="75"/>
        <v>73.841211071462695</v>
      </c>
      <c r="AT136" s="343">
        <v>605.37738910208498</v>
      </c>
      <c r="AU136" s="343">
        <v>20.930050199875399</v>
      </c>
      <c r="AV136" s="343">
        <v>1144.4262836562</v>
      </c>
      <c r="AW136" s="351">
        <f t="shared" si="76"/>
        <v>42.480756812843978</v>
      </c>
      <c r="AX136" s="293"/>
    </row>
    <row r="137" spans="1:51" ht="15.75" customHeight="1" x14ac:dyDescent="0.25">
      <c r="A137" s="294">
        <v>133</v>
      </c>
      <c r="B137" s="307" t="s">
        <v>10</v>
      </c>
      <c r="C137" s="308" t="s">
        <v>35</v>
      </c>
      <c r="D137" s="143" t="s">
        <v>297</v>
      </c>
      <c r="E137" s="152" t="s">
        <v>303</v>
      </c>
      <c r="F137" s="177" t="s">
        <v>201</v>
      </c>
      <c r="G137" s="341">
        <f t="shared" si="66"/>
        <v>50.292740074530371</v>
      </c>
      <c r="H137" s="342">
        <f t="shared" si="67"/>
        <v>38.033930411498325</v>
      </c>
      <c r="I137" s="342">
        <f t="shared" si="68"/>
        <v>62.551549737562411</v>
      </c>
      <c r="J137" s="343">
        <v>6.8612500000000001</v>
      </c>
      <c r="K137" s="344">
        <v>72.440600000000003</v>
      </c>
      <c r="L137" s="352">
        <v>51.746767572798475</v>
      </c>
      <c r="M137" s="344">
        <v>43.392875628749998</v>
      </c>
      <c r="N137" s="345">
        <f t="shared" si="69"/>
        <v>31.917305800387123</v>
      </c>
      <c r="O137" s="343">
        <f t="shared" si="70"/>
        <v>0.41243866540343815</v>
      </c>
      <c r="P137" s="346">
        <v>10176</v>
      </c>
      <c r="Q137" s="346">
        <v>24672759.5</v>
      </c>
      <c r="R137" s="352">
        <v>3.1</v>
      </c>
      <c r="S137" s="352">
        <v>1.8</v>
      </c>
      <c r="T137" s="353">
        <v>5</v>
      </c>
      <c r="U137" s="345">
        <f t="shared" si="71"/>
        <v>53.966604748370173</v>
      </c>
      <c r="V137" s="343">
        <f t="shared" si="64"/>
        <v>565.9845223230908</v>
      </c>
      <c r="W137" s="348">
        <v>13964.4</v>
      </c>
      <c r="X137" s="346">
        <v>24672759.5</v>
      </c>
      <c r="Y137" s="352">
        <v>20.9</v>
      </c>
      <c r="Z137" s="345">
        <f t="shared" si="72"/>
        <v>62.755765600507033</v>
      </c>
      <c r="AA137" s="343">
        <v>2.2833333333333332</v>
      </c>
      <c r="AB137" s="343">
        <f t="shared" si="65"/>
        <v>2.4753806764095439E-2</v>
      </c>
      <c r="AC137" s="346">
        <v>610744.72100000002</v>
      </c>
      <c r="AD137" s="346">
        <v>24672759.5</v>
      </c>
      <c r="AE137" s="344">
        <v>2</v>
      </c>
      <c r="AF137" s="343">
        <v>23.09</v>
      </c>
      <c r="AG137" s="352">
        <v>18.809999999999999</v>
      </c>
      <c r="AH137" s="350">
        <v>2.2042165082489902</v>
      </c>
      <c r="AI137" s="343">
        <f t="shared" si="73"/>
        <v>0.38050972063388333</v>
      </c>
      <c r="AJ137" s="346">
        <v>69873</v>
      </c>
      <c r="AK137" s="346">
        <v>183630</v>
      </c>
      <c r="AL137" s="345">
        <f>((AA137/4.5)*100*1.5+(LN(MIN(AB137,5)+1)/LN(5+1))*100+((AE137-(-300))/(150-(-300)))*100+(LN(MIN(AF137,500))/LN(500))*100*0.5+(MAX((60-AG137),0))/60*100*0.5+((AH137-1)/(7-1))*100*2+(LN(MIN(AI137,20)+1)/LN(20+1))*100)/7.5</f>
        <v>33.986927641139374</v>
      </c>
      <c r="AM137" s="343">
        <v>41.13</v>
      </c>
      <c r="AN137" s="344">
        <v>88.8</v>
      </c>
      <c r="AO137" s="344">
        <v>0.6</v>
      </c>
      <c r="AP137" s="345">
        <f t="shared" si="74"/>
        <v>85.192152383445162</v>
      </c>
      <c r="AQ137" s="343">
        <v>20.927777251824992</v>
      </c>
      <c r="AR137" s="344">
        <v>84.5</v>
      </c>
      <c r="AS137" s="345">
        <f t="shared" si="75"/>
        <v>52.713888625912496</v>
      </c>
      <c r="AT137" s="343">
        <v>451.609329178135</v>
      </c>
      <c r="AU137" s="343">
        <v>1904.5634213226499</v>
      </c>
      <c r="AV137" s="343">
        <v>2700.1368600661299</v>
      </c>
      <c r="AW137" s="351">
        <f t="shared" si="76"/>
        <v>4.4674029115640668</v>
      </c>
      <c r="AX137" s="293"/>
    </row>
    <row r="138" spans="1:51" ht="15.75" customHeight="1" x14ac:dyDescent="0.25">
      <c r="A138" s="294">
        <v>134</v>
      </c>
      <c r="B138" s="297" t="s">
        <v>16</v>
      </c>
      <c r="C138" s="300" t="s">
        <v>21</v>
      </c>
      <c r="D138" s="144" t="s">
        <v>298</v>
      </c>
      <c r="E138" s="150" t="s">
        <v>306</v>
      </c>
      <c r="F138" s="177" t="s">
        <v>83</v>
      </c>
      <c r="G138" s="341">
        <f t="shared" si="66"/>
        <v>49.142055438498076</v>
      </c>
      <c r="H138" s="342">
        <f t="shared" si="67"/>
        <v>41.358228151539734</v>
      </c>
      <c r="I138" s="342">
        <f t="shared" si="68"/>
        <v>56.925882725456411</v>
      </c>
      <c r="J138" s="343">
        <v>2.7636599999999998</v>
      </c>
      <c r="K138" s="344">
        <v>128.399</v>
      </c>
      <c r="L138" s="344">
        <v>57.147772581188597</v>
      </c>
      <c r="M138" s="344">
        <v>63.403099060000002</v>
      </c>
      <c r="N138" s="345">
        <f t="shared" si="69"/>
        <v>36.720734576963814</v>
      </c>
      <c r="O138" s="343">
        <f t="shared" si="70"/>
        <v>0.15207332670057608</v>
      </c>
      <c r="P138" s="346">
        <v>189</v>
      </c>
      <c r="Q138" s="346">
        <v>1242821.5</v>
      </c>
      <c r="R138" s="344">
        <v>1.2</v>
      </c>
      <c r="S138" s="344">
        <v>0.3</v>
      </c>
      <c r="T138" s="347">
        <v>60</v>
      </c>
      <c r="U138" s="345">
        <f t="shared" si="71"/>
        <v>39.950785643220456</v>
      </c>
      <c r="V138" s="343">
        <f t="shared" si="64"/>
        <v>859.33498897468382</v>
      </c>
      <c r="W138" s="348">
        <v>1068</v>
      </c>
      <c r="X138" s="346">
        <v>1242821.5</v>
      </c>
      <c r="Y138" s="344">
        <v>17.399999999999999</v>
      </c>
      <c r="Z138" s="345">
        <f t="shared" si="72"/>
        <v>69.264475481376408</v>
      </c>
      <c r="AA138" s="350">
        <v>2.5633333333333335</v>
      </c>
      <c r="AB138" s="343">
        <f t="shared" si="65"/>
        <v>2.7890730889351366E-2</v>
      </c>
      <c r="AC138" s="346">
        <v>34663.199999999997</v>
      </c>
      <c r="AD138" s="346">
        <v>1242821.5</v>
      </c>
      <c r="AE138" s="349" t="s">
        <v>931</v>
      </c>
      <c r="AF138" s="349" t="s">
        <v>931</v>
      </c>
      <c r="AG138" s="344">
        <v>16.2</v>
      </c>
      <c r="AH138" s="343">
        <v>4.3</v>
      </c>
      <c r="AI138" s="343">
        <f t="shared" si="73"/>
        <v>8.7209302325581398E-2</v>
      </c>
      <c r="AJ138" s="346">
        <v>1500</v>
      </c>
      <c r="AK138" s="346">
        <v>17200</v>
      </c>
      <c r="AL138" s="345">
        <f>((AA138/4.5)*100*1.5+(LN(MIN(AB138,5)+1)/LN(5+1))*100+(MAX((60-AG138),0))/60*100*0.5+((AH138-1)/(7-1))*100*2+(LN(MIN(AI138,20)+1)/LN(20+1))*100)/6</f>
        <v>39.371020520736302</v>
      </c>
      <c r="AM138" s="343">
        <v>17.010000000000002</v>
      </c>
      <c r="AN138" s="344">
        <v>50.3</v>
      </c>
      <c r="AO138" s="344">
        <v>59.3</v>
      </c>
      <c r="AP138" s="345">
        <f t="shared" si="74"/>
        <v>47.084946166042563</v>
      </c>
      <c r="AQ138" s="343">
        <v>65.116026716607905</v>
      </c>
      <c r="AR138" s="344">
        <v>99.4</v>
      </c>
      <c r="AS138" s="345">
        <f t="shared" si="75"/>
        <v>82.258013358303955</v>
      </c>
      <c r="AT138" s="343">
        <v>2518.97384933065</v>
      </c>
      <c r="AU138" s="343">
        <v>1.10456608466199</v>
      </c>
      <c r="AV138" s="343">
        <v>1881.9895339766999</v>
      </c>
      <c r="AW138" s="351">
        <f t="shared" si="76"/>
        <v>61.116561770850446</v>
      </c>
      <c r="AX138" s="293"/>
    </row>
    <row r="139" spans="1:51" s="28" customFormat="1" ht="15.75" customHeight="1" x14ac:dyDescent="0.25">
      <c r="A139" s="294">
        <v>135</v>
      </c>
      <c r="B139" s="307" t="s">
        <v>10</v>
      </c>
      <c r="C139" s="311" t="s">
        <v>887</v>
      </c>
      <c r="D139" s="147" t="s">
        <v>301</v>
      </c>
      <c r="E139" s="173" t="s">
        <v>306</v>
      </c>
      <c r="F139" s="177" t="s">
        <v>55</v>
      </c>
      <c r="G139" s="341">
        <f t="shared" si="66"/>
        <v>48.871364684589388</v>
      </c>
      <c r="H139" s="342">
        <f t="shared" si="67"/>
        <v>47.374881893944021</v>
      </c>
      <c r="I139" s="342">
        <f t="shared" si="68"/>
        <v>50.367847475234754</v>
      </c>
      <c r="J139" s="343">
        <v>3.6418200000000001</v>
      </c>
      <c r="K139" s="344">
        <v>120.809</v>
      </c>
      <c r="L139" s="344">
        <v>61.724170440816899</v>
      </c>
      <c r="M139" s="344">
        <v>68.475303650000001</v>
      </c>
      <c r="N139" s="345">
        <f t="shared" si="69"/>
        <v>39.611685189370895</v>
      </c>
      <c r="O139" s="343">
        <f t="shared" si="70"/>
        <v>0.22546884636514825</v>
      </c>
      <c r="P139" s="346">
        <v>3977</v>
      </c>
      <c r="Q139" s="346">
        <v>17638800.5</v>
      </c>
      <c r="R139" s="344">
        <v>0.9</v>
      </c>
      <c r="S139" s="344">
        <v>0</v>
      </c>
      <c r="T139" s="353">
        <v>10</v>
      </c>
      <c r="U139" s="345">
        <f t="shared" si="71"/>
        <v>55.844309068198015</v>
      </c>
      <c r="V139" s="343">
        <f t="shared" si="64"/>
        <v>123.81794328928433</v>
      </c>
      <c r="W139" s="348">
        <v>2184</v>
      </c>
      <c r="X139" s="346">
        <v>17638800.5</v>
      </c>
      <c r="Y139" s="344">
        <v>0</v>
      </c>
      <c r="Z139" s="345">
        <f t="shared" si="72"/>
        <v>89.524907905558166</v>
      </c>
      <c r="AA139" s="343">
        <v>2.4166666666666701</v>
      </c>
      <c r="AB139" s="343">
        <f t="shared" si="65"/>
        <v>3.8283952471711444E-2</v>
      </c>
      <c r="AC139" s="346">
        <v>675283</v>
      </c>
      <c r="AD139" s="346">
        <v>17638800.5</v>
      </c>
      <c r="AE139" s="344">
        <v>5</v>
      </c>
      <c r="AF139" s="343">
        <v>47.8</v>
      </c>
      <c r="AG139" s="344">
        <v>1.5</v>
      </c>
      <c r="AH139" s="343">
        <v>3.33</v>
      </c>
      <c r="AI139" s="343">
        <f t="shared" si="73"/>
        <v>0.3836109222750963</v>
      </c>
      <c r="AJ139" s="346">
        <v>67715</v>
      </c>
      <c r="AK139" s="346">
        <v>176520</v>
      </c>
      <c r="AL139" s="345">
        <f t="shared" ref="AL139:AL156" si="77">((AA139/4.5)*100*1.5+(LN(MIN(AB139,5)+1)/LN(5+1))*100+((AE139-(-300))/(150-(-300)))*100+(LN(MIN(AF139,500))/LN(500))*100*0.5+(MAX((60-AG139),0))/60*100*0.5+((AH139-1)/(7-1))*100*2+(LN(MIN(AI139,20)+1)/LN(20+1))*100)/7.5</f>
        <v>42.483215302050112</v>
      </c>
      <c r="AM139" s="343">
        <v>42.27</v>
      </c>
      <c r="AN139" s="344">
        <v>58</v>
      </c>
      <c r="AO139" s="344">
        <v>137.1</v>
      </c>
      <c r="AP139" s="345">
        <f t="shared" si="74"/>
        <v>43.412064430445845</v>
      </c>
      <c r="AQ139" s="343">
        <v>39.031442853500003</v>
      </c>
      <c r="AR139" s="344">
        <v>91.8</v>
      </c>
      <c r="AS139" s="345">
        <f t="shared" si="75"/>
        <v>65.415721426749997</v>
      </c>
      <c r="AT139" s="343">
        <v>1079.7563511789101</v>
      </c>
      <c r="AU139" s="343">
        <v>3.1602983791405599</v>
      </c>
      <c r="AV139" s="343">
        <v>1991.5564204085899</v>
      </c>
      <c r="AW139" s="351">
        <f t="shared" si="76"/>
        <v>56.187322658086288</v>
      </c>
      <c r="AX139" s="293"/>
      <c r="AY139" s="358"/>
    </row>
    <row r="140" spans="1:51" ht="15.75" customHeight="1" x14ac:dyDescent="0.25">
      <c r="A140" s="294">
        <v>136</v>
      </c>
      <c r="B140" s="307" t="s">
        <v>10</v>
      </c>
      <c r="C140" s="309" t="s">
        <v>11</v>
      </c>
      <c r="D140" s="141" t="s">
        <v>295</v>
      </c>
      <c r="E140" s="150" t="s">
        <v>306</v>
      </c>
      <c r="F140" s="177" t="s">
        <v>193</v>
      </c>
      <c r="G140" s="341">
        <f t="shared" si="66"/>
        <v>48.784164588331393</v>
      </c>
      <c r="H140" s="342">
        <f t="shared" si="67"/>
        <v>49.512604576162282</v>
      </c>
      <c r="I140" s="342">
        <f t="shared" si="68"/>
        <v>48.055724600500497</v>
      </c>
      <c r="J140" s="343">
        <v>8.7654499999999995</v>
      </c>
      <c r="K140" s="344">
        <v>142.27699999999999</v>
      </c>
      <c r="L140" s="344">
        <v>64.020071728412702</v>
      </c>
      <c r="M140" s="344">
        <v>54.59</v>
      </c>
      <c r="N140" s="345">
        <f t="shared" si="69"/>
        <v>41.699626265436507</v>
      </c>
      <c r="O140" s="343">
        <f t="shared" si="70"/>
        <v>0.23420628448913153</v>
      </c>
      <c r="P140" s="346">
        <v>5411</v>
      </c>
      <c r="Q140" s="346">
        <v>23103564.5</v>
      </c>
      <c r="R140" s="344">
        <v>1</v>
      </c>
      <c r="S140" s="344">
        <v>0</v>
      </c>
      <c r="T140" s="347">
        <v>30</v>
      </c>
      <c r="U140" s="345">
        <f t="shared" si="71"/>
        <v>50.128400667145456</v>
      </c>
      <c r="V140" s="343">
        <f t="shared" si="64"/>
        <v>560.34643485424078</v>
      </c>
      <c r="W140" s="348">
        <v>12946</v>
      </c>
      <c r="X140" s="346">
        <v>23103564.5</v>
      </c>
      <c r="Y140" s="344">
        <v>9.4</v>
      </c>
      <c r="Z140" s="345">
        <f t="shared" si="72"/>
        <v>79.975588827934445</v>
      </c>
      <c r="AA140" s="343">
        <v>2.7833333333333332</v>
      </c>
      <c r="AB140" s="343">
        <f t="shared" si="65"/>
        <v>0.16733352985423527</v>
      </c>
      <c r="AC140" s="346">
        <v>3866001</v>
      </c>
      <c r="AD140" s="346">
        <v>23103564.5</v>
      </c>
      <c r="AE140" s="344">
        <v>42</v>
      </c>
      <c r="AF140" s="343">
        <v>253.43</v>
      </c>
      <c r="AG140" s="344">
        <v>8.6</v>
      </c>
      <c r="AH140" s="343">
        <v>3.8</v>
      </c>
      <c r="AI140" s="343">
        <f t="shared" si="73"/>
        <v>0.51094406724862595</v>
      </c>
      <c r="AJ140" s="346">
        <v>31607</v>
      </c>
      <c r="AK140" s="346">
        <v>61860</v>
      </c>
      <c r="AL140" s="345">
        <f t="shared" si="77"/>
        <v>49.555887801199226</v>
      </c>
      <c r="AM140" s="343">
        <v>44.69</v>
      </c>
      <c r="AN140" s="344">
        <v>35.4</v>
      </c>
      <c r="AO140" s="344">
        <v>36.5</v>
      </c>
      <c r="AP140" s="345">
        <f t="shared" si="74"/>
        <v>37.175378329120782</v>
      </c>
      <c r="AQ140" s="343">
        <v>81.692129352724805</v>
      </c>
      <c r="AR140" s="344">
        <v>99.6</v>
      </c>
      <c r="AS140" s="345">
        <f t="shared" si="75"/>
        <v>90.6460646763624</v>
      </c>
      <c r="AT140" s="343">
        <v>710.85307121083997</v>
      </c>
      <c r="AU140" s="343">
        <v>30.933213148668699</v>
      </c>
      <c r="AV140" s="343">
        <v>1402.03727225478</v>
      </c>
      <c r="AW140" s="351">
        <f t="shared" si="76"/>
        <v>38.106423338777738</v>
      </c>
      <c r="AX140" s="293"/>
    </row>
    <row r="141" spans="1:51" ht="15.75" customHeight="1" x14ac:dyDescent="0.25">
      <c r="A141" s="294">
        <v>137</v>
      </c>
      <c r="B141" s="307" t="s">
        <v>10</v>
      </c>
      <c r="C141" s="308" t="s">
        <v>35</v>
      </c>
      <c r="D141" s="143" t="s">
        <v>297</v>
      </c>
      <c r="E141" s="173" t="s">
        <v>306</v>
      </c>
      <c r="F141" s="177" t="s">
        <v>165</v>
      </c>
      <c r="G141" s="341">
        <f t="shared" si="66"/>
        <v>48.484036156955426</v>
      </c>
      <c r="H141" s="342">
        <f t="shared" si="67"/>
        <v>37.722690134429229</v>
      </c>
      <c r="I141" s="342">
        <f t="shared" si="68"/>
        <v>59.245382179481624</v>
      </c>
      <c r="J141" s="343">
        <v>8.3705700000000007</v>
      </c>
      <c r="K141" s="344">
        <v>76.691900000000004</v>
      </c>
      <c r="L141" s="352">
        <v>52.874708720386288</v>
      </c>
      <c r="M141" s="352">
        <v>56.938059580742035</v>
      </c>
      <c r="N141" s="345">
        <f t="shared" si="69"/>
        <v>36.98506374194875</v>
      </c>
      <c r="O141" s="343">
        <f t="shared" si="70"/>
        <v>7.8974524892715656E-2</v>
      </c>
      <c r="P141" s="346">
        <v>434</v>
      </c>
      <c r="Q141" s="346">
        <v>5495443</v>
      </c>
      <c r="R141" s="344">
        <v>6.4</v>
      </c>
      <c r="S141" s="344">
        <v>0</v>
      </c>
      <c r="T141" s="347">
        <v>14</v>
      </c>
      <c r="U141" s="345">
        <f t="shared" si="71"/>
        <v>47.893774671469565</v>
      </c>
      <c r="V141" s="343">
        <f t="shared" si="64"/>
        <v>60.92320491723779</v>
      </c>
      <c r="W141" s="348">
        <v>334.8</v>
      </c>
      <c r="X141" s="346">
        <v>5495443</v>
      </c>
      <c r="Y141" s="344">
        <v>27.6</v>
      </c>
      <c r="Z141" s="345">
        <f t="shared" si="72"/>
        <v>45.987236373034243</v>
      </c>
      <c r="AA141" s="350">
        <v>2.69</v>
      </c>
      <c r="AB141" s="350">
        <v>0.32297974980429117</v>
      </c>
      <c r="AC141" s="346"/>
      <c r="AD141" s="346">
        <v>5495443</v>
      </c>
      <c r="AE141" s="352">
        <v>-250</v>
      </c>
      <c r="AF141" s="350">
        <v>4</v>
      </c>
      <c r="AG141" s="344">
        <v>18.399999999999999</v>
      </c>
      <c r="AH141" s="350">
        <v>3.3019127302388771</v>
      </c>
      <c r="AI141" s="343">
        <f t="shared" si="73"/>
        <v>0.57576763485477178</v>
      </c>
      <c r="AJ141" s="346">
        <v>3469</v>
      </c>
      <c r="AK141" s="346">
        <v>6025</v>
      </c>
      <c r="AL141" s="345">
        <f t="shared" si="77"/>
        <v>33.851408832998366</v>
      </c>
      <c r="AM141" s="343">
        <v>19.5</v>
      </c>
      <c r="AN141" s="352">
        <v>42.087091947296798</v>
      </c>
      <c r="AO141" s="344">
        <v>4.3</v>
      </c>
      <c r="AP141" s="345">
        <f t="shared" si="74"/>
        <v>55.13646472056223</v>
      </c>
      <c r="AQ141" s="343">
        <v>39.620983607769901</v>
      </c>
      <c r="AR141" s="352">
        <v>75.613477893979507</v>
      </c>
      <c r="AS141" s="345">
        <f t="shared" si="75"/>
        <v>57.617230750874704</v>
      </c>
      <c r="AT141" s="343">
        <v>367.82195648679198</v>
      </c>
      <c r="AU141" s="343">
        <v>6.1430045205116801E-2</v>
      </c>
      <c r="AV141" s="343">
        <v>911.94812348446703</v>
      </c>
      <c r="AW141" s="351">
        <f t="shared" si="76"/>
        <v>73.200285984846673</v>
      </c>
      <c r="AX141" s="293"/>
    </row>
    <row r="142" spans="1:51" s="28" customFormat="1" ht="15.75" customHeight="1" x14ac:dyDescent="0.25">
      <c r="A142" s="294">
        <v>138</v>
      </c>
      <c r="B142" s="301" t="s">
        <v>23</v>
      </c>
      <c r="C142" s="303" t="s">
        <v>26</v>
      </c>
      <c r="D142" s="145" t="s">
        <v>299</v>
      </c>
      <c r="E142" s="173" t="s">
        <v>306</v>
      </c>
      <c r="F142" s="177" t="s">
        <v>157</v>
      </c>
      <c r="G142" s="341">
        <f t="shared" si="66"/>
        <v>48.283825815393897</v>
      </c>
      <c r="H142" s="342">
        <f t="shared" si="67"/>
        <v>44.734618604965519</v>
      </c>
      <c r="I142" s="342">
        <f t="shared" si="68"/>
        <v>51.833033025822267</v>
      </c>
      <c r="J142" s="343">
        <v>5.4303100000000004</v>
      </c>
      <c r="K142" s="344">
        <v>105.843</v>
      </c>
      <c r="L142" s="344">
        <v>55.843917211166001</v>
      </c>
      <c r="M142" s="344">
        <v>61.395500179999999</v>
      </c>
      <c r="N142" s="345">
        <f t="shared" si="69"/>
        <v>37.363212681124828</v>
      </c>
      <c r="O142" s="343">
        <f t="shared" si="70"/>
        <v>0.23741568544127833</v>
      </c>
      <c r="P142" s="346">
        <v>1642</v>
      </c>
      <c r="Q142" s="346">
        <v>6916139.5</v>
      </c>
      <c r="R142" s="344">
        <v>1.52</v>
      </c>
      <c r="S142" s="344">
        <v>0</v>
      </c>
      <c r="T142" s="347">
        <v>1.9</v>
      </c>
      <c r="U142" s="345">
        <f t="shared" si="71"/>
        <v>57.696120439251793</v>
      </c>
      <c r="V142" s="343">
        <f t="shared" si="64"/>
        <v>184.06511320368827</v>
      </c>
      <c r="W142" s="348">
        <v>1273.02</v>
      </c>
      <c r="X142" s="346">
        <v>6916139.5</v>
      </c>
      <c r="Y142" s="352">
        <v>13.7</v>
      </c>
      <c r="Z142" s="345">
        <f t="shared" si="72"/>
        <v>70.169973346616146</v>
      </c>
      <c r="AA142" s="343">
        <v>2.4666666666666668</v>
      </c>
      <c r="AB142" s="350">
        <v>5.1184689196049481E-2</v>
      </c>
      <c r="AC142" s="346"/>
      <c r="AD142" s="346">
        <v>6916139.5</v>
      </c>
      <c r="AE142" s="344">
        <v>-70</v>
      </c>
      <c r="AF142" s="343">
        <v>29.31</v>
      </c>
      <c r="AG142" s="344">
        <v>9.9749999999999996</v>
      </c>
      <c r="AH142" s="343">
        <v>4.2300000000000004</v>
      </c>
      <c r="AI142" s="343">
        <f t="shared" si="73"/>
        <v>0.20592487950806049</v>
      </c>
      <c r="AJ142" s="346">
        <v>24781</v>
      </c>
      <c r="AK142" s="346">
        <v>120340</v>
      </c>
      <c r="AL142" s="345">
        <f t="shared" si="77"/>
        <v>42.506810384821989</v>
      </c>
      <c r="AM142" s="343">
        <v>3.8475000000000001</v>
      </c>
      <c r="AN142" s="344">
        <v>59.6</v>
      </c>
      <c r="AO142" s="344">
        <v>65.5</v>
      </c>
      <c r="AP142" s="345">
        <f t="shared" si="74"/>
        <v>53.752317575742232</v>
      </c>
      <c r="AQ142" s="343">
        <v>23.470592686629001</v>
      </c>
      <c r="AR142" s="344">
        <v>86.9</v>
      </c>
      <c r="AS142" s="345">
        <f t="shared" si="75"/>
        <v>55.185296343314505</v>
      </c>
      <c r="AT142" s="343">
        <v>865.22482743128603</v>
      </c>
      <c r="AU142" s="343">
        <v>17.2848992108826</v>
      </c>
      <c r="AV142" s="343">
        <v>1668.63022182141</v>
      </c>
      <c r="AW142" s="351">
        <f t="shared" si="76"/>
        <v>42.722916058570128</v>
      </c>
      <c r="AX142" s="293"/>
      <c r="AY142" s="358"/>
    </row>
    <row r="143" spans="1:51" s="28" customFormat="1" ht="15.75" customHeight="1" x14ac:dyDescent="0.25">
      <c r="A143" s="294">
        <v>139</v>
      </c>
      <c r="B143" s="297" t="s">
        <v>16</v>
      </c>
      <c r="C143" s="300" t="s">
        <v>21</v>
      </c>
      <c r="D143" s="144" t="s">
        <v>298</v>
      </c>
      <c r="E143" s="173" t="s">
        <v>306</v>
      </c>
      <c r="F143" s="177" t="s">
        <v>152</v>
      </c>
      <c r="G143" s="341">
        <f t="shared" si="66"/>
        <v>47.814175210340771</v>
      </c>
      <c r="H143" s="342">
        <f t="shared" si="67"/>
        <v>43.473602434250637</v>
      </c>
      <c r="I143" s="342">
        <f t="shared" si="68"/>
        <v>52.154747986430905</v>
      </c>
      <c r="J143" s="343">
        <v>3.52007</v>
      </c>
      <c r="K143" s="344">
        <v>87.676100000000005</v>
      </c>
      <c r="L143" s="344">
        <v>56.287110523834599</v>
      </c>
      <c r="M143" s="344">
        <v>64.874603269999994</v>
      </c>
      <c r="N143" s="345">
        <f t="shared" si="69"/>
        <v>36.14635678179198</v>
      </c>
      <c r="O143" s="343">
        <f t="shared" si="70"/>
        <v>0.21715232773764567</v>
      </c>
      <c r="P143" s="346">
        <v>658</v>
      </c>
      <c r="Q143" s="346">
        <v>3030131</v>
      </c>
      <c r="R143" s="344">
        <v>1.2</v>
      </c>
      <c r="S143" s="344">
        <v>0</v>
      </c>
      <c r="T143" s="347">
        <v>7</v>
      </c>
      <c r="U143" s="345">
        <f t="shared" si="71"/>
        <v>56.326632082903352</v>
      </c>
      <c r="V143" s="343">
        <f t="shared" si="64"/>
        <v>33.97855736270148</v>
      </c>
      <c r="W143" s="348">
        <v>102.95948</v>
      </c>
      <c r="X143" s="346">
        <v>3030131</v>
      </c>
      <c r="Y143" s="344">
        <v>22.7</v>
      </c>
      <c r="Z143" s="345">
        <f t="shared" si="72"/>
        <v>51.57728646695368</v>
      </c>
      <c r="AA143" s="343">
        <v>2.8666666666666667</v>
      </c>
      <c r="AB143" s="343">
        <f t="shared" ref="AB143:AB156" si="78">AC143/AD143</f>
        <v>1.9901449805305445E-2</v>
      </c>
      <c r="AC143" s="346">
        <v>60304</v>
      </c>
      <c r="AD143" s="346">
        <v>3030131</v>
      </c>
      <c r="AE143" s="344">
        <v>-91</v>
      </c>
      <c r="AF143" s="343">
        <v>41.53</v>
      </c>
      <c r="AG143" s="344">
        <v>23.5</v>
      </c>
      <c r="AH143" s="343">
        <v>5.09</v>
      </c>
      <c r="AI143" s="343">
        <f t="shared" si="73"/>
        <v>5.8958568669606096E-2</v>
      </c>
      <c r="AJ143" s="346">
        <v>48540</v>
      </c>
      <c r="AK143" s="346">
        <v>823290</v>
      </c>
      <c r="AL143" s="345">
        <f t="shared" si="77"/>
        <v>45.561669666370342</v>
      </c>
      <c r="AM143" s="343">
        <v>41.4</v>
      </c>
      <c r="AN143" s="344">
        <v>48</v>
      </c>
      <c r="AO143" s="344">
        <v>54.7</v>
      </c>
      <c r="AP143" s="345">
        <f t="shared" si="74"/>
        <v>42.71388151013776</v>
      </c>
      <c r="AQ143" s="343">
        <v>72.918767289352502</v>
      </c>
      <c r="AR143" s="344">
        <v>81</v>
      </c>
      <c r="AS143" s="345">
        <f t="shared" si="75"/>
        <v>76.959383644676251</v>
      </c>
      <c r="AT143" s="343">
        <v>2409.87254809561</v>
      </c>
      <c r="AU143" s="343">
        <v>2.7104360232764799</v>
      </c>
      <c r="AV143" s="343">
        <v>1942.19375929083</v>
      </c>
      <c r="AW143" s="351">
        <f t="shared" si="76"/>
        <v>55.672711757064981</v>
      </c>
      <c r="AX143" s="293"/>
      <c r="AY143" s="358"/>
    </row>
    <row r="144" spans="1:51" ht="15.75" customHeight="1" x14ac:dyDescent="0.25">
      <c r="A144" s="294">
        <v>140</v>
      </c>
      <c r="B144" s="297" t="s">
        <v>16</v>
      </c>
      <c r="C144" s="310" t="s">
        <v>886</v>
      </c>
      <c r="D144" s="144" t="s">
        <v>298</v>
      </c>
      <c r="E144" s="173" t="s">
        <v>306</v>
      </c>
      <c r="F144" s="177" t="s">
        <v>181</v>
      </c>
      <c r="G144" s="341">
        <f t="shared" si="66"/>
        <v>45.429645871751674</v>
      </c>
      <c r="H144" s="342">
        <f t="shared" si="67"/>
        <v>43.24783194871786</v>
      </c>
      <c r="I144" s="342">
        <f t="shared" si="68"/>
        <v>47.611459794785496</v>
      </c>
      <c r="J144" s="343">
        <v>1.97393</v>
      </c>
      <c r="K144" s="344">
        <v>123.91200000000001</v>
      </c>
      <c r="L144" s="344">
        <v>51.3679343005101</v>
      </c>
      <c r="M144" s="344">
        <v>60.117801669999999</v>
      </c>
      <c r="N144" s="345">
        <f t="shared" si="69"/>
        <v>33.646775659294185</v>
      </c>
      <c r="O144" s="343">
        <f t="shared" si="70"/>
        <v>0.10020546714867262</v>
      </c>
      <c r="P144" s="346">
        <v>1854</v>
      </c>
      <c r="Q144" s="346">
        <v>18501984.5</v>
      </c>
      <c r="R144" s="344">
        <v>1.8</v>
      </c>
      <c r="S144" s="344">
        <v>0.1</v>
      </c>
      <c r="T144" s="347">
        <v>6</v>
      </c>
      <c r="U144" s="345">
        <f t="shared" si="71"/>
        <v>54.609344290878639</v>
      </c>
      <c r="V144" s="343">
        <f t="shared" si="64"/>
        <v>165.47414143601731</v>
      </c>
      <c r="W144" s="348">
        <v>3061.6</v>
      </c>
      <c r="X144" s="346">
        <v>18501984.5</v>
      </c>
      <c r="Y144" s="344">
        <v>7.6</v>
      </c>
      <c r="Z144" s="345">
        <f t="shared" si="72"/>
        <v>78.999036535809608</v>
      </c>
      <c r="AA144" s="343">
        <v>2.25</v>
      </c>
      <c r="AB144" s="343">
        <f t="shared" si="78"/>
        <v>5.7883556490926691E-2</v>
      </c>
      <c r="AC144" s="346">
        <v>1070960.665</v>
      </c>
      <c r="AD144" s="346">
        <v>18501984.5</v>
      </c>
      <c r="AE144" s="344">
        <v>23</v>
      </c>
      <c r="AF144" s="343">
        <v>54.91</v>
      </c>
      <c r="AG144" s="344">
        <v>27.6</v>
      </c>
      <c r="AH144" s="343">
        <v>3.75</v>
      </c>
      <c r="AI144" s="343">
        <f t="shared" si="73"/>
        <v>0.2457435204903132</v>
      </c>
      <c r="AJ144" s="346">
        <v>47313</v>
      </c>
      <c r="AK144" s="346">
        <v>192530</v>
      </c>
      <c r="AL144" s="345">
        <f t="shared" si="77"/>
        <v>41.070709005828391</v>
      </c>
      <c r="AM144" s="343">
        <v>46.41</v>
      </c>
      <c r="AN144" s="344">
        <v>34.799999999999997</v>
      </c>
      <c r="AO144" s="344">
        <v>120.2</v>
      </c>
      <c r="AP144" s="345">
        <f t="shared" si="74"/>
        <v>30.266752513998451</v>
      </c>
      <c r="AQ144" s="343">
        <v>76.460925747350302</v>
      </c>
      <c r="AR144" s="344">
        <v>87.1</v>
      </c>
      <c r="AS144" s="345">
        <f t="shared" si="75"/>
        <v>81.780462873675148</v>
      </c>
      <c r="AT144" s="343">
        <v>1091.6016787710701</v>
      </c>
      <c r="AU144" s="343">
        <v>0.58944540086924302</v>
      </c>
      <c r="AV144" s="343">
        <v>1965.2977467308001</v>
      </c>
      <c r="AW144" s="351">
        <f t="shared" si="76"/>
        <v>65.476578558256975</v>
      </c>
      <c r="AX144" s="293"/>
    </row>
    <row r="145" spans="1:51" ht="15.75" customHeight="1" x14ac:dyDescent="0.25">
      <c r="A145" s="294">
        <v>141</v>
      </c>
      <c r="B145" s="301" t="s">
        <v>23</v>
      </c>
      <c r="C145" s="303" t="s">
        <v>26</v>
      </c>
      <c r="D145" s="145" t="s">
        <v>299</v>
      </c>
      <c r="E145" s="173" t="s">
        <v>306</v>
      </c>
      <c r="F145" s="177" t="s">
        <v>101</v>
      </c>
      <c r="G145" s="341">
        <f t="shared" si="66"/>
        <v>45.044927997372575</v>
      </c>
      <c r="H145" s="342">
        <f t="shared" si="67"/>
        <v>43.986268588691544</v>
      </c>
      <c r="I145" s="342">
        <f t="shared" si="68"/>
        <v>46.103587406053606</v>
      </c>
      <c r="J145" s="343">
        <v>4.3621299999999996</v>
      </c>
      <c r="K145" s="344">
        <v>74.4148</v>
      </c>
      <c r="L145" s="344">
        <v>54.724421323208801</v>
      </c>
      <c r="M145" s="344">
        <v>58.622699740000002</v>
      </c>
      <c r="N145" s="345">
        <f t="shared" si="69"/>
        <v>34.452381932468874</v>
      </c>
      <c r="O145" s="343">
        <f t="shared" si="70"/>
        <v>0.31914785029905907</v>
      </c>
      <c r="P145" s="346">
        <v>3455</v>
      </c>
      <c r="Q145" s="346">
        <v>10825703.5</v>
      </c>
      <c r="R145" s="344">
        <v>2.2799999999999998</v>
      </c>
      <c r="S145" s="344">
        <v>1.9</v>
      </c>
      <c r="T145" s="347">
        <v>9.5</v>
      </c>
      <c r="U145" s="345">
        <f t="shared" si="71"/>
        <v>52.283726967489919</v>
      </c>
      <c r="V145" s="343">
        <f t="shared" si="64"/>
        <v>148.44300880769549</v>
      </c>
      <c r="W145" s="348">
        <v>1607</v>
      </c>
      <c r="X145" s="346">
        <v>10825703.5</v>
      </c>
      <c r="Y145" s="352">
        <v>13.7</v>
      </c>
      <c r="Z145" s="345">
        <f t="shared" si="72"/>
        <v>69.521651733707401</v>
      </c>
      <c r="AA145" s="343">
        <v>2.8333333333333335</v>
      </c>
      <c r="AB145" s="343">
        <f t="shared" si="78"/>
        <v>3.9576458010326998E-2</v>
      </c>
      <c r="AC145" s="346">
        <v>428443</v>
      </c>
      <c r="AD145" s="346">
        <v>10825703.5</v>
      </c>
      <c r="AE145" s="344">
        <v>22</v>
      </c>
      <c r="AF145" s="343">
        <v>68.27</v>
      </c>
      <c r="AG145" s="344">
        <v>25.174999999999997</v>
      </c>
      <c r="AH145" s="343">
        <v>4.0599999999999996</v>
      </c>
      <c r="AI145" s="343">
        <f t="shared" si="73"/>
        <v>0.15726159621056396</v>
      </c>
      <c r="AJ145" s="346">
        <v>17596</v>
      </c>
      <c r="AK145" s="346">
        <v>111890</v>
      </c>
      <c r="AL145" s="345">
        <f t="shared" si="77"/>
        <v>45.061944863960647</v>
      </c>
      <c r="AM145" s="343">
        <v>30.066666666666698</v>
      </c>
      <c r="AN145" s="344">
        <v>50.3</v>
      </c>
      <c r="AO145" s="344">
        <v>80.8</v>
      </c>
      <c r="AP145" s="345">
        <f t="shared" si="74"/>
        <v>43.576823410539355</v>
      </c>
      <c r="AQ145" s="343">
        <v>42.442970736634301</v>
      </c>
      <c r="AR145" s="344">
        <v>92.3</v>
      </c>
      <c r="AS145" s="345">
        <f t="shared" si="75"/>
        <v>67.371485368317153</v>
      </c>
      <c r="AT145" s="343">
        <v>1109.44780939255</v>
      </c>
      <c r="AU145" s="343">
        <v>48.946172615652301</v>
      </c>
      <c r="AV145" s="343">
        <v>1746.7028423982899</v>
      </c>
      <c r="AW145" s="351">
        <f t="shared" si="76"/>
        <v>32.415981430332778</v>
      </c>
      <c r="AX145" s="293"/>
    </row>
    <row r="146" spans="1:51" s="28" customFormat="1" ht="15.75" customHeight="1" x14ac:dyDescent="0.25">
      <c r="A146" s="294">
        <v>142</v>
      </c>
      <c r="B146" s="297" t="s">
        <v>16</v>
      </c>
      <c r="C146" s="310" t="s">
        <v>886</v>
      </c>
      <c r="D146" s="144" t="s">
        <v>298</v>
      </c>
      <c r="E146" s="171" t="s">
        <v>304</v>
      </c>
      <c r="F146" s="177" t="s">
        <v>80</v>
      </c>
      <c r="G146" s="341">
        <f t="shared" si="66"/>
        <v>44.198702114176697</v>
      </c>
      <c r="H146" s="342">
        <f t="shared" si="67"/>
        <v>40.097645048256865</v>
      </c>
      <c r="I146" s="342">
        <f t="shared" si="68"/>
        <v>48.299759180096522</v>
      </c>
      <c r="J146" s="343">
        <v>9.7074025000000008E-2</v>
      </c>
      <c r="K146" s="344">
        <v>52.032503333333302</v>
      </c>
      <c r="L146" s="344">
        <v>43.516856241754901</v>
      </c>
      <c r="M146" s="344">
        <v>63.299301149999998</v>
      </c>
      <c r="N146" s="345">
        <f t="shared" si="69"/>
        <v>28.519351146549837</v>
      </c>
      <c r="O146" s="343">
        <f t="shared" si="70"/>
        <v>0.29273192598320807</v>
      </c>
      <c r="P146" s="346">
        <v>554</v>
      </c>
      <c r="Q146" s="346">
        <v>1892516.5</v>
      </c>
      <c r="R146" s="344">
        <v>0.9</v>
      </c>
      <c r="S146" s="344">
        <v>0</v>
      </c>
      <c r="T146" s="347">
        <v>30</v>
      </c>
      <c r="U146" s="345">
        <f t="shared" si="71"/>
        <v>50.850699206962943</v>
      </c>
      <c r="V146" s="343">
        <f t="shared" si="64"/>
        <v>10.46226017051899</v>
      </c>
      <c r="W146" s="348">
        <v>19.8</v>
      </c>
      <c r="X146" s="346">
        <v>1892516.5</v>
      </c>
      <c r="Y146" s="344">
        <v>4.7</v>
      </c>
      <c r="Z146" s="345">
        <f t="shared" si="72"/>
        <v>75.026683329188486</v>
      </c>
      <c r="AA146" s="343">
        <v>2.3199999999999998</v>
      </c>
      <c r="AB146" s="343">
        <f t="shared" si="78"/>
        <v>6.2576467893410703E-2</v>
      </c>
      <c r="AC146" s="346">
        <v>118426.99800000001</v>
      </c>
      <c r="AD146" s="346">
        <v>1892516.5</v>
      </c>
      <c r="AE146" s="344">
        <v>-9</v>
      </c>
      <c r="AF146" s="343">
        <v>33.99</v>
      </c>
      <c r="AG146" s="344">
        <v>32.799999999999997</v>
      </c>
      <c r="AH146" s="350">
        <v>4.06846162983582</v>
      </c>
      <c r="AI146" s="343">
        <f t="shared" si="73"/>
        <v>0.10267013653702185</v>
      </c>
      <c r="AJ146" s="346">
        <v>2880</v>
      </c>
      <c r="AK146" s="346">
        <v>28051</v>
      </c>
      <c r="AL146" s="345">
        <f t="shared" si="77"/>
        <v>40.255415840054475</v>
      </c>
      <c r="AM146" s="343">
        <v>64.69</v>
      </c>
      <c r="AN146" s="344">
        <v>22.1</v>
      </c>
      <c r="AO146" s="344">
        <v>6.8</v>
      </c>
      <c r="AP146" s="345">
        <f t="shared" si="74"/>
        <v>35.177743142884182</v>
      </c>
      <c r="AQ146" s="350">
        <v>51.211841769205385</v>
      </c>
      <c r="AR146" s="344">
        <v>84.4</v>
      </c>
      <c r="AS146" s="345">
        <f t="shared" si="75"/>
        <v>67.805920884602699</v>
      </c>
      <c r="AT146" s="343">
        <v>3195.8400879982401</v>
      </c>
      <c r="AU146" s="343">
        <v>0</v>
      </c>
      <c r="AV146" s="343">
        <v>1684.4189168462201</v>
      </c>
      <c r="AW146" s="351">
        <f t="shared" si="76"/>
        <v>68.159645587227388</v>
      </c>
      <c r="AX146" s="293"/>
      <c r="AY146" s="358"/>
    </row>
    <row r="147" spans="1:51" ht="15.75" customHeight="1" x14ac:dyDescent="0.25">
      <c r="A147" s="294">
        <v>143</v>
      </c>
      <c r="B147" s="307" t="s">
        <v>10</v>
      </c>
      <c r="C147" s="309" t="s">
        <v>11</v>
      </c>
      <c r="D147" s="141" t="s">
        <v>295</v>
      </c>
      <c r="E147" s="173" t="s">
        <v>306</v>
      </c>
      <c r="F147" s="177" t="s">
        <v>163</v>
      </c>
      <c r="G147" s="341">
        <f t="shared" si="66"/>
        <v>43.987646696242628</v>
      </c>
      <c r="H147" s="342">
        <f t="shared" si="67"/>
        <v>43.083792471507003</v>
      </c>
      <c r="I147" s="342">
        <f t="shared" si="68"/>
        <v>44.891500920978253</v>
      </c>
      <c r="J147" s="343">
        <v>1.35622</v>
      </c>
      <c r="K147" s="344">
        <v>76.5398</v>
      </c>
      <c r="L147" s="344">
        <v>49.145626777683603</v>
      </c>
      <c r="M147" s="344">
        <v>57.253</v>
      </c>
      <c r="N147" s="345">
        <f t="shared" si="69"/>
        <v>30.281166694420904</v>
      </c>
      <c r="O147" s="343">
        <f t="shared" si="70"/>
        <v>0.18353624959726456</v>
      </c>
      <c r="P147" s="346">
        <v>46117</v>
      </c>
      <c r="Q147" s="346">
        <v>251269164</v>
      </c>
      <c r="R147" s="344">
        <v>22</v>
      </c>
      <c r="S147" s="344">
        <v>0.3</v>
      </c>
      <c r="T147" s="347">
        <v>15</v>
      </c>
      <c r="U147" s="345">
        <f t="shared" si="71"/>
        <v>40.002174102827837</v>
      </c>
      <c r="V147" s="343">
        <f t="shared" si="64"/>
        <v>713.57741294510777</v>
      </c>
      <c r="W147" s="348">
        <v>179300</v>
      </c>
      <c r="X147" s="346">
        <v>251269164</v>
      </c>
      <c r="Y147" s="344">
        <v>4.0999999999999996</v>
      </c>
      <c r="Z147" s="345">
        <f t="shared" si="72"/>
        <v>88.654230784724987</v>
      </c>
      <c r="AA147" s="343">
        <v>2.42</v>
      </c>
      <c r="AB147" s="343">
        <f t="shared" si="78"/>
        <v>2.846914792934958E-2</v>
      </c>
      <c r="AC147" s="346">
        <v>7153419</v>
      </c>
      <c r="AD147" s="346">
        <v>251269164</v>
      </c>
      <c r="AE147" s="344">
        <v>36.5</v>
      </c>
      <c r="AF147" s="343">
        <v>146.30000000000001</v>
      </c>
      <c r="AG147" s="344">
        <v>24.9</v>
      </c>
      <c r="AH147" s="343">
        <v>3.94</v>
      </c>
      <c r="AI147" s="343">
        <f t="shared" si="73"/>
        <v>0.58402273599621068</v>
      </c>
      <c r="AJ147" s="346">
        <v>500591</v>
      </c>
      <c r="AK147" s="346">
        <v>857143</v>
      </c>
      <c r="AL147" s="345">
        <f t="shared" si="77"/>
        <v>45.264213262458384</v>
      </c>
      <c r="AM147" s="343">
        <v>55.97</v>
      </c>
      <c r="AN147" s="344">
        <v>54.9</v>
      </c>
      <c r="AO147" s="344">
        <v>99.7</v>
      </c>
      <c r="AP147" s="345">
        <f t="shared" si="74"/>
        <v>41.385031765592323</v>
      </c>
      <c r="AQ147" s="343">
        <v>27.2960071761925</v>
      </c>
      <c r="AR147" s="344">
        <v>88</v>
      </c>
      <c r="AS147" s="345">
        <f t="shared" si="75"/>
        <v>57.648003588096252</v>
      </c>
      <c r="AT147" s="343">
        <v>862.67052784815905</v>
      </c>
      <c r="AU147" s="343">
        <v>18.555489170256799</v>
      </c>
      <c r="AV147" s="343">
        <v>1259.78766028992</v>
      </c>
      <c r="AW147" s="351">
        <f t="shared" si="76"/>
        <v>42.654405720018048</v>
      </c>
      <c r="AX147" s="293"/>
    </row>
    <row r="148" spans="1:51" ht="15.75" customHeight="1" x14ac:dyDescent="0.25">
      <c r="A148" s="294">
        <v>144</v>
      </c>
      <c r="B148" s="297" t="s">
        <v>16</v>
      </c>
      <c r="C148" s="310" t="s">
        <v>886</v>
      </c>
      <c r="D148" s="144" t="s">
        <v>298</v>
      </c>
      <c r="E148" s="173" t="s">
        <v>306</v>
      </c>
      <c r="F148" s="177" t="s">
        <v>93</v>
      </c>
      <c r="G148" s="341">
        <f t="shared" si="66"/>
        <v>43.591037052867932</v>
      </c>
      <c r="H148" s="342">
        <f t="shared" si="67"/>
        <v>39.600180544254798</v>
      </c>
      <c r="I148" s="342">
        <f t="shared" si="68"/>
        <v>47.581893561481074</v>
      </c>
      <c r="J148" s="343">
        <v>0.555477</v>
      </c>
      <c r="K148" s="344">
        <v>98.805899999999994</v>
      </c>
      <c r="L148" s="344">
        <v>57.587831989413502</v>
      </c>
      <c r="M148" s="344">
        <v>72.175697330000006</v>
      </c>
      <c r="N148" s="345">
        <f t="shared" si="69"/>
        <v>36.197309829853374</v>
      </c>
      <c r="O148" s="343">
        <f t="shared" si="70"/>
        <v>0.17134601180538875</v>
      </c>
      <c r="P148" s="346">
        <v>5899</v>
      </c>
      <c r="Q148" s="346">
        <v>34427413.5</v>
      </c>
      <c r="R148" s="344">
        <v>2.9</v>
      </c>
      <c r="S148" s="344">
        <v>1</v>
      </c>
      <c r="T148" s="347">
        <v>28</v>
      </c>
      <c r="U148" s="345">
        <f t="shared" si="71"/>
        <v>46.431088221724401</v>
      </c>
      <c r="V148" s="343">
        <f t="shared" si="64"/>
        <v>42.076933836461457</v>
      </c>
      <c r="W148" s="348">
        <v>1448.6</v>
      </c>
      <c r="X148" s="346">
        <v>34427413.5</v>
      </c>
      <c r="Y148" s="344">
        <v>23.6</v>
      </c>
      <c r="Z148" s="345">
        <f t="shared" si="72"/>
        <v>50.871634071825866</v>
      </c>
      <c r="AA148" s="343">
        <v>2.4833333333333329</v>
      </c>
      <c r="AB148" s="343">
        <f t="shared" si="78"/>
        <v>1.2800264533378321E-2</v>
      </c>
      <c r="AC148" s="346">
        <v>440680</v>
      </c>
      <c r="AD148" s="346">
        <v>34427413.5</v>
      </c>
      <c r="AE148" s="344">
        <v>-166</v>
      </c>
      <c r="AF148" s="343">
        <v>100.31</v>
      </c>
      <c r="AG148" s="344">
        <v>8.8000000000000007</v>
      </c>
      <c r="AH148" s="343">
        <v>3.48</v>
      </c>
      <c r="AI148" s="343">
        <f t="shared" si="73"/>
        <v>0.48131479829299484</v>
      </c>
      <c r="AJ148" s="346">
        <v>109515</v>
      </c>
      <c r="AK148" s="346">
        <v>227533</v>
      </c>
      <c r="AL148" s="345">
        <f t="shared" si="77"/>
        <v>38.477460957396055</v>
      </c>
      <c r="AM148" s="343">
        <v>33.49</v>
      </c>
      <c r="AN148" s="344">
        <v>32.799999999999997</v>
      </c>
      <c r="AO148" s="344">
        <v>124.7</v>
      </c>
      <c r="AP148" s="345">
        <f t="shared" si="74"/>
        <v>30.773203601208571</v>
      </c>
      <c r="AQ148" s="343">
        <v>81.243025245485796</v>
      </c>
      <c r="AR148" s="344">
        <v>92.6</v>
      </c>
      <c r="AS148" s="345">
        <f t="shared" si="75"/>
        <v>86.921512622742895</v>
      </c>
      <c r="AT148" s="343">
        <v>1493.1370712544001</v>
      </c>
      <c r="AU148" s="343">
        <v>2.0355441648122099</v>
      </c>
      <c r="AV148" s="343">
        <v>1883.6476740206899</v>
      </c>
      <c r="AW148" s="351">
        <f t="shared" si="76"/>
        <v>58.668344381036775</v>
      </c>
      <c r="AX148" s="293"/>
    </row>
    <row r="149" spans="1:51" ht="15.75" customHeight="1" x14ac:dyDescent="0.25">
      <c r="A149" s="294">
        <v>145</v>
      </c>
      <c r="B149" s="301" t="s">
        <v>23</v>
      </c>
      <c r="C149" s="303" t="s">
        <v>26</v>
      </c>
      <c r="D149" s="145" t="s">
        <v>299</v>
      </c>
      <c r="E149" s="171" t="s">
        <v>304</v>
      </c>
      <c r="F149" s="177" t="s">
        <v>96</v>
      </c>
      <c r="G149" s="341">
        <f t="shared" si="66"/>
        <v>43.514701630669975</v>
      </c>
      <c r="H149" s="342">
        <f t="shared" si="67"/>
        <v>42.512306993936342</v>
      </c>
      <c r="I149" s="342">
        <f t="shared" si="68"/>
        <v>44.517096267403616</v>
      </c>
      <c r="J149" s="343">
        <v>5.0808299999999997</v>
      </c>
      <c r="K149" s="344">
        <v>113.709</v>
      </c>
      <c r="L149" s="344">
        <v>64.783696395911804</v>
      </c>
      <c r="M149" s="344">
        <v>60.221401210000003</v>
      </c>
      <c r="N149" s="345">
        <f t="shared" si="69"/>
        <v>39.275599401477955</v>
      </c>
      <c r="O149" s="343">
        <f t="shared" si="70"/>
        <v>0.19335708925377365</v>
      </c>
      <c r="P149" s="346">
        <v>3559</v>
      </c>
      <c r="Q149" s="346">
        <v>18406359</v>
      </c>
      <c r="R149" s="344">
        <v>1.2349999999999999</v>
      </c>
      <c r="S149" s="344">
        <v>0</v>
      </c>
      <c r="T149" s="347">
        <v>13.299999999999999</v>
      </c>
      <c r="U149" s="345">
        <f t="shared" si="71"/>
        <v>54.238349765814242</v>
      </c>
      <c r="V149" s="343">
        <f t="shared" si="64"/>
        <v>180.59519538872408</v>
      </c>
      <c r="W149" s="348">
        <v>3324.1</v>
      </c>
      <c r="X149" s="346">
        <v>18406359</v>
      </c>
      <c r="Y149" s="352">
        <v>15.8</v>
      </c>
      <c r="Z149" s="345">
        <f t="shared" si="72"/>
        <v>66.962608323136664</v>
      </c>
      <c r="AA149" s="343">
        <v>2.583333333333333</v>
      </c>
      <c r="AB149" s="343">
        <f t="shared" si="78"/>
        <v>1.2032689354803956E-2</v>
      </c>
      <c r="AC149" s="346">
        <v>221478</v>
      </c>
      <c r="AD149" s="346">
        <v>18406359</v>
      </c>
      <c r="AE149" s="344">
        <v>-36.333333333333336</v>
      </c>
      <c r="AF149" s="343">
        <v>109.59</v>
      </c>
      <c r="AG149" s="344">
        <v>18.239999999999998</v>
      </c>
      <c r="AH149" s="343">
        <v>2.56</v>
      </c>
      <c r="AI149" s="343">
        <f t="shared" si="73"/>
        <v>0.17610115714818964</v>
      </c>
      <c r="AJ149" s="346">
        <v>18871</v>
      </c>
      <c r="AK149" s="346">
        <v>107160</v>
      </c>
      <c r="AL149" s="345">
        <f t="shared" si="77"/>
        <v>36.704928561125193</v>
      </c>
      <c r="AM149" s="343">
        <v>37.6</v>
      </c>
      <c r="AN149" s="344">
        <v>46.5</v>
      </c>
      <c r="AO149" s="344">
        <v>61.6</v>
      </c>
      <c r="AP149" s="345">
        <f t="shared" si="74"/>
        <v>41.770418689998984</v>
      </c>
      <c r="AQ149" s="343">
        <v>38.281948382732402</v>
      </c>
      <c r="AR149" s="344">
        <v>96.3</v>
      </c>
      <c r="AS149" s="345">
        <f t="shared" si="75"/>
        <v>67.290974191366203</v>
      </c>
      <c r="AT149" s="343">
        <v>939.65094325812697</v>
      </c>
      <c r="AU149" s="343">
        <v>59.561410638254898</v>
      </c>
      <c r="AV149" s="343">
        <v>2739.3308833485598</v>
      </c>
      <c r="AW149" s="351">
        <f t="shared" si="76"/>
        <v>29.983251075654906</v>
      </c>
      <c r="AX149" s="293"/>
    </row>
    <row r="150" spans="1:51" ht="15.75" customHeight="1" x14ac:dyDescent="0.25">
      <c r="A150" s="294">
        <v>146</v>
      </c>
      <c r="B150" s="304" t="s">
        <v>29</v>
      </c>
      <c r="C150" s="316" t="s">
        <v>888</v>
      </c>
      <c r="D150" s="148" t="s">
        <v>302</v>
      </c>
      <c r="E150" s="173" t="s">
        <v>306</v>
      </c>
      <c r="F150" s="177" t="s">
        <v>119</v>
      </c>
      <c r="G150" s="341">
        <f t="shared" si="66"/>
        <v>42.974682294650634</v>
      </c>
      <c r="H150" s="342">
        <f t="shared" si="67"/>
        <v>39.2168853388863</v>
      </c>
      <c r="I150" s="342">
        <f t="shared" si="68"/>
        <v>46.732479250414961</v>
      </c>
      <c r="J150" s="343">
        <v>3.9990900000000003E-2</v>
      </c>
      <c r="K150" s="344">
        <v>51.254100000000001</v>
      </c>
      <c r="L150" s="352">
        <v>50.436580842248915</v>
      </c>
      <c r="M150" s="344">
        <v>89.44029999</v>
      </c>
      <c r="N150" s="345">
        <f t="shared" si="69"/>
        <v>36.711015958062227</v>
      </c>
      <c r="O150" s="343">
        <f t="shared" si="70"/>
        <v>8.9207392319243517E-2</v>
      </c>
      <c r="P150" s="346">
        <v>12</v>
      </c>
      <c r="Q150" s="346">
        <v>134518</v>
      </c>
      <c r="R150" s="344">
        <v>3.5</v>
      </c>
      <c r="S150" s="344">
        <v>5</v>
      </c>
      <c r="T150" s="347">
        <v>7</v>
      </c>
      <c r="U150" s="345">
        <f t="shared" si="71"/>
        <v>43.836745870087135</v>
      </c>
      <c r="V150" s="350">
        <v>37.072750379697858</v>
      </c>
      <c r="W150" s="348"/>
      <c r="X150" s="346">
        <v>134518</v>
      </c>
      <c r="Y150" s="344">
        <v>42.2</v>
      </c>
      <c r="Z150" s="345">
        <f t="shared" si="72"/>
        <v>22.589982473582495</v>
      </c>
      <c r="AA150" s="350">
        <v>2.7750000000000004</v>
      </c>
      <c r="AB150" s="343">
        <f t="shared" si="78"/>
        <v>0.43770424775866423</v>
      </c>
      <c r="AC150" s="346">
        <v>58879.1</v>
      </c>
      <c r="AD150" s="346">
        <v>134518</v>
      </c>
      <c r="AE150" s="352">
        <v>-6</v>
      </c>
      <c r="AF150" s="343">
        <v>16.8</v>
      </c>
      <c r="AG150" s="344">
        <v>10.7</v>
      </c>
      <c r="AH150" s="350">
        <v>3.2132684150250044</v>
      </c>
      <c r="AI150" s="343">
        <f t="shared" si="73"/>
        <v>0.82614056720098639</v>
      </c>
      <c r="AJ150" s="346">
        <v>670</v>
      </c>
      <c r="AK150" s="346">
        <v>811</v>
      </c>
      <c r="AL150" s="345">
        <f t="shared" si="77"/>
        <v>44.724515303236117</v>
      </c>
      <c r="AM150" s="343">
        <v>5.93</v>
      </c>
      <c r="AN150" s="344">
        <v>16.399999999999999</v>
      </c>
      <c r="AO150" s="344">
        <v>94.8</v>
      </c>
      <c r="AP150" s="345">
        <f t="shared" si="74"/>
        <v>26.802347283866862</v>
      </c>
      <c r="AQ150" s="350">
        <v>59.51297146474429</v>
      </c>
      <c r="AR150" s="344">
        <v>100</v>
      </c>
      <c r="AS150" s="345">
        <f t="shared" si="75"/>
        <v>79.756485732372141</v>
      </c>
      <c r="AT150" s="343">
        <v>509.47913066455698</v>
      </c>
      <c r="AU150" s="343">
        <v>0</v>
      </c>
      <c r="AV150" s="343">
        <v>749.59943345629301</v>
      </c>
      <c r="AW150" s="351">
        <f t="shared" si="76"/>
        <v>73.498868668102077</v>
      </c>
      <c r="AX150" s="293"/>
    </row>
    <row r="151" spans="1:51" ht="15.75" customHeight="1" x14ac:dyDescent="0.25">
      <c r="A151" s="294">
        <v>147</v>
      </c>
      <c r="B151" s="304" t="s">
        <v>29</v>
      </c>
      <c r="C151" s="316" t="s">
        <v>888</v>
      </c>
      <c r="D151" s="148" t="s">
        <v>302</v>
      </c>
      <c r="E151" s="171" t="s">
        <v>304</v>
      </c>
      <c r="F151" s="177" t="s">
        <v>177</v>
      </c>
      <c r="G151" s="341">
        <f t="shared" si="66"/>
        <v>42.458076477588065</v>
      </c>
      <c r="H151" s="342">
        <f t="shared" si="67"/>
        <v>42.525407147490085</v>
      </c>
      <c r="I151" s="342">
        <f t="shared" si="68"/>
        <v>42.390745807686038</v>
      </c>
      <c r="J151" s="343">
        <v>0.89502288333333324</v>
      </c>
      <c r="K151" s="344">
        <v>62.900812708333333</v>
      </c>
      <c r="L151" s="344">
        <v>64.272360367086407</v>
      </c>
      <c r="M151" s="352">
        <v>69.141661622410425</v>
      </c>
      <c r="N151" s="345">
        <f t="shared" si="69"/>
        <v>36.196051657096433</v>
      </c>
      <c r="O151" s="343">
        <f t="shared" si="70"/>
        <v>0.27520474086033586</v>
      </c>
      <c r="P151" s="346">
        <v>60</v>
      </c>
      <c r="Q151" s="346">
        <v>218019.5</v>
      </c>
      <c r="R151" s="344">
        <v>1.6</v>
      </c>
      <c r="S151" s="344">
        <v>0.3</v>
      </c>
      <c r="T151" s="347">
        <v>6</v>
      </c>
      <c r="U151" s="345">
        <f t="shared" si="71"/>
        <v>56.317669842551219</v>
      </c>
      <c r="V151" s="350">
        <v>91.409843408155183</v>
      </c>
      <c r="W151" s="348"/>
      <c r="X151" s="346">
        <v>218019.5</v>
      </c>
      <c r="Y151" s="344">
        <v>13.2</v>
      </c>
      <c r="Z151" s="345">
        <f t="shared" si="72"/>
        <v>68.810218664357564</v>
      </c>
      <c r="AA151" s="350">
        <v>2.2666666666666671</v>
      </c>
      <c r="AB151" s="343">
        <f t="shared" si="78"/>
        <v>0.1931937280839558</v>
      </c>
      <c r="AC151" s="346">
        <v>42120</v>
      </c>
      <c r="AD151" s="346">
        <v>218019.5</v>
      </c>
      <c r="AE151" s="352">
        <v>-6</v>
      </c>
      <c r="AF151" s="343">
        <v>30.33</v>
      </c>
      <c r="AG151" s="344">
        <v>26.6</v>
      </c>
      <c r="AH151" s="350">
        <v>3.2158738329395731</v>
      </c>
      <c r="AI151" s="343">
        <f t="shared" si="73"/>
        <v>0.41366906474820142</v>
      </c>
      <c r="AJ151" s="346">
        <v>1150</v>
      </c>
      <c r="AK151" s="346">
        <v>2780</v>
      </c>
      <c r="AL151" s="345">
        <f t="shared" si="77"/>
        <v>38.83549408490159</v>
      </c>
      <c r="AM151" s="343">
        <v>34.590000000000003</v>
      </c>
      <c r="AN151" s="344">
        <v>39.700000000000003</v>
      </c>
      <c r="AO151" s="344">
        <v>131.1</v>
      </c>
      <c r="AP151" s="345">
        <f t="shared" si="74"/>
        <v>34.291369918288055</v>
      </c>
      <c r="AQ151" s="350">
        <v>49.470684550210144</v>
      </c>
      <c r="AR151" s="344">
        <v>91.1</v>
      </c>
      <c r="AS151" s="345">
        <f t="shared" si="75"/>
        <v>70.285342275105066</v>
      </c>
      <c r="AT151" s="343">
        <v>684.78974682491196</v>
      </c>
      <c r="AU151" s="343">
        <v>29.3366489107832</v>
      </c>
      <c r="AV151" s="343">
        <v>1325.0337612271801</v>
      </c>
      <c r="AW151" s="351">
        <f t="shared" si="76"/>
        <v>38.794277008460945</v>
      </c>
      <c r="AX151" s="293"/>
    </row>
    <row r="152" spans="1:51" ht="15.75" customHeight="1" x14ac:dyDescent="0.25">
      <c r="A152" s="294">
        <v>148</v>
      </c>
      <c r="B152" s="297" t="s">
        <v>16</v>
      </c>
      <c r="C152" s="310" t="s">
        <v>886</v>
      </c>
      <c r="D152" s="144" t="s">
        <v>298</v>
      </c>
      <c r="E152" s="173" t="s">
        <v>306</v>
      </c>
      <c r="F152" s="177" t="s">
        <v>329</v>
      </c>
      <c r="G152" s="341">
        <f t="shared" si="66"/>
        <v>41.761501032110274</v>
      </c>
      <c r="H152" s="342">
        <f t="shared" si="67"/>
        <v>34.007429848227339</v>
      </c>
      <c r="I152" s="342">
        <f t="shared" si="68"/>
        <v>49.515572215993217</v>
      </c>
      <c r="J152" s="343">
        <v>1.36337</v>
      </c>
      <c r="K152" s="344">
        <v>171.989</v>
      </c>
      <c r="L152" s="344">
        <v>50.571232804378504</v>
      </c>
      <c r="M152" s="344">
        <v>41.432199019999999</v>
      </c>
      <c r="N152" s="345">
        <f t="shared" si="69"/>
        <v>29.869966289427961</v>
      </c>
      <c r="O152" s="343">
        <f t="shared" si="70"/>
        <v>2.9717328396519971E-2</v>
      </c>
      <c r="P152" s="346">
        <v>949</v>
      </c>
      <c r="Q152" s="346">
        <v>31934230</v>
      </c>
      <c r="R152" s="344">
        <v>3.5</v>
      </c>
      <c r="S152" s="344">
        <v>2</v>
      </c>
      <c r="T152" s="347">
        <v>10</v>
      </c>
      <c r="U152" s="345">
        <f t="shared" si="71"/>
        <v>47.699352328057948</v>
      </c>
      <c r="V152" s="343">
        <f t="shared" ref="V152:V162" si="79">(W152*1000000)/X152</f>
        <v>36.387287246318451</v>
      </c>
      <c r="W152" s="348">
        <v>1162</v>
      </c>
      <c r="X152" s="346">
        <v>31934230</v>
      </c>
      <c r="Y152" s="344">
        <v>48.1</v>
      </c>
      <c r="Z152" s="345">
        <f t="shared" si="72"/>
        <v>13.683729053137222</v>
      </c>
      <c r="AA152" s="343">
        <v>3.08</v>
      </c>
      <c r="AB152" s="343">
        <f t="shared" si="78"/>
        <v>2.2428378576843717E-2</v>
      </c>
      <c r="AC152" s="346">
        <v>716233</v>
      </c>
      <c r="AD152" s="346">
        <v>31934230</v>
      </c>
      <c r="AE152" s="344">
        <v>-47</v>
      </c>
      <c r="AF152" s="343">
        <v>96.64</v>
      </c>
      <c r="AG152" s="344">
        <v>39.5</v>
      </c>
      <c r="AH152" s="343">
        <v>3.31</v>
      </c>
      <c r="AI152" s="343">
        <f t="shared" si="73"/>
        <v>0.25784905660377361</v>
      </c>
      <c r="AJ152" s="346">
        <v>81996</v>
      </c>
      <c r="AK152" s="346">
        <v>318000</v>
      </c>
      <c r="AL152" s="345">
        <f t="shared" si="77"/>
        <v>39.802837985841592</v>
      </c>
      <c r="AM152" s="343">
        <v>48.26</v>
      </c>
      <c r="AN152" s="344">
        <v>44.1</v>
      </c>
      <c r="AO152" s="344">
        <v>111.3</v>
      </c>
      <c r="AP152" s="345">
        <f t="shared" si="74"/>
        <v>35.727645684594329</v>
      </c>
      <c r="AQ152" s="343">
        <v>57.567626973085297</v>
      </c>
      <c r="AR152" s="344">
        <v>89.8</v>
      </c>
      <c r="AS152" s="345">
        <f t="shared" si="75"/>
        <v>73.683813486542647</v>
      </c>
      <c r="AT152" s="343">
        <v>1219.02624217724</v>
      </c>
      <c r="AU152" s="343">
        <v>0.34007872981510601</v>
      </c>
      <c r="AV152" s="343">
        <v>2149.2186003453498</v>
      </c>
      <c r="AW152" s="351">
        <f t="shared" si="76"/>
        <v>66.711110539640444</v>
      </c>
      <c r="AX152" s="293"/>
    </row>
    <row r="153" spans="1:51" ht="15.75" customHeight="1" x14ac:dyDescent="0.25">
      <c r="A153" s="294">
        <v>149</v>
      </c>
      <c r="B153" s="307" t="s">
        <v>10</v>
      </c>
      <c r="C153" s="311" t="s">
        <v>887</v>
      </c>
      <c r="D153" s="147" t="s">
        <v>301</v>
      </c>
      <c r="E153" s="173" t="s">
        <v>306</v>
      </c>
      <c r="F153" s="177" t="s">
        <v>151</v>
      </c>
      <c r="G153" s="341">
        <f t="shared" si="66"/>
        <v>41.503804681763711</v>
      </c>
      <c r="H153" s="342">
        <f t="shared" si="67"/>
        <v>42.78451560092379</v>
      </c>
      <c r="I153" s="342">
        <f t="shared" si="68"/>
        <v>40.223093762603639</v>
      </c>
      <c r="J153" s="343">
        <v>2.7982999999999998</v>
      </c>
      <c r="K153" s="344">
        <v>121.02800000000001</v>
      </c>
      <c r="L153" s="344">
        <v>52.664668722666903</v>
      </c>
      <c r="M153" s="344">
        <v>68.306320952000007</v>
      </c>
      <c r="N153" s="345">
        <f t="shared" si="69"/>
        <v>36.608930752000056</v>
      </c>
      <c r="O153" s="343">
        <f t="shared" si="70"/>
        <v>0.11965117636225599</v>
      </c>
      <c r="P153" s="346">
        <v>6521</v>
      </c>
      <c r="Q153" s="346">
        <v>54500091</v>
      </c>
      <c r="R153" s="344">
        <v>10.45</v>
      </c>
      <c r="S153" s="344">
        <v>0.95</v>
      </c>
      <c r="T153" s="347">
        <v>28.5</v>
      </c>
      <c r="U153" s="345">
        <f t="shared" si="71"/>
        <v>38.633167365786086</v>
      </c>
      <c r="V153" s="343">
        <f t="shared" si="79"/>
        <v>609.74210116456504</v>
      </c>
      <c r="W153" s="348">
        <v>33231</v>
      </c>
      <c r="X153" s="346">
        <v>54500091</v>
      </c>
      <c r="Y153" s="352">
        <v>6.7</v>
      </c>
      <c r="Z153" s="345">
        <f t="shared" si="72"/>
        <v>84.280231795892576</v>
      </c>
      <c r="AA153" s="343">
        <v>2.2999999999999998</v>
      </c>
      <c r="AB153" s="343">
        <f t="shared" si="78"/>
        <v>6.497684563499169E-2</v>
      </c>
      <c r="AC153" s="346">
        <v>3541244</v>
      </c>
      <c r="AD153" s="346">
        <v>54500091</v>
      </c>
      <c r="AE153" s="344">
        <v>2</v>
      </c>
      <c r="AF153" s="343">
        <v>42.1</v>
      </c>
      <c r="AG153" s="344">
        <v>7.4099999999999993</v>
      </c>
      <c r="AH153" s="350">
        <v>3.1843617901563608</v>
      </c>
      <c r="AI153" s="343">
        <f t="shared" si="73"/>
        <v>0.10101942133837688</v>
      </c>
      <c r="AJ153" s="346">
        <v>66017</v>
      </c>
      <c r="AK153" s="346">
        <v>653508</v>
      </c>
      <c r="AL153" s="345">
        <f t="shared" si="77"/>
        <v>39.624008459889751</v>
      </c>
      <c r="AM153" s="343">
        <v>58.28</v>
      </c>
      <c r="AN153" s="344">
        <v>53.5</v>
      </c>
      <c r="AO153" s="344">
        <v>200.8</v>
      </c>
      <c r="AP153" s="345">
        <f t="shared" si="74"/>
        <v>36.53142857142857</v>
      </c>
      <c r="AQ153" s="343">
        <v>47.791029070612701</v>
      </c>
      <c r="AR153" s="344">
        <v>80.400000000000006</v>
      </c>
      <c r="AS153" s="345">
        <f t="shared" si="75"/>
        <v>64.09551453530635</v>
      </c>
      <c r="AT153" s="343">
        <v>1064.16904246015</v>
      </c>
      <c r="AU153" s="343">
        <v>77.731403578519803</v>
      </c>
      <c r="AV153" s="343">
        <v>2443.7538285210699</v>
      </c>
      <c r="AW153" s="351">
        <f t="shared" si="76"/>
        <v>27.425668563426147</v>
      </c>
      <c r="AX153" s="293"/>
    </row>
    <row r="154" spans="1:51" ht="15.75" customHeight="1" x14ac:dyDescent="0.25">
      <c r="A154" s="294">
        <v>150</v>
      </c>
      <c r="B154" s="297" t="s">
        <v>16</v>
      </c>
      <c r="C154" s="300" t="s">
        <v>21</v>
      </c>
      <c r="D154" s="144" t="s">
        <v>298</v>
      </c>
      <c r="E154" s="173" t="s">
        <v>306</v>
      </c>
      <c r="F154" s="177" t="s">
        <v>117</v>
      </c>
      <c r="G154" s="341">
        <f t="shared" si="66"/>
        <v>41.377064807120504</v>
      </c>
      <c r="H154" s="342">
        <f t="shared" si="67"/>
        <v>37.390214121465391</v>
      </c>
      <c r="I154" s="342">
        <f t="shared" si="68"/>
        <v>45.363915492775611</v>
      </c>
      <c r="J154" s="343">
        <v>2.38883</v>
      </c>
      <c r="K154" s="344">
        <v>120.61199999999999</v>
      </c>
      <c r="L154" s="344">
        <v>56.772646907926898</v>
      </c>
      <c r="M154" s="344">
        <v>34.976225130000003</v>
      </c>
      <c r="N154" s="345">
        <f t="shared" si="69"/>
        <v>28.948309676148394</v>
      </c>
      <c r="O154" s="343">
        <f t="shared" si="70"/>
        <v>5.9964973119557848E-2</v>
      </c>
      <c r="P154" s="346">
        <v>3384</v>
      </c>
      <c r="Q154" s="346">
        <v>56432944.5</v>
      </c>
      <c r="R154" s="344">
        <v>2.8</v>
      </c>
      <c r="S154" s="344">
        <v>2</v>
      </c>
      <c r="T154" s="347">
        <v>14</v>
      </c>
      <c r="U154" s="345">
        <f t="shared" si="71"/>
        <v>47.547243759614311</v>
      </c>
      <c r="V154" s="343">
        <f t="shared" si="79"/>
        <v>71.447627546707224</v>
      </c>
      <c r="W154" s="348">
        <v>4032</v>
      </c>
      <c r="X154" s="346">
        <v>56432944.5</v>
      </c>
      <c r="Y154" s="344">
        <v>37</v>
      </c>
      <c r="Z154" s="345">
        <f t="shared" si="72"/>
        <v>32.367552295561438</v>
      </c>
      <c r="AA154" s="343">
        <v>2.81</v>
      </c>
      <c r="AB154" s="343">
        <f t="shared" si="78"/>
        <v>9.1051247556292222E-2</v>
      </c>
      <c r="AC154" s="346">
        <v>5138290</v>
      </c>
      <c r="AD154" s="346">
        <v>56432944.5</v>
      </c>
      <c r="AE154" s="344">
        <v>-89</v>
      </c>
      <c r="AF154" s="343">
        <v>65.72</v>
      </c>
      <c r="AG154" s="344">
        <v>16.600000000000001</v>
      </c>
      <c r="AH154" s="343">
        <v>4.22</v>
      </c>
      <c r="AI154" s="343">
        <f t="shared" si="73"/>
        <v>0.42014618547281862</v>
      </c>
      <c r="AJ154" s="346">
        <v>239122</v>
      </c>
      <c r="AK154" s="346">
        <v>569140</v>
      </c>
      <c r="AL154" s="345">
        <f t="shared" si="77"/>
        <v>44.548526613721137</v>
      </c>
      <c r="AM154" s="343">
        <v>40.5</v>
      </c>
      <c r="AN154" s="344">
        <v>31.6</v>
      </c>
      <c r="AO154" s="344">
        <v>86.4</v>
      </c>
      <c r="AP154" s="345">
        <f t="shared" si="74"/>
        <v>31.043884829961794</v>
      </c>
      <c r="AQ154" s="343">
        <v>90.119917373361304</v>
      </c>
      <c r="AR154" s="344">
        <v>85.6</v>
      </c>
      <c r="AS154" s="345">
        <f t="shared" si="75"/>
        <v>87.859958686680642</v>
      </c>
      <c r="AT154" s="343">
        <v>1371.24509935521</v>
      </c>
      <c r="AU154" s="343">
        <v>10.558912626749301</v>
      </c>
      <c r="AV154" s="343">
        <v>1993.18924761891</v>
      </c>
      <c r="AW154" s="351">
        <f t="shared" si="76"/>
        <v>45.827964287312021</v>
      </c>
      <c r="AX154" s="293"/>
    </row>
    <row r="155" spans="1:51" ht="15.75" customHeight="1" x14ac:dyDescent="0.25">
      <c r="A155" s="294">
        <v>151</v>
      </c>
      <c r="B155" s="307" t="s">
        <v>10</v>
      </c>
      <c r="C155" s="309" t="s">
        <v>11</v>
      </c>
      <c r="D155" s="141" t="s">
        <v>295</v>
      </c>
      <c r="E155" s="173" t="s">
        <v>306</v>
      </c>
      <c r="F155" s="177" t="s">
        <v>37</v>
      </c>
      <c r="G155" s="341">
        <f t="shared" si="66"/>
        <v>41.226308980247609</v>
      </c>
      <c r="H155" s="342">
        <f t="shared" si="67"/>
        <v>46.077493418335671</v>
      </c>
      <c r="I155" s="342">
        <f t="shared" si="68"/>
        <v>36.375124542159554</v>
      </c>
      <c r="J155" s="343">
        <v>7.8924599999999998</v>
      </c>
      <c r="K155" s="344">
        <v>114.355</v>
      </c>
      <c r="L155" s="344">
        <v>56.725362840356702</v>
      </c>
      <c r="M155" s="344">
        <v>53.421713160000003</v>
      </c>
      <c r="N155" s="345">
        <f t="shared" si="69"/>
        <v>37.925652333422512</v>
      </c>
      <c r="O155" s="343">
        <f t="shared" si="70"/>
        <v>0.14419600783957978</v>
      </c>
      <c r="P155" s="346">
        <v>25027</v>
      </c>
      <c r="Q155" s="346">
        <v>173562364</v>
      </c>
      <c r="R155" s="344">
        <v>26.2</v>
      </c>
      <c r="S155" s="344">
        <v>0.5</v>
      </c>
      <c r="T155" s="347">
        <v>30</v>
      </c>
      <c r="U155" s="345">
        <f t="shared" si="71"/>
        <v>34.937814369709784</v>
      </c>
      <c r="V155" s="343">
        <f t="shared" si="79"/>
        <v>206.66922928060603</v>
      </c>
      <c r="W155" s="348">
        <v>35870</v>
      </c>
      <c r="X155" s="346">
        <v>173562364</v>
      </c>
      <c r="Y155" s="344">
        <v>3.3</v>
      </c>
      <c r="Z155" s="345">
        <f t="shared" si="72"/>
        <v>86.11910924207298</v>
      </c>
      <c r="AA155" s="343">
        <v>2.5499999999999998</v>
      </c>
      <c r="AB155" s="343">
        <f t="shared" si="78"/>
        <v>3.8190866079699168E-2</v>
      </c>
      <c r="AC155" s="346">
        <v>6628497</v>
      </c>
      <c r="AD155" s="346">
        <v>173562364</v>
      </c>
      <c r="AE155" s="344">
        <v>-21</v>
      </c>
      <c r="AF155" s="343">
        <v>74.180000000000007</v>
      </c>
      <c r="AG155" s="344">
        <v>4.0999999999999996</v>
      </c>
      <c r="AH155" s="343">
        <v>3.11</v>
      </c>
      <c r="AI155" s="343">
        <f t="shared" si="73"/>
        <v>3.851378965967581</v>
      </c>
      <c r="AJ155" s="346">
        <v>501334</v>
      </c>
      <c r="AK155" s="346">
        <v>130170</v>
      </c>
      <c r="AL155" s="345">
        <f t="shared" si="77"/>
        <v>47.003850309470963</v>
      </c>
      <c r="AM155" s="343">
        <v>51.51</v>
      </c>
      <c r="AN155" s="344">
        <v>28.4</v>
      </c>
      <c r="AO155" s="344">
        <v>190</v>
      </c>
      <c r="AP155" s="345">
        <f t="shared" si="74"/>
        <v>23.430645165863041</v>
      </c>
      <c r="AQ155" s="343">
        <v>43.283973343132203</v>
      </c>
      <c r="AR155" s="344">
        <v>97.3</v>
      </c>
      <c r="AS155" s="345">
        <f t="shared" si="75"/>
        <v>70.291986671566093</v>
      </c>
      <c r="AT155" s="343">
        <v>316.77323868294798</v>
      </c>
      <c r="AU155" s="343">
        <v>25.7736469586354</v>
      </c>
      <c r="AV155" s="343">
        <v>1541.9465929176099</v>
      </c>
      <c r="AW155" s="351">
        <f t="shared" si="76"/>
        <v>41.291700541642548</v>
      </c>
      <c r="AX155" s="293"/>
    </row>
    <row r="156" spans="1:51" ht="15.75" customHeight="1" x14ac:dyDescent="0.25">
      <c r="A156" s="294">
        <v>152</v>
      </c>
      <c r="B156" s="297" t="s">
        <v>16</v>
      </c>
      <c r="C156" s="300" t="s">
        <v>21</v>
      </c>
      <c r="D156" s="143" t="s">
        <v>297</v>
      </c>
      <c r="E156" s="169" t="s">
        <v>303</v>
      </c>
      <c r="F156" s="177" t="s">
        <v>197</v>
      </c>
      <c r="G156" s="341">
        <f t="shared" si="66"/>
        <v>39.771406636364745</v>
      </c>
      <c r="H156" s="342">
        <f t="shared" si="67"/>
        <v>32.361732897218843</v>
      </c>
      <c r="I156" s="342">
        <f t="shared" si="68"/>
        <v>47.181080375510639</v>
      </c>
      <c r="J156" s="343">
        <v>5.8732892708333331E-2</v>
      </c>
      <c r="K156" s="344">
        <v>70.958555000000004</v>
      </c>
      <c r="L156" s="344">
        <v>29.1556152594613</v>
      </c>
      <c r="M156" s="344">
        <v>27.575750779000003</v>
      </c>
      <c r="N156" s="345">
        <f t="shared" si="69"/>
        <v>16.597070753538937</v>
      </c>
      <c r="O156" s="343">
        <f t="shared" si="70"/>
        <v>8.5036436576867158E-3</v>
      </c>
      <c r="P156" s="346">
        <v>429</v>
      </c>
      <c r="Q156" s="346">
        <v>50448962.5</v>
      </c>
      <c r="R156" s="344">
        <v>3.06</v>
      </c>
      <c r="S156" s="344">
        <v>1.8</v>
      </c>
      <c r="T156" s="347">
        <v>4.5</v>
      </c>
      <c r="U156" s="345">
        <f t="shared" si="71"/>
        <v>49.819681896332362</v>
      </c>
      <c r="V156" s="343">
        <f t="shared" si="79"/>
        <v>533.90592522095972</v>
      </c>
      <c r="W156" s="348">
        <v>26935</v>
      </c>
      <c r="X156" s="346">
        <v>50448962.5</v>
      </c>
      <c r="Y156" s="352">
        <v>20.9</v>
      </c>
      <c r="Z156" s="345">
        <f t="shared" si="72"/>
        <v>62.579895304331039</v>
      </c>
      <c r="AA156" s="343">
        <v>2.3666666666666667</v>
      </c>
      <c r="AB156" s="343">
        <f t="shared" si="78"/>
        <v>1.8059634011303997E-2</v>
      </c>
      <c r="AC156" s="346">
        <v>911089.799</v>
      </c>
      <c r="AD156" s="346">
        <v>50448962.5</v>
      </c>
      <c r="AE156" s="352">
        <v>-11</v>
      </c>
      <c r="AF156" s="343">
        <v>27.04</v>
      </c>
      <c r="AG156" s="344">
        <v>18.809999999999999</v>
      </c>
      <c r="AH156" s="350">
        <v>2.981524987634729</v>
      </c>
      <c r="AI156" s="343">
        <f t="shared" si="73"/>
        <v>1.6595289079229122E-2</v>
      </c>
      <c r="AJ156" s="346">
        <v>31000</v>
      </c>
      <c r="AK156" s="346">
        <v>1868000</v>
      </c>
      <c r="AL156" s="345">
        <f t="shared" si="77"/>
        <v>36.207367189342328</v>
      </c>
      <c r="AM156" s="343">
        <v>73.7</v>
      </c>
      <c r="AN156" s="344">
        <v>70.55</v>
      </c>
      <c r="AO156" s="344">
        <v>101.9</v>
      </c>
      <c r="AP156" s="345">
        <f t="shared" si="74"/>
        <v>47.67859847680807</v>
      </c>
      <c r="AQ156" s="343">
        <v>13.741589952804871</v>
      </c>
      <c r="AR156" s="344">
        <v>48.8</v>
      </c>
      <c r="AS156" s="345">
        <f t="shared" si="75"/>
        <v>31.270794976402435</v>
      </c>
      <c r="AT156" s="343">
        <v>1506.0066032760501</v>
      </c>
      <c r="AU156" s="343">
        <v>1.30564349858419</v>
      </c>
      <c r="AV156" s="343">
        <v>1630.65751485121</v>
      </c>
      <c r="AW156" s="351">
        <f t="shared" si="76"/>
        <v>61.598811470726552</v>
      </c>
      <c r="AX156" s="293"/>
    </row>
    <row r="157" spans="1:51" ht="15.75" customHeight="1" x14ac:dyDescent="0.25">
      <c r="A157" s="294">
        <v>153</v>
      </c>
      <c r="B157" s="297" t="s">
        <v>16</v>
      </c>
      <c r="C157" s="300" t="s">
        <v>21</v>
      </c>
      <c r="D157" s="144" t="s">
        <v>298</v>
      </c>
      <c r="E157" s="173" t="s">
        <v>306</v>
      </c>
      <c r="F157" s="177" t="s">
        <v>128</v>
      </c>
      <c r="G157" s="341">
        <f t="shared" si="66"/>
        <v>39.557186709612012</v>
      </c>
      <c r="H157" s="342">
        <f t="shared" si="67"/>
        <v>29.580166174993721</v>
      </c>
      <c r="I157" s="342">
        <f t="shared" si="68"/>
        <v>49.534207244230295</v>
      </c>
      <c r="J157" s="343">
        <v>0.38373800000000002</v>
      </c>
      <c r="K157" s="344">
        <v>69.351299999999995</v>
      </c>
      <c r="L157" s="344">
        <v>47.8020339412613</v>
      </c>
      <c r="M157" s="344">
        <v>51.796600339999998</v>
      </c>
      <c r="N157" s="345">
        <f t="shared" si="69"/>
        <v>27.53115023698199</v>
      </c>
      <c r="O157" s="343">
        <f t="shared" si="70"/>
        <v>4.5349097135840864E-2</v>
      </c>
      <c r="P157" s="346">
        <v>106</v>
      </c>
      <c r="Q157" s="346">
        <v>2337422.5</v>
      </c>
      <c r="R157" s="344">
        <v>19.100000000000001</v>
      </c>
      <c r="S157" s="344">
        <v>1</v>
      </c>
      <c r="T157" s="347">
        <v>30</v>
      </c>
      <c r="U157" s="345">
        <f t="shared" si="71"/>
        <v>32.985883183598297</v>
      </c>
      <c r="V157" s="343">
        <f t="shared" si="79"/>
        <v>18.738589193866321</v>
      </c>
      <c r="W157" s="348">
        <v>43.8</v>
      </c>
      <c r="X157" s="346">
        <v>2337422.5</v>
      </c>
      <c r="Y157" s="344">
        <v>28</v>
      </c>
      <c r="Z157" s="345">
        <f t="shared" si="72"/>
        <v>41.833395982651432</v>
      </c>
      <c r="AA157" s="343">
        <v>2.2799999999999998</v>
      </c>
      <c r="AB157" s="350">
        <v>2.2646620289062665E-2</v>
      </c>
      <c r="AC157" s="346"/>
      <c r="AD157" s="346">
        <v>2337422.5</v>
      </c>
      <c r="AE157" s="349" t="s">
        <v>931</v>
      </c>
      <c r="AF157" s="349" t="s">
        <v>931</v>
      </c>
      <c r="AG157" s="344">
        <v>16.600000000000001</v>
      </c>
      <c r="AH157" s="343">
        <v>2.41</v>
      </c>
      <c r="AI157" s="343">
        <f t="shared" si="73"/>
        <v>0.19568440125185307</v>
      </c>
      <c r="AJ157" s="346">
        <v>5940</v>
      </c>
      <c r="AK157" s="346">
        <v>30355</v>
      </c>
      <c r="AL157" s="345">
        <f>((AA157/4.5)*100*1.5+(LN(MIN(AB157,5)+1)/LN(5+1))*100+(MAX((60-AG157),0))/60*100*0.5+((AH157-1)/(7-1))*100*2+(LN(MIN(AI157,20)+1)/LN(20+1))*100)/6</f>
        <v>27.714445408939877</v>
      </c>
      <c r="AM157" s="343">
        <v>25.55</v>
      </c>
      <c r="AN157" s="344">
        <v>53.8</v>
      </c>
      <c r="AO157" s="344">
        <v>144.9</v>
      </c>
      <c r="AP157" s="345">
        <f t="shared" si="74"/>
        <v>43.104629629661794</v>
      </c>
      <c r="AQ157" s="343">
        <v>61.571044495109199</v>
      </c>
      <c r="AR157" s="344">
        <v>76.7</v>
      </c>
      <c r="AS157" s="345">
        <f t="shared" si="75"/>
        <v>69.135522247554604</v>
      </c>
      <c r="AT157" s="343">
        <v>1971.11173804738</v>
      </c>
      <c r="AU157" s="343">
        <v>7.0185196102410599</v>
      </c>
      <c r="AV157" s="343">
        <v>1471.2810838891</v>
      </c>
      <c r="AW157" s="351">
        <f t="shared" si="76"/>
        <v>49.221625084611468</v>
      </c>
      <c r="AX157" s="293"/>
    </row>
    <row r="158" spans="1:51" ht="15.75" customHeight="1" x14ac:dyDescent="0.25">
      <c r="A158" s="294">
        <v>154</v>
      </c>
      <c r="B158" s="307" t="s">
        <v>10</v>
      </c>
      <c r="C158" s="309" t="s">
        <v>11</v>
      </c>
      <c r="D158" s="141" t="s">
        <v>295</v>
      </c>
      <c r="E158" s="173" t="s">
        <v>306</v>
      </c>
      <c r="F158" s="177" t="s">
        <v>154</v>
      </c>
      <c r="G158" s="341">
        <f t="shared" si="66"/>
        <v>39.254560211812418</v>
      </c>
      <c r="H158" s="342">
        <f t="shared" si="67"/>
        <v>36.710372164767477</v>
      </c>
      <c r="I158" s="342">
        <f t="shared" si="68"/>
        <v>41.798748258857351</v>
      </c>
      <c r="J158" s="343">
        <v>5.4114652499999991</v>
      </c>
      <c r="K158" s="344">
        <v>135.08250520833332</v>
      </c>
      <c r="L158" s="344">
        <v>53.137102706722096</v>
      </c>
      <c r="M158" s="344">
        <v>46.32189941</v>
      </c>
      <c r="N158" s="345">
        <f t="shared" si="69"/>
        <v>33.877055077791631</v>
      </c>
      <c r="O158" s="343">
        <f t="shared" si="70"/>
        <v>0.12481849507240965</v>
      </c>
      <c r="P158" s="346">
        <v>3701</v>
      </c>
      <c r="Q158" s="346">
        <v>29651054.5</v>
      </c>
      <c r="R158" s="344">
        <v>13.6</v>
      </c>
      <c r="S158" s="344">
        <v>0.5</v>
      </c>
      <c r="T158" s="347">
        <v>7</v>
      </c>
      <c r="U158" s="345">
        <f t="shared" si="71"/>
        <v>42.634960066252006</v>
      </c>
      <c r="V158" s="343">
        <f t="shared" si="79"/>
        <v>320.29552271066785</v>
      </c>
      <c r="W158" s="348">
        <v>9497.1</v>
      </c>
      <c r="X158" s="346">
        <v>29651054.5</v>
      </c>
      <c r="Y158" s="344">
        <v>23.3</v>
      </c>
      <c r="Z158" s="345">
        <f t="shared" si="72"/>
        <v>57.439708069139478</v>
      </c>
      <c r="AA158" s="343">
        <v>2.5099999999999998</v>
      </c>
      <c r="AB158" s="343">
        <f>AC158/AD158</f>
        <v>0.14465920596517065</v>
      </c>
      <c r="AC158" s="346">
        <v>4289298</v>
      </c>
      <c r="AD158" s="346">
        <v>29651054.5</v>
      </c>
      <c r="AE158" s="349" t="s">
        <v>931</v>
      </c>
      <c r="AF158" s="349" t="s">
        <v>931</v>
      </c>
      <c r="AG158" s="344">
        <v>6.3</v>
      </c>
      <c r="AH158" s="343">
        <v>2.62</v>
      </c>
      <c r="AI158" s="343">
        <f t="shared" si="73"/>
        <v>0.24980118590861528</v>
      </c>
      <c r="AJ158" s="346">
        <v>35809</v>
      </c>
      <c r="AK158" s="346">
        <v>143350</v>
      </c>
      <c r="AL158" s="345">
        <f>((AA158/4.5)*100*1.5+(LN(MIN(AB158,5)+1)/LN(5+1))*100+(MAX((60-AG158),0))/60*100*0.5+((AH158-1)/(7-1))*100*2+(LN(MIN(AI158,20)+1)/LN(20+1))*100)/6</f>
        <v>32.8802083002792</v>
      </c>
      <c r="AM158" s="343">
        <v>40.06</v>
      </c>
      <c r="AN158" s="344">
        <v>42.7</v>
      </c>
      <c r="AO158" s="344">
        <v>122</v>
      </c>
      <c r="AP158" s="345">
        <f t="shared" si="74"/>
        <v>35.608757394551866</v>
      </c>
      <c r="AQ158" s="343">
        <v>59.991115706488301</v>
      </c>
      <c r="AR158" s="344">
        <v>81.599999999999994</v>
      </c>
      <c r="AS158" s="345">
        <f t="shared" si="75"/>
        <v>70.795557853244148</v>
      </c>
      <c r="AT158" s="343">
        <v>544.24661584987098</v>
      </c>
      <c r="AU158" s="343">
        <v>61.9605285996183</v>
      </c>
      <c r="AV158" s="343">
        <v>2013.5391425845501</v>
      </c>
      <c r="AW158" s="351">
        <f t="shared" si="76"/>
        <v>31.371911257386994</v>
      </c>
      <c r="AX158" s="293"/>
    </row>
    <row r="159" spans="1:51" ht="15.75" customHeight="1" x14ac:dyDescent="0.25">
      <c r="A159" s="294">
        <v>155</v>
      </c>
      <c r="B159" s="297" t="s">
        <v>16</v>
      </c>
      <c r="C159" s="310" t="s">
        <v>886</v>
      </c>
      <c r="D159" s="144" t="s">
        <v>298</v>
      </c>
      <c r="E159" s="173" t="s">
        <v>306</v>
      </c>
      <c r="F159" s="177" t="s">
        <v>159</v>
      </c>
      <c r="G159" s="341">
        <f t="shared" si="66"/>
        <v>38.981941377573975</v>
      </c>
      <c r="H159" s="342">
        <f t="shared" si="67"/>
        <v>37.03591012946746</v>
      </c>
      <c r="I159" s="342">
        <f t="shared" si="68"/>
        <v>40.927972625680496</v>
      </c>
      <c r="J159" s="343">
        <v>5.1283799999999997E-2</v>
      </c>
      <c r="K159" s="344">
        <v>98.4773</v>
      </c>
      <c r="L159" s="344">
        <v>53.410374761715701</v>
      </c>
      <c r="M159" s="344">
        <v>41.21139908</v>
      </c>
      <c r="N159" s="345">
        <f t="shared" si="69"/>
        <v>26.980756627095591</v>
      </c>
      <c r="O159" s="343">
        <f t="shared" si="70"/>
        <v>6.1041051632927106E-2</v>
      </c>
      <c r="P159" s="346">
        <v>14203</v>
      </c>
      <c r="Q159" s="346">
        <v>232679477.5</v>
      </c>
      <c r="R159" s="344">
        <v>10.9</v>
      </c>
      <c r="S159" s="344">
        <v>3</v>
      </c>
      <c r="T159" s="347">
        <v>14</v>
      </c>
      <c r="U159" s="345">
        <f t="shared" si="71"/>
        <v>38.058773172257553</v>
      </c>
      <c r="V159" s="343">
        <f t="shared" si="79"/>
        <v>53.601633173686324</v>
      </c>
      <c r="W159" s="348">
        <v>12472</v>
      </c>
      <c r="X159" s="346">
        <v>232679477.5</v>
      </c>
      <c r="Y159" s="344">
        <v>3</v>
      </c>
      <c r="Z159" s="345">
        <f t="shared" si="72"/>
        <v>82.501313321118232</v>
      </c>
      <c r="AA159" s="343">
        <v>2.5666666666666669</v>
      </c>
      <c r="AB159" s="343">
        <f>AC159/AD159</f>
        <v>2.2646620289062665E-2</v>
      </c>
      <c r="AC159" s="346">
        <v>5269403.7759999996</v>
      </c>
      <c r="AD159" s="346">
        <v>232679477.5</v>
      </c>
      <c r="AE159" s="344">
        <v>-20.666666666666668</v>
      </c>
      <c r="AF159" s="343">
        <v>99.56</v>
      </c>
      <c r="AG159" s="344">
        <v>27.5</v>
      </c>
      <c r="AH159" s="343">
        <v>2.4</v>
      </c>
      <c r="AI159" s="343">
        <f t="shared" si="73"/>
        <v>0.21410454889818506</v>
      </c>
      <c r="AJ159" s="346">
        <v>195000</v>
      </c>
      <c r="AK159" s="346">
        <v>910770</v>
      </c>
      <c r="AL159" s="345">
        <f>((AA159/4.5)*100*1.5+(LN(MIN(AB159,5)+1)/LN(5+1))*100+((AE159-(-300))/(150-(-300)))*100+(LN(MIN(AF159,500))/LN(500))*100*0.5+(MAX((60-AG159),0))/60*100*0.5+((AH159-1)/(7-1))*100*2+(LN(MIN(AI159,20)+1)/LN(20+1))*100)/7.5</f>
        <v>35.468997073229119</v>
      </c>
      <c r="AM159" s="343">
        <v>48.5</v>
      </c>
      <c r="AN159" s="344">
        <v>26.2</v>
      </c>
      <c r="AO159" s="344">
        <v>83.9</v>
      </c>
      <c r="AP159" s="345">
        <f t="shared" si="74"/>
        <v>26.971664366077562</v>
      </c>
      <c r="AQ159" s="343">
        <v>63.261351449154198</v>
      </c>
      <c r="AR159" s="344">
        <v>90.8</v>
      </c>
      <c r="AS159" s="345">
        <f t="shared" si="75"/>
        <v>77.030675724577094</v>
      </c>
      <c r="AT159" s="343">
        <v>1337.86364212223</v>
      </c>
      <c r="AU159" s="343">
        <v>10.0428473817233</v>
      </c>
      <c r="AV159" s="343">
        <v>1659.2949100496301</v>
      </c>
      <c r="AW159" s="351">
        <f t="shared" si="76"/>
        <v>46.694194305592681</v>
      </c>
      <c r="AX159" s="293"/>
    </row>
    <row r="160" spans="1:51" ht="15.75" customHeight="1" x14ac:dyDescent="0.25">
      <c r="A160" s="294">
        <v>156</v>
      </c>
      <c r="B160" s="307" t="s">
        <v>10</v>
      </c>
      <c r="C160" s="311" t="s">
        <v>887</v>
      </c>
      <c r="D160" s="147" t="s">
        <v>301</v>
      </c>
      <c r="E160" s="173" t="s">
        <v>306</v>
      </c>
      <c r="F160" s="177" t="s">
        <v>205</v>
      </c>
      <c r="G160" s="341">
        <f t="shared" si="66"/>
        <v>38.849565528886941</v>
      </c>
      <c r="H160" s="342">
        <f t="shared" si="67"/>
        <v>39.437732866864536</v>
      </c>
      <c r="I160" s="342">
        <f t="shared" si="68"/>
        <v>38.26139819090934</v>
      </c>
      <c r="J160" s="343">
        <v>5.7791500000000003E-3</v>
      </c>
      <c r="K160" s="344">
        <v>112.64700000000001</v>
      </c>
      <c r="L160" s="344">
        <v>47.886585117292697</v>
      </c>
      <c r="M160" s="344">
        <v>43.50977217636364</v>
      </c>
      <c r="N160" s="345">
        <f t="shared" si="69"/>
        <v>26.608805281747419</v>
      </c>
      <c r="O160" s="343">
        <f t="shared" si="70"/>
        <v>0.22632543169612704</v>
      </c>
      <c r="P160" s="346">
        <v>317</v>
      </c>
      <c r="Q160" s="346">
        <v>1400638</v>
      </c>
      <c r="R160" s="344">
        <v>1.4</v>
      </c>
      <c r="S160" s="344">
        <v>0</v>
      </c>
      <c r="T160" s="347">
        <v>5</v>
      </c>
      <c r="U160" s="345">
        <f t="shared" si="71"/>
        <v>56.805867720553742</v>
      </c>
      <c r="V160" s="343">
        <f t="shared" si="79"/>
        <v>836.7615329585517</v>
      </c>
      <c r="W160" s="348">
        <v>1172</v>
      </c>
      <c r="X160" s="346">
        <v>1400638</v>
      </c>
      <c r="Y160" s="344">
        <v>18.2</v>
      </c>
      <c r="Z160" s="345">
        <f t="shared" si="72"/>
        <v>67.984238143749124</v>
      </c>
      <c r="AA160" s="350">
        <v>2.4166666666666701</v>
      </c>
      <c r="AB160" s="350">
        <v>0.10840410902750759</v>
      </c>
      <c r="AC160" s="346"/>
      <c r="AD160" s="346">
        <v>1400638</v>
      </c>
      <c r="AE160" s="352">
        <v>6.666666666666667</v>
      </c>
      <c r="AF160" s="343">
        <v>11.92</v>
      </c>
      <c r="AG160" s="344">
        <v>9.9</v>
      </c>
      <c r="AH160" s="350">
        <v>3.234781397339463</v>
      </c>
      <c r="AI160" s="343">
        <f t="shared" si="73"/>
        <v>0.59237595804759979</v>
      </c>
      <c r="AJ160" s="346">
        <v>8811</v>
      </c>
      <c r="AK160" s="346">
        <v>14874</v>
      </c>
      <c r="AL160" s="345">
        <f>((AA160/4.5)*100*1.5+(LN(MIN(AB160,5)+1)/LN(5+1))*100+((AE160-(-300))/(150-(-300)))*100+(LN(MIN(AF160,500))/LN(500))*100*0.5+(MAX((60-AG160),0))/60*100*0.5+((AH160-1)/(7-1))*100*2+(LN(MIN(AI160,20)+1)/LN(20+1))*100)/7.5</f>
        <v>40.788000419338204</v>
      </c>
      <c r="AM160" s="343">
        <v>33.92</v>
      </c>
      <c r="AN160" s="344">
        <v>19.100000000000001</v>
      </c>
      <c r="AO160" s="344">
        <v>181</v>
      </c>
      <c r="AP160" s="345">
        <f t="shared" si="74"/>
        <v>20.889252509001558</v>
      </c>
      <c r="AQ160" s="350">
        <v>57.037699248018676</v>
      </c>
      <c r="AR160" s="344">
        <v>79.5</v>
      </c>
      <c r="AS160" s="345">
        <f t="shared" si="75"/>
        <v>68.268849624009334</v>
      </c>
      <c r="AT160" s="343">
        <v>1074.7511247866501</v>
      </c>
      <c r="AU160" s="343">
        <v>1.7808876095032</v>
      </c>
      <c r="AV160" s="343">
        <v>1730.85300791448</v>
      </c>
      <c r="AW160" s="351">
        <f t="shared" si="76"/>
        <v>60.370383803532683</v>
      </c>
      <c r="AX160" s="293"/>
    </row>
    <row r="161" spans="1:52" x14ac:dyDescent="0.25">
      <c r="A161" s="294">
        <v>157</v>
      </c>
      <c r="B161" s="297" t="s">
        <v>16</v>
      </c>
      <c r="C161" s="310" t="s">
        <v>886</v>
      </c>
      <c r="D161" s="144" t="s">
        <v>298</v>
      </c>
      <c r="E161" s="173" t="s">
        <v>306</v>
      </c>
      <c r="F161" s="177" t="s">
        <v>142</v>
      </c>
      <c r="G161" s="341">
        <f t="shared" si="66"/>
        <v>38.687874356194428</v>
      </c>
      <c r="H161" s="342">
        <f t="shared" si="67"/>
        <v>33.865953634332108</v>
      </c>
      <c r="I161" s="342">
        <f t="shared" si="68"/>
        <v>43.509795078056747</v>
      </c>
      <c r="J161" s="343">
        <v>0.59040999999999999</v>
      </c>
      <c r="K161" s="344">
        <v>90.772499999999994</v>
      </c>
      <c r="L161" s="344">
        <v>42.814559765496398</v>
      </c>
      <c r="M161" s="344">
        <v>45.779399869999999</v>
      </c>
      <c r="N161" s="345">
        <f t="shared" si="69"/>
        <v>25.666248242207434</v>
      </c>
      <c r="O161" s="343">
        <f t="shared" si="70"/>
        <v>0.14063539924542434</v>
      </c>
      <c r="P161" s="346">
        <v>727</v>
      </c>
      <c r="Q161" s="346">
        <v>5169395.5</v>
      </c>
      <c r="R161" s="344">
        <v>4.3</v>
      </c>
      <c r="S161" s="344">
        <v>1</v>
      </c>
      <c r="T161" s="347">
        <v>10</v>
      </c>
      <c r="U161" s="345">
        <f t="shared" si="71"/>
        <v>49.911569753820018</v>
      </c>
      <c r="V161" s="343">
        <f t="shared" si="79"/>
        <v>260.80418880698915</v>
      </c>
      <c r="W161" s="348">
        <v>1348.2</v>
      </c>
      <c r="X161" s="346">
        <v>5169395.5</v>
      </c>
      <c r="Y161" s="352">
        <v>20.299999999999997</v>
      </c>
      <c r="Z161" s="345">
        <f t="shared" si="72"/>
        <v>61.320365903041449</v>
      </c>
      <c r="AA161" s="343">
        <v>2.35</v>
      </c>
      <c r="AB161" s="343">
        <f t="shared" ref="AB161:AB166" si="80">AC161/AD161</f>
        <v>6.3642257590853707E-2</v>
      </c>
      <c r="AC161" s="346">
        <v>328992</v>
      </c>
      <c r="AD161" s="346">
        <v>5169395.5</v>
      </c>
      <c r="AE161" s="344">
        <v>-21</v>
      </c>
      <c r="AF161" s="343">
        <v>26.44</v>
      </c>
      <c r="AG161" s="344">
        <v>25.1</v>
      </c>
      <c r="AH161" s="343">
        <v>2.0299999999999998</v>
      </c>
      <c r="AI161" s="343">
        <f t="shared" si="73"/>
        <v>1.1888037256233627E-2</v>
      </c>
      <c r="AJ161" s="346">
        <v>12253</v>
      </c>
      <c r="AK161" s="346">
        <v>1030700</v>
      </c>
      <c r="AL161" s="345">
        <f>((AA161/4.5)*100*1.5+(LN(MIN(AB161,5)+1)/LN(5+1))*100+((AE161-(-300))/(150-(-300)))*100+(LN(MIN(AF161,500))/LN(500))*100*0.5+(MAX((60-AG161),0))/60*100*0.5+((AH161-1)/(7-1))*100*2+(LN(MIN(AI161,20)+1)/LN(20+1))*100)/7.5</f>
        <v>31.19065192940748</v>
      </c>
      <c r="AM161" s="343">
        <v>58.56</v>
      </c>
      <c r="AN161" s="344">
        <v>49.4</v>
      </c>
      <c r="AO161" s="344">
        <v>90.2</v>
      </c>
      <c r="AP161" s="345">
        <f t="shared" si="74"/>
        <v>38.406024494854684</v>
      </c>
      <c r="AQ161" s="343">
        <v>27.3142609920985</v>
      </c>
      <c r="AR161" s="344">
        <v>57.2</v>
      </c>
      <c r="AS161" s="345">
        <f t="shared" si="75"/>
        <v>42.25713049604925</v>
      </c>
      <c r="AT161" s="343">
        <v>840.74789410269796</v>
      </c>
      <c r="AU161" s="343">
        <v>2.0820055291008202</v>
      </c>
      <c r="AV161" s="343">
        <v>1580.9738360731101</v>
      </c>
      <c r="AW161" s="351">
        <f t="shared" si="76"/>
        <v>60.073771409670456</v>
      </c>
      <c r="AX161" s="293"/>
    </row>
    <row r="162" spans="1:52" s="30" customFormat="1" x14ac:dyDescent="0.2">
      <c r="A162" s="294">
        <v>158</v>
      </c>
      <c r="B162" s="297" t="s">
        <v>16</v>
      </c>
      <c r="C162" s="310" t="s">
        <v>886</v>
      </c>
      <c r="D162" s="144" t="s">
        <v>298</v>
      </c>
      <c r="E162" s="169" t="s">
        <v>303</v>
      </c>
      <c r="F162" s="177" t="s">
        <v>206</v>
      </c>
      <c r="G162" s="341">
        <f t="shared" si="66"/>
        <v>38.295098915440008</v>
      </c>
      <c r="H162" s="342">
        <f t="shared" si="67"/>
        <v>39.018383525662536</v>
      </c>
      <c r="I162" s="342">
        <f t="shared" si="68"/>
        <v>37.571814305217487</v>
      </c>
      <c r="J162" s="343">
        <v>1.2281599999999999</v>
      </c>
      <c r="K162" s="344">
        <v>75.790700000000001</v>
      </c>
      <c r="L162" s="344">
        <v>47.874271962870097</v>
      </c>
      <c r="M162" s="344">
        <v>39.483200070000002</v>
      </c>
      <c r="N162" s="345">
        <f t="shared" si="69"/>
        <v>25.389191341550855</v>
      </c>
      <c r="O162" s="343">
        <f t="shared" si="70"/>
        <v>3.7728966350859101E-2</v>
      </c>
      <c r="P162" s="346">
        <v>359</v>
      </c>
      <c r="Q162" s="346">
        <v>9515235.5</v>
      </c>
      <c r="R162" s="344">
        <v>2.7</v>
      </c>
      <c r="S162" s="344">
        <v>0.8</v>
      </c>
      <c r="T162" s="347">
        <v>7</v>
      </c>
      <c r="U162" s="345">
        <f t="shared" si="71"/>
        <v>51.547096068044922</v>
      </c>
      <c r="V162" s="343">
        <f t="shared" si="79"/>
        <v>23.436098875324735</v>
      </c>
      <c r="W162" s="348">
        <v>223</v>
      </c>
      <c r="X162" s="346">
        <v>9515235.5</v>
      </c>
      <c r="Y162" s="344">
        <v>11.1</v>
      </c>
      <c r="Z162" s="345">
        <f t="shared" si="72"/>
        <v>67.857652044223158</v>
      </c>
      <c r="AA162" s="343">
        <v>2.5166666666666671</v>
      </c>
      <c r="AB162" s="343">
        <f t="shared" si="80"/>
        <v>0.22859816049744644</v>
      </c>
      <c r="AC162" s="346">
        <v>2175165.3319999999</v>
      </c>
      <c r="AD162" s="346">
        <v>9515235.5</v>
      </c>
      <c r="AE162" s="344">
        <v>-23</v>
      </c>
      <c r="AF162" s="343">
        <v>93.18</v>
      </c>
      <c r="AG162" s="344">
        <v>19.5</v>
      </c>
      <c r="AH162" s="350">
        <v>3.6762408124188433</v>
      </c>
      <c r="AI162" s="343">
        <f t="shared" si="73"/>
        <v>2.8295642581356868E-2</v>
      </c>
      <c r="AJ162" s="346">
        <v>1539</v>
      </c>
      <c r="AK162" s="346">
        <v>54390</v>
      </c>
      <c r="AL162" s="345">
        <f>((AA162/4.5)*100*1.5+(LN(MIN(AB162,5)+1)/LN(5+1))*100+((AE162-(-300))/(150-(-300)))*100+(LN(MIN(AF162,500))/LN(500))*100*0.5+(MAX((60-AG162),0))/60*100*0.5+((AH162-1)/(7-1))*100*2+(LN(MIN(AI162,20)+1)/LN(20+1))*100)/7.5</f>
        <v>42.305580444538471</v>
      </c>
      <c r="AM162" s="343">
        <v>38.46</v>
      </c>
      <c r="AN162" s="344">
        <v>13.2</v>
      </c>
      <c r="AO162" s="344">
        <v>141.9</v>
      </c>
      <c r="AP162" s="345">
        <f t="shared" si="74"/>
        <v>18.172276115892601</v>
      </c>
      <c r="AQ162" s="343">
        <v>57.432953415186503</v>
      </c>
      <c r="AR162" s="344">
        <v>77.5</v>
      </c>
      <c r="AS162" s="345">
        <f t="shared" si="75"/>
        <v>67.466476707593245</v>
      </c>
      <c r="AT162" s="343">
        <v>2200.4767502494701</v>
      </c>
      <c r="AU162" s="343">
        <v>0.34729558934647797</v>
      </c>
      <c r="AV162" s="343">
        <v>1728.0990491032501</v>
      </c>
      <c r="AW162" s="351">
        <f t="shared" si="76"/>
        <v>65.875766470816359</v>
      </c>
      <c r="AX162" s="293"/>
      <c r="AY162" s="359"/>
      <c r="AZ162" s="360"/>
    </row>
    <row r="163" spans="1:52" s="30" customFormat="1" x14ac:dyDescent="0.2">
      <c r="A163" s="294">
        <v>159</v>
      </c>
      <c r="B163" s="304" t="s">
        <v>29</v>
      </c>
      <c r="C163" s="313" t="s">
        <v>85</v>
      </c>
      <c r="D163" s="148" t="s">
        <v>302</v>
      </c>
      <c r="E163" s="173" t="s">
        <v>306</v>
      </c>
      <c r="F163" s="177" t="s">
        <v>220</v>
      </c>
      <c r="G163" s="341">
        <f t="shared" si="66"/>
        <v>37.791313155902685</v>
      </c>
      <c r="H163" s="342">
        <f t="shared" si="67"/>
        <v>39.020275047280272</v>
      </c>
      <c r="I163" s="342">
        <f t="shared" si="68"/>
        <v>36.562351264525098</v>
      </c>
      <c r="J163" s="343">
        <v>1.23342</v>
      </c>
      <c r="K163" s="344">
        <v>89.294300000000007</v>
      </c>
      <c r="L163" s="344">
        <v>59.009174141039097</v>
      </c>
      <c r="M163" s="352">
        <v>49.106497358112172</v>
      </c>
      <c r="N163" s="345">
        <f t="shared" si="69"/>
        <v>31.033244541454483</v>
      </c>
      <c r="O163" s="343">
        <f t="shared" si="70"/>
        <v>0.11288145159445051</v>
      </c>
      <c r="P163" s="346">
        <v>37</v>
      </c>
      <c r="Q163" s="346">
        <v>327777.5</v>
      </c>
      <c r="R163" s="344">
        <v>1.6</v>
      </c>
      <c r="S163" s="344">
        <v>0.5</v>
      </c>
      <c r="T163" s="347">
        <v>7</v>
      </c>
      <c r="U163" s="345">
        <f t="shared" si="71"/>
        <v>53.935634600416734</v>
      </c>
      <c r="V163" s="350">
        <v>37.072750379697858</v>
      </c>
      <c r="W163" s="348"/>
      <c r="X163" s="346">
        <v>327777.5</v>
      </c>
      <c r="Y163" s="344">
        <v>33.299999999999997</v>
      </c>
      <c r="Z163" s="345">
        <f t="shared" si="72"/>
        <v>35.939982473582504</v>
      </c>
      <c r="AA163" s="350">
        <v>2.7750000000000004</v>
      </c>
      <c r="AB163" s="343">
        <f t="shared" si="80"/>
        <v>1.0961398631693755</v>
      </c>
      <c r="AC163" s="346">
        <v>359289.984</v>
      </c>
      <c r="AD163" s="346">
        <v>327777.5</v>
      </c>
      <c r="AE163" s="352">
        <v>-6</v>
      </c>
      <c r="AF163" s="343">
        <v>25.09</v>
      </c>
      <c r="AG163" s="344">
        <v>25.4</v>
      </c>
      <c r="AH163" s="350">
        <v>3.1415393526588726</v>
      </c>
      <c r="AI163" s="343">
        <f t="shared" si="73"/>
        <v>0.16728197555172697</v>
      </c>
      <c r="AJ163" s="346">
        <v>2039</v>
      </c>
      <c r="AK163" s="346">
        <v>12189</v>
      </c>
      <c r="AL163" s="345">
        <f>((AA163/4.5)*100*1.5+(LN(MIN(AB163,5)+1)/LN(5+1))*100+((AE163-(-300))/(150-(-300)))*100+(LN(MIN(AF163,500))/LN(500))*100*0.5+(MAX((60-AG163),0))/60*100*0.5+((AH163-1)/(7-1))*100*2+(LN(MIN(AI163,20)+1)/LN(20+1))*100)/7.5</f>
        <v>44.048538808246384</v>
      </c>
      <c r="AM163" s="343">
        <v>3.06</v>
      </c>
      <c r="AN163" s="344">
        <v>20.6</v>
      </c>
      <c r="AO163" s="344">
        <v>224</v>
      </c>
      <c r="AP163" s="345">
        <f t="shared" si="74"/>
        <v>25.62</v>
      </c>
      <c r="AQ163" s="350">
        <v>58.412897717069264</v>
      </c>
      <c r="AR163" s="344">
        <v>64.3</v>
      </c>
      <c r="AS163" s="345">
        <f t="shared" si="75"/>
        <v>61.356448858534634</v>
      </c>
      <c r="AT163" s="343">
        <v>645.17953512387805</v>
      </c>
      <c r="AU163" s="343">
        <v>15.7920629581855</v>
      </c>
      <c r="AV163" s="343">
        <v>1344.69850975534</v>
      </c>
      <c r="AW163" s="351">
        <f t="shared" si="76"/>
        <v>44.595307464090858</v>
      </c>
      <c r="AX163" s="293"/>
      <c r="AY163" s="120"/>
    </row>
    <row r="164" spans="1:52" s="30" customFormat="1" x14ac:dyDescent="0.2">
      <c r="A164" s="294">
        <v>160</v>
      </c>
      <c r="B164" s="297" t="s">
        <v>16</v>
      </c>
      <c r="C164" s="300" t="s">
        <v>21</v>
      </c>
      <c r="D164" s="144" t="s">
        <v>298</v>
      </c>
      <c r="E164" s="173" t="s">
        <v>306</v>
      </c>
      <c r="F164" s="177" t="s">
        <v>225</v>
      </c>
      <c r="G164" s="341">
        <f t="shared" si="66"/>
        <v>37.260041076626365</v>
      </c>
      <c r="H164" s="342">
        <f t="shared" si="67"/>
        <v>34.632397175068924</v>
      </c>
      <c r="I164" s="342">
        <f t="shared" si="68"/>
        <v>39.887684978183813</v>
      </c>
      <c r="J164" s="343">
        <v>1.5745800000000001</v>
      </c>
      <c r="K164" s="344">
        <v>91.634399999999999</v>
      </c>
      <c r="L164" s="344">
        <v>38.337250562917497</v>
      </c>
      <c r="M164" s="344">
        <v>41.64279938</v>
      </c>
      <c r="N164" s="345">
        <f t="shared" si="69"/>
        <v>24.361642485729377</v>
      </c>
      <c r="O164" s="343">
        <f t="shared" si="70"/>
        <v>0.17151233086790618</v>
      </c>
      <c r="P164" s="346">
        <v>2853</v>
      </c>
      <c r="Q164" s="346">
        <v>16634372.500000002</v>
      </c>
      <c r="R164" s="344">
        <v>3.8</v>
      </c>
      <c r="S164" s="344">
        <v>0.3</v>
      </c>
      <c r="T164" s="347">
        <v>21</v>
      </c>
      <c r="U164" s="345">
        <f t="shared" si="71"/>
        <v>48.825727354537094</v>
      </c>
      <c r="V164" s="343">
        <f>(W164*1000000)/X164</f>
        <v>295.15266656436842</v>
      </c>
      <c r="W164" s="348">
        <v>4909.6794</v>
      </c>
      <c r="X164" s="346">
        <v>16634372.500000002</v>
      </c>
      <c r="Y164" s="344">
        <v>14.3</v>
      </c>
      <c r="Z164" s="345">
        <f t="shared" si="72"/>
        <v>70.693292429653539</v>
      </c>
      <c r="AA164" s="343">
        <v>2.4833333333333329</v>
      </c>
      <c r="AB164" s="343">
        <f t="shared" si="80"/>
        <v>5.5604367402497445E-3</v>
      </c>
      <c r="AC164" s="346">
        <v>92494.376000000004</v>
      </c>
      <c r="AD164" s="346">
        <v>16634372.500000002</v>
      </c>
      <c r="AE164" s="349" t="s">
        <v>931</v>
      </c>
      <c r="AF164" s="349" t="s">
        <v>931</v>
      </c>
      <c r="AG164" s="344">
        <v>4.9000000000000004</v>
      </c>
      <c r="AH164" s="343">
        <v>2.73</v>
      </c>
      <c r="AI164" s="343">
        <f t="shared" si="73"/>
        <v>0.25143337210805222</v>
      </c>
      <c r="AJ164" s="346">
        <v>97267</v>
      </c>
      <c r="AK164" s="346">
        <v>386850</v>
      </c>
      <c r="AL164" s="345">
        <f>((AA164/4.5)*100*1.5+(LN(MIN(AB164,5)+1)/LN(5+1))*100+(MAX((60-AG164),0))/60*100*0.5+((AH164-1)/(7-1))*100*2+(LN(MIN(AI164,20)+1)/LN(20+1))*100)/6</f>
        <v>32.339595505895282</v>
      </c>
      <c r="AM164" s="343">
        <v>54.88</v>
      </c>
      <c r="AN164" s="344">
        <v>30.7</v>
      </c>
      <c r="AO164" s="344">
        <v>102.3</v>
      </c>
      <c r="AP164" s="345">
        <f t="shared" si="74"/>
        <v>27.574839363506612</v>
      </c>
      <c r="AQ164" s="343">
        <v>49.521601802512599</v>
      </c>
      <c r="AR164" s="344">
        <v>75.3</v>
      </c>
      <c r="AS164" s="345">
        <f t="shared" si="75"/>
        <v>62.410800901256295</v>
      </c>
      <c r="AT164" s="343">
        <v>1129.79134716615</v>
      </c>
      <c r="AU164" s="343">
        <v>4.5873618288467002</v>
      </c>
      <c r="AV164" s="343">
        <v>1187.18028986848</v>
      </c>
      <c r="AW164" s="351">
        <f t="shared" si="76"/>
        <v>54.303105899142942</v>
      </c>
      <c r="AX164" s="293"/>
      <c r="AY164" s="120"/>
    </row>
    <row r="165" spans="1:52" s="30" customFormat="1" x14ac:dyDescent="0.2">
      <c r="A165" s="294">
        <v>161</v>
      </c>
      <c r="B165" s="297" t="s">
        <v>16</v>
      </c>
      <c r="C165" s="300" t="s">
        <v>21</v>
      </c>
      <c r="D165" s="144" t="s">
        <v>298</v>
      </c>
      <c r="E165" s="173" t="s">
        <v>306</v>
      </c>
      <c r="F165" s="177" t="s">
        <v>22</v>
      </c>
      <c r="G165" s="341">
        <f t="shared" ref="G165:G196" si="81">AVERAGE(H165:I165)</f>
        <v>37.122893229412263</v>
      </c>
      <c r="H165" s="342">
        <f t="shared" ref="H165:H196" si="82">(N165*20+U165*5+Z165*5+AL165*20)/50</f>
        <v>31.613226702239626</v>
      </c>
      <c r="I165" s="342">
        <f t="shared" ref="I165:I196" si="83">(AP165*15+AS165*5+AW165*5)/25</f>
        <v>42.632559756584904</v>
      </c>
      <c r="J165" s="343">
        <v>0.37366899999999997</v>
      </c>
      <c r="K165" s="344">
        <v>70.052000000000007</v>
      </c>
      <c r="L165" s="344">
        <v>47.971980532964103</v>
      </c>
      <c r="M165" s="344">
        <v>40.704799649999998</v>
      </c>
      <c r="N165" s="345">
        <f t="shared" ref="N165:N196" si="84">((MIN(J165,50)/50)*100*2.5+(MIN(K165,250)/250)*0.5*100+L165*1.5+M165*1.5)/6</f>
        <v>24.815652545741028</v>
      </c>
      <c r="O165" s="343">
        <f t="shared" ref="O165:O196" si="85">(P165*1000)/Q165</f>
        <v>0.17837794557041672</v>
      </c>
      <c r="P165" s="346">
        <v>6758</v>
      </c>
      <c r="Q165" s="346">
        <v>37885849.5</v>
      </c>
      <c r="R165" s="344">
        <v>2.2999999999999998</v>
      </c>
      <c r="S165" s="344">
        <v>0.5</v>
      </c>
      <c r="T165" s="347">
        <v>30</v>
      </c>
      <c r="U165" s="345">
        <f t="shared" ref="U165:U196" si="86">((MIN(O165,4)/4)*100*1.5+(1-(MIN(R165,15)/15))*100*0.5+(1-(MIN(S165,8)/8))*100*0.5+(1-(MIN(T165,100)/100))*100)/3.5</f>
        <v>47.399287512063992</v>
      </c>
      <c r="V165" s="343">
        <f>(W165*1000000)/X165</f>
        <v>18.627007426611879</v>
      </c>
      <c r="W165" s="348">
        <v>705.7</v>
      </c>
      <c r="X165" s="346">
        <v>37885849.5</v>
      </c>
      <c r="Y165" s="352">
        <v>20.3</v>
      </c>
      <c r="Z165" s="345">
        <f t="shared" ref="Z165:Z196" si="87">((LN(MAX(V165,1))/LN(4000))*100*0.5+(MAX((50-Y165),0))/50*100*1.5)/2</f>
        <v>53.365393766187587</v>
      </c>
      <c r="AA165" s="343">
        <v>2.15</v>
      </c>
      <c r="AB165" s="343">
        <f t="shared" si="80"/>
        <v>3.4878774461689188E-2</v>
      </c>
      <c r="AC165" s="346">
        <v>1321412</v>
      </c>
      <c r="AD165" s="346">
        <v>37885849.5</v>
      </c>
      <c r="AE165" s="344">
        <v>-65</v>
      </c>
      <c r="AF165" s="343">
        <v>55.87</v>
      </c>
      <c r="AG165" s="344">
        <v>34.1</v>
      </c>
      <c r="AH165" s="343">
        <v>2.08</v>
      </c>
      <c r="AI165" s="343">
        <f t="shared" ref="AI165:AI196" si="88">AJ165/AK165</f>
        <v>6.0960936873345632E-2</v>
      </c>
      <c r="AJ165" s="346">
        <v>76000</v>
      </c>
      <c r="AK165" s="346">
        <v>1246700</v>
      </c>
      <c r="AL165" s="345">
        <f>((AA165/4.5)*100*1.5+(LN(MIN(AB165,5)+1)/LN(5+1))*100+((AE165-(-300))/(150-(-300)))*100+(LN(MIN(AF165,500))/LN(500))*100*0.5+(MAX((60-AG165),0))/60*100*0.5+((AH165-1)/(7-1))*100*2+(LN(MIN(AI165,20)+1)/LN(20+1))*100)/7.5</f>
        <v>29.026243890295138</v>
      </c>
      <c r="AM165" s="343">
        <v>62.7</v>
      </c>
      <c r="AN165" s="344">
        <v>50.2</v>
      </c>
      <c r="AO165" s="344">
        <v>58.1</v>
      </c>
      <c r="AP165" s="345">
        <f t="shared" ref="AP165:AP196" si="89">((100-AM165)*0.5+AN165*2+(1-(LN(MIN(AO165,200)+1)/LN(200+1)))*100*1)/3.5</f>
        <v>40.608955075417114</v>
      </c>
      <c r="AQ165" s="343">
        <v>26.386309174262852</v>
      </c>
      <c r="AR165" s="344">
        <v>74</v>
      </c>
      <c r="AS165" s="345">
        <f t="shared" ref="AS165:AS196" si="90">(AQ165+AR165)/2</f>
        <v>50.193154587131424</v>
      </c>
      <c r="AT165" s="343">
        <v>3853.6375827884299</v>
      </c>
      <c r="AU165" s="343">
        <v>14.631907366474</v>
      </c>
      <c r="AV165" s="343">
        <v>2138.3984312245102</v>
      </c>
      <c r="AW165" s="351">
        <f t="shared" ref="AW165:AW196" si="91">((1-(LN(MIN(AT165,3000)+1)/LN(3000+1)))*100*0.5+(1-(LN(MIN(AU165,1000)+1)/LN(1000+1)))*100*2+(1-(LN(MIN(AV165,3500)+1)/LN(3500+1)))*100*0.5)/3</f>
        <v>41.142778969541766</v>
      </c>
      <c r="AX165" s="293"/>
      <c r="AY165" s="120"/>
    </row>
    <row r="166" spans="1:52" s="30" customFormat="1" x14ac:dyDescent="0.2">
      <c r="A166" s="294">
        <v>162</v>
      </c>
      <c r="B166" s="307" t="s">
        <v>10</v>
      </c>
      <c r="C166" s="311" t="s">
        <v>887</v>
      </c>
      <c r="D166" s="147" t="s">
        <v>301</v>
      </c>
      <c r="E166" s="173" t="s">
        <v>306</v>
      </c>
      <c r="F166" s="177" t="s">
        <v>331</v>
      </c>
      <c r="G166" s="341">
        <f t="shared" si="81"/>
        <v>37.111017604125372</v>
      </c>
      <c r="H166" s="342">
        <f t="shared" si="82"/>
        <v>43.461986502765519</v>
      </c>
      <c r="I166" s="342">
        <f t="shared" si="83"/>
        <v>30.760048705485225</v>
      </c>
      <c r="J166" s="343">
        <v>2.7202099999999998</v>
      </c>
      <c r="K166" s="344">
        <v>64.758799999999994</v>
      </c>
      <c r="L166" s="344">
        <v>57.653299437534201</v>
      </c>
      <c r="M166" s="344">
        <v>65.592697139999999</v>
      </c>
      <c r="N166" s="345">
        <f t="shared" si="84"/>
        <v>35.236967477716881</v>
      </c>
      <c r="O166" s="343">
        <f t="shared" si="85"/>
        <v>1.702356258234587</v>
      </c>
      <c r="P166" s="346">
        <v>13227</v>
      </c>
      <c r="Q166" s="346">
        <v>7769819</v>
      </c>
      <c r="R166" s="344">
        <v>1.1000000000000001</v>
      </c>
      <c r="S166" s="344">
        <v>0</v>
      </c>
      <c r="T166" s="347">
        <v>14</v>
      </c>
      <c r="U166" s="345">
        <f t="shared" si="86"/>
        <v>70.334769433465809</v>
      </c>
      <c r="V166" s="343">
        <f>(W166*1000000)/X166</f>
        <v>945.96798200833246</v>
      </c>
      <c r="W166" s="348">
        <v>7350</v>
      </c>
      <c r="X166" s="346">
        <v>7769819</v>
      </c>
      <c r="Y166" s="344">
        <v>6.7</v>
      </c>
      <c r="Z166" s="345">
        <f t="shared" si="87"/>
        <v>85.603989969180034</v>
      </c>
      <c r="AA166" s="343">
        <v>2.4166666666666701</v>
      </c>
      <c r="AB166" s="343">
        <f t="shared" si="80"/>
        <v>0.10840410902750759</v>
      </c>
      <c r="AC166" s="346">
        <v>842280.30599999998</v>
      </c>
      <c r="AD166" s="346">
        <v>7769819</v>
      </c>
      <c r="AE166" s="349" t="s">
        <v>931</v>
      </c>
      <c r="AF166" s="349" t="s">
        <v>931</v>
      </c>
      <c r="AG166" s="344">
        <v>13.5</v>
      </c>
      <c r="AH166" s="343">
        <v>3.22</v>
      </c>
      <c r="AI166" s="343">
        <f t="shared" si="88"/>
        <v>0.25843154246100519</v>
      </c>
      <c r="AJ166" s="346">
        <v>59646</v>
      </c>
      <c r="AK166" s="346">
        <v>230800</v>
      </c>
      <c r="AL166" s="345">
        <f>((AA166/4.5)*100*1.5+(LN(MIN(AB166,5)+1)/LN(5+1))*100+(MAX((60-AG166),0))/60*100*0.5+((AH166-1)/(7-1))*100*2+(LN(MIN(AI166,20)+1)/LN(20+1))*100)/6</f>
        <v>34.433308928535475</v>
      </c>
      <c r="AM166" s="343">
        <v>54.84</v>
      </c>
      <c r="AN166" s="344">
        <v>11.1</v>
      </c>
      <c r="AO166" s="344">
        <v>204.7</v>
      </c>
      <c r="AP166" s="345">
        <f t="shared" si="89"/>
        <v>12.794285714285715</v>
      </c>
      <c r="AQ166" s="343">
        <v>37.650196946865897</v>
      </c>
      <c r="AR166" s="344">
        <v>94.7</v>
      </c>
      <c r="AS166" s="345">
        <f t="shared" si="90"/>
        <v>66.175098473432953</v>
      </c>
      <c r="AT166" s="343">
        <v>1238.0093926838599</v>
      </c>
      <c r="AU166" s="343">
        <v>7.4908235688986098</v>
      </c>
      <c r="AV166" s="343">
        <v>1785.06924998215</v>
      </c>
      <c r="AW166" s="351">
        <f t="shared" si="91"/>
        <v>49.242287911136003</v>
      </c>
      <c r="AX166" s="293"/>
      <c r="AY166" s="120"/>
    </row>
    <row r="167" spans="1:52" s="30" customFormat="1" x14ac:dyDescent="0.2">
      <c r="A167" s="294">
        <v>163</v>
      </c>
      <c r="B167" s="304" t="s">
        <v>29</v>
      </c>
      <c r="C167" s="316" t="s">
        <v>888</v>
      </c>
      <c r="D167" s="148" t="s">
        <v>302</v>
      </c>
      <c r="E167" s="173" t="s">
        <v>306</v>
      </c>
      <c r="F167" s="177" t="s">
        <v>145</v>
      </c>
      <c r="G167" s="341">
        <f t="shared" si="81"/>
        <v>36.417181540526485</v>
      </c>
      <c r="H167" s="342">
        <f t="shared" si="82"/>
        <v>36.934602028831435</v>
      </c>
      <c r="I167" s="342">
        <f t="shared" si="83"/>
        <v>35.899761052221535</v>
      </c>
      <c r="J167" s="343">
        <v>6.2837374479166703</v>
      </c>
      <c r="K167" s="344">
        <v>19.733619166666667</v>
      </c>
      <c r="L167" s="352">
        <v>49.575463873553339</v>
      </c>
      <c r="M167" s="344">
        <v>39.523601530000001</v>
      </c>
      <c r="N167" s="345">
        <f t="shared" si="84"/>
        <v>28.169001529707781</v>
      </c>
      <c r="O167" s="343">
        <f t="shared" si="85"/>
        <v>0.42417628059260959</v>
      </c>
      <c r="P167" s="346">
        <v>48</v>
      </c>
      <c r="Q167" s="346">
        <v>113160.5</v>
      </c>
      <c r="R167" s="352">
        <v>2.85</v>
      </c>
      <c r="S167" s="352">
        <v>0.25</v>
      </c>
      <c r="T167" s="353">
        <v>10.5</v>
      </c>
      <c r="U167" s="345">
        <f t="shared" si="86"/>
        <v>55.526888720635107</v>
      </c>
      <c r="V167" s="350">
        <v>37.072750379697858</v>
      </c>
      <c r="W167" s="348"/>
      <c r="X167" s="346">
        <v>113160.5</v>
      </c>
      <c r="Y167" s="352">
        <v>37.75</v>
      </c>
      <c r="Z167" s="345">
        <f t="shared" si="87"/>
        <v>29.264982473582499</v>
      </c>
      <c r="AA167" s="350">
        <v>2.7750000000000004</v>
      </c>
      <c r="AB167" s="350">
        <v>0.31493278996982549</v>
      </c>
      <c r="AC167" s="346"/>
      <c r="AD167" s="346">
        <v>113160.5</v>
      </c>
      <c r="AE167" s="352">
        <v>-6</v>
      </c>
      <c r="AF167" s="343">
        <v>14.97</v>
      </c>
      <c r="AG167" s="352">
        <v>11.9</v>
      </c>
      <c r="AH167" s="350">
        <v>3.1845207288049617</v>
      </c>
      <c r="AI167" s="343">
        <f t="shared" si="88"/>
        <v>0.55428571428571427</v>
      </c>
      <c r="AJ167" s="346">
        <v>388</v>
      </c>
      <c r="AK167" s="346">
        <v>700</v>
      </c>
      <c r="AL167" s="345">
        <f t="shared" ref="AL167:AL175" si="92">((AA167/4.5)*100*1.5+(LN(MIN(AB167,5)+1)/LN(5+1))*100+((AE167-(-300))/(150-(-300)))*100+(LN(MIN(AF167,500))/LN(500))*100*0.5+(MAX((60-AG167),0))/60*100*0.5+((AH167-1)/(7-1))*100*2+(LN(MIN(AI167,20)+1)/LN(20+1))*100)/7.5</f>
        <v>42.969535743816408</v>
      </c>
      <c r="AM167" s="350">
        <v>4.4950000000000001</v>
      </c>
      <c r="AN167" s="344">
        <v>13.3</v>
      </c>
      <c r="AO167" s="344">
        <v>138.69999999999999</v>
      </c>
      <c r="AP167" s="345">
        <f t="shared" si="89"/>
        <v>23.203576412543409</v>
      </c>
      <c r="AQ167" s="350">
        <v>55.788135449697258</v>
      </c>
      <c r="AR167" s="344">
        <v>71</v>
      </c>
      <c r="AS167" s="345">
        <f t="shared" si="90"/>
        <v>63.394067724848625</v>
      </c>
      <c r="AT167" s="343">
        <v>595.18630462022099</v>
      </c>
      <c r="AU167" s="343">
        <v>11.8332695425468</v>
      </c>
      <c r="AV167" s="343">
        <v>2052.72488996635</v>
      </c>
      <c r="AW167" s="351">
        <f t="shared" si="91"/>
        <v>46.494008298628813</v>
      </c>
      <c r="AX167" s="293"/>
      <c r="AY167" s="120"/>
    </row>
    <row r="168" spans="1:52" s="30" customFormat="1" x14ac:dyDescent="0.2">
      <c r="A168" s="294">
        <v>164</v>
      </c>
      <c r="B168" s="297" t="s">
        <v>16</v>
      </c>
      <c r="C168" s="310" t="s">
        <v>886</v>
      </c>
      <c r="D168" s="144" t="s">
        <v>298</v>
      </c>
      <c r="E168" s="173" t="s">
        <v>306</v>
      </c>
      <c r="F168" s="177" t="s">
        <v>56</v>
      </c>
      <c r="G168" s="341">
        <f t="shared" si="81"/>
        <v>35.778955320347016</v>
      </c>
      <c r="H168" s="342">
        <f t="shared" si="82"/>
        <v>31.128967883307567</v>
      </c>
      <c r="I168" s="342">
        <f t="shared" si="83"/>
        <v>40.428942757386466</v>
      </c>
      <c r="J168" s="343">
        <v>2.2456690375000004</v>
      </c>
      <c r="K168" s="344">
        <v>96.481700000000004</v>
      </c>
      <c r="L168" s="344">
        <v>48.962306379268803</v>
      </c>
      <c r="M168" s="344">
        <v>46.25880051</v>
      </c>
      <c r="N168" s="345">
        <f t="shared" si="84"/>
        <v>28.892724253567199</v>
      </c>
      <c r="O168" s="343">
        <f t="shared" si="85"/>
        <v>6.1599224014591392E-2</v>
      </c>
      <c r="P168" s="346">
        <v>1794</v>
      </c>
      <c r="Q168" s="346">
        <v>29123743.5</v>
      </c>
      <c r="R168" s="344">
        <v>10.4</v>
      </c>
      <c r="S168" s="344">
        <v>3.5</v>
      </c>
      <c r="T168" s="347">
        <v>21</v>
      </c>
      <c r="U168" s="345">
        <f t="shared" si="86"/>
        <v>35.648086923965863</v>
      </c>
      <c r="V168" s="343">
        <f t="shared" ref="V168:V183" si="93">(W168*1000000)/X168</f>
        <v>37.37156935199625</v>
      </c>
      <c r="W168" s="348">
        <v>1088.4000000000001</v>
      </c>
      <c r="X168" s="346">
        <v>29123743.5</v>
      </c>
      <c r="Y168" s="344">
        <v>31.8</v>
      </c>
      <c r="Z168" s="345">
        <f t="shared" si="87"/>
        <v>38.214180631610652</v>
      </c>
      <c r="AA168" s="343">
        <v>2.0666666666666669</v>
      </c>
      <c r="AB168" s="343">
        <f>AC168/AD168</f>
        <v>1.1366155590540756E-2</v>
      </c>
      <c r="AC168" s="346">
        <v>331025</v>
      </c>
      <c r="AD168" s="346">
        <v>29123743.5</v>
      </c>
      <c r="AE168" s="344">
        <v>-148</v>
      </c>
      <c r="AF168" s="343">
        <v>65.52</v>
      </c>
      <c r="AG168" s="344">
        <v>31.2</v>
      </c>
      <c r="AH168" s="343">
        <v>2.8</v>
      </c>
      <c r="AI168" s="343">
        <f t="shared" si="88"/>
        <v>0.25781768949250067</v>
      </c>
      <c r="AJ168" s="346">
        <v>121873</v>
      </c>
      <c r="AK168" s="346">
        <v>472710</v>
      </c>
      <c r="AL168" s="345">
        <f t="shared" si="92"/>
        <v>30.464128565807592</v>
      </c>
      <c r="AM168" s="343">
        <v>32.67</v>
      </c>
      <c r="AN168" s="344">
        <v>30.7</v>
      </c>
      <c r="AO168" s="344">
        <v>129.1</v>
      </c>
      <c r="AP168" s="345">
        <f t="shared" si="89"/>
        <v>29.504988888099209</v>
      </c>
      <c r="AQ168" s="343">
        <v>60.873790856562401</v>
      </c>
      <c r="AR168" s="344">
        <v>75.5</v>
      </c>
      <c r="AS168" s="345">
        <f t="shared" si="90"/>
        <v>68.186895428281204</v>
      </c>
      <c r="AT168" s="343">
        <v>2090.7008413795602</v>
      </c>
      <c r="AU168" s="343">
        <v>10.115865259605</v>
      </c>
      <c r="AV168" s="343">
        <v>1883.8160515245299</v>
      </c>
      <c r="AW168" s="351">
        <f t="shared" si="91"/>
        <v>45.442851694353486</v>
      </c>
      <c r="AX168" s="293"/>
      <c r="AY168" s="120"/>
    </row>
    <row r="169" spans="1:52" s="30" customFormat="1" x14ac:dyDescent="0.2">
      <c r="A169" s="294">
        <v>165</v>
      </c>
      <c r="B169" s="297" t="s">
        <v>16</v>
      </c>
      <c r="C169" s="300" t="s">
        <v>21</v>
      </c>
      <c r="D169" s="144" t="s">
        <v>298</v>
      </c>
      <c r="E169" s="173" t="s">
        <v>306</v>
      </c>
      <c r="F169" s="177" t="s">
        <v>334</v>
      </c>
      <c r="G169" s="341">
        <f t="shared" si="81"/>
        <v>35.252337777908146</v>
      </c>
      <c r="H169" s="342">
        <f t="shared" si="82"/>
        <v>40.528754594685836</v>
      </c>
      <c r="I169" s="342">
        <f t="shared" si="83"/>
        <v>29.975920961130459</v>
      </c>
      <c r="J169" s="343">
        <v>2.49959</v>
      </c>
      <c r="K169" s="344">
        <v>105.4</v>
      </c>
      <c r="L169" s="344">
        <v>46.774206108281298</v>
      </c>
      <c r="M169" s="344">
        <v>31.16209984</v>
      </c>
      <c r="N169" s="345">
        <f t="shared" si="84"/>
        <v>25.080401487070322</v>
      </c>
      <c r="O169" s="343">
        <f t="shared" si="85"/>
        <v>2.0157480094451941E-2</v>
      </c>
      <c r="P169" s="346">
        <v>1382</v>
      </c>
      <c r="Q169" s="346">
        <v>68560157</v>
      </c>
      <c r="R169" s="344">
        <v>0.7</v>
      </c>
      <c r="S169" s="344">
        <v>0</v>
      </c>
      <c r="T169" s="347">
        <v>15</v>
      </c>
      <c r="U169" s="345">
        <f t="shared" si="86"/>
        <v>52.406449191488171</v>
      </c>
      <c r="V169" s="343">
        <f t="shared" si="93"/>
        <v>75.612428950534635</v>
      </c>
      <c r="W169" s="348">
        <v>5184</v>
      </c>
      <c r="X169" s="346">
        <v>68560157</v>
      </c>
      <c r="Y169" s="344">
        <v>7.1</v>
      </c>
      <c r="Z169" s="345">
        <f t="shared" si="87"/>
        <v>77.388325249663566</v>
      </c>
      <c r="AA169" s="343">
        <v>2.99</v>
      </c>
      <c r="AB169" s="343">
        <f>AC169/AD169</f>
        <v>2.787425063801998E-2</v>
      </c>
      <c r="AC169" s="346">
        <v>1911063</v>
      </c>
      <c r="AD169" s="346">
        <v>68560157</v>
      </c>
      <c r="AE169" s="344">
        <v>-53</v>
      </c>
      <c r="AF169" s="343">
        <v>58.63</v>
      </c>
      <c r="AG169" s="344">
        <v>9.4</v>
      </c>
      <c r="AH169" s="343">
        <v>3.74</v>
      </c>
      <c r="AI169" s="343">
        <f t="shared" si="88"/>
        <v>0.20409911944005418</v>
      </c>
      <c r="AJ169" s="346">
        <v>180791</v>
      </c>
      <c r="AK169" s="346">
        <v>885800</v>
      </c>
      <c r="AL169" s="345">
        <f t="shared" si="92"/>
        <v>43.792791389356324</v>
      </c>
      <c r="AM169" s="343">
        <v>70.09</v>
      </c>
      <c r="AN169" s="344">
        <v>9.8000000000000007</v>
      </c>
      <c r="AO169" s="344">
        <v>107.5</v>
      </c>
      <c r="AP169" s="345">
        <f t="shared" si="89"/>
        <v>13.19453105734461</v>
      </c>
      <c r="AQ169" s="343">
        <v>59.827525309077302</v>
      </c>
      <c r="AR169" s="344">
        <v>72.8</v>
      </c>
      <c r="AS169" s="345">
        <f t="shared" si="90"/>
        <v>66.31376265453865</v>
      </c>
      <c r="AT169" s="343">
        <v>1682.0129629378</v>
      </c>
      <c r="AU169" s="343">
        <v>13.0690955103323</v>
      </c>
      <c r="AV169" s="343">
        <v>1578.9069927186799</v>
      </c>
      <c r="AW169" s="351">
        <f t="shared" si="91"/>
        <v>43.982248979079806</v>
      </c>
      <c r="AX169" s="293"/>
      <c r="AY169" s="120"/>
    </row>
    <row r="170" spans="1:52" s="30" customFormat="1" x14ac:dyDescent="0.2">
      <c r="A170" s="294">
        <v>166</v>
      </c>
      <c r="B170" s="297" t="s">
        <v>16</v>
      </c>
      <c r="C170" s="310" t="s">
        <v>886</v>
      </c>
      <c r="D170" s="144" t="s">
        <v>298</v>
      </c>
      <c r="E170" s="173" t="s">
        <v>306</v>
      </c>
      <c r="F170" s="177" t="s">
        <v>66</v>
      </c>
      <c r="G170" s="341">
        <f t="shared" si="81"/>
        <v>35.249060439012851</v>
      </c>
      <c r="H170" s="342">
        <f t="shared" si="82"/>
        <v>33.781719344048341</v>
      </c>
      <c r="I170" s="342">
        <f t="shared" si="83"/>
        <v>36.716401533977368</v>
      </c>
      <c r="J170" s="343">
        <v>1.2679800000000001</v>
      </c>
      <c r="K170" s="344">
        <v>94.871499999999997</v>
      </c>
      <c r="L170" s="344">
        <v>40.8019128105852</v>
      </c>
      <c r="M170" s="344">
        <v>47.251598360000003</v>
      </c>
      <c r="N170" s="345">
        <f t="shared" si="84"/>
        <v>26.232411125979635</v>
      </c>
      <c r="O170" s="343">
        <f t="shared" si="85"/>
        <v>0.13248147272658081</v>
      </c>
      <c r="P170" s="346">
        <v>839</v>
      </c>
      <c r="Q170" s="346">
        <v>6332961</v>
      </c>
      <c r="R170" s="352">
        <v>3.65</v>
      </c>
      <c r="S170" s="352">
        <v>1</v>
      </c>
      <c r="T170" s="353">
        <v>18</v>
      </c>
      <c r="U170" s="345">
        <f t="shared" si="86"/>
        <v>48.157539588737173</v>
      </c>
      <c r="V170" s="343">
        <f t="shared" si="93"/>
        <v>7.263584917071177</v>
      </c>
      <c r="W170" s="348">
        <v>46</v>
      </c>
      <c r="X170" s="346">
        <v>6332961</v>
      </c>
      <c r="Y170" s="352">
        <v>20.299999999999997</v>
      </c>
      <c r="Z170" s="345">
        <f t="shared" si="87"/>
        <v>50.526795363043625</v>
      </c>
      <c r="AA170" s="343">
        <v>2.5833333333333335</v>
      </c>
      <c r="AB170" s="343">
        <f>AC170/AD170</f>
        <v>2.3225154868315154E-2</v>
      </c>
      <c r="AC170" s="346">
        <v>147084</v>
      </c>
      <c r="AD170" s="346">
        <v>6332961</v>
      </c>
      <c r="AE170" s="344">
        <v>-283</v>
      </c>
      <c r="AF170" s="343">
        <v>87.78</v>
      </c>
      <c r="AG170" s="352">
        <v>21.7</v>
      </c>
      <c r="AH170" s="350">
        <v>3.711144756142231</v>
      </c>
      <c r="AI170" s="343">
        <f t="shared" si="88"/>
        <v>6.8298682284040999E-2</v>
      </c>
      <c r="AJ170" s="346">
        <v>23324</v>
      </c>
      <c r="AK170" s="346">
        <v>341500</v>
      </c>
      <c r="AL170" s="345">
        <f t="shared" si="92"/>
        <v>33.550803496196025</v>
      </c>
      <c r="AM170" s="343">
        <v>75.34</v>
      </c>
      <c r="AN170" s="344">
        <v>40.1</v>
      </c>
      <c r="AO170" s="344">
        <v>90.5</v>
      </c>
      <c r="AP170" s="345">
        <f t="shared" si="89"/>
        <v>30.676903046689681</v>
      </c>
      <c r="AQ170" s="343">
        <v>55.576038781185098</v>
      </c>
      <c r="AR170" s="344">
        <v>39.799999999999997</v>
      </c>
      <c r="AS170" s="345">
        <f t="shared" si="90"/>
        <v>47.688019390592544</v>
      </c>
      <c r="AT170" s="343">
        <v>2306.5550580618501</v>
      </c>
      <c r="AU170" s="343">
        <v>12.2251785267252</v>
      </c>
      <c r="AV170" s="343">
        <v>1625.1509112179599</v>
      </c>
      <c r="AW170" s="351">
        <f t="shared" si="91"/>
        <v>43.863279139225249</v>
      </c>
      <c r="AX170" s="293"/>
      <c r="AY170" s="120"/>
    </row>
    <row r="171" spans="1:52" s="30" customFormat="1" x14ac:dyDescent="0.2">
      <c r="A171" s="294">
        <v>167</v>
      </c>
      <c r="B171" s="297" t="s">
        <v>16</v>
      </c>
      <c r="C171" s="300" t="s">
        <v>21</v>
      </c>
      <c r="D171" s="144" t="s">
        <v>298</v>
      </c>
      <c r="E171" s="173" t="s">
        <v>306</v>
      </c>
      <c r="F171" s="177" t="s">
        <v>74</v>
      </c>
      <c r="G171" s="341">
        <f t="shared" si="81"/>
        <v>34.74749117561317</v>
      </c>
      <c r="H171" s="342">
        <f t="shared" si="82"/>
        <v>38.151864711396584</v>
      </c>
      <c r="I171" s="342">
        <f t="shared" si="83"/>
        <v>31.343117639829753</v>
      </c>
      <c r="J171" s="343">
        <v>1.4720599999999999</v>
      </c>
      <c r="K171" s="344">
        <v>48.450499999999998</v>
      </c>
      <c r="L171" s="352">
        <v>46.927736903137628</v>
      </c>
      <c r="M171" s="344">
        <v>65.298896790000001</v>
      </c>
      <c r="N171" s="345">
        <f t="shared" si="84"/>
        <v>30.898391756617741</v>
      </c>
      <c r="O171" s="343">
        <f t="shared" si="85"/>
        <v>0.17882781362890404</v>
      </c>
      <c r="P171" s="346">
        <v>209</v>
      </c>
      <c r="Q171" s="346">
        <v>1168722</v>
      </c>
      <c r="R171" s="344">
        <v>1.4400000000000002</v>
      </c>
      <c r="S171" s="344">
        <v>0.9</v>
      </c>
      <c r="T171" s="347">
        <v>2.7</v>
      </c>
      <c r="U171" s="345">
        <f t="shared" si="86"/>
        <v>55.308869431738266</v>
      </c>
      <c r="V171" s="343">
        <f t="shared" si="93"/>
        <v>16.257073966264006</v>
      </c>
      <c r="W171" s="348">
        <v>19</v>
      </c>
      <c r="X171" s="346">
        <v>1168722</v>
      </c>
      <c r="Y171" s="352">
        <v>20.299999999999997</v>
      </c>
      <c r="Z171" s="345">
        <f t="shared" si="87"/>
        <v>52.955206913548238</v>
      </c>
      <c r="AA171" s="343">
        <v>2.75</v>
      </c>
      <c r="AB171" s="350">
        <v>2.2646620289062665E-2</v>
      </c>
      <c r="AC171" s="346"/>
      <c r="AD171" s="346">
        <v>1168722</v>
      </c>
      <c r="AE171" s="344">
        <v>-56</v>
      </c>
      <c r="AF171" s="343">
        <v>64.790000000000006</v>
      </c>
      <c r="AG171" s="344">
        <v>12.420000000000002</v>
      </c>
      <c r="AH171" s="350">
        <v>2.6921018823324672</v>
      </c>
      <c r="AI171" s="343">
        <f t="shared" si="88"/>
        <v>0.12480586712683348</v>
      </c>
      <c r="AJ171" s="346">
        <v>2893</v>
      </c>
      <c r="AK171" s="346">
        <v>23180</v>
      </c>
      <c r="AL171" s="345">
        <f t="shared" si="92"/>
        <v>37.415250935552095</v>
      </c>
      <c r="AM171" s="343">
        <v>48.69</v>
      </c>
      <c r="AN171" s="344">
        <v>10</v>
      </c>
      <c r="AO171" s="344">
        <v>39.6</v>
      </c>
      <c r="AP171" s="345">
        <f t="shared" si="89"/>
        <v>21.661752257355488</v>
      </c>
      <c r="AQ171" s="343">
        <v>11.046493849990771</v>
      </c>
      <c r="AR171" s="344">
        <v>78.5</v>
      </c>
      <c r="AS171" s="345">
        <f t="shared" si="90"/>
        <v>44.773246924995384</v>
      </c>
      <c r="AT171" s="343">
        <v>1246.23200750506</v>
      </c>
      <c r="AU171" s="343">
        <v>9.9498492732109405</v>
      </c>
      <c r="AV171" s="343">
        <v>1632.1165100046701</v>
      </c>
      <c r="AW171" s="351">
        <f t="shared" si="91"/>
        <v>46.957084502086907</v>
      </c>
      <c r="AX171" s="293"/>
      <c r="AY171" s="120"/>
    </row>
    <row r="172" spans="1:52" s="30" customFormat="1" x14ac:dyDescent="0.2">
      <c r="A172" s="294">
        <v>168</v>
      </c>
      <c r="B172" s="297" t="s">
        <v>16</v>
      </c>
      <c r="C172" s="310" t="s">
        <v>886</v>
      </c>
      <c r="D172" s="144" t="s">
        <v>298</v>
      </c>
      <c r="E172" s="169" t="s">
        <v>303</v>
      </c>
      <c r="F172" s="177" t="s">
        <v>90</v>
      </c>
      <c r="G172" s="341">
        <f t="shared" si="81"/>
        <v>34.281532359764221</v>
      </c>
      <c r="H172" s="342">
        <f t="shared" si="82"/>
        <v>37.248693581230484</v>
      </c>
      <c r="I172" s="342">
        <f t="shared" si="83"/>
        <v>31.314371138297961</v>
      </c>
      <c r="J172" s="343">
        <v>0.22575970625</v>
      </c>
      <c r="K172" s="344">
        <v>103.62091770833332</v>
      </c>
      <c r="L172" s="344">
        <v>44.558655397064001</v>
      </c>
      <c r="M172" s="344">
        <v>49.494300840000001</v>
      </c>
      <c r="N172" s="345">
        <f t="shared" si="84"/>
        <v>27.155402738085446</v>
      </c>
      <c r="O172" s="343">
        <f t="shared" si="85"/>
        <v>6.7391609563449112E-2</v>
      </c>
      <c r="P172" s="346">
        <v>186</v>
      </c>
      <c r="Q172" s="346">
        <v>2759987.5</v>
      </c>
      <c r="R172" s="352">
        <v>4</v>
      </c>
      <c r="S172" s="352">
        <v>1</v>
      </c>
      <c r="T172" s="353">
        <v>17.5</v>
      </c>
      <c r="U172" s="345">
        <f t="shared" si="86"/>
        <v>47.269672007227427</v>
      </c>
      <c r="V172" s="343">
        <f t="shared" si="93"/>
        <v>36.811760922830267</v>
      </c>
      <c r="W172" s="348">
        <v>101.6</v>
      </c>
      <c r="X172" s="346">
        <v>2759987.5</v>
      </c>
      <c r="Y172" s="352">
        <v>21.1</v>
      </c>
      <c r="Z172" s="345">
        <f t="shared" si="87"/>
        <v>54.21868761604955</v>
      </c>
      <c r="AA172" s="343">
        <v>2.3333333333333335</v>
      </c>
      <c r="AB172" s="350">
        <v>5.9970679205359183E-3</v>
      </c>
      <c r="AC172" s="346"/>
      <c r="AD172" s="346">
        <v>2759987.5</v>
      </c>
      <c r="AE172" s="352">
        <v>2.5</v>
      </c>
      <c r="AF172" s="343">
        <v>12.2</v>
      </c>
      <c r="AG172" s="352">
        <v>21.3</v>
      </c>
      <c r="AH172" s="343">
        <v>3.84</v>
      </c>
      <c r="AI172" s="343">
        <f t="shared" si="88"/>
        <v>0.44456521739130433</v>
      </c>
      <c r="AJ172" s="346">
        <v>4499</v>
      </c>
      <c r="AK172" s="346">
        <v>10120</v>
      </c>
      <c r="AL172" s="345">
        <f t="shared" si="92"/>
        <v>40.594241309171522</v>
      </c>
      <c r="AM172" s="343">
        <v>37.08</v>
      </c>
      <c r="AN172" s="344">
        <v>1.6</v>
      </c>
      <c r="AO172" s="344">
        <v>151.9</v>
      </c>
      <c r="AP172" s="345">
        <f t="shared" si="89"/>
        <v>11.376443896055449</v>
      </c>
      <c r="AQ172" s="343">
        <v>38.1609042069027</v>
      </c>
      <c r="AR172" s="344">
        <v>84.6</v>
      </c>
      <c r="AS172" s="345">
        <f t="shared" si="90"/>
        <v>61.380452103451347</v>
      </c>
      <c r="AT172" s="343">
        <v>1046.93867522342</v>
      </c>
      <c r="AU172" s="343">
        <v>1.65865599002641</v>
      </c>
      <c r="AV172" s="343">
        <v>1566.6663920957201</v>
      </c>
      <c r="AW172" s="351">
        <f t="shared" si="91"/>
        <v>61.062071899872109</v>
      </c>
      <c r="AX172" s="293"/>
      <c r="AY172" s="120"/>
    </row>
    <row r="173" spans="1:52" s="30" customFormat="1" x14ac:dyDescent="0.2">
      <c r="A173" s="294">
        <v>169</v>
      </c>
      <c r="B173" s="297" t="s">
        <v>16</v>
      </c>
      <c r="C173" s="310" t="s">
        <v>886</v>
      </c>
      <c r="D173" s="144" t="s">
        <v>298</v>
      </c>
      <c r="E173" s="173" t="s">
        <v>306</v>
      </c>
      <c r="F173" s="177" t="s">
        <v>333</v>
      </c>
      <c r="G173" s="341">
        <f t="shared" si="81"/>
        <v>34.246630415906026</v>
      </c>
      <c r="H173" s="342">
        <f t="shared" si="82"/>
        <v>37.471568265740501</v>
      </c>
      <c r="I173" s="342">
        <f t="shared" si="83"/>
        <v>31.021692566071547</v>
      </c>
      <c r="J173" s="343">
        <v>2.5013999999999998</v>
      </c>
      <c r="K173" s="344">
        <v>63.454099999999997</v>
      </c>
      <c r="L173" s="352">
        <v>52.475722473770389</v>
      </c>
      <c r="M173" s="344">
        <v>59.117599490000003</v>
      </c>
      <c r="N173" s="345">
        <f t="shared" si="84"/>
        <v>32.097967157609268</v>
      </c>
      <c r="O173" s="343">
        <f t="shared" si="85"/>
        <v>0.16982505896113767</v>
      </c>
      <c r="P173" s="346">
        <v>40</v>
      </c>
      <c r="Q173" s="346">
        <v>235536.5</v>
      </c>
      <c r="R173" s="344">
        <v>6.1</v>
      </c>
      <c r="S173" s="344">
        <v>1</v>
      </c>
      <c r="T173" s="347">
        <v>7</v>
      </c>
      <c r="U173" s="345">
        <f t="shared" si="86"/>
        <v>49.367173250774094</v>
      </c>
      <c r="V173" s="343">
        <f t="shared" si="93"/>
        <v>173.64612278776326</v>
      </c>
      <c r="W173" s="348">
        <v>40.9</v>
      </c>
      <c r="X173" s="346">
        <v>235536.5</v>
      </c>
      <c r="Y173" s="344">
        <v>42.6</v>
      </c>
      <c r="Z173" s="345">
        <f t="shared" si="87"/>
        <v>26.644335020209464</v>
      </c>
      <c r="AA173" s="343">
        <v>2.65</v>
      </c>
      <c r="AB173" s="343">
        <f>AC173/AD173</f>
        <v>0.16459020151866058</v>
      </c>
      <c r="AC173" s="346">
        <v>38767</v>
      </c>
      <c r="AD173" s="346">
        <v>235536.5</v>
      </c>
      <c r="AE173" s="352">
        <v>-53</v>
      </c>
      <c r="AF173" s="343">
        <v>12.34</v>
      </c>
      <c r="AG173" s="344">
        <v>22.1</v>
      </c>
      <c r="AH173" s="350">
        <v>3.6329548372628704</v>
      </c>
      <c r="AI173" s="343">
        <f t="shared" si="88"/>
        <v>1.3485477178423237</v>
      </c>
      <c r="AJ173" s="346">
        <v>1300</v>
      </c>
      <c r="AK173" s="346">
        <v>964</v>
      </c>
      <c r="AL173" s="345">
        <f t="shared" si="92"/>
        <v>42.578076438996085</v>
      </c>
      <c r="AM173" s="343">
        <v>82.39</v>
      </c>
      <c r="AN173" s="344">
        <v>4.5999999999999996</v>
      </c>
      <c r="AO173" s="344">
        <v>82.8</v>
      </c>
      <c r="AP173" s="345">
        <f t="shared" si="89"/>
        <v>9.8576371903304221</v>
      </c>
      <c r="AQ173" s="350">
        <v>69.428235595849088</v>
      </c>
      <c r="AR173" s="344">
        <v>72.900000000000006</v>
      </c>
      <c r="AS173" s="345">
        <f t="shared" si="90"/>
        <v>71.164117797924547</v>
      </c>
      <c r="AT173" s="343">
        <v>1595.1962658698101</v>
      </c>
      <c r="AU173" s="343">
        <v>3.7829478085020201</v>
      </c>
      <c r="AV173" s="343">
        <v>1684.58672856826</v>
      </c>
      <c r="AW173" s="351">
        <f t="shared" si="91"/>
        <v>54.371433461441931</v>
      </c>
      <c r="AX173" s="293"/>
      <c r="AY173" s="120"/>
    </row>
    <row r="174" spans="1:52" s="30" customFormat="1" x14ac:dyDescent="0.2">
      <c r="A174" s="294">
        <v>170</v>
      </c>
      <c r="B174" s="297" t="s">
        <v>16</v>
      </c>
      <c r="C174" s="310" t="s">
        <v>886</v>
      </c>
      <c r="D174" s="144" t="s">
        <v>298</v>
      </c>
      <c r="E174" s="173" t="s">
        <v>306</v>
      </c>
      <c r="F174" s="177" t="s">
        <v>43</v>
      </c>
      <c r="G174" s="341">
        <f t="shared" si="81"/>
        <v>33.858318336230752</v>
      </c>
      <c r="H174" s="342">
        <f t="shared" si="82"/>
        <v>35.146787156891051</v>
      </c>
      <c r="I174" s="342">
        <f t="shared" si="83"/>
        <v>32.569849515570446</v>
      </c>
      <c r="J174" s="343">
        <v>0.17088</v>
      </c>
      <c r="K174" s="344">
        <v>116.036</v>
      </c>
      <c r="L174" s="344">
        <v>42.376599101649298</v>
      </c>
      <c r="M174" s="344">
        <v>33.983798980000003</v>
      </c>
      <c r="N174" s="345">
        <f t="shared" si="84"/>
        <v>23.10036618707899</v>
      </c>
      <c r="O174" s="343">
        <f t="shared" si="85"/>
        <v>2.4200143762682603E-3</v>
      </c>
      <c r="P174" s="346">
        <v>35</v>
      </c>
      <c r="Q174" s="346">
        <v>14462724</v>
      </c>
      <c r="R174" s="344">
        <v>7.8</v>
      </c>
      <c r="S174" s="344">
        <v>0.6</v>
      </c>
      <c r="T174" s="347">
        <v>30</v>
      </c>
      <c r="U174" s="345">
        <f t="shared" si="86"/>
        <v>40.097357296888582</v>
      </c>
      <c r="V174" s="343">
        <f t="shared" si="93"/>
        <v>8.9886248261392527</v>
      </c>
      <c r="W174" s="348">
        <v>130</v>
      </c>
      <c r="X174" s="346">
        <v>14462724</v>
      </c>
      <c r="Y174" s="344">
        <v>9.8000000000000007</v>
      </c>
      <c r="Z174" s="345">
        <f t="shared" si="87"/>
        <v>66.919082248755458</v>
      </c>
      <c r="AA174" s="343">
        <v>2.8333333333333335</v>
      </c>
      <c r="AB174" s="343">
        <f>AC174/AD174</f>
        <v>0</v>
      </c>
      <c r="AC174" s="346">
        <v>0</v>
      </c>
      <c r="AD174" s="346">
        <v>14462724</v>
      </c>
      <c r="AE174" s="344">
        <v>-17</v>
      </c>
      <c r="AF174" s="343">
        <v>55.56</v>
      </c>
      <c r="AG174" s="344">
        <v>21.9</v>
      </c>
      <c r="AH174" s="343">
        <v>2.86</v>
      </c>
      <c r="AI174" s="343">
        <f t="shared" si="88"/>
        <v>5.2722596665484213E-2</v>
      </c>
      <c r="AJ174" s="346">
        <v>5945</v>
      </c>
      <c r="AK174" s="346">
        <v>112760</v>
      </c>
      <c r="AL174" s="345">
        <f t="shared" si="92"/>
        <v>38.012491818737622</v>
      </c>
      <c r="AM174" s="343">
        <v>64.010000000000005</v>
      </c>
      <c r="AN174" s="344">
        <v>6</v>
      </c>
      <c r="AO174" s="344">
        <v>114.5</v>
      </c>
      <c r="AP174" s="345">
        <f t="shared" si="89"/>
        <v>11.554846983975162</v>
      </c>
      <c r="AQ174" s="343">
        <v>51.843206040359803</v>
      </c>
      <c r="AR174" s="344">
        <v>78</v>
      </c>
      <c r="AS174" s="345">
        <f t="shared" si="90"/>
        <v>64.921603020179901</v>
      </c>
      <c r="AT174" s="343">
        <v>1994.1237920354599</v>
      </c>
      <c r="AU174" s="343">
        <v>0.76171613543961303</v>
      </c>
      <c r="AV174" s="343">
        <v>1933.8593442635599</v>
      </c>
      <c r="AW174" s="351">
        <f t="shared" si="91"/>
        <v>63.263103605746863</v>
      </c>
      <c r="AX174" s="293"/>
      <c r="AY174" s="120"/>
    </row>
    <row r="175" spans="1:52" s="30" customFormat="1" x14ac:dyDescent="0.2">
      <c r="A175" s="294">
        <v>171</v>
      </c>
      <c r="B175" s="307" t="s">
        <v>10</v>
      </c>
      <c r="C175" s="311" t="s">
        <v>887</v>
      </c>
      <c r="D175" s="147" t="s">
        <v>301</v>
      </c>
      <c r="E175" s="169" t="s">
        <v>303</v>
      </c>
      <c r="F175" s="177" t="s">
        <v>120</v>
      </c>
      <c r="G175" s="341">
        <f t="shared" si="81"/>
        <v>33.703205283650234</v>
      </c>
      <c r="H175" s="342">
        <f t="shared" si="82"/>
        <v>31.610639365093334</v>
      </c>
      <c r="I175" s="342">
        <f t="shared" si="83"/>
        <v>35.795771202207142</v>
      </c>
      <c r="J175" s="350">
        <v>0.136949628549352</v>
      </c>
      <c r="K175" s="344">
        <v>26.004874791666701</v>
      </c>
      <c r="L175" s="352">
        <v>38.685919960811965</v>
      </c>
      <c r="M175" s="352">
        <v>24.035633029002</v>
      </c>
      <c r="N175" s="345">
        <f t="shared" si="84"/>
        <v>16.661342097633508</v>
      </c>
      <c r="O175" s="343">
        <f t="shared" si="85"/>
        <v>0.19072545222102882</v>
      </c>
      <c r="P175" s="346">
        <v>5054</v>
      </c>
      <c r="Q175" s="346">
        <v>26498823</v>
      </c>
      <c r="R175" s="352">
        <v>4</v>
      </c>
      <c r="S175" s="352">
        <v>1</v>
      </c>
      <c r="T175" s="353">
        <v>14.5</v>
      </c>
      <c r="U175" s="345">
        <f t="shared" si="86"/>
        <v>49.448248892844354</v>
      </c>
      <c r="V175" s="343">
        <f t="shared" si="93"/>
        <v>326.72394543712375</v>
      </c>
      <c r="W175" s="348">
        <v>8657.7999999999993</v>
      </c>
      <c r="X175" s="346">
        <v>26498823</v>
      </c>
      <c r="Y175" s="352">
        <v>20.9</v>
      </c>
      <c r="Z175" s="345">
        <f t="shared" si="87"/>
        <v>61.099605024094558</v>
      </c>
      <c r="AA175" s="350">
        <v>2.3666666666666667</v>
      </c>
      <c r="AB175" s="343">
        <f>AC175/AD175</f>
        <v>1.39251467885951E-4</v>
      </c>
      <c r="AC175" s="346">
        <v>3690</v>
      </c>
      <c r="AD175" s="346">
        <v>26498823</v>
      </c>
      <c r="AE175" s="352">
        <v>-23</v>
      </c>
      <c r="AF175" s="343">
        <v>3.35</v>
      </c>
      <c r="AG175" s="352">
        <v>21.2</v>
      </c>
      <c r="AH175" s="350">
        <v>3.1488535671858431</v>
      </c>
      <c r="AI175" s="343">
        <f t="shared" si="88"/>
        <v>0.21222489826426377</v>
      </c>
      <c r="AJ175" s="346">
        <v>25554</v>
      </c>
      <c r="AK175" s="346">
        <v>120410</v>
      </c>
      <c r="AL175" s="345">
        <f t="shared" si="92"/>
        <v>34.728292835865098</v>
      </c>
      <c r="AM175" s="343">
        <v>23.04</v>
      </c>
      <c r="AN175" s="344">
        <v>14.5</v>
      </c>
      <c r="AO175" s="344">
        <v>194.3</v>
      </c>
      <c r="AP175" s="345">
        <f t="shared" si="89"/>
        <v>19.434987291214394</v>
      </c>
      <c r="AQ175" s="350">
        <v>47.717404572956234</v>
      </c>
      <c r="AR175" s="344">
        <v>76.900000000000006</v>
      </c>
      <c r="AS175" s="345">
        <f t="shared" si="90"/>
        <v>62.308702286478123</v>
      </c>
      <c r="AT175" s="343">
        <v>1043.8209296698201</v>
      </c>
      <c r="AU175" s="343">
        <v>2.2944614929484901</v>
      </c>
      <c r="AV175" s="343">
        <v>2137.3272562339598</v>
      </c>
      <c r="AW175" s="351">
        <f t="shared" si="91"/>
        <v>58.365191850914407</v>
      </c>
      <c r="AX175" s="293"/>
      <c r="AY175" s="120"/>
    </row>
    <row r="176" spans="1:52" s="30" customFormat="1" x14ac:dyDescent="0.2">
      <c r="A176" s="294">
        <v>172</v>
      </c>
      <c r="B176" s="297" t="s">
        <v>16</v>
      </c>
      <c r="C176" s="300" t="s">
        <v>21</v>
      </c>
      <c r="D176" s="144" t="s">
        <v>298</v>
      </c>
      <c r="E176" s="173" t="s">
        <v>306</v>
      </c>
      <c r="F176" s="177" t="s">
        <v>224</v>
      </c>
      <c r="G176" s="341">
        <f t="shared" si="81"/>
        <v>33.05976661891971</v>
      </c>
      <c r="H176" s="342">
        <f t="shared" si="82"/>
        <v>30.221501410961086</v>
      </c>
      <c r="I176" s="342">
        <f t="shared" si="83"/>
        <v>35.898031826878338</v>
      </c>
      <c r="J176" s="343">
        <v>0.68139000000000005</v>
      </c>
      <c r="K176" s="344">
        <v>102.062</v>
      </c>
      <c r="L176" s="344">
        <v>44.187880411616703</v>
      </c>
      <c r="M176" s="344">
        <v>17.100999829999999</v>
      </c>
      <c r="N176" s="345">
        <f t="shared" si="84"/>
        <v>19.292111727070843</v>
      </c>
      <c r="O176" s="343">
        <f t="shared" si="85"/>
        <v>0.18766166319230645</v>
      </c>
      <c r="P176" s="346">
        <v>4000</v>
      </c>
      <c r="Q176" s="346">
        <v>21314955.5</v>
      </c>
      <c r="R176" s="344">
        <v>12.635</v>
      </c>
      <c r="S176" s="344">
        <v>5.6999999999999993</v>
      </c>
      <c r="T176" s="347">
        <v>28.5</v>
      </c>
      <c r="U176" s="345">
        <f t="shared" si="86"/>
        <v>28.79875591515567</v>
      </c>
      <c r="V176" s="343">
        <f t="shared" si="93"/>
        <v>73.75103363457643</v>
      </c>
      <c r="W176" s="348">
        <v>1572</v>
      </c>
      <c r="X176" s="346">
        <v>21314955.5</v>
      </c>
      <c r="Y176" s="352">
        <v>20.299999999999997</v>
      </c>
      <c r="Z176" s="345">
        <f t="shared" si="87"/>
        <v>57.513194088300935</v>
      </c>
      <c r="AA176" s="343">
        <v>2.5299999999999998</v>
      </c>
      <c r="AB176" s="343">
        <f>AC176/AD176</f>
        <v>1.5094509439627965E-2</v>
      </c>
      <c r="AC176" s="346">
        <v>321738.79700000002</v>
      </c>
      <c r="AD176" s="346">
        <v>21314955.5</v>
      </c>
      <c r="AE176" s="349" t="s">
        <v>931</v>
      </c>
      <c r="AF176" s="349" t="s">
        <v>931</v>
      </c>
      <c r="AG176" s="344">
        <v>11.114999999999998</v>
      </c>
      <c r="AH176" s="343">
        <v>3.38</v>
      </c>
      <c r="AI176" s="343">
        <f t="shared" si="88"/>
        <v>9.1030280202854488E-2</v>
      </c>
      <c r="AJ176" s="346">
        <v>67671</v>
      </c>
      <c r="AK176" s="346">
        <v>743390</v>
      </c>
      <c r="AL176" s="345">
        <f>((AA176/4.5)*100*1.5+(LN(MIN(AB176,5)+1)/LN(5+1))*100+(MAX((60-AG176),0))/60*100*0.5+((AH176-1)/(7-1))*100*2+(LN(MIN(AI176,20)+1)/LN(20+1))*100)/6</f>
        <v>34.683654299467726</v>
      </c>
      <c r="AM176" s="343">
        <v>48.26</v>
      </c>
      <c r="AN176" s="344">
        <v>9.1999999999999993</v>
      </c>
      <c r="AO176" s="344">
        <v>145.69999999999999</v>
      </c>
      <c r="AP176" s="345">
        <f t="shared" si="89"/>
        <v>14.345169673141442</v>
      </c>
      <c r="AQ176" s="343">
        <v>72.702424559981097</v>
      </c>
      <c r="AR176" s="344">
        <v>66.2</v>
      </c>
      <c r="AS176" s="345">
        <f t="shared" si="90"/>
        <v>69.451212279990557</v>
      </c>
      <c r="AT176" s="343">
        <v>1979.5253478728</v>
      </c>
      <c r="AU176" s="343">
        <v>0.16001226428635701</v>
      </c>
      <c r="AV176" s="343">
        <v>2247.8316133829999</v>
      </c>
      <c r="AW176" s="351">
        <f t="shared" si="91"/>
        <v>67.003437834976808</v>
      </c>
      <c r="AX176" s="293"/>
      <c r="AY176" s="120"/>
    </row>
    <row r="177" spans="1:51" s="30" customFormat="1" x14ac:dyDescent="0.2">
      <c r="A177" s="294">
        <v>173</v>
      </c>
      <c r="B177" s="307" t="s">
        <v>10</v>
      </c>
      <c r="C177" s="308" t="s">
        <v>35</v>
      </c>
      <c r="D177" s="143" t="s">
        <v>297</v>
      </c>
      <c r="E177" s="169" t="s">
        <v>303</v>
      </c>
      <c r="F177" s="177" t="s">
        <v>223</v>
      </c>
      <c r="G177" s="341">
        <f t="shared" si="81"/>
        <v>32.574484458336443</v>
      </c>
      <c r="H177" s="342">
        <f t="shared" si="82"/>
        <v>29.328199232704421</v>
      </c>
      <c r="I177" s="342">
        <f t="shared" si="83"/>
        <v>35.820769683968471</v>
      </c>
      <c r="J177" s="343">
        <v>1.3085325937499999</v>
      </c>
      <c r="K177" s="344">
        <v>50.893799999999999</v>
      </c>
      <c r="L177" s="344">
        <v>28.441086709270301</v>
      </c>
      <c r="M177" s="344">
        <v>17.378943386111111</v>
      </c>
      <c r="N177" s="345">
        <f t="shared" si="84"/>
        <v>14.241911351970352</v>
      </c>
      <c r="O177" s="343">
        <f t="shared" si="85"/>
        <v>5.2928351607475062E-2</v>
      </c>
      <c r="P177" s="346">
        <v>2148</v>
      </c>
      <c r="Q177" s="346">
        <v>40583164.5</v>
      </c>
      <c r="R177" s="352">
        <v>3.1</v>
      </c>
      <c r="S177" s="352">
        <v>1.8</v>
      </c>
      <c r="T177" s="353">
        <v>5</v>
      </c>
      <c r="U177" s="345">
        <f t="shared" si="86"/>
        <v>50.114708529127711</v>
      </c>
      <c r="V177" s="343">
        <f t="shared" si="93"/>
        <v>87.844307951884829</v>
      </c>
      <c r="W177" s="348">
        <v>3565</v>
      </c>
      <c r="X177" s="346">
        <v>40583164.5</v>
      </c>
      <c r="Y177" s="352">
        <v>20.9</v>
      </c>
      <c r="Z177" s="345">
        <f t="shared" si="87"/>
        <v>57.140291877707156</v>
      </c>
      <c r="AA177" s="343">
        <v>2.1666666666666665</v>
      </c>
      <c r="AB177" s="343">
        <f>AC177/AD177</f>
        <v>1.524309515094615E-2</v>
      </c>
      <c r="AC177" s="346">
        <v>618613.03799999994</v>
      </c>
      <c r="AD177" s="346">
        <v>40583164.5</v>
      </c>
      <c r="AE177" s="344">
        <v>-24</v>
      </c>
      <c r="AF177" s="343">
        <v>31.74</v>
      </c>
      <c r="AG177" s="352">
        <v>18.809999999999999</v>
      </c>
      <c r="AH177" s="343">
        <v>2.2200000000000002</v>
      </c>
      <c r="AI177" s="343">
        <f t="shared" si="88"/>
        <v>0.15653025336825444</v>
      </c>
      <c r="AJ177" s="346">
        <v>71300</v>
      </c>
      <c r="AK177" s="346">
        <v>455503</v>
      </c>
      <c r="AL177" s="345">
        <f>((AA177/4.5)*100*1.5+(LN(MIN(AB177,5)+1)/LN(5+1))*100+((AE177-(-300))/(150-(-300)))*100+(LN(MIN(AF177,500))/LN(500))*100*0.5+(MAX((60-AG177),0))/60*100*0.5+((AH177-1)/(7-1))*100*2+(LN(MIN(AI177,20)+1)/LN(20+1))*100)/7.5</f>
        <v>32.264836628081987</v>
      </c>
      <c r="AM177" s="343">
        <v>44.2</v>
      </c>
      <c r="AN177" s="344">
        <v>47.3</v>
      </c>
      <c r="AO177" s="344">
        <v>160.9</v>
      </c>
      <c r="AP177" s="345">
        <f t="shared" si="89"/>
        <v>36.165451415274219</v>
      </c>
      <c r="AQ177" s="343">
        <v>11.9033656433415</v>
      </c>
      <c r="AR177" s="344">
        <v>64.2</v>
      </c>
      <c r="AS177" s="345">
        <f t="shared" si="90"/>
        <v>38.051682821670752</v>
      </c>
      <c r="AT177" s="343">
        <v>1356.7149532747801</v>
      </c>
      <c r="AU177" s="343">
        <v>47.273578392000999</v>
      </c>
      <c r="AV177" s="343">
        <v>1560.837568512</v>
      </c>
      <c r="AW177" s="351">
        <f t="shared" si="91"/>
        <v>32.555811352348968</v>
      </c>
      <c r="AX177" s="293"/>
      <c r="AY177" s="120"/>
    </row>
    <row r="178" spans="1:51" s="30" customFormat="1" x14ac:dyDescent="0.2">
      <c r="A178" s="294">
        <v>174</v>
      </c>
      <c r="B178" s="297" t="s">
        <v>16</v>
      </c>
      <c r="C178" s="300" t="s">
        <v>21</v>
      </c>
      <c r="D178" s="144" t="s">
        <v>298</v>
      </c>
      <c r="E178" s="173" t="s">
        <v>306</v>
      </c>
      <c r="F178" s="177" t="s">
        <v>64</v>
      </c>
      <c r="G178" s="341">
        <f t="shared" si="81"/>
        <v>32.357264184263215</v>
      </c>
      <c r="H178" s="342">
        <f t="shared" si="82"/>
        <v>30.495807020756839</v>
      </c>
      <c r="I178" s="342">
        <f t="shared" si="83"/>
        <v>34.218721347769595</v>
      </c>
      <c r="J178" s="343">
        <v>0.38794099999999998</v>
      </c>
      <c r="K178" s="344">
        <v>109.85599999999999</v>
      </c>
      <c r="L178" s="344">
        <v>34.1432549529152</v>
      </c>
      <c r="M178" s="344">
        <v>32.51750183</v>
      </c>
      <c r="N178" s="345">
        <f t="shared" si="84"/>
        <v>20.650340029062132</v>
      </c>
      <c r="O178" s="343">
        <f t="shared" si="85"/>
        <v>3.9232519604720829E-2</v>
      </c>
      <c r="P178" s="346">
        <v>34</v>
      </c>
      <c r="Q178" s="346">
        <v>866628</v>
      </c>
      <c r="R178" s="344">
        <v>41.9</v>
      </c>
      <c r="S178" s="344">
        <v>3.5</v>
      </c>
      <c r="T178" s="347">
        <v>30</v>
      </c>
      <c r="U178" s="345">
        <f t="shared" si="86"/>
        <v>28.456062710050581</v>
      </c>
      <c r="V178" s="343">
        <f t="shared" si="93"/>
        <v>11.538976354329655</v>
      </c>
      <c r="W178" s="348">
        <v>10</v>
      </c>
      <c r="X178" s="346">
        <v>866628</v>
      </c>
      <c r="Y178" s="344">
        <v>25</v>
      </c>
      <c r="Z178" s="345">
        <f t="shared" si="87"/>
        <v>44.871943318223693</v>
      </c>
      <c r="AA178" s="343">
        <v>2.56</v>
      </c>
      <c r="AB178" s="350">
        <v>2.2646620289062665E-2</v>
      </c>
      <c r="AC178" s="346"/>
      <c r="AD178" s="346">
        <v>866628</v>
      </c>
      <c r="AE178" s="344">
        <v>-39</v>
      </c>
      <c r="AF178" s="343">
        <v>16.52</v>
      </c>
      <c r="AG178" s="344">
        <v>39.9</v>
      </c>
      <c r="AH178" s="350">
        <v>3.4843927650707971</v>
      </c>
      <c r="AI178" s="343">
        <f t="shared" si="88"/>
        <v>0.47286405158516925</v>
      </c>
      <c r="AJ178" s="346">
        <v>880</v>
      </c>
      <c r="AK178" s="346">
        <v>1861</v>
      </c>
      <c r="AL178" s="345">
        <f>((AA178/4.5)*100*1.5+(LN(MIN(AB178,5)+1)/LN(5+1))*100+((AE178-(-300))/(150-(-300)))*100+(LN(MIN(AF178,500))/LN(500))*100*0.5+(MAX((60-AG178),0))/60*100*0.5+((AH178-1)/(7-1))*100*2+(LN(MIN(AI178,20)+1)/LN(20+1))*100)/7.5</f>
        <v>37.257176015761381</v>
      </c>
      <c r="AM178" s="343">
        <v>48.5</v>
      </c>
      <c r="AN178" s="344">
        <v>10.4</v>
      </c>
      <c r="AO178" s="344">
        <v>71.3</v>
      </c>
      <c r="AP178" s="345">
        <f t="shared" si="89"/>
        <v>18.808590783728956</v>
      </c>
      <c r="AQ178" s="343">
        <v>45.4593974142566</v>
      </c>
      <c r="AR178" s="344">
        <v>67.7</v>
      </c>
      <c r="AS178" s="345">
        <f t="shared" si="90"/>
        <v>56.579698707128301</v>
      </c>
      <c r="AT178" s="343">
        <v>778.53357063815395</v>
      </c>
      <c r="AU178" s="343">
        <v>2.9817082246136</v>
      </c>
      <c r="AV178" s="343">
        <v>1347.5190777056</v>
      </c>
      <c r="AW178" s="351">
        <f t="shared" si="91"/>
        <v>58.088135680532837</v>
      </c>
      <c r="AX178" s="293"/>
      <c r="AY178" s="120"/>
    </row>
    <row r="179" spans="1:51" s="30" customFormat="1" x14ac:dyDescent="0.2">
      <c r="A179" s="294">
        <v>175</v>
      </c>
      <c r="B179" s="297" t="s">
        <v>16</v>
      </c>
      <c r="C179" s="300" t="s">
        <v>21</v>
      </c>
      <c r="D179" s="144" t="s">
        <v>298</v>
      </c>
      <c r="E179" s="169" t="s">
        <v>303</v>
      </c>
      <c r="F179" s="177" t="s">
        <v>81</v>
      </c>
      <c r="G179" s="341">
        <f t="shared" si="81"/>
        <v>32.141894740503396</v>
      </c>
      <c r="H179" s="342">
        <f t="shared" si="82"/>
        <v>32.034445746928341</v>
      </c>
      <c r="I179" s="342">
        <f t="shared" si="83"/>
        <v>32.249343734078451</v>
      </c>
      <c r="J179" s="343">
        <v>0.19046294645833334</v>
      </c>
      <c r="K179" s="344">
        <v>66.161301979166694</v>
      </c>
      <c r="L179" s="352">
        <v>35.320697511781063</v>
      </c>
      <c r="M179" s="344">
        <v>22.4035593324</v>
      </c>
      <c r="N179" s="345">
        <f t="shared" si="84"/>
        <v>16.79516006573277</v>
      </c>
      <c r="O179" s="343">
        <f t="shared" si="85"/>
        <v>6.5335389748226821E-2</v>
      </c>
      <c r="P179" s="346">
        <v>231</v>
      </c>
      <c r="Q179" s="346">
        <v>3535603</v>
      </c>
      <c r="R179" s="344">
        <v>0.42499999999999999</v>
      </c>
      <c r="S179" s="344">
        <v>0</v>
      </c>
      <c r="T179" s="353">
        <v>17.5</v>
      </c>
      <c r="U179" s="345">
        <f t="shared" si="86"/>
        <v>52.438117271111956</v>
      </c>
      <c r="V179" s="343">
        <f t="shared" si="93"/>
        <v>164.61124170332474</v>
      </c>
      <c r="W179" s="348">
        <v>582</v>
      </c>
      <c r="X179" s="346">
        <v>3535603</v>
      </c>
      <c r="Y179" s="352">
        <v>21.1</v>
      </c>
      <c r="Z179" s="345">
        <f t="shared" si="87"/>
        <v>58.73327718205001</v>
      </c>
      <c r="AA179" s="343">
        <v>2.09</v>
      </c>
      <c r="AB179" s="343">
        <f>AC179/AD179</f>
        <v>0</v>
      </c>
      <c r="AC179" s="346">
        <v>0</v>
      </c>
      <c r="AD179" s="346">
        <v>3535603</v>
      </c>
      <c r="AE179" s="352">
        <v>2.5</v>
      </c>
      <c r="AF179" s="343">
        <v>7.59</v>
      </c>
      <c r="AG179" s="344">
        <v>1.87</v>
      </c>
      <c r="AH179" s="350">
        <v>2.7930443400894878</v>
      </c>
      <c r="AI179" s="343">
        <f t="shared" si="88"/>
        <v>0.15841584158415842</v>
      </c>
      <c r="AJ179" s="346">
        <v>16000</v>
      </c>
      <c r="AK179" s="346">
        <v>101000</v>
      </c>
      <c r="AL179" s="345">
        <f>((AA179/4.5)*100*1.5+(LN(MIN(AB179,5)+1)/LN(5+1))*100+((AE179-(-300))/(150-(-300)))*100+(LN(MIN(AF179,500))/LN(500))*100*0.5+(MAX((60-AG179),0))/60*100*0.5+((AH179-1)/(7-1))*100*2+(LN(MIN(AI179,20)+1)/LN(20+1))*100)/7.5</f>
        <v>35.498105688297599</v>
      </c>
      <c r="AM179" s="343">
        <v>48.69</v>
      </c>
      <c r="AN179" s="344">
        <v>12</v>
      </c>
      <c r="AO179" s="344">
        <v>117.8</v>
      </c>
      <c r="AP179" s="345">
        <f t="shared" si="89"/>
        <v>17.020219914062654</v>
      </c>
      <c r="AQ179" s="350">
        <v>39.46786663107995</v>
      </c>
      <c r="AR179" s="344">
        <v>46.9</v>
      </c>
      <c r="AS179" s="345">
        <f t="shared" si="90"/>
        <v>43.183933315539974</v>
      </c>
      <c r="AT179" s="343">
        <v>2442.8723241612402</v>
      </c>
      <c r="AU179" s="343">
        <v>1.9045577427314501E-2</v>
      </c>
      <c r="AV179" s="343">
        <v>3349.0113444050398</v>
      </c>
      <c r="AW179" s="351">
        <f t="shared" si="91"/>
        <v>67.002125612664301</v>
      </c>
      <c r="AX179" s="293"/>
      <c r="AY179" s="120"/>
    </row>
    <row r="180" spans="1:51" s="30" customFormat="1" x14ac:dyDescent="0.2">
      <c r="A180" s="294">
        <v>176</v>
      </c>
      <c r="B180" s="297" t="s">
        <v>16</v>
      </c>
      <c r="C180" s="300" t="s">
        <v>21</v>
      </c>
      <c r="D180" s="144" t="s">
        <v>298</v>
      </c>
      <c r="E180" s="169" t="s">
        <v>303</v>
      </c>
      <c r="F180" s="177" t="s">
        <v>176</v>
      </c>
      <c r="G180" s="341">
        <f t="shared" si="81"/>
        <v>31.88783110070527</v>
      </c>
      <c r="H180" s="342">
        <f t="shared" si="82"/>
        <v>36.048538976941721</v>
      </c>
      <c r="I180" s="342">
        <f t="shared" si="83"/>
        <v>27.727123224468816</v>
      </c>
      <c r="J180" s="343">
        <v>0.44555600000000001</v>
      </c>
      <c r="K180" s="344">
        <v>91.462299999999999</v>
      </c>
      <c r="L180" s="344">
        <v>52.548337600326597</v>
      </c>
      <c r="M180" s="344">
        <v>31.703300479999999</v>
      </c>
      <c r="N180" s="345">
        <f t="shared" si="84"/>
        <v>24.48294952008165</v>
      </c>
      <c r="O180" s="343">
        <f t="shared" si="85"/>
        <v>2.2586083402339547E-2</v>
      </c>
      <c r="P180" s="346">
        <v>322</v>
      </c>
      <c r="Q180" s="346">
        <v>14256566.5</v>
      </c>
      <c r="R180" s="344">
        <v>1.8</v>
      </c>
      <c r="S180" s="344">
        <v>0.1</v>
      </c>
      <c r="T180" s="347">
        <v>14</v>
      </c>
      <c r="U180" s="345">
        <f t="shared" si="86"/>
        <v>51.491993750739354</v>
      </c>
      <c r="V180" s="343">
        <f t="shared" si="93"/>
        <v>42.787300855363739</v>
      </c>
      <c r="W180" s="348">
        <v>610</v>
      </c>
      <c r="X180" s="346">
        <v>14256566.5</v>
      </c>
      <c r="Y180" s="344">
        <v>34.9</v>
      </c>
      <c r="Z180" s="345">
        <f t="shared" si="87"/>
        <v>33.972096902496645</v>
      </c>
      <c r="AA180" s="343">
        <v>2.8166666666666669</v>
      </c>
      <c r="AB180" s="343">
        <f>AC180/AD180</f>
        <v>0.1078105080911312</v>
      </c>
      <c r="AC180" s="346">
        <v>1537007.6780000001</v>
      </c>
      <c r="AD180" s="346">
        <v>14256566.5</v>
      </c>
      <c r="AE180" s="349" t="s">
        <v>931</v>
      </c>
      <c r="AF180" s="349" t="s">
        <v>931</v>
      </c>
      <c r="AG180" s="344">
        <v>18.2</v>
      </c>
      <c r="AH180" s="343">
        <v>4.7</v>
      </c>
      <c r="AI180" s="343">
        <f t="shared" si="88"/>
        <v>0.27053100932306445</v>
      </c>
      <c r="AJ180" s="346">
        <v>6674</v>
      </c>
      <c r="AK180" s="346">
        <v>24670</v>
      </c>
      <c r="AL180" s="345">
        <f>((AA180/4.5)*100*1.5+(LN(MIN(AB180,5)+1)/LN(5+1))*100+(MAX((60-AG180),0))/60*100*0.5+((AH180-1)/(7-1))*100*2+(LN(MIN(AI180,20)+1)/LN(20+1))*100)/6</f>
        <v>44.272375258963649</v>
      </c>
      <c r="AM180" s="343">
        <v>38.35</v>
      </c>
      <c r="AN180" s="344">
        <v>9.3000000000000007</v>
      </c>
      <c r="AO180" s="344">
        <v>139</v>
      </c>
      <c r="AP180" s="345">
        <f t="shared" si="89"/>
        <v>16.06987657680175</v>
      </c>
      <c r="AQ180" s="343">
        <v>47.518804011296893</v>
      </c>
      <c r="AR180" s="344">
        <v>78.099999999999994</v>
      </c>
      <c r="AS180" s="345">
        <f t="shared" si="90"/>
        <v>62.809402005648444</v>
      </c>
      <c r="AT180" s="343">
        <v>3575.5920774248698</v>
      </c>
      <c r="AU180" s="343">
        <v>59.0387547059089</v>
      </c>
      <c r="AV180" s="343">
        <v>2787.2360850242098</v>
      </c>
      <c r="AW180" s="351">
        <f t="shared" si="91"/>
        <v>27.616584386290384</v>
      </c>
      <c r="AX180" s="293"/>
      <c r="AY180" s="120"/>
    </row>
    <row r="181" spans="1:51" s="30" customFormat="1" x14ac:dyDescent="0.2">
      <c r="A181" s="294">
        <v>177</v>
      </c>
      <c r="B181" s="297" t="s">
        <v>16</v>
      </c>
      <c r="C181" s="300" t="s">
        <v>21</v>
      </c>
      <c r="D181" s="144" t="s">
        <v>298</v>
      </c>
      <c r="E181" s="169" t="s">
        <v>303</v>
      </c>
      <c r="F181" s="177" t="s">
        <v>213</v>
      </c>
      <c r="G181" s="341">
        <f t="shared" si="81"/>
        <v>31.778165197277566</v>
      </c>
      <c r="H181" s="342">
        <f t="shared" si="82"/>
        <v>31.531044373239002</v>
      </c>
      <c r="I181" s="342">
        <f t="shared" si="83"/>
        <v>32.025286021316134</v>
      </c>
      <c r="J181" s="343">
        <v>9.1297000000000003E-2</v>
      </c>
      <c r="K181" s="344">
        <v>76.296700000000001</v>
      </c>
      <c r="L181" s="344">
        <v>45.507030415748602</v>
      </c>
      <c r="M181" s="344">
        <v>8.9498310609999994</v>
      </c>
      <c r="N181" s="345">
        <f t="shared" si="84"/>
        <v>16.233519535853816</v>
      </c>
      <c r="O181" s="343">
        <f t="shared" si="85"/>
        <v>3.8928249507886044E-2</v>
      </c>
      <c r="P181" s="346">
        <v>1947</v>
      </c>
      <c r="Q181" s="346">
        <v>50015092.5</v>
      </c>
      <c r="R181" s="344">
        <v>3.9</v>
      </c>
      <c r="S181" s="344">
        <v>1.5</v>
      </c>
      <c r="T181" s="347">
        <v>14</v>
      </c>
      <c r="U181" s="345">
        <f t="shared" si="86"/>
        <v>47.167088387584492</v>
      </c>
      <c r="V181" s="343">
        <f t="shared" si="93"/>
        <v>12.736155591434725</v>
      </c>
      <c r="W181" s="348">
        <v>637</v>
      </c>
      <c r="X181" s="346">
        <v>50015092.5</v>
      </c>
      <c r="Y181" s="344">
        <v>20.399999999999999</v>
      </c>
      <c r="Z181" s="345">
        <f t="shared" si="87"/>
        <v>52.069488838688287</v>
      </c>
      <c r="AA181" s="343">
        <v>2.58</v>
      </c>
      <c r="AB181" s="343">
        <f>AC181/AD181</f>
        <v>4.3287333718317126E-4</v>
      </c>
      <c r="AC181" s="346">
        <v>21650.2</v>
      </c>
      <c r="AD181" s="346">
        <v>50015092.5</v>
      </c>
      <c r="AE181" s="349" t="s">
        <v>931</v>
      </c>
      <c r="AF181" s="349" t="s">
        <v>931</v>
      </c>
      <c r="AG181" s="344">
        <v>13.8</v>
      </c>
      <c r="AH181" s="343">
        <v>3.53</v>
      </c>
      <c r="AI181" s="343">
        <f t="shared" si="88"/>
        <v>0.72204767604229003</v>
      </c>
      <c r="AJ181" s="346">
        <v>144785</v>
      </c>
      <c r="AK181" s="346">
        <v>200520</v>
      </c>
      <c r="AL181" s="345">
        <f>((AA181/4.5)*100*1.5+(LN(MIN(AB181,5)+1)/LN(5+1))*100+(MAX((60-AG181),0))/60*100*0.5+((AH181-1)/(7-1))*100*2+(LN(MIN(AI181,20)+1)/LN(20+1))*100)/6</f>
        <v>37.784947090675495</v>
      </c>
      <c r="AM181" s="343">
        <v>52.68</v>
      </c>
      <c r="AN181" s="344">
        <v>1.8</v>
      </c>
      <c r="AO181" s="344">
        <v>102.4</v>
      </c>
      <c r="AP181" s="345">
        <f t="shared" si="89"/>
        <v>11.369626517309708</v>
      </c>
      <c r="AQ181" s="343">
        <v>72.827375755606298</v>
      </c>
      <c r="AR181" s="344">
        <v>74.900000000000006</v>
      </c>
      <c r="AS181" s="345">
        <f t="shared" si="90"/>
        <v>73.863687877803159</v>
      </c>
      <c r="AT181" s="343">
        <v>2985.04319403728</v>
      </c>
      <c r="AU181" s="343">
        <v>4.15113140800488</v>
      </c>
      <c r="AV181" s="343">
        <v>1856.3802842597299</v>
      </c>
      <c r="AW181" s="351">
        <f t="shared" si="91"/>
        <v>52.153862676848384</v>
      </c>
      <c r="AX181" s="293"/>
      <c r="AY181" s="120"/>
    </row>
    <row r="182" spans="1:51" s="30" customFormat="1" x14ac:dyDescent="0.2">
      <c r="A182" s="294">
        <v>178</v>
      </c>
      <c r="B182" s="297" t="s">
        <v>16</v>
      </c>
      <c r="C182" s="310" t="s">
        <v>886</v>
      </c>
      <c r="D182" s="144" t="s">
        <v>298</v>
      </c>
      <c r="E182" s="169" t="s">
        <v>303</v>
      </c>
      <c r="F182" s="177" t="s">
        <v>52</v>
      </c>
      <c r="G182" s="341">
        <f t="shared" si="81"/>
        <v>31.574601563975712</v>
      </c>
      <c r="H182" s="342">
        <f t="shared" si="82"/>
        <v>29.42645212437797</v>
      </c>
      <c r="I182" s="342">
        <f t="shared" si="83"/>
        <v>33.722751003573457</v>
      </c>
      <c r="J182" s="343">
        <v>6.7556287499999992E-2</v>
      </c>
      <c r="K182" s="344">
        <v>125.45946375</v>
      </c>
      <c r="L182" s="344">
        <v>35.2899639019627</v>
      </c>
      <c r="M182" s="344">
        <v>28.25270081</v>
      </c>
      <c r="N182" s="345">
        <f t="shared" si="84"/>
        <v>20.123945209240677</v>
      </c>
      <c r="O182" s="343">
        <f t="shared" si="85"/>
        <v>3.1169341631738814E-2</v>
      </c>
      <c r="P182" s="346">
        <v>734</v>
      </c>
      <c r="Q182" s="346">
        <v>23548781</v>
      </c>
      <c r="R182" s="344">
        <v>8</v>
      </c>
      <c r="S182" s="344">
        <v>1.8</v>
      </c>
      <c r="T182" s="347">
        <v>21</v>
      </c>
      <c r="U182" s="345">
        <f t="shared" si="86"/>
        <v>40.643481041292439</v>
      </c>
      <c r="V182" s="343">
        <f t="shared" si="93"/>
        <v>34.736405251719823</v>
      </c>
      <c r="W182" s="348">
        <v>818</v>
      </c>
      <c r="X182" s="346">
        <v>23548781</v>
      </c>
      <c r="Y182" s="344">
        <v>9.6999999999999993</v>
      </c>
      <c r="Z182" s="345">
        <f t="shared" si="87"/>
        <v>71.143775759836345</v>
      </c>
      <c r="AA182" s="343">
        <v>2.2833333333333337</v>
      </c>
      <c r="AB182" s="343">
        <f>AC182/AD182</f>
        <v>4.399038744298484E-3</v>
      </c>
      <c r="AC182" s="346">
        <v>103592</v>
      </c>
      <c r="AD182" s="346">
        <v>23548781</v>
      </c>
      <c r="AE182" s="349" t="s">
        <v>931</v>
      </c>
      <c r="AF182" s="349" t="s">
        <v>931</v>
      </c>
      <c r="AG182" s="344">
        <v>37</v>
      </c>
      <c r="AH182" s="343">
        <v>2.67</v>
      </c>
      <c r="AI182" s="343">
        <f t="shared" si="88"/>
        <v>5.5777940102264424E-2</v>
      </c>
      <c r="AJ182" s="346">
        <v>15272</v>
      </c>
      <c r="AK182" s="346">
        <v>273800</v>
      </c>
      <c r="AL182" s="345">
        <f>((AA182/4.5)*100*1.5+(LN(MIN(AB182,5)+1)/LN(5+1))*100+(MAX((60-AG182),0))/60*100*0.5+((AH182-1)/(7-1))*100*2+(LN(MIN(AI182,20)+1)/LN(20+1))*100)/6</f>
        <v>25.495370901422049</v>
      </c>
      <c r="AM182" s="343">
        <v>87.88</v>
      </c>
      <c r="AN182" s="344">
        <v>17</v>
      </c>
      <c r="AO182" s="344">
        <v>104.3</v>
      </c>
      <c r="AP182" s="345">
        <f t="shared" si="89"/>
        <v>14.928671746753436</v>
      </c>
      <c r="AQ182" s="343">
        <v>51.427491191124197</v>
      </c>
      <c r="AR182" s="344">
        <v>61.9</v>
      </c>
      <c r="AS182" s="345">
        <f t="shared" si="90"/>
        <v>56.663745595562098</v>
      </c>
      <c r="AT182" s="343">
        <v>1288.05740222082</v>
      </c>
      <c r="AU182" s="343">
        <v>0.27766161220582802</v>
      </c>
      <c r="AV182" s="343">
        <v>2039.2668946281799</v>
      </c>
      <c r="AW182" s="351">
        <f t="shared" si="91"/>
        <v>67.163994182044874</v>
      </c>
      <c r="AX182" s="293"/>
      <c r="AY182" s="120"/>
    </row>
    <row r="183" spans="1:51" s="30" customFormat="1" x14ac:dyDescent="0.2">
      <c r="A183" s="294">
        <v>179</v>
      </c>
      <c r="B183" s="297" t="s">
        <v>16</v>
      </c>
      <c r="C183" s="310" t="s">
        <v>886</v>
      </c>
      <c r="D183" s="144" t="s">
        <v>298</v>
      </c>
      <c r="E183" s="173" t="s">
        <v>306</v>
      </c>
      <c r="F183" s="177" t="s">
        <v>97</v>
      </c>
      <c r="G183" s="341">
        <f t="shared" si="81"/>
        <v>31.321814701700838</v>
      </c>
      <c r="H183" s="342">
        <f t="shared" si="82"/>
        <v>36.418426409190502</v>
      </c>
      <c r="I183" s="342">
        <f t="shared" si="83"/>
        <v>26.225202994211177</v>
      </c>
      <c r="J183" s="343">
        <v>5.7963691458333298E-3</v>
      </c>
      <c r="K183" s="344">
        <v>112.14208458333334</v>
      </c>
      <c r="L183" s="344">
        <v>38.450726063950299</v>
      </c>
      <c r="M183" s="344">
        <v>33.304698940000002</v>
      </c>
      <c r="N183" s="345">
        <f t="shared" si="84"/>
        <v>21.681756044720213</v>
      </c>
      <c r="O183" s="343">
        <f t="shared" si="85"/>
        <v>8.9191401664226164E-2</v>
      </c>
      <c r="P183" s="346">
        <v>1316</v>
      </c>
      <c r="Q183" s="346">
        <v>14754785.5</v>
      </c>
      <c r="R183" s="344">
        <v>3.2</v>
      </c>
      <c r="S183" s="344">
        <v>2</v>
      </c>
      <c r="T183" s="347">
        <v>5</v>
      </c>
      <c r="U183" s="345">
        <f t="shared" si="86"/>
        <v>50.050860255926231</v>
      </c>
      <c r="V183" s="343">
        <f t="shared" si="93"/>
        <v>60.319412979605836</v>
      </c>
      <c r="W183" s="348">
        <v>890</v>
      </c>
      <c r="X183" s="346">
        <v>14754785.5</v>
      </c>
      <c r="Y183" s="344">
        <v>2.9</v>
      </c>
      <c r="Z183" s="345">
        <f t="shared" si="87"/>
        <v>83.007214418092929</v>
      </c>
      <c r="AA183" s="343">
        <v>2.4833333333333329</v>
      </c>
      <c r="AB183" s="350">
        <v>2.2646620289062665E-2</v>
      </c>
      <c r="AC183" s="346"/>
      <c r="AD183" s="346">
        <v>14754785.5</v>
      </c>
      <c r="AE183" s="344">
        <v>-2</v>
      </c>
      <c r="AF183" s="343">
        <v>29.36</v>
      </c>
      <c r="AG183" s="344">
        <v>4.7</v>
      </c>
      <c r="AH183" s="343">
        <v>2.25</v>
      </c>
      <c r="AI183" s="343">
        <f t="shared" si="88"/>
        <v>0.18435842859875384</v>
      </c>
      <c r="AJ183" s="346">
        <v>45300</v>
      </c>
      <c r="AK183" s="346">
        <v>245717</v>
      </c>
      <c r="AL183" s="345">
        <f>((AA183/4.5)*100*1.5+(LN(MIN(AB183,5)+1)/LN(5+1))*100+((AE183-(-300))/(150-(-300)))*100+(LN(MIN(AF183,500))/LN(500))*100*0.5+(MAX((60-AG183),0))/60*100*0.5+((AH183-1)/(7-1))*100*2+(LN(MIN(AI183,20)+1)/LN(20+1))*100)/7.5</f>
        <v>36.099791309751254</v>
      </c>
      <c r="AM183" s="343">
        <v>43.96</v>
      </c>
      <c r="AN183" s="344">
        <v>1</v>
      </c>
      <c r="AO183" s="344">
        <v>182.1</v>
      </c>
      <c r="AP183" s="345">
        <f t="shared" si="89"/>
        <v>9.0796459889264849</v>
      </c>
      <c r="AQ183" s="343">
        <v>36.048025015586497</v>
      </c>
      <c r="AR183" s="344">
        <v>68.099999999999994</v>
      </c>
      <c r="AS183" s="345">
        <f t="shared" si="90"/>
        <v>52.074012507793242</v>
      </c>
      <c r="AT183" s="343">
        <v>1412.9514941099401</v>
      </c>
      <c r="AU183" s="343">
        <v>5.0400526499929397</v>
      </c>
      <c r="AV183" s="343">
        <v>2215.21226977877</v>
      </c>
      <c r="AW183" s="351">
        <f t="shared" si="91"/>
        <v>51.813064496483172</v>
      </c>
      <c r="AX183" s="293"/>
      <c r="AY183" s="120"/>
    </row>
    <row r="184" spans="1:51" s="30" customFormat="1" x14ac:dyDescent="0.2">
      <c r="A184" s="294">
        <v>180</v>
      </c>
      <c r="B184" s="304" t="s">
        <v>29</v>
      </c>
      <c r="C184" s="313" t="s">
        <v>85</v>
      </c>
      <c r="D184" s="148" t="s">
        <v>302</v>
      </c>
      <c r="E184" s="173" t="s">
        <v>306</v>
      </c>
      <c r="F184" s="177" t="s">
        <v>188</v>
      </c>
      <c r="G184" s="341">
        <f t="shared" si="81"/>
        <v>30.98136373108494</v>
      </c>
      <c r="H184" s="342">
        <f t="shared" si="82"/>
        <v>30.994241059412335</v>
      </c>
      <c r="I184" s="342">
        <f t="shared" si="83"/>
        <v>30.968486402757545</v>
      </c>
      <c r="J184" s="343">
        <v>9.2190445833333329E-2</v>
      </c>
      <c r="K184" s="344">
        <v>61.480845833333341</v>
      </c>
      <c r="L184" s="344">
        <v>45.637090550433001</v>
      </c>
      <c r="M184" s="344">
        <v>29.040700910000002</v>
      </c>
      <c r="N184" s="345">
        <f t="shared" si="84"/>
        <v>20.795634764413805</v>
      </c>
      <c r="O184" s="343">
        <f t="shared" si="85"/>
        <v>6.5918129682933799E-2</v>
      </c>
      <c r="P184" s="346">
        <v>54</v>
      </c>
      <c r="Q184" s="346">
        <v>819198</v>
      </c>
      <c r="R184" s="344">
        <v>2.2000000000000002</v>
      </c>
      <c r="S184" s="344">
        <v>0</v>
      </c>
      <c r="T184" s="347">
        <v>15</v>
      </c>
      <c r="U184" s="345">
        <f t="shared" si="86"/>
        <v>51.468170437079053</v>
      </c>
      <c r="V184" s="350">
        <v>37.072750379697858</v>
      </c>
      <c r="W184" s="348"/>
      <c r="X184" s="346">
        <v>819198</v>
      </c>
      <c r="Y184" s="344">
        <v>49.5</v>
      </c>
      <c r="Z184" s="345">
        <f t="shared" si="87"/>
        <v>11.639982473582501</v>
      </c>
      <c r="AA184" s="343">
        <v>2.8166666666666669</v>
      </c>
      <c r="AB184" s="343">
        <f>AC184/AD184</f>
        <v>0.19216133218098677</v>
      </c>
      <c r="AC184" s="346">
        <v>157418.179</v>
      </c>
      <c r="AD184" s="346">
        <v>819198</v>
      </c>
      <c r="AE184" s="352">
        <v>-6</v>
      </c>
      <c r="AF184" s="343">
        <v>30.68</v>
      </c>
      <c r="AG184" s="344">
        <v>11.4</v>
      </c>
      <c r="AH184" s="350">
        <v>3.0453446132848656</v>
      </c>
      <c r="AI184" s="343">
        <f t="shared" si="88"/>
        <v>4.96605930689532E-2</v>
      </c>
      <c r="AJ184" s="346">
        <v>1390</v>
      </c>
      <c r="AK184" s="346">
        <v>27990</v>
      </c>
      <c r="AL184" s="345">
        <f>((AA184/4.5)*100*1.5+(LN(MIN(AB184,5)+1)/LN(5+1))*100+((AE184-(-300))/(150-(-300)))*100+(LN(MIN(AF184,500))/LN(500))*100*0.5+(MAX((60-AG184),0))/60*100*0.5+((AH184-1)/(7-1))*100*2+(LN(MIN(AI184,20)+1)/LN(20+1))*100)/7.5</f>
        <v>40.912929656451652</v>
      </c>
      <c r="AM184" s="343">
        <v>1.95</v>
      </c>
      <c r="AN184" s="344">
        <v>8.6999999999999993</v>
      </c>
      <c r="AO184" s="344">
        <v>399.4</v>
      </c>
      <c r="AP184" s="345">
        <f t="shared" si="89"/>
        <v>18.978571428571428</v>
      </c>
      <c r="AQ184" s="350">
        <v>55.915826012939021</v>
      </c>
      <c r="AR184" s="344">
        <v>54.2</v>
      </c>
      <c r="AS184" s="345">
        <f t="shared" si="90"/>
        <v>55.057913006469512</v>
      </c>
      <c r="AT184" s="343">
        <v>853.31548860229998</v>
      </c>
      <c r="AU184" s="343">
        <v>16.586088688049198</v>
      </c>
      <c r="AV184" s="343">
        <v>1912.9870740430599</v>
      </c>
      <c r="AW184" s="351">
        <f t="shared" si="91"/>
        <v>42.848804721603926</v>
      </c>
      <c r="AX184" s="293"/>
      <c r="AY184" s="120"/>
    </row>
    <row r="185" spans="1:51" s="30" customFormat="1" x14ac:dyDescent="0.2">
      <c r="A185" s="294">
        <v>182</v>
      </c>
      <c r="B185" s="297" t="s">
        <v>16</v>
      </c>
      <c r="C185" s="310" t="s">
        <v>886</v>
      </c>
      <c r="D185" s="144" t="s">
        <v>298</v>
      </c>
      <c r="E185" s="169" t="s">
        <v>303</v>
      </c>
      <c r="F185" s="177" t="s">
        <v>129</v>
      </c>
      <c r="G185" s="341">
        <f t="shared" si="81"/>
        <v>30.080644122384477</v>
      </c>
      <c r="H185" s="342">
        <f t="shared" si="82"/>
        <v>32.496286645574038</v>
      </c>
      <c r="I185" s="342">
        <f t="shared" si="83"/>
        <v>27.66500159919492</v>
      </c>
      <c r="J185" s="343">
        <v>0.29307281739583335</v>
      </c>
      <c r="K185" s="344">
        <v>28.005760625000001</v>
      </c>
      <c r="L185" s="344">
        <v>38.5278615167487</v>
      </c>
      <c r="M185" s="344">
        <v>32.233600619999997</v>
      </c>
      <c r="N185" s="345">
        <f t="shared" si="84"/>
        <v>18.868118236183701</v>
      </c>
      <c r="O185" s="343">
        <f t="shared" si="85"/>
        <v>3.5454567644019039E-2</v>
      </c>
      <c r="P185" s="346">
        <v>199</v>
      </c>
      <c r="Q185" s="346">
        <v>5612817</v>
      </c>
      <c r="R185" s="344">
        <v>5.8</v>
      </c>
      <c r="S185" s="344">
        <v>4</v>
      </c>
      <c r="T185" s="347">
        <v>24</v>
      </c>
      <c r="U185" s="345">
        <f t="shared" si="86"/>
        <v>37.998917986662107</v>
      </c>
      <c r="V185" s="343">
        <f t="shared" ref="V185:V202" si="94">(W185*1000000)/X185</f>
        <v>25.994077483730539</v>
      </c>
      <c r="W185" s="348">
        <v>145.9</v>
      </c>
      <c r="X185" s="346">
        <v>5612817</v>
      </c>
      <c r="Y185" s="344">
        <v>8.1999999999999993</v>
      </c>
      <c r="Z185" s="345">
        <f t="shared" si="87"/>
        <v>72.519897590298967</v>
      </c>
      <c r="AA185" s="343">
        <v>2.4</v>
      </c>
      <c r="AB185" s="350">
        <v>5.9970679205359201E-3</v>
      </c>
      <c r="AC185" s="346"/>
      <c r="AD185" s="346">
        <v>5612817</v>
      </c>
      <c r="AE185" s="344">
        <v>-37</v>
      </c>
      <c r="AF185" s="343">
        <v>23.64</v>
      </c>
      <c r="AG185" s="344">
        <v>20.9</v>
      </c>
      <c r="AH185" s="343">
        <v>2.81</v>
      </c>
      <c r="AI185" s="343">
        <f t="shared" si="88"/>
        <v>0.11004983388704319</v>
      </c>
      <c r="AJ185" s="346">
        <v>10600</v>
      </c>
      <c r="AK185" s="346">
        <v>96320</v>
      </c>
      <c r="AL185" s="345">
        <f>((AA185/4.5)*100*1.5+(LN(MIN(AB185,5)+1)/LN(5+1))*100+((AE185-(-300))/(150-(-300)))*100+(LN(MIN(AF185,500))/LN(500))*100*0.5+(MAX((60-AG185),0))/60*100*0.5+((AH185-1)/(7-1))*100*2+(LN(MIN(AI185,20)+1)/LN(20+1))*100)/7.5</f>
        <v>34.74289448351113</v>
      </c>
      <c r="AM185" s="343">
        <v>60.48</v>
      </c>
      <c r="AN185" s="344">
        <v>0.8</v>
      </c>
      <c r="AO185" s="344">
        <v>182.9</v>
      </c>
      <c r="AP185" s="345">
        <f t="shared" si="89"/>
        <v>6.5818726031098382</v>
      </c>
      <c r="AQ185" s="343">
        <v>52.2139331485699</v>
      </c>
      <c r="AR185" s="344">
        <v>55.5</v>
      </c>
      <c r="AS185" s="345">
        <f t="shared" si="90"/>
        <v>53.856966574284954</v>
      </c>
      <c r="AT185" s="343">
        <v>1485.73653250233</v>
      </c>
      <c r="AU185" s="343">
        <v>0.53271698037355397</v>
      </c>
      <c r="AV185" s="343">
        <v>2466.46436169447</v>
      </c>
      <c r="AW185" s="351">
        <f t="shared" si="91"/>
        <v>64.722423612360117</v>
      </c>
      <c r="AX185" s="293"/>
      <c r="AY185" s="120"/>
    </row>
    <row r="186" spans="1:51" s="30" customFormat="1" x14ac:dyDescent="0.2">
      <c r="A186" s="294">
        <v>181</v>
      </c>
      <c r="B186" s="304" t="s">
        <v>29</v>
      </c>
      <c r="C186" s="313" t="s">
        <v>85</v>
      </c>
      <c r="D186" s="148" t="s">
        <v>302</v>
      </c>
      <c r="E186" s="173" t="s">
        <v>306</v>
      </c>
      <c r="F186" s="177" t="s">
        <v>167</v>
      </c>
      <c r="G186" s="341">
        <f t="shared" si="81"/>
        <v>29.99035626778749</v>
      </c>
      <c r="H186" s="342">
        <f t="shared" si="82"/>
        <v>32.720290547391627</v>
      </c>
      <c r="I186" s="342">
        <f t="shared" si="83"/>
        <v>27.260421988183356</v>
      </c>
      <c r="J186" s="343">
        <v>0.21928569479166665</v>
      </c>
      <c r="K186" s="344">
        <v>34.058900000000001</v>
      </c>
      <c r="L186" s="344">
        <v>47.587272700807702</v>
      </c>
      <c r="M186" s="344">
        <v>18.811599730000001</v>
      </c>
      <c r="N186" s="345">
        <f t="shared" si="84"/>
        <v>17.917752853361648</v>
      </c>
      <c r="O186" s="343">
        <f t="shared" si="85"/>
        <v>0.10712426977862198</v>
      </c>
      <c r="P186" s="346">
        <v>1133</v>
      </c>
      <c r="Q186" s="346">
        <v>10576501.5</v>
      </c>
      <c r="R186" s="344">
        <v>10</v>
      </c>
      <c r="S186" s="344">
        <v>0</v>
      </c>
      <c r="T186" s="347">
        <v>14</v>
      </c>
      <c r="U186" s="345">
        <f t="shared" si="86"/>
        <v>44.76680765239</v>
      </c>
      <c r="V186" s="343">
        <f t="shared" si="94"/>
        <v>37.072750379697858</v>
      </c>
      <c r="W186" s="348">
        <v>392.1</v>
      </c>
      <c r="X186" s="346">
        <v>10576501.5</v>
      </c>
      <c r="Y186" s="344">
        <v>25</v>
      </c>
      <c r="Z186" s="345">
        <f t="shared" si="87"/>
        <v>48.389982473582499</v>
      </c>
      <c r="AA186" s="343">
        <v>2.7333333333333338</v>
      </c>
      <c r="AB186" s="343">
        <f>AC186/AD186</f>
        <v>0.14631511185433105</v>
      </c>
      <c r="AC186" s="346">
        <v>1547502</v>
      </c>
      <c r="AD186" s="346">
        <v>10576501.5</v>
      </c>
      <c r="AE186" s="344">
        <v>-6</v>
      </c>
      <c r="AF186" s="343">
        <v>49.36</v>
      </c>
      <c r="AG186" s="344">
        <v>12.4</v>
      </c>
      <c r="AH186" s="350">
        <v>3.0603736693552803</v>
      </c>
      <c r="AI186" s="343">
        <f t="shared" si="88"/>
        <v>2.0644349247007907E-2</v>
      </c>
      <c r="AJ186" s="346">
        <v>9349</v>
      </c>
      <c r="AK186" s="346">
        <v>452860</v>
      </c>
      <c r="AL186" s="345">
        <f>((AA186/4.5)*100*1.5+(LN(MIN(AB186,5)+1)/LN(5+1))*100+((AE186-(-300))/(150-(-300)))*100+(LN(MIN(AF186,500))/LN(500))*100*0.5+(MAX((60-AG186),0))/60*100*0.5+((AH186-1)/(7-1))*100*2+(LN(MIN(AI186,20)+1)/LN(20+1))*100)/7.5</f>
        <v>40.593775983624298</v>
      </c>
      <c r="AM186" s="343">
        <v>22.27</v>
      </c>
      <c r="AN186" s="344">
        <v>10.5</v>
      </c>
      <c r="AO186" s="344">
        <v>257</v>
      </c>
      <c r="AP186" s="345">
        <f t="shared" si="89"/>
        <v>17.104285714285716</v>
      </c>
      <c r="AQ186" s="350">
        <v>54.018266856923773</v>
      </c>
      <c r="AR186" s="344">
        <v>40</v>
      </c>
      <c r="AS186" s="345">
        <f t="shared" si="90"/>
        <v>47.009133428461887</v>
      </c>
      <c r="AT186" s="343">
        <v>1059.810708296</v>
      </c>
      <c r="AU186" s="343">
        <v>25.949394387711301</v>
      </c>
      <c r="AV186" s="343">
        <v>2214.8549086042399</v>
      </c>
      <c r="AW186" s="351">
        <f t="shared" si="91"/>
        <v>37.980119369597737</v>
      </c>
      <c r="AX186" s="293"/>
      <c r="AY186" s="120"/>
    </row>
    <row r="187" spans="1:51" s="30" customFormat="1" x14ac:dyDescent="0.2">
      <c r="A187" s="294">
        <v>183</v>
      </c>
      <c r="B187" s="297" t="s">
        <v>16</v>
      </c>
      <c r="C187" s="310" t="s">
        <v>886</v>
      </c>
      <c r="D187" s="144" t="s">
        <v>298</v>
      </c>
      <c r="E187" s="169" t="s">
        <v>303</v>
      </c>
      <c r="F187" s="177" t="s">
        <v>98</v>
      </c>
      <c r="G187" s="341">
        <f t="shared" si="81"/>
        <v>29.942292440696839</v>
      </c>
      <c r="H187" s="342">
        <f t="shared" si="82"/>
        <v>30.82056592598251</v>
      </c>
      <c r="I187" s="342">
        <f t="shared" si="83"/>
        <v>29.064018955411164</v>
      </c>
      <c r="J187" s="343">
        <v>0.310448</v>
      </c>
      <c r="K187" s="344">
        <v>128.11099999999999</v>
      </c>
      <c r="L187" s="344">
        <v>33.016381668325501</v>
      </c>
      <c r="M187" s="344">
        <v>29.77739906</v>
      </c>
      <c r="N187" s="345">
        <f t="shared" si="84"/>
        <v>20.227518515414712</v>
      </c>
      <c r="O187" s="343">
        <f t="shared" si="85"/>
        <v>2.1804781788646251E-2</v>
      </c>
      <c r="P187" s="346">
        <v>48</v>
      </c>
      <c r="Q187" s="346">
        <v>2201352</v>
      </c>
      <c r="R187" s="344">
        <v>2.5</v>
      </c>
      <c r="S187" s="344">
        <v>0</v>
      </c>
      <c r="T187" s="347">
        <v>5</v>
      </c>
      <c r="U187" s="345">
        <f t="shared" si="86"/>
        <v>53.566955995354547</v>
      </c>
      <c r="V187" s="343">
        <f t="shared" si="94"/>
        <v>79.496600271106118</v>
      </c>
      <c r="W187" s="348">
        <v>175</v>
      </c>
      <c r="X187" s="346">
        <v>2201352</v>
      </c>
      <c r="Y187" s="344">
        <v>48.2</v>
      </c>
      <c r="Z187" s="345">
        <f t="shared" si="87"/>
        <v>15.889317784233199</v>
      </c>
      <c r="AA187" s="343">
        <v>2.6</v>
      </c>
      <c r="AB187" s="350">
        <v>5.9970679205359183E-3</v>
      </c>
      <c r="AC187" s="346"/>
      <c r="AD187" s="346">
        <v>2201352</v>
      </c>
      <c r="AE187" s="352">
        <v>2.5</v>
      </c>
      <c r="AF187" s="343">
        <v>15.96</v>
      </c>
      <c r="AG187" s="344">
        <v>14.1</v>
      </c>
      <c r="AH187" s="350">
        <v>3.2924285468140964</v>
      </c>
      <c r="AI187" s="343">
        <f t="shared" si="88"/>
        <v>0.15647226173541964</v>
      </c>
      <c r="AJ187" s="346">
        <v>4400</v>
      </c>
      <c r="AK187" s="346">
        <v>28120</v>
      </c>
      <c r="AL187" s="345">
        <f>((AA187/4.5)*100*1.5+(LN(MIN(AB187,5)+1)/LN(5+1))*100+((AE187-(-300))/(150-(-300)))*100+(LN(MIN(AF187,500))/LN(500))*100*0.5+(MAX((60-AG187),0))/60*100*0.5+((AH187-1)/(7-1))*100*2+(LN(MIN(AI187,20)+1)/LN(20+1))*100)/7.5</f>
        <v>39.459827854644622</v>
      </c>
      <c r="AM187" s="343">
        <v>59</v>
      </c>
      <c r="AN187" s="344">
        <v>0.8</v>
      </c>
      <c r="AO187" s="344">
        <v>206.8</v>
      </c>
      <c r="AP187" s="345">
        <f t="shared" si="89"/>
        <v>6.3142857142857149</v>
      </c>
      <c r="AQ187" s="350">
        <v>46.554169049950197</v>
      </c>
      <c r="AR187" s="344">
        <v>69.599999999999994</v>
      </c>
      <c r="AS187" s="345">
        <f t="shared" si="90"/>
        <v>58.077084524975092</v>
      </c>
      <c r="AT187" s="343">
        <v>996.39565603232302</v>
      </c>
      <c r="AU187" s="343">
        <v>0.16842222049653</v>
      </c>
      <c r="AV187" s="343">
        <v>2316.5661908705601</v>
      </c>
      <c r="AW187" s="351">
        <f t="shared" si="91"/>
        <v>68.300153109223587</v>
      </c>
      <c r="AX187" s="293"/>
      <c r="AY187" s="120"/>
    </row>
    <row r="188" spans="1:51" s="30" customFormat="1" x14ac:dyDescent="0.2">
      <c r="A188" s="294">
        <v>184</v>
      </c>
      <c r="B188" s="297" t="s">
        <v>16</v>
      </c>
      <c r="C188" s="310" t="s">
        <v>886</v>
      </c>
      <c r="D188" s="144" t="s">
        <v>298</v>
      </c>
      <c r="E188" s="173" t="s">
        <v>306</v>
      </c>
      <c r="F188" s="177" t="s">
        <v>139</v>
      </c>
      <c r="G188" s="341">
        <f t="shared" si="81"/>
        <v>29.62788613682077</v>
      </c>
      <c r="H188" s="342">
        <f t="shared" si="82"/>
        <v>31.126427934294437</v>
      </c>
      <c r="I188" s="342">
        <f t="shared" si="83"/>
        <v>28.129344339347107</v>
      </c>
      <c r="J188" s="343">
        <v>0.90364725458333339</v>
      </c>
      <c r="K188" s="344">
        <v>112.96110208333334</v>
      </c>
      <c r="L188" s="344">
        <v>37.1612649382323</v>
      </c>
      <c r="M188" s="344">
        <v>36.801498410000001</v>
      </c>
      <c r="N188" s="345">
        <f t="shared" si="84"/>
        <v>23.009100285321963</v>
      </c>
      <c r="O188" s="343">
        <f t="shared" si="85"/>
        <v>5.5599595164681735E-2</v>
      </c>
      <c r="P188" s="346">
        <v>1361</v>
      </c>
      <c r="Q188" s="346">
        <v>24478595.5</v>
      </c>
      <c r="R188" s="344">
        <v>26.6</v>
      </c>
      <c r="S188" s="344">
        <v>8</v>
      </c>
      <c r="T188" s="347">
        <v>30</v>
      </c>
      <c r="U188" s="345">
        <f t="shared" si="86"/>
        <v>20.595709948193019</v>
      </c>
      <c r="V188" s="343">
        <f t="shared" si="94"/>
        <v>211.85856026747939</v>
      </c>
      <c r="W188" s="348">
        <v>5186</v>
      </c>
      <c r="X188" s="346">
        <v>24478595.5</v>
      </c>
      <c r="Y188" s="344">
        <v>17.899999999999999</v>
      </c>
      <c r="Z188" s="345">
        <f t="shared" si="87"/>
        <v>64.293859501305477</v>
      </c>
      <c r="AA188" s="343">
        <v>2.583333333333333</v>
      </c>
      <c r="AB188" s="343">
        <f t="shared" ref="AB188:AB196" si="95">AC188/AD188</f>
        <v>0</v>
      </c>
      <c r="AC188" s="346">
        <v>0</v>
      </c>
      <c r="AD188" s="346">
        <v>24478595.5</v>
      </c>
      <c r="AE188" s="349" t="s">
        <v>931</v>
      </c>
      <c r="AF188" s="349" t="s">
        <v>931</v>
      </c>
      <c r="AG188" s="344">
        <v>21.5</v>
      </c>
      <c r="AH188" s="343">
        <v>3.43</v>
      </c>
      <c r="AI188" s="343">
        <f t="shared" si="88"/>
        <v>7.2959129315926213E-2</v>
      </c>
      <c r="AJ188" s="346">
        <v>89024</v>
      </c>
      <c r="AK188" s="346">
        <v>1220190</v>
      </c>
      <c r="AL188" s="345">
        <f>((AA188/4.5)*100*1.5+(LN(MIN(AB188,5)+1)/LN(5+1))*100+(MAX((60-AG188),0))/60*100*0.5+((AH188-1)/(7-1))*100*2+(LN(MIN(AI188,20)+1)/LN(20+1))*100)/6</f>
        <v>33.584577188039511</v>
      </c>
      <c r="AM188" s="343">
        <v>92.5</v>
      </c>
      <c r="AN188" s="344">
        <v>1.3</v>
      </c>
      <c r="AO188" s="344">
        <v>137.5</v>
      </c>
      <c r="AP188" s="345">
        <f t="shared" si="89"/>
        <v>3.8207681349563125</v>
      </c>
      <c r="AQ188" s="343">
        <v>54.745480600753901</v>
      </c>
      <c r="AR188" s="344">
        <v>70.5</v>
      </c>
      <c r="AS188" s="345">
        <f t="shared" si="90"/>
        <v>62.622740300376947</v>
      </c>
      <c r="AT188" s="343">
        <v>1662.9065794917101</v>
      </c>
      <c r="AU188" s="343">
        <v>0.26883969022138599</v>
      </c>
      <c r="AV188" s="343">
        <v>2181.7199165112102</v>
      </c>
      <c r="AW188" s="351">
        <f t="shared" si="91"/>
        <v>66.561676991489634</v>
      </c>
      <c r="AX188" s="293"/>
      <c r="AY188" s="120"/>
    </row>
    <row r="189" spans="1:51" s="30" customFormat="1" x14ac:dyDescent="0.2">
      <c r="A189" s="294">
        <v>185</v>
      </c>
      <c r="B189" s="297" t="s">
        <v>16</v>
      </c>
      <c r="C189" s="300" t="s">
        <v>21</v>
      </c>
      <c r="D189" s="144" t="s">
        <v>298</v>
      </c>
      <c r="E189" s="169" t="s">
        <v>303</v>
      </c>
      <c r="F189" s="177" t="s">
        <v>189</v>
      </c>
      <c r="G189" s="341">
        <f t="shared" si="81"/>
        <v>28.420456847429527</v>
      </c>
      <c r="H189" s="342">
        <f t="shared" si="82"/>
        <v>32.648058701355311</v>
      </c>
      <c r="I189" s="342">
        <f t="shared" si="83"/>
        <v>24.192854993503744</v>
      </c>
      <c r="J189" s="343">
        <v>0.72296300000000002</v>
      </c>
      <c r="K189" s="344">
        <v>53.957999999999998</v>
      </c>
      <c r="L189" s="344">
        <v>40.676807347758398</v>
      </c>
      <c r="M189" s="344">
        <v>27.94020081</v>
      </c>
      <c r="N189" s="345">
        <f t="shared" si="84"/>
        <v>19.555321206106267</v>
      </c>
      <c r="O189" s="343">
        <f t="shared" si="85"/>
        <v>2.5619239912397982E-2</v>
      </c>
      <c r="P189" s="346">
        <v>487</v>
      </c>
      <c r="Q189" s="346">
        <v>19009151</v>
      </c>
      <c r="R189" s="344">
        <v>1.4</v>
      </c>
      <c r="S189" s="344">
        <v>0</v>
      </c>
      <c r="T189" s="347">
        <v>7</v>
      </c>
      <c r="U189" s="345">
        <f t="shared" si="86"/>
        <v>54.084015665728074</v>
      </c>
      <c r="V189" s="343">
        <f t="shared" si="94"/>
        <v>173.49538651147546</v>
      </c>
      <c r="W189" s="348">
        <v>3298</v>
      </c>
      <c r="X189" s="346">
        <v>19009151</v>
      </c>
      <c r="Y189" s="344">
        <v>17.100000000000001</v>
      </c>
      <c r="Z189" s="345">
        <f t="shared" si="87"/>
        <v>64.891717351772414</v>
      </c>
      <c r="AA189" s="343">
        <v>1.95</v>
      </c>
      <c r="AB189" s="343">
        <f t="shared" si="95"/>
        <v>1.8628874902922225E-3</v>
      </c>
      <c r="AC189" s="346">
        <v>35411.909598975893</v>
      </c>
      <c r="AD189" s="346">
        <v>19009151</v>
      </c>
      <c r="AE189" s="344">
        <v>2.5</v>
      </c>
      <c r="AF189" s="343">
        <v>31.59</v>
      </c>
      <c r="AG189" s="344">
        <v>9.8000000000000007</v>
      </c>
      <c r="AH189" s="350">
        <v>2.1801547814817979</v>
      </c>
      <c r="AI189" s="343">
        <f t="shared" si="88"/>
        <v>3.4961902636528833E-2</v>
      </c>
      <c r="AJ189" s="346">
        <v>21933</v>
      </c>
      <c r="AK189" s="346">
        <v>627340</v>
      </c>
      <c r="AL189" s="345">
        <f>((AA189/4.5)*100*1.5+(LN(MIN(AB189,5)+1)/LN(5+1))*100+((AE189-(-300))/(150-(-300)))*100+(LN(MIN(AF189,500))/LN(500))*100*0.5+(MAX((60-AG189),0))/60*100*0.5+((AH189-1)/(7-1))*100*2+(LN(MIN(AI189,20)+1)/LN(20+1))*100)/7.5</f>
        <v>32.32089229290689</v>
      </c>
      <c r="AM189" s="343">
        <v>48.69</v>
      </c>
      <c r="AN189" s="344">
        <v>5.4</v>
      </c>
      <c r="AO189" s="344">
        <v>107.5</v>
      </c>
      <c r="AP189" s="345">
        <f t="shared" si="89"/>
        <v>13.737388200201753</v>
      </c>
      <c r="AQ189" s="343">
        <v>34.794295315981564</v>
      </c>
      <c r="AR189" s="344">
        <v>60.3</v>
      </c>
      <c r="AS189" s="345">
        <f t="shared" si="90"/>
        <v>47.547147657990777</v>
      </c>
      <c r="AT189" s="343">
        <v>878.86266258573903</v>
      </c>
      <c r="AU189" s="343">
        <v>49.483019651920799</v>
      </c>
      <c r="AV189" s="343">
        <v>2334.7780557578699</v>
      </c>
      <c r="AW189" s="351">
        <f t="shared" si="91"/>
        <v>32.204962708922679</v>
      </c>
      <c r="AX189" s="293"/>
      <c r="AY189" s="120"/>
    </row>
    <row r="190" spans="1:51" s="30" customFormat="1" x14ac:dyDescent="0.2">
      <c r="A190" s="294">
        <v>186</v>
      </c>
      <c r="B190" s="297" t="s">
        <v>16</v>
      </c>
      <c r="C190" s="310" t="s">
        <v>886</v>
      </c>
      <c r="D190" s="144" t="s">
        <v>298</v>
      </c>
      <c r="E190" s="169" t="s">
        <v>303</v>
      </c>
      <c r="F190" s="177" t="s">
        <v>184</v>
      </c>
      <c r="G190" s="341">
        <f t="shared" si="81"/>
        <v>27.993343235354658</v>
      </c>
      <c r="H190" s="342">
        <f t="shared" si="82"/>
        <v>32.855788761797442</v>
      </c>
      <c r="I190" s="342">
        <f t="shared" si="83"/>
        <v>23.130897708911871</v>
      </c>
      <c r="J190" s="343">
        <v>2.3217200000000002E-3</v>
      </c>
      <c r="K190" s="344">
        <v>111.83914104166668</v>
      </c>
      <c r="L190" s="344">
        <v>44.440521502588801</v>
      </c>
      <c r="M190" s="344">
        <v>25.104999540000001</v>
      </c>
      <c r="N190" s="345">
        <f t="shared" si="84"/>
        <v>21.116286395369425</v>
      </c>
      <c r="O190" s="343">
        <f t="shared" si="85"/>
        <v>2.4762721920707796E-2</v>
      </c>
      <c r="P190" s="346">
        <v>214</v>
      </c>
      <c r="Q190" s="346">
        <v>8642022.5</v>
      </c>
      <c r="R190" s="344">
        <v>4</v>
      </c>
      <c r="S190" s="344">
        <v>2.4</v>
      </c>
      <c r="T190" s="347">
        <v>14</v>
      </c>
      <c r="U190" s="345">
        <f t="shared" si="86"/>
        <v>45.312933925340921</v>
      </c>
      <c r="V190" s="343">
        <f t="shared" si="94"/>
        <v>24.554437343804647</v>
      </c>
      <c r="W190" s="348">
        <v>212.2</v>
      </c>
      <c r="X190" s="346">
        <v>8642022.5</v>
      </c>
      <c r="Y190" s="344">
        <v>21.3</v>
      </c>
      <c r="Z190" s="345">
        <f t="shared" si="87"/>
        <v>52.698159596348177</v>
      </c>
      <c r="AA190" s="343">
        <v>2.08</v>
      </c>
      <c r="AB190" s="343">
        <f t="shared" si="95"/>
        <v>7.5950970967733535E-3</v>
      </c>
      <c r="AC190" s="346">
        <v>65637</v>
      </c>
      <c r="AD190" s="346">
        <v>8642022.5</v>
      </c>
      <c r="AE190" s="344">
        <v>2</v>
      </c>
      <c r="AF190" s="343">
        <v>23.85</v>
      </c>
      <c r="AG190" s="344">
        <v>34.9</v>
      </c>
      <c r="AH190" s="343">
        <v>3.57</v>
      </c>
      <c r="AI190" s="343">
        <f t="shared" si="88"/>
        <v>0.16209476309226933</v>
      </c>
      <c r="AJ190" s="346">
        <v>11700</v>
      </c>
      <c r="AK190" s="346">
        <v>72180</v>
      </c>
      <c r="AL190" s="345">
        <f>((AA190/4.5)*100*1.5+(LN(MIN(AB190,5)+1)/LN(5+1))*100+((AE190-(-300))/(150-(-300)))*100+(LN(MIN(AF190,500))/LN(500))*100*0.5+(MAX((60-AG190),0))/60*100*0.5+((AH190-1)/(7-1))*100*2+(LN(MIN(AI190,20)+1)/LN(20+1))*100)/7.5</f>
        <v>36.520412128701906</v>
      </c>
      <c r="AM190" s="343">
        <v>49.28</v>
      </c>
      <c r="AN190" s="344">
        <v>0.9</v>
      </c>
      <c r="AO190" s="344">
        <v>185.2</v>
      </c>
      <c r="AP190" s="345">
        <f t="shared" si="89"/>
        <v>8.1720532629696745</v>
      </c>
      <c r="AQ190" s="343">
        <v>38.620521060633898</v>
      </c>
      <c r="AR190" s="344">
        <v>69.5</v>
      </c>
      <c r="AS190" s="345">
        <f t="shared" si="90"/>
        <v>54.060260530316953</v>
      </c>
      <c r="AT190" s="343">
        <v>1719.24625734766</v>
      </c>
      <c r="AU190" s="343">
        <v>24.610410816260899</v>
      </c>
      <c r="AV190" s="343">
        <v>2677.82318332677</v>
      </c>
      <c r="AW190" s="351">
        <f t="shared" si="91"/>
        <v>37.078068225333389</v>
      </c>
      <c r="AX190" s="293"/>
      <c r="AY190" s="120"/>
    </row>
    <row r="191" spans="1:51" s="30" customFormat="1" x14ac:dyDescent="0.2">
      <c r="A191" s="294">
        <v>187</v>
      </c>
      <c r="B191" s="297" t="s">
        <v>16</v>
      </c>
      <c r="C191" s="300" t="s">
        <v>21</v>
      </c>
      <c r="D191" s="144" t="s">
        <v>298</v>
      </c>
      <c r="E191" s="169" t="s">
        <v>303</v>
      </c>
      <c r="F191" s="177" t="s">
        <v>150</v>
      </c>
      <c r="G191" s="341">
        <f t="shared" si="81"/>
        <v>27.169666325754044</v>
      </c>
      <c r="H191" s="342">
        <f t="shared" si="82"/>
        <v>28.701289864999204</v>
      </c>
      <c r="I191" s="342">
        <f t="shared" si="83"/>
        <v>25.63804278650888</v>
      </c>
      <c r="J191" s="343">
        <v>0.195375003125</v>
      </c>
      <c r="K191" s="344">
        <v>46.607641041666668</v>
      </c>
      <c r="L191" s="344">
        <v>40.623197609218103</v>
      </c>
      <c r="M191" s="344">
        <v>20.527299880000001</v>
      </c>
      <c r="N191" s="345">
        <f t="shared" si="84"/>
        <v>17.004024909630914</v>
      </c>
      <c r="O191" s="343">
        <f t="shared" si="85"/>
        <v>8.931106776362488E-2</v>
      </c>
      <c r="P191" s="346">
        <v>3093</v>
      </c>
      <c r="Q191" s="346">
        <v>34631766</v>
      </c>
      <c r="R191" s="344">
        <v>2.7</v>
      </c>
      <c r="S191" s="344">
        <v>0.4</v>
      </c>
      <c r="T191" s="347">
        <v>15</v>
      </c>
      <c r="U191" s="345">
        <f t="shared" si="86"/>
        <v>50.52833286889598</v>
      </c>
      <c r="V191" s="343">
        <f t="shared" si="94"/>
        <v>42.53320491943726</v>
      </c>
      <c r="W191" s="348">
        <v>1473</v>
      </c>
      <c r="X191" s="346">
        <v>34631766</v>
      </c>
      <c r="Y191" s="344">
        <v>35.4</v>
      </c>
      <c r="Z191" s="345">
        <f t="shared" si="87"/>
        <v>33.204143409540777</v>
      </c>
      <c r="AA191" s="343">
        <v>2.68</v>
      </c>
      <c r="AB191" s="343">
        <f t="shared" si="95"/>
        <v>1.9638270829157253E-2</v>
      </c>
      <c r="AC191" s="346">
        <v>680108</v>
      </c>
      <c r="AD191" s="346">
        <v>34631766</v>
      </c>
      <c r="AE191" s="344">
        <v>-39</v>
      </c>
      <c r="AF191" s="343">
        <v>51.94</v>
      </c>
      <c r="AG191" s="344">
        <v>28.2</v>
      </c>
      <c r="AH191" s="343">
        <v>2.37</v>
      </c>
      <c r="AI191" s="343">
        <f t="shared" si="88"/>
        <v>3.8932831455530406E-2</v>
      </c>
      <c r="AJ191" s="346">
        <v>30616</v>
      </c>
      <c r="AK191" s="346">
        <v>786380</v>
      </c>
      <c r="AL191" s="345">
        <f>((AA191/4.5)*100*1.5+(LN(MIN(AB191,5)+1)/LN(5+1))*100+((AE191-(-300))/(150-(-300)))*100+(LN(MIN(AF191,500))/LN(500))*100*0.5+(MAX((60-AG191),0))/60*100*0.5+((AH191-1)/(7-1))*100*2+(LN(MIN(AI191,20)+1)/LN(20+1))*100)/7.5</f>
        <v>33.816080683257908</v>
      </c>
      <c r="AM191" s="343">
        <v>54.96</v>
      </c>
      <c r="AN191" s="344">
        <v>7.4</v>
      </c>
      <c r="AO191" s="344">
        <v>122.9</v>
      </c>
      <c r="AP191" s="345">
        <f t="shared" si="89"/>
        <v>13.269480359414237</v>
      </c>
      <c r="AQ191" s="343">
        <v>54.385287501070003</v>
      </c>
      <c r="AR191" s="344">
        <v>54.5</v>
      </c>
      <c r="AS191" s="345">
        <f t="shared" si="90"/>
        <v>54.442643750534998</v>
      </c>
      <c r="AT191" s="343">
        <v>933.96884156181102</v>
      </c>
      <c r="AU191" s="343">
        <v>44.061184547304599</v>
      </c>
      <c r="AV191" s="343">
        <v>1605.6013483096999</v>
      </c>
      <c r="AW191" s="351">
        <f t="shared" si="91"/>
        <v>33.939129103766696</v>
      </c>
      <c r="AX191" s="293"/>
      <c r="AY191" s="120"/>
    </row>
    <row r="192" spans="1:51" s="30" customFormat="1" x14ac:dyDescent="0.2">
      <c r="A192" s="294">
        <v>188</v>
      </c>
      <c r="B192" s="301" t="s">
        <v>23</v>
      </c>
      <c r="C192" s="303" t="s">
        <v>26</v>
      </c>
      <c r="D192" s="145" t="s">
        <v>299</v>
      </c>
      <c r="E192" s="173" t="s">
        <v>306</v>
      </c>
      <c r="F192" s="177" t="s">
        <v>100</v>
      </c>
      <c r="G192" s="341">
        <f t="shared" si="81"/>
        <v>26.645737597423892</v>
      </c>
      <c r="H192" s="342">
        <f t="shared" si="82"/>
        <v>35.262793913870439</v>
      </c>
      <c r="I192" s="342">
        <f t="shared" si="83"/>
        <v>18.028681280977345</v>
      </c>
      <c r="J192" s="343">
        <v>0.31530568958333333</v>
      </c>
      <c r="K192" s="344">
        <v>66.649916458333337</v>
      </c>
      <c r="L192" s="344">
        <v>46.9984247926824</v>
      </c>
      <c r="M192" s="344">
        <v>47.861400600000003</v>
      </c>
      <c r="N192" s="345">
        <f t="shared" si="84"/>
        <v>26.199374971434491</v>
      </c>
      <c r="O192" s="343">
        <f t="shared" si="85"/>
        <v>4.09426771091446E-2</v>
      </c>
      <c r="P192" s="346">
        <v>482</v>
      </c>
      <c r="Q192" s="346">
        <v>11772557</v>
      </c>
      <c r="R192" s="352">
        <v>1.5</v>
      </c>
      <c r="S192" s="352">
        <v>0</v>
      </c>
      <c r="T192" s="353">
        <v>7</v>
      </c>
      <c r="U192" s="345">
        <f t="shared" si="86"/>
        <v>54.152957254740834</v>
      </c>
      <c r="V192" s="343">
        <f t="shared" si="94"/>
        <v>123.16780458145159</v>
      </c>
      <c r="W192" s="348">
        <v>1450</v>
      </c>
      <c r="X192" s="346">
        <v>11772557</v>
      </c>
      <c r="Y192" s="352">
        <v>13.7</v>
      </c>
      <c r="Z192" s="345">
        <f t="shared" si="87"/>
        <v>68.959039309412788</v>
      </c>
      <c r="AA192" s="343">
        <v>2.1333333333333333</v>
      </c>
      <c r="AB192" s="343">
        <f t="shared" si="95"/>
        <v>6.3318444752486656E-3</v>
      </c>
      <c r="AC192" s="346">
        <v>74542</v>
      </c>
      <c r="AD192" s="346">
        <v>11772557</v>
      </c>
      <c r="AE192" s="352">
        <v>-3.5</v>
      </c>
      <c r="AF192" s="343">
        <v>31.46</v>
      </c>
      <c r="AG192" s="352">
        <v>25.175000000000001</v>
      </c>
      <c r="AH192" s="343">
        <v>2.0499999999999998</v>
      </c>
      <c r="AI192" s="343">
        <f t="shared" si="88"/>
        <v>0.15478955007256895</v>
      </c>
      <c r="AJ192" s="346">
        <v>4266</v>
      </c>
      <c r="AK192" s="346">
        <v>27560</v>
      </c>
      <c r="AL192" s="345">
        <f>((AA192/4.5)*100*1.5+(LN(MIN(AB192,5)+1)/LN(5+1))*100+((AE192-(-300))/(150-(-300)))*100+(LN(MIN(AF192,500))/LN(500))*100*0.5+(MAX((60-AG192),0))/60*100*0.5+((AH192-1)/(7-1))*100*2+(LN(MIN(AI192,20)+1)/LN(20+1))*100)/7.5</f>
        <v>31.179610672203186</v>
      </c>
      <c r="AM192" s="343">
        <v>51.06</v>
      </c>
      <c r="AN192" s="344">
        <v>4.5</v>
      </c>
      <c r="AO192" s="344">
        <v>259</v>
      </c>
      <c r="AP192" s="345">
        <f t="shared" si="89"/>
        <v>9.5628571428571423</v>
      </c>
      <c r="AQ192" s="343">
        <v>30.990127206898435</v>
      </c>
      <c r="AR192" s="344">
        <v>77.2</v>
      </c>
      <c r="AS192" s="345">
        <f t="shared" si="90"/>
        <v>54.095063603449219</v>
      </c>
      <c r="AT192" s="343">
        <v>2379.7456127537898</v>
      </c>
      <c r="AU192" s="343">
        <v>490.47287658055501</v>
      </c>
      <c r="AV192" s="343">
        <v>3476.7658558999101</v>
      </c>
      <c r="AW192" s="351">
        <f t="shared" si="91"/>
        <v>7.3597713728660876</v>
      </c>
      <c r="AX192" s="293"/>
      <c r="AY192" s="120"/>
    </row>
    <row r="193" spans="1:51" s="30" customFormat="1" x14ac:dyDescent="0.2">
      <c r="A193" s="294">
        <v>189</v>
      </c>
      <c r="B193" s="297" t="s">
        <v>16</v>
      </c>
      <c r="C193" s="300" t="s">
        <v>21</v>
      </c>
      <c r="D193" s="144" t="s">
        <v>298</v>
      </c>
      <c r="E193" s="169" t="s">
        <v>303</v>
      </c>
      <c r="F193" s="177" t="s">
        <v>84</v>
      </c>
      <c r="G193" s="341">
        <f t="shared" si="81"/>
        <v>26.385021625361169</v>
      </c>
      <c r="H193" s="342">
        <f t="shared" si="82"/>
        <v>25.615295660999593</v>
      </c>
      <c r="I193" s="342">
        <f t="shared" si="83"/>
        <v>27.154747589722746</v>
      </c>
      <c r="J193" s="343">
        <v>0.52521442260416662</v>
      </c>
      <c r="K193" s="344">
        <v>61.128411249999999</v>
      </c>
      <c r="L193" s="344">
        <v>41.639278832329403</v>
      </c>
      <c r="M193" s="344">
        <v>21.941299440000002</v>
      </c>
      <c r="N193" s="345">
        <f t="shared" si="84"/>
        <v>18.370436961919157</v>
      </c>
      <c r="O193" s="343">
        <f t="shared" si="85"/>
        <v>4.6092766292353197E-2</v>
      </c>
      <c r="P193" s="346">
        <v>6087</v>
      </c>
      <c r="Q193" s="346">
        <v>132059767.49999999</v>
      </c>
      <c r="R193" s="344">
        <v>6.6</v>
      </c>
      <c r="S193" s="344">
        <v>3</v>
      </c>
      <c r="T193" s="347">
        <v>30</v>
      </c>
      <c r="U193" s="345">
        <f t="shared" si="86"/>
        <v>37.422422495989501</v>
      </c>
      <c r="V193" s="343">
        <f t="shared" si="94"/>
        <v>79.873682951925545</v>
      </c>
      <c r="W193" s="348">
        <v>10548.1</v>
      </c>
      <c r="X193" s="346">
        <v>132059767.49999999</v>
      </c>
      <c r="Y193" s="344">
        <v>52.4</v>
      </c>
      <c r="Z193" s="345">
        <f t="shared" si="87"/>
        <v>13.203581524631099</v>
      </c>
      <c r="AA193" s="343">
        <v>2.38</v>
      </c>
      <c r="AB193" s="343">
        <f t="shared" si="95"/>
        <v>0.11565410335892042</v>
      </c>
      <c r="AC193" s="346">
        <v>15273254</v>
      </c>
      <c r="AD193" s="346">
        <v>132059767.5</v>
      </c>
      <c r="AE193" s="349" t="s">
        <v>931</v>
      </c>
      <c r="AF193" s="349" t="s">
        <v>931</v>
      </c>
      <c r="AG193" s="344">
        <v>21.2</v>
      </c>
      <c r="AH193" s="343">
        <v>3.27</v>
      </c>
      <c r="AI193" s="343">
        <f t="shared" si="88"/>
        <v>0.15125618975532798</v>
      </c>
      <c r="AJ193" s="346">
        <v>165863</v>
      </c>
      <c r="AK193" s="346">
        <v>1096570</v>
      </c>
      <c r="AL193" s="345">
        <f>((AA193/4.5)*100*1.5+(LN(MIN(AB193,5)+1)/LN(5+1))*100+(MAX((60-AG193),0))/60*100*0.5+((AH193-1)/(7-1))*100*2+(LN(MIN(AI193,20)+1)/LN(20+1))*100)/6</f>
        <v>33.011301185424671</v>
      </c>
      <c r="AM193" s="343">
        <v>64.31</v>
      </c>
      <c r="AN193" s="344">
        <v>7.1</v>
      </c>
      <c r="AO193" s="344">
        <v>123.9</v>
      </c>
      <c r="AP193" s="345">
        <f t="shared" si="89"/>
        <v>11.719029583175663</v>
      </c>
      <c r="AQ193" s="343">
        <v>48.830276781994201</v>
      </c>
      <c r="AR193" s="344">
        <v>61.8</v>
      </c>
      <c r="AS193" s="345">
        <f t="shared" si="90"/>
        <v>55.315138390997099</v>
      </c>
      <c r="AT193" s="343">
        <v>1846.45155641222</v>
      </c>
      <c r="AU193" s="343">
        <v>10.152914942728501</v>
      </c>
      <c r="AV193" s="343">
        <v>2255.63703613185</v>
      </c>
      <c r="AW193" s="351">
        <f t="shared" si="91"/>
        <v>45.301510808089638</v>
      </c>
      <c r="AX193" s="293"/>
      <c r="AY193" s="120"/>
    </row>
    <row r="194" spans="1:51" s="30" customFormat="1" x14ac:dyDescent="0.2">
      <c r="A194" s="294">
        <v>190</v>
      </c>
      <c r="B194" s="307" t="s">
        <v>10</v>
      </c>
      <c r="C194" s="309" t="s">
        <v>11</v>
      </c>
      <c r="D194" s="141" t="s">
        <v>295</v>
      </c>
      <c r="E194" s="169" t="s">
        <v>303</v>
      </c>
      <c r="F194" s="177" t="s">
        <v>12</v>
      </c>
      <c r="G194" s="341">
        <f t="shared" si="81"/>
        <v>26.231679422341148</v>
      </c>
      <c r="H194" s="342">
        <f t="shared" si="82"/>
        <v>28.112856064160223</v>
      </c>
      <c r="I194" s="342">
        <f t="shared" si="83"/>
        <v>24.350502780522074</v>
      </c>
      <c r="J194" s="343">
        <v>8.00873E-2</v>
      </c>
      <c r="K194" s="344">
        <v>55.547499999999999</v>
      </c>
      <c r="L194" s="344">
        <v>26.780622558722602</v>
      </c>
      <c r="M194" s="344">
        <v>16.094999309999999</v>
      </c>
      <c r="N194" s="345">
        <f t="shared" si="84"/>
        <v>12.637228217180651</v>
      </c>
      <c r="O194" s="343">
        <f t="shared" si="85"/>
        <v>1.5194328426159269E-2</v>
      </c>
      <c r="P194" s="346">
        <v>648</v>
      </c>
      <c r="Q194" s="346">
        <v>42647492</v>
      </c>
      <c r="R194" s="344">
        <v>13.2</v>
      </c>
      <c r="S194" s="344">
        <v>0</v>
      </c>
      <c r="T194" s="347">
        <v>11</v>
      </c>
      <c r="U194" s="345">
        <f t="shared" si="86"/>
        <v>41.591367804565998</v>
      </c>
      <c r="V194" s="343">
        <f t="shared" si="94"/>
        <v>475.57310052370724</v>
      </c>
      <c r="W194" s="348">
        <v>20282</v>
      </c>
      <c r="X194" s="346">
        <v>42647492</v>
      </c>
      <c r="Y194" s="344">
        <v>12.6</v>
      </c>
      <c r="Z194" s="345">
        <f t="shared" si="87"/>
        <v>74.681154175814214</v>
      </c>
      <c r="AA194" s="343">
        <v>1.9166666666666667</v>
      </c>
      <c r="AB194" s="343">
        <f t="shared" si="95"/>
        <v>2.4183813669511913E-2</v>
      </c>
      <c r="AC194" s="346">
        <v>1031379</v>
      </c>
      <c r="AD194" s="346">
        <v>42647492</v>
      </c>
      <c r="AE194" s="349" t="s">
        <v>931</v>
      </c>
      <c r="AF194" s="349" t="s">
        <v>931</v>
      </c>
      <c r="AG194" s="344">
        <v>8.4</v>
      </c>
      <c r="AH194" s="350">
        <v>2.8317593447231255</v>
      </c>
      <c r="AI194" s="343">
        <f t="shared" si="88"/>
        <v>6.8606166536344534E-2</v>
      </c>
      <c r="AJ194" s="346">
        <v>44747</v>
      </c>
      <c r="AK194" s="346">
        <v>652230</v>
      </c>
      <c r="AL194" s="345">
        <f>((AA194/4.5)*100*1.5+(LN(MIN(AB194,5)+1)/LN(5+1))*100+(MAX((60-AG194),0))/60*100*0.5+((AH194-1)/(7-1))*100*2+(LN(MIN(AI194,20)+1)/LN(20+1))*100)/6</f>
        <v>28.576781448124851</v>
      </c>
      <c r="AM194" s="343">
        <v>71.59</v>
      </c>
      <c r="AN194" s="344">
        <v>38.6</v>
      </c>
      <c r="AO194" s="344">
        <v>224.3</v>
      </c>
      <c r="AP194" s="345">
        <f t="shared" si="89"/>
        <v>26.115714285714287</v>
      </c>
      <c r="AQ194" s="343">
        <v>9.6538218443430406</v>
      </c>
      <c r="AR194" s="344">
        <v>56.3</v>
      </c>
      <c r="AS194" s="345">
        <f t="shared" si="90"/>
        <v>32.97691092217152</v>
      </c>
      <c r="AT194" s="343">
        <v>1214.25842891411</v>
      </c>
      <c r="AU194" s="343">
        <v>430.96049181811702</v>
      </c>
      <c r="AV194" s="343">
        <v>2825.5803895336899</v>
      </c>
      <c r="AW194" s="351">
        <f t="shared" si="91"/>
        <v>10.42846012329599</v>
      </c>
      <c r="AX194" s="293"/>
      <c r="AY194" s="120"/>
    </row>
    <row r="195" spans="1:51" s="30" customFormat="1" x14ac:dyDescent="0.2">
      <c r="A195" s="294">
        <v>191</v>
      </c>
      <c r="B195" s="297" t="s">
        <v>16</v>
      </c>
      <c r="C195" s="310" t="s">
        <v>886</v>
      </c>
      <c r="D195" s="144" t="s">
        <v>298</v>
      </c>
      <c r="E195" s="169" t="s">
        <v>303</v>
      </c>
      <c r="F195" s="177" t="s">
        <v>158</v>
      </c>
      <c r="G195" s="341">
        <f t="shared" si="81"/>
        <v>23.557957964492989</v>
      </c>
      <c r="H195" s="342">
        <f t="shared" si="82"/>
        <v>25.970391928338309</v>
      </c>
      <c r="I195" s="342">
        <f t="shared" si="83"/>
        <v>21.145524000647669</v>
      </c>
      <c r="J195" s="343">
        <v>0.10761900000000001</v>
      </c>
      <c r="K195" s="344">
        <v>65.734999999999999</v>
      </c>
      <c r="L195" s="344">
        <v>27.454513641885502</v>
      </c>
      <c r="M195" s="344">
        <v>15.557600020000001</v>
      </c>
      <c r="N195" s="345">
        <f t="shared" si="84"/>
        <v>13.033877582138041</v>
      </c>
      <c r="O195" s="343">
        <f t="shared" si="85"/>
        <v>3.070388186773933E-3</v>
      </c>
      <c r="P195" s="346">
        <v>83</v>
      </c>
      <c r="Q195" s="346">
        <v>27032412.5</v>
      </c>
      <c r="R195" s="344">
        <v>6.2</v>
      </c>
      <c r="S195" s="344">
        <v>1</v>
      </c>
      <c r="T195" s="347">
        <v>30</v>
      </c>
      <c r="U195" s="345">
        <f t="shared" si="86"/>
        <v>40.913849397239247</v>
      </c>
      <c r="V195" s="343">
        <f t="shared" si="94"/>
        <v>95.563342709423367</v>
      </c>
      <c r="W195" s="348">
        <v>2583.3076999999998</v>
      </c>
      <c r="X195" s="346">
        <v>27032412.5</v>
      </c>
      <c r="Y195" s="344">
        <v>12.2</v>
      </c>
      <c r="Z195" s="345">
        <f t="shared" si="87"/>
        <v>70.444158462757699</v>
      </c>
      <c r="AA195" s="343">
        <v>2.0699999999999998</v>
      </c>
      <c r="AB195" s="343">
        <f t="shared" si="95"/>
        <v>2.1363243106770438E-4</v>
      </c>
      <c r="AC195" s="346">
        <v>5775</v>
      </c>
      <c r="AD195" s="346">
        <v>27032412.5</v>
      </c>
      <c r="AE195" s="349" t="s">
        <v>931</v>
      </c>
      <c r="AF195" s="349" t="s">
        <v>931</v>
      </c>
      <c r="AG195" s="344">
        <v>23.7</v>
      </c>
      <c r="AH195" s="350">
        <v>2.320901366055367</v>
      </c>
      <c r="AI195" s="343">
        <f t="shared" si="88"/>
        <v>3.1655482750453934E-2</v>
      </c>
      <c r="AJ195" s="346">
        <v>40098</v>
      </c>
      <c r="AK195" s="346">
        <v>1266700</v>
      </c>
      <c r="AL195" s="345">
        <f>((AA195/4.5)*100*1.5+(LN(MIN(AB195,5)+1)/LN(5+1))*100+(MAX((60-AG195),0))/60*100*0.5+((AH195-1)/(7-1))*100*2+(LN(MIN(AI195,20)+1)/LN(20+1))*100)/6</f>
        <v>24.052600273708489</v>
      </c>
      <c r="AM195" s="343">
        <v>70.44</v>
      </c>
      <c r="AN195" s="344">
        <v>5.0999999999999996</v>
      </c>
      <c r="AO195" s="344">
        <v>187.7</v>
      </c>
      <c r="AP195" s="345">
        <f t="shared" si="89"/>
        <v>7.4773428794702381</v>
      </c>
      <c r="AQ195" s="343">
        <v>14.8268991865027</v>
      </c>
      <c r="AR195" s="344">
        <v>62.4</v>
      </c>
      <c r="AS195" s="345">
        <f t="shared" si="90"/>
        <v>38.613449593251346</v>
      </c>
      <c r="AT195" s="343">
        <v>1688.90439478335</v>
      </c>
      <c r="AU195" s="343">
        <v>10.047083638478099</v>
      </c>
      <c r="AV195" s="343">
        <v>3762.1178104250398</v>
      </c>
      <c r="AW195" s="351">
        <f t="shared" si="91"/>
        <v>44.682141771576291</v>
      </c>
      <c r="AX195" s="293"/>
      <c r="AY195" s="120"/>
    </row>
    <row r="196" spans="1:51" s="30" customFormat="1" x14ac:dyDescent="0.2">
      <c r="A196" s="294">
        <v>192</v>
      </c>
      <c r="B196" s="297" t="s">
        <v>16</v>
      </c>
      <c r="C196" s="300" t="s">
        <v>21</v>
      </c>
      <c r="D196" s="144" t="s">
        <v>298</v>
      </c>
      <c r="E196" s="152" t="s">
        <v>303</v>
      </c>
      <c r="F196" s="177" t="s">
        <v>135</v>
      </c>
      <c r="G196" s="341">
        <f t="shared" si="81"/>
        <v>23.262966283689842</v>
      </c>
      <c r="H196" s="342">
        <f t="shared" si="82"/>
        <v>27.913401079304013</v>
      </c>
      <c r="I196" s="342">
        <f t="shared" si="83"/>
        <v>18.612531488075671</v>
      </c>
      <c r="J196" s="343">
        <v>0.124487</v>
      </c>
      <c r="K196" s="344">
        <v>75.456299999999999</v>
      </c>
      <c r="L196" s="344">
        <v>38.252761848747298</v>
      </c>
      <c r="M196" s="344">
        <v>18.677900309999998</v>
      </c>
      <c r="N196" s="345">
        <f t="shared" si="84"/>
        <v>16.851614706353491</v>
      </c>
      <c r="O196" s="343">
        <f t="shared" si="85"/>
        <v>2.7342443393321109E-2</v>
      </c>
      <c r="P196" s="346">
        <v>874</v>
      </c>
      <c r="Q196" s="346">
        <v>31964956</v>
      </c>
      <c r="R196" s="344">
        <v>6.3</v>
      </c>
      <c r="S196" s="344">
        <v>0.3</v>
      </c>
      <c r="T196" s="347">
        <v>90</v>
      </c>
      <c r="U196" s="345">
        <f t="shared" si="86"/>
        <v>25.185811893499871</v>
      </c>
      <c r="V196" s="343">
        <f t="shared" si="94"/>
        <v>421.00793131077671</v>
      </c>
      <c r="W196" s="348">
        <v>13457.5</v>
      </c>
      <c r="X196" s="346">
        <v>31964956</v>
      </c>
      <c r="Y196" s="344">
        <v>29.4</v>
      </c>
      <c r="Z196" s="345">
        <f t="shared" si="87"/>
        <v>49.113815732143941</v>
      </c>
      <c r="AA196" s="343">
        <v>2.2166666666666663</v>
      </c>
      <c r="AB196" s="343">
        <f t="shared" si="95"/>
        <v>9.8017654083428114E-3</v>
      </c>
      <c r="AC196" s="346">
        <v>313313</v>
      </c>
      <c r="AD196" s="346">
        <v>31964956</v>
      </c>
      <c r="AE196" s="344">
        <v>6</v>
      </c>
      <c r="AF196" s="343">
        <v>24.16</v>
      </c>
      <c r="AG196" s="344">
        <v>24</v>
      </c>
      <c r="AH196" s="350">
        <v>2.7323680033945155</v>
      </c>
      <c r="AI196" s="343">
        <f t="shared" si="88"/>
        <v>5.8771537641434814E-2</v>
      </c>
      <c r="AJ196" s="346">
        <v>34178</v>
      </c>
      <c r="AK196" s="346">
        <v>581540</v>
      </c>
      <c r="AL196" s="345">
        <f>((AA196/4.5)*100*1.5+(LN(MIN(AB196,5)+1)/LN(5+1))*100+((AE196-(-300))/(150-(-300)))*100+(LN(MIN(AF196,500))/LN(500))*100*0.5+(MAX((60-AG196),0))/60*100*0.5+((AH196-1)/(7-1))*100*2+(LN(MIN(AI196,20)+1)/LN(20+1))*100)/7.5</f>
        <v>34.356981085495583</v>
      </c>
      <c r="AM196" s="343">
        <v>65.72</v>
      </c>
      <c r="AN196" s="344">
        <v>1.6</v>
      </c>
      <c r="AO196" s="344">
        <v>200.1</v>
      </c>
      <c r="AP196" s="345">
        <f t="shared" si="89"/>
        <v>5.8114285714285714</v>
      </c>
      <c r="AQ196" s="343">
        <v>24.4501397197571</v>
      </c>
      <c r="AR196" s="344">
        <v>47.3</v>
      </c>
      <c r="AS196" s="345">
        <f t="shared" si="90"/>
        <v>35.87506985987855</v>
      </c>
      <c r="AT196" s="343">
        <v>2134.70787062319</v>
      </c>
      <c r="AU196" s="343">
        <v>17.538865335347101</v>
      </c>
      <c r="AV196" s="343">
        <v>2668.0341081059801</v>
      </c>
      <c r="AW196" s="351">
        <f t="shared" si="91"/>
        <v>39.75330186621408</v>
      </c>
      <c r="AX196" s="293"/>
      <c r="AY196" s="120"/>
    </row>
    <row r="197" spans="1:51" s="30" customFormat="1" x14ac:dyDescent="0.2">
      <c r="A197" s="294">
        <v>193</v>
      </c>
      <c r="B197" s="297" t="s">
        <v>16</v>
      </c>
      <c r="C197" s="310" t="s">
        <v>886</v>
      </c>
      <c r="D197" s="144" t="s">
        <v>298</v>
      </c>
      <c r="E197" s="169" t="s">
        <v>303</v>
      </c>
      <c r="F197" s="177" t="s">
        <v>59</v>
      </c>
      <c r="G197" s="341">
        <f t="shared" ref="G197:G202" si="96">AVERAGE(H197:I197)</f>
        <v>23.183222646454865</v>
      </c>
      <c r="H197" s="342">
        <f t="shared" ref="H197:H202" si="97">(N197*20+U197*5+Z197*5+AL197*20)/50</f>
        <v>24.15421459308552</v>
      </c>
      <c r="I197" s="342">
        <f t="shared" ref="I197:I202" si="98">(AP197*15+AS197*5+AW197*5)/25</f>
        <v>22.212230699824207</v>
      </c>
      <c r="J197" s="343">
        <v>1.6574146250000001E-2</v>
      </c>
      <c r="K197" s="344">
        <v>41.501911666666672</v>
      </c>
      <c r="L197" s="344">
        <v>22.3421627828906</v>
      </c>
      <c r="M197" s="344">
        <v>13.78250027</v>
      </c>
      <c r="N197" s="345">
        <f t="shared" ref="N197:N202" si="99">((MIN(J197,50)/50)*100*2.5+(MIN(K197,250)/250)*0.5*100+L197*1.5+M197*1.5)/6</f>
        <v>10.428374607319872</v>
      </c>
      <c r="O197" s="343">
        <f t="shared" ref="O197:O202" si="100">(P197*1000)/Q197</f>
        <v>2.457468213070748E-2</v>
      </c>
      <c r="P197" s="346">
        <v>131</v>
      </c>
      <c r="Q197" s="346">
        <v>5330689.5</v>
      </c>
      <c r="R197" s="352">
        <v>4</v>
      </c>
      <c r="S197" s="352">
        <v>1</v>
      </c>
      <c r="T197" s="353">
        <v>17.5</v>
      </c>
      <c r="U197" s="345">
        <f t="shared" ref="U197:U202" si="101">((MIN(O197,4)/4)*100*1.5+(1-(MIN(R197,15)/15))*100*0.5+(1-(MIN(S197,8)/8))*100*0.5+(1-(MIN(T197,100)/100))*100)/3.5</f>
        <v>46.810919213305205</v>
      </c>
      <c r="V197" s="343">
        <f t="shared" si="94"/>
        <v>13.600492018902996</v>
      </c>
      <c r="W197" s="348">
        <v>72.5</v>
      </c>
      <c r="X197" s="346">
        <v>5330689.5</v>
      </c>
      <c r="Y197" s="352">
        <v>21.1</v>
      </c>
      <c r="Z197" s="345">
        <f t="shared" ref="Z197:Z202" si="102">((LN(MAX(V197,1))/LN(4000))*100*0.5+(MAX((50-Y197),0))/50*100*1.5)/2</f>
        <v>51.217405197721988</v>
      </c>
      <c r="AA197" s="343">
        <v>2.5</v>
      </c>
      <c r="AB197" s="350">
        <v>5.9970679205359183E-3</v>
      </c>
      <c r="AC197" s="346"/>
      <c r="AD197" s="346">
        <v>5330689.5</v>
      </c>
      <c r="AE197" s="349" t="s">
        <v>931</v>
      </c>
      <c r="AF197" s="349" t="s">
        <v>931</v>
      </c>
      <c r="AG197" s="352">
        <v>21.3</v>
      </c>
      <c r="AH197" s="350">
        <v>2.0662555070376407</v>
      </c>
      <c r="AI197" s="343">
        <f t="shared" ref="AI197:AI202" si="103">AJ197/AK197</f>
        <v>3.8524263865524634E-2</v>
      </c>
      <c r="AJ197" s="346">
        <v>24000</v>
      </c>
      <c r="AK197" s="346">
        <v>622984</v>
      </c>
      <c r="AL197" s="345">
        <f>((AA197/4.5)*100*1.5+(LN(MIN(AB197,5)+1)/LN(5+1))*100+(MAX((60-AG197),0))/60*100*0.5+((AH197-1)/(7-1))*100*2+(LN(MIN(AI197,20)+1)/LN(20+1))*100)/6</f>
        <v>25.450080772637136</v>
      </c>
      <c r="AM197" s="343">
        <v>68.91</v>
      </c>
      <c r="AN197" s="344">
        <v>1</v>
      </c>
      <c r="AO197" s="344">
        <v>219</v>
      </c>
      <c r="AP197" s="345">
        <f t="shared" ref="AP197:AP202" si="104">((100-AM197)*0.5+AN197*2+(1-(LN(MIN(AO197,200)+1)/LN(200+1)))*100*1)/3.5</f>
        <v>5.0128571428571433</v>
      </c>
      <c r="AQ197" s="343">
        <v>13.058649105210149</v>
      </c>
      <c r="AR197" s="344">
        <v>49.8</v>
      </c>
      <c r="AS197" s="345">
        <f t="shared" ref="AS197:AS202" si="105">(AQ197+AR197)/2</f>
        <v>31.429324552605074</v>
      </c>
      <c r="AT197" s="343">
        <v>2979.6390548264599</v>
      </c>
      <c r="AU197" s="343">
        <v>0.339635779345827</v>
      </c>
      <c r="AV197" s="343">
        <v>2443.0994057993798</v>
      </c>
      <c r="AW197" s="351">
        <f t="shared" ref="AW197:AW202" si="106">((1-(LN(MIN(AT197,3000)+1)/LN(3000+1)))*100*0.5+(1-(LN(MIN(AU197,1000)+1)/LN(1000+1)))*100*2+(1-(LN(MIN(AV197,3500)+1)/LN(3500+1)))*100*0.5)/3</f>
        <v>64.593257517944537</v>
      </c>
      <c r="AX197" s="293"/>
      <c r="AY197" s="120"/>
    </row>
    <row r="198" spans="1:51" s="30" customFormat="1" x14ac:dyDescent="0.2">
      <c r="A198" s="294">
        <v>194</v>
      </c>
      <c r="B198" s="297" t="s">
        <v>16</v>
      </c>
      <c r="C198" s="310" t="s">
        <v>886</v>
      </c>
      <c r="D198" s="144" t="s">
        <v>298</v>
      </c>
      <c r="E198" s="169" t="s">
        <v>303</v>
      </c>
      <c r="F198" s="177" t="s">
        <v>60</v>
      </c>
      <c r="G198" s="341">
        <f t="shared" si="96"/>
        <v>23.131125259621733</v>
      </c>
      <c r="H198" s="342">
        <f t="shared" si="97"/>
        <v>23.009200241266463</v>
      </c>
      <c r="I198" s="342">
        <f t="shared" si="98"/>
        <v>23.253050277977</v>
      </c>
      <c r="J198" s="343">
        <v>0</v>
      </c>
      <c r="K198" s="344">
        <v>70.187399999999997</v>
      </c>
      <c r="L198" s="344">
        <v>26.8547260703515</v>
      </c>
      <c r="M198" s="344">
        <v>12.626899720000001</v>
      </c>
      <c r="N198" s="345">
        <f t="shared" si="99"/>
        <v>12.209986447587875</v>
      </c>
      <c r="O198" s="343">
        <f t="shared" si="100"/>
        <v>8.1284299819258197E-3</v>
      </c>
      <c r="P198" s="346">
        <v>165</v>
      </c>
      <c r="Q198" s="346">
        <v>20299123</v>
      </c>
      <c r="R198" s="344">
        <v>15.9</v>
      </c>
      <c r="S198" s="344">
        <v>15</v>
      </c>
      <c r="T198" s="347">
        <v>20</v>
      </c>
      <c r="U198" s="345">
        <f t="shared" si="101"/>
        <v>22.944233178377775</v>
      </c>
      <c r="V198" s="343">
        <f t="shared" si="94"/>
        <v>43.331921285466372</v>
      </c>
      <c r="W198" s="348">
        <v>879.6</v>
      </c>
      <c r="X198" s="346">
        <v>20299123</v>
      </c>
      <c r="Y198" s="344">
        <v>20.9</v>
      </c>
      <c r="Z198" s="345">
        <f t="shared" si="102"/>
        <v>55.010221300442382</v>
      </c>
      <c r="AA198" s="343">
        <v>2.42</v>
      </c>
      <c r="AB198" s="343">
        <f>AC198/AD198</f>
        <v>1.507454287557152E-3</v>
      </c>
      <c r="AC198" s="346">
        <v>30600</v>
      </c>
      <c r="AD198" s="346">
        <v>20299123</v>
      </c>
      <c r="AE198" s="349" t="s">
        <v>931</v>
      </c>
      <c r="AF198" s="349" t="s">
        <v>931</v>
      </c>
      <c r="AG198" s="344">
        <v>21.3</v>
      </c>
      <c r="AH198" s="343">
        <v>2.2400000000000002</v>
      </c>
      <c r="AI198" s="343">
        <f t="shared" si="103"/>
        <v>1.8817503176620076E-2</v>
      </c>
      <c r="AJ198" s="346">
        <v>23695</v>
      </c>
      <c r="AK198" s="346">
        <v>1259200</v>
      </c>
      <c r="AL198" s="345">
        <f>((AA198/4.5)*100*1.5+(LN(MIN(AB198,5)+1)/LN(5+1))*100+(MAX((60-AG198),0))/60*100*0.5+((AH198-1)/(7-1))*100*2+(LN(MIN(AI198,20)+1)/LN(20+1))*100)/6</f>
        <v>25.824400535873252</v>
      </c>
      <c r="AM198" s="343">
        <v>82</v>
      </c>
      <c r="AN198" s="344">
        <v>9.6999999999999993</v>
      </c>
      <c r="AO198" s="344">
        <v>202.5</v>
      </c>
      <c r="AP198" s="345">
        <f t="shared" si="104"/>
        <v>8.1142857142857139</v>
      </c>
      <c r="AQ198" s="343">
        <v>20.898359935936099</v>
      </c>
      <c r="AR198" s="344">
        <v>41.4</v>
      </c>
      <c r="AS198" s="345">
        <f t="shared" si="105"/>
        <v>31.149179967968049</v>
      </c>
      <c r="AT198" s="343">
        <v>1536.97364480888</v>
      </c>
      <c r="AU198" s="343">
        <v>1.2159560742476401</v>
      </c>
      <c r="AV198" s="343">
        <v>2887.04960023082</v>
      </c>
      <c r="AW198" s="351">
        <f t="shared" si="106"/>
        <v>60.7732142790598</v>
      </c>
      <c r="AX198" s="293"/>
      <c r="AY198" s="120"/>
    </row>
    <row r="199" spans="1:51" s="30" customFormat="1" x14ac:dyDescent="0.2">
      <c r="A199" s="294">
        <v>195</v>
      </c>
      <c r="B199" s="297" t="s">
        <v>16</v>
      </c>
      <c r="C199" s="310" t="s">
        <v>886</v>
      </c>
      <c r="D199" s="144" t="s">
        <v>298</v>
      </c>
      <c r="E199" s="152" t="s">
        <v>303</v>
      </c>
      <c r="F199" s="177" t="s">
        <v>328</v>
      </c>
      <c r="G199" s="341">
        <f t="shared" si="96"/>
        <v>21.90729606784517</v>
      </c>
      <c r="H199" s="342">
        <f t="shared" si="97"/>
        <v>27.483106145065303</v>
      </c>
      <c r="I199" s="342">
        <f t="shared" si="98"/>
        <v>16.331485990625037</v>
      </c>
      <c r="J199" s="343">
        <v>2.1993599999999999E-2</v>
      </c>
      <c r="K199" s="344">
        <v>53.188899999999997</v>
      </c>
      <c r="L199" s="344">
        <v>28.222844094550499</v>
      </c>
      <c r="M199" s="344">
        <v>19.673500059999999</v>
      </c>
      <c r="N199" s="345">
        <f t="shared" si="99"/>
        <v>13.765377371970958</v>
      </c>
      <c r="O199" s="343">
        <f t="shared" si="100"/>
        <v>3.3374127645075205E-2</v>
      </c>
      <c r="P199" s="346">
        <v>3647</v>
      </c>
      <c r="Q199" s="346">
        <v>109276264.5</v>
      </c>
      <c r="R199" s="352">
        <v>4</v>
      </c>
      <c r="S199" s="352">
        <v>1</v>
      </c>
      <c r="T199" s="353">
        <v>17.5</v>
      </c>
      <c r="U199" s="345">
        <f t="shared" si="101"/>
        <v>46.905198986673426</v>
      </c>
      <c r="V199" s="343">
        <f t="shared" si="94"/>
        <v>6.2557043208591745</v>
      </c>
      <c r="W199" s="348">
        <v>683.6</v>
      </c>
      <c r="X199" s="346">
        <v>109276264.5</v>
      </c>
      <c r="Y199" s="352">
        <v>21.1</v>
      </c>
      <c r="Z199" s="345">
        <f t="shared" si="102"/>
        <v>48.876533534267992</v>
      </c>
      <c r="AA199" s="343">
        <v>2.4666666666666668</v>
      </c>
      <c r="AB199" s="343">
        <f>AC199/AD199</f>
        <v>1.0525338491965014E-2</v>
      </c>
      <c r="AC199" s="346">
        <v>1150169.673</v>
      </c>
      <c r="AD199" s="346">
        <v>109276264.5</v>
      </c>
      <c r="AE199" s="344">
        <v>-61</v>
      </c>
      <c r="AF199" s="343">
        <v>24.82</v>
      </c>
      <c r="AG199" s="352">
        <v>21.3</v>
      </c>
      <c r="AH199" s="343">
        <v>2.09</v>
      </c>
      <c r="AI199" s="343">
        <f t="shared" si="103"/>
        <v>6.721207490975048E-2</v>
      </c>
      <c r="AJ199" s="346">
        <v>152373</v>
      </c>
      <c r="AK199" s="346">
        <v>2267048</v>
      </c>
      <c r="AL199" s="345">
        <f>((AA199/4.5)*100*1.5+(LN(MIN(AB199,5)+1)/LN(5+1))*100+((AE199-(-300))/(150-(-300)))*100+(LN(MIN(AF199,500))/LN(500))*100*0.5+(MAX((60-AG199),0))/60*100*0.5+((AH199-1)/(7-1))*100*2+(LN(MIN(AI199,20)+1)/LN(20+1))*100)/7.5</f>
        <v>30.996954860456949</v>
      </c>
      <c r="AM199" s="343">
        <v>78.36</v>
      </c>
      <c r="AN199" s="344">
        <v>5</v>
      </c>
      <c r="AO199" s="344">
        <v>180.3</v>
      </c>
      <c r="AP199" s="345">
        <f t="shared" si="104"/>
        <v>6.5042992359700476</v>
      </c>
      <c r="AQ199" s="343">
        <v>39.214011514222697</v>
      </c>
      <c r="AR199" s="344">
        <v>51.3</v>
      </c>
      <c r="AS199" s="345">
        <f t="shared" si="105"/>
        <v>45.257005757111344</v>
      </c>
      <c r="AT199" s="343">
        <v>5232.5607197169802</v>
      </c>
      <c r="AU199" s="343">
        <v>184.71642962856299</v>
      </c>
      <c r="AV199" s="343">
        <v>2567.60988595852</v>
      </c>
      <c r="AW199" s="351">
        <f t="shared" si="106"/>
        <v>16.887526488103685</v>
      </c>
      <c r="AX199" s="293"/>
      <c r="AY199" s="120"/>
    </row>
    <row r="200" spans="1:51" s="30" customFormat="1" x14ac:dyDescent="0.2">
      <c r="A200" s="294">
        <v>196</v>
      </c>
      <c r="B200" s="297" t="s">
        <v>16</v>
      </c>
      <c r="C200" s="300" t="s">
        <v>21</v>
      </c>
      <c r="D200" s="144" t="s">
        <v>298</v>
      </c>
      <c r="E200" s="355" t="s">
        <v>303</v>
      </c>
      <c r="F200" s="177" t="s">
        <v>136</v>
      </c>
      <c r="G200" s="341">
        <f t="shared" si="96"/>
        <v>21.781271393434743</v>
      </c>
      <c r="H200" s="342">
        <f t="shared" si="97"/>
        <v>22.491164163194448</v>
      </c>
      <c r="I200" s="342">
        <f t="shared" si="98"/>
        <v>21.071378623675038</v>
      </c>
      <c r="J200" s="343">
        <v>7.9556600000000005E-2</v>
      </c>
      <c r="K200" s="344">
        <v>61.086599999999997</v>
      </c>
      <c r="L200" s="344">
        <v>39.840153596948298</v>
      </c>
      <c r="M200" s="344">
        <v>18.96159935</v>
      </c>
      <c r="N200" s="345">
        <f t="shared" si="99"/>
        <v>16.80295540340374</v>
      </c>
      <c r="O200" s="343">
        <f t="shared" si="100"/>
        <v>4.3638306139203151E-2</v>
      </c>
      <c r="P200" s="346">
        <v>945</v>
      </c>
      <c r="Q200" s="346">
        <v>21655286</v>
      </c>
      <c r="R200" s="344">
        <v>9.1999999999999993</v>
      </c>
      <c r="S200" s="344">
        <v>3.7</v>
      </c>
      <c r="T200" s="347">
        <v>30</v>
      </c>
      <c r="U200" s="345">
        <f t="shared" si="101"/>
        <v>33.669934232443843</v>
      </c>
      <c r="V200" s="343">
        <f t="shared" si="94"/>
        <v>62.654448433514105</v>
      </c>
      <c r="W200" s="348">
        <v>1356.8</v>
      </c>
      <c r="X200" s="346">
        <v>21655286</v>
      </c>
      <c r="Y200" s="344">
        <v>53.8</v>
      </c>
      <c r="Z200" s="345">
        <f t="shared" si="102"/>
        <v>12.471696164383705</v>
      </c>
      <c r="AA200" s="343">
        <v>2.59</v>
      </c>
      <c r="AB200" s="343">
        <f>AC200/AD200</f>
        <v>1.6194655660516327E-4</v>
      </c>
      <c r="AC200" s="346">
        <v>3506.9989999999998</v>
      </c>
      <c r="AD200" s="346">
        <v>21655286</v>
      </c>
      <c r="AE200" s="349" t="s">
        <v>931</v>
      </c>
      <c r="AF200" s="349" t="s">
        <v>931</v>
      </c>
      <c r="AG200" s="344">
        <v>43.2</v>
      </c>
      <c r="AH200" s="343">
        <v>2.86</v>
      </c>
      <c r="AI200" s="343">
        <f t="shared" si="103"/>
        <v>0.16424319727891157</v>
      </c>
      <c r="AJ200" s="346">
        <v>15452</v>
      </c>
      <c r="AK200" s="346">
        <v>94080</v>
      </c>
      <c r="AL200" s="345">
        <f>((AA200/4.5)*100*1.5+(LN(MIN(AB200,5)+1)/LN(5+1))*100+(MAX((60-AG200),0))/60*100*0.5+((AH200-1)/(7-1))*100*2+(LN(MIN(AI200,20)+1)/LN(20+1))*100)/6</f>
        <v>27.889547405375492</v>
      </c>
      <c r="AM200" s="343">
        <v>37.97</v>
      </c>
      <c r="AN200" s="344">
        <v>1.5</v>
      </c>
      <c r="AO200" s="344">
        <v>143.4</v>
      </c>
      <c r="AP200" s="345">
        <f t="shared" si="104"/>
        <v>11.500305042038329</v>
      </c>
      <c r="AQ200" s="343">
        <v>50.369672500243901</v>
      </c>
      <c r="AR200" s="344">
        <v>69.2</v>
      </c>
      <c r="AS200" s="345">
        <f t="shared" si="105"/>
        <v>59.784836250121955</v>
      </c>
      <c r="AT200" s="343">
        <v>2271.9527331957001</v>
      </c>
      <c r="AU200" s="343">
        <v>357.056320313615</v>
      </c>
      <c r="AV200" s="343">
        <v>2644.35516917014</v>
      </c>
      <c r="AW200" s="351">
        <f t="shared" si="106"/>
        <v>11.071141742138233</v>
      </c>
      <c r="AX200" s="293"/>
      <c r="AY200" s="120"/>
    </row>
    <row r="201" spans="1:51" s="30" customFormat="1" x14ac:dyDescent="0.2">
      <c r="A201" s="294">
        <v>197</v>
      </c>
      <c r="B201" s="297" t="s">
        <v>16</v>
      </c>
      <c r="C201" s="310" t="s">
        <v>886</v>
      </c>
      <c r="D201" s="144" t="s">
        <v>298</v>
      </c>
      <c r="E201" s="355" t="s">
        <v>303</v>
      </c>
      <c r="F201" s="177" t="s">
        <v>53</v>
      </c>
      <c r="G201" s="341">
        <f t="shared" si="96"/>
        <v>20.660854317716691</v>
      </c>
      <c r="H201" s="342">
        <f t="shared" si="97"/>
        <v>19.012668711204409</v>
      </c>
      <c r="I201" s="342">
        <f t="shared" si="98"/>
        <v>22.309039924228973</v>
      </c>
      <c r="J201" s="343">
        <v>2.03441E-2</v>
      </c>
      <c r="K201" s="344">
        <v>63.1631</v>
      </c>
      <c r="L201" s="344">
        <v>25.0903077457683</v>
      </c>
      <c r="M201" s="344">
        <v>8.5959997179999998</v>
      </c>
      <c r="N201" s="345">
        <f t="shared" si="99"/>
        <v>10.543966949275408</v>
      </c>
      <c r="O201" s="343">
        <f t="shared" si="100"/>
        <v>9.0405705212195011E-3</v>
      </c>
      <c r="P201" s="346">
        <v>127</v>
      </c>
      <c r="Q201" s="346">
        <v>14047786</v>
      </c>
      <c r="R201" s="344">
        <v>5.9</v>
      </c>
      <c r="S201" s="344">
        <v>1</v>
      </c>
      <c r="T201" s="347">
        <v>30</v>
      </c>
      <c r="U201" s="345">
        <f t="shared" si="101"/>
        <v>41.263529922251159</v>
      </c>
      <c r="V201" s="343">
        <f t="shared" si="94"/>
        <v>19.93908506294159</v>
      </c>
      <c r="W201" s="348">
        <v>280.10000000000002</v>
      </c>
      <c r="X201" s="346">
        <v>14047786</v>
      </c>
      <c r="Y201" s="344">
        <v>75.8</v>
      </c>
      <c r="Z201" s="345">
        <f t="shared" si="102"/>
        <v>9.0205689887145173</v>
      </c>
      <c r="AA201" s="343">
        <v>2.06</v>
      </c>
      <c r="AB201" s="350">
        <v>5.9970679205359183E-3</v>
      </c>
      <c r="AC201" s="346"/>
      <c r="AD201" s="346">
        <v>14047786</v>
      </c>
      <c r="AE201" s="349" t="s">
        <v>931</v>
      </c>
      <c r="AF201" s="349" t="s">
        <v>931</v>
      </c>
      <c r="AG201" s="344">
        <v>67.8</v>
      </c>
      <c r="AH201" s="343">
        <v>2.96</v>
      </c>
      <c r="AI201" s="343">
        <f t="shared" si="103"/>
        <v>0.44832554517133955</v>
      </c>
      <c r="AJ201" s="346">
        <v>11513</v>
      </c>
      <c r="AK201" s="346">
        <v>25680</v>
      </c>
      <c r="AL201" s="345">
        <f>((AA201/4.5)*100*1.5+(LN(MIN(AB201,5)+1)/LN(5+1))*100+(MAX((60-AG201),0))/60*100*0.5+((AH201-1)/(7-1))*100*2+(LN(MIN(AI201,20)+1)/LN(20+1))*100)/6</f>
        <v>24.416680100994199</v>
      </c>
      <c r="AM201" s="343">
        <v>36.75</v>
      </c>
      <c r="AN201" s="344">
        <v>0.1</v>
      </c>
      <c r="AO201" s="344">
        <v>151.5</v>
      </c>
      <c r="AP201" s="345">
        <f t="shared" si="104"/>
        <v>10.580556480744017</v>
      </c>
      <c r="AQ201" s="343">
        <v>6.3951827696519672</v>
      </c>
      <c r="AR201" s="344">
        <v>65.2</v>
      </c>
      <c r="AS201" s="345">
        <f t="shared" si="105"/>
        <v>35.797591384825985</v>
      </c>
      <c r="AT201" s="343">
        <v>3085.5000603615599</v>
      </c>
      <c r="AU201" s="343">
        <v>9.6129785670869801</v>
      </c>
      <c r="AV201" s="343">
        <v>3280.2998340523</v>
      </c>
      <c r="AW201" s="351">
        <f t="shared" si="106"/>
        <v>44.005938794086823</v>
      </c>
      <c r="AX201" s="293"/>
      <c r="AY201" s="120"/>
    </row>
    <row r="202" spans="1:51" s="30" customFormat="1" x14ac:dyDescent="0.2">
      <c r="A202" s="294">
        <v>198</v>
      </c>
      <c r="B202" s="297" t="s">
        <v>16</v>
      </c>
      <c r="C202" s="300" t="s">
        <v>21</v>
      </c>
      <c r="D202" s="144" t="s">
        <v>298</v>
      </c>
      <c r="E202" s="152" t="s">
        <v>303</v>
      </c>
      <c r="F202" s="177" t="s">
        <v>191</v>
      </c>
      <c r="G202" s="341">
        <f t="shared" si="96"/>
        <v>19.902389229933547</v>
      </c>
      <c r="H202" s="342">
        <f t="shared" si="97"/>
        <v>23.256366668753081</v>
      </c>
      <c r="I202" s="342">
        <f t="shared" si="98"/>
        <v>16.548411791114013</v>
      </c>
      <c r="J202" s="343">
        <v>1.74165E-3</v>
      </c>
      <c r="K202" s="344">
        <v>46.615200000000002</v>
      </c>
      <c r="L202" s="344">
        <v>12.6849342667879</v>
      </c>
      <c r="M202" s="344">
        <v>10.375055565083333</v>
      </c>
      <c r="N202" s="345">
        <f t="shared" si="99"/>
        <v>7.3202888329678082</v>
      </c>
      <c r="O202" s="343">
        <f t="shared" si="100"/>
        <v>1.2140587839727662E-2</v>
      </c>
      <c r="P202" s="346">
        <v>145</v>
      </c>
      <c r="Q202" s="346">
        <v>11943408.5</v>
      </c>
      <c r="R202" s="344">
        <v>1.7</v>
      </c>
      <c r="S202" s="344">
        <v>1</v>
      </c>
      <c r="T202" s="347">
        <v>3</v>
      </c>
      <c r="U202" s="345">
        <f t="shared" si="101"/>
        <v>53.011030107806604</v>
      </c>
      <c r="V202" s="343">
        <f t="shared" si="94"/>
        <v>55.093150334764154</v>
      </c>
      <c r="W202" s="348">
        <v>658</v>
      </c>
      <c r="X202" s="346">
        <v>11943408.5</v>
      </c>
      <c r="Y202" s="344">
        <v>12.1</v>
      </c>
      <c r="Z202" s="345">
        <f t="shared" si="102"/>
        <v>68.934040875834285</v>
      </c>
      <c r="AA202" s="350">
        <v>2.4</v>
      </c>
      <c r="AB202" s="350">
        <v>5.9970679205359183E-3</v>
      </c>
      <c r="AC202" s="346"/>
      <c r="AD202" s="346">
        <v>11943408.5</v>
      </c>
      <c r="AE202" s="349" t="s">
        <v>931</v>
      </c>
      <c r="AF202" s="349" t="s">
        <v>931</v>
      </c>
      <c r="AG202" s="344">
        <v>43.5</v>
      </c>
      <c r="AH202" s="350">
        <v>1.7085697194953404</v>
      </c>
      <c r="AI202" s="343">
        <f t="shared" si="103"/>
        <v>0.13999059486690804</v>
      </c>
      <c r="AJ202" s="346">
        <v>90200</v>
      </c>
      <c r="AK202" s="346">
        <v>644329</v>
      </c>
      <c r="AL202" s="345">
        <f>((AA202/4.5)*100*1.5+(LN(MIN(AB202,5)+1)/LN(5+1))*100+(MAX((60-AG202),0))/60*100*0.5+((AH202-1)/(7-1))*100*2+(LN(MIN(AI202,20)+1)/LN(20+1))*100)/6</f>
        <v>20.334360093004666</v>
      </c>
      <c r="AM202" s="343">
        <v>94.2</v>
      </c>
      <c r="AN202" s="344">
        <v>0</v>
      </c>
      <c r="AO202" s="344">
        <v>185.2</v>
      </c>
      <c r="AP202" s="345">
        <f t="shared" si="104"/>
        <v>1.2406246915411039</v>
      </c>
      <c r="AQ202" s="343">
        <v>5.8314074673825003</v>
      </c>
      <c r="AR202" s="344">
        <v>26.3</v>
      </c>
      <c r="AS202" s="345">
        <f t="shared" si="105"/>
        <v>16.065703733691251</v>
      </c>
      <c r="AT202" s="343">
        <v>2858.6683092524199</v>
      </c>
      <c r="AU202" s="343">
        <v>0.484539921204239</v>
      </c>
      <c r="AV202" s="343">
        <v>4132.6474063326305</v>
      </c>
      <c r="AW202" s="351">
        <f t="shared" si="106"/>
        <v>62.954481147255507</v>
      </c>
      <c r="AX202" s="32"/>
      <c r="AY202" s="120"/>
    </row>
    <row r="203" spans="1:51" ht="4.5" customHeight="1" x14ac:dyDescent="0.25">
      <c r="A203" s="318"/>
      <c r="B203" s="319"/>
      <c r="C203" s="319"/>
      <c r="D203" s="319"/>
      <c r="E203" s="319"/>
      <c r="F203" s="320"/>
      <c r="G203" s="321"/>
      <c r="H203" s="322"/>
      <c r="I203" s="322"/>
      <c r="J203" s="322"/>
      <c r="K203" s="322"/>
      <c r="L203" s="319"/>
      <c r="M203" s="323"/>
      <c r="N203" s="1"/>
      <c r="O203" s="1"/>
      <c r="P203" s="36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row>
    <row r="204" spans="1:51" x14ac:dyDescent="0.25">
      <c r="AX204" s="365"/>
    </row>
    <row r="205" spans="1:51" ht="15" customHeight="1" x14ac:dyDescent="0.25">
      <c r="B205" s="50"/>
      <c r="C205" s="50"/>
      <c r="F205" s="50"/>
      <c r="G205" s="50"/>
      <c r="H205" s="368"/>
      <c r="I205" s="368"/>
      <c r="J205" s="369"/>
      <c r="K205" s="50"/>
      <c r="L205" s="50"/>
      <c r="M205" s="50"/>
      <c r="N205" s="50"/>
      <c r="O205" s="369"/>
      <c r="P205" s="370"/>
      <c r="Q205" s="370"/>
      <c r="R205" s="50"/>
      <c r="S205" s="50"/>
      <c r="T205" s="50"/>
      <c r="U205" s="50"/>
      <c r="V205" s="50"/>
      <c r="W205" s="369"/>
      <c r="X205" s="370"/>
      <c r="Y205" s="50"/>
      <c r="Z205" s="50"/>
      <c r="AA205" s="50"/>
      <c r="AB205" s="50"/>
      <c r="AC205" s="370"/>
      <c r="AD205" s="370"/>
      <c r="AE205" s="50"/>
      <c r="AF205" s="50"/>
      <c r="AG205" s="50"/>
      <c r="AH205" s="369"/>
      <c r="AI205" s="50"/>
      <c r="AJ205" s="370"/>
      <c r="AK205" s="370"/>
      <c r="AL205" s="50"/>
      <c r="AM205" s="50"/>
      <c r="AN205" s="371"/>
      <c r="AO205" s="50"/>
      <c r="AP205" s="50"/>
      <c r="AQ205" s="50"/>
      <c r="AR205" s="50"/>
      <c r="AS205" s="50"/>
      <c r="AT205" s="50"/>
      <c r="AU205" s="369"/>
      <c r="AV205" s="50"/>
      <c r="AW205" s="50"/>
      <c r="AX205" s="50"/>
    </row>
    <row r="206" spans="1:51" s="43" customFormat="1" ht="14.25" customHeight="1" x14ac:dyDescent="0.25">
      <c r="A206" s="372"/>
      <c r="B206" s="370"/>
      <c r="C206" s="370"/>
      <c r="D206" s="30"/>
      <c r="E206" s="30"/>
      <c r="F206" s="370"/>
      <c r="G206" s="370"/>
      <c r="H206" s="368"/>
      <c r="I206" s="368"/>
      <c r="J206" s="370">
        <v>2023</v>
      </c>
      <c r="K206" s="370">
        <v>2023</v>
      </c>
      <c r="L206" s="370">
        <v>2024</v>
      </c>
      <c r="M206" s="370">
        <v>2024</v>
      </c>
      <c r="N206" s="370"/>
      <c r="O206" s="373" t="s">
        <v>933</v>
      </c>
      <c r="P206" s="373" t="s">
        <v>933</v>
      </c>
      <c r="Q206" s="370">
        <v>2024</v>
      </c>
      <c r="R206" s="373" t="s">
        <v>934</v>
      </c>
      <c r="S206" s="373" t="s">
        <v>934</v>
      </c>
      <c r="T206" s="373" t="s">
        <v>934</v>
      </c>
      <c r="U206" s="370"/>
      <c r="V206" s="370"/>
      <c r="W206" s="370">
        <v>2022</v>
      </c>
      <c r="X206" s="370">
        <v>2024</v>
      </c>
      <c r="Y206" s="373" t="s">
        <v>935</v>
      </c>
      <c r="Z206" s="370"/>
      <c r="AA206" s="374">
        <v>2023</v>
      </c>
      <c r="AB206" s="374">
        <v>2023</v>
      </c>
      <c r="AC206" s="370">
        <v>2022</v>
      </c>
      <c r="AD206" s="370">
        <v>2024</v>
      </c>
      <c r="AE206" s="374">
        <v>2024</v>
      </c>
      <c r="AF206" s="374" t="s">
        <v>936</v>
      </c>
      <c r="AG206" s="374"/>
      <c r="AH206" s="374">
        <v>2019</v>
      </c>
      <c r="AI206" s="374"/>
      <c r="AJ206" s="370">
        <v>2023</v>
      </c>
      <c r="AK206" s="370"/>
      <c r="AL206" s="370"/>
      <c r="AM206" s="370">
        <v>2022</v>
      </c>
      <c r="AN206" s="370">
        <v>2022</v>
      </c>
      <c r="AO206" s="370">
        <v>2023</v>
      </c>
      <c r="AP206" s="370"/>
      <c r="AQ206" s="370">
        <v>2024</v>
      </c>
      <c r="AR206" s="370">
        <v>2025</v>
      </c>
      <c r="AS206" s="370"/>
      <c r="AT206" s="370">
        <v>2023</v>
      </c>
      <c r="AU206" s="370">
        <v>2023</v>
      </c>
      <c r="AV206" s="43">
        <v>2023</v>
      </c>
      <c r="AW206" s="370"/>
      <c r="AX206" s="370"/>
      <c r="AY206" s="375"/>
    </row>
    <row r="207" spans="1:51" ht="26.25" customHeight="1" x14ac:dyDescent="0.25">
      <c r="B207" s="50"/>
      <c r="C207" s="597" t="s">
        <v>1068</v>
      </c>
      <c r="D207" s="597"/>
      <c r="E207" s="597"/>
      <c r="F207" s="597"/>
      <c r="G207" s="50"/>
      <c r="H207" s="368"/>
      <c r="I207" s="368"/>
      <c r="J207" s="369"/>
      <c r="K207" s="376" t="s">
        <v>937</v>
      </c>
      <c r="L207" s="376" t="s">
        <v>938</v>
      </c>
      <c r="M207" s="376" t="s">
        <v>939</v>
      </c>
      <c r="N207" s="50"/>
      <c r="O207" s="377"/>
      <c r="P207" s="378" t="s">
        <v>940</v>
      </c>
      <c r="Q207" s="378" t="s">
        <v>941</v>
      </c>
      <c r="R207" s="379" t="s">
        <v>942</v>
      </c>
      <c r="S207" s="379" t="s">
        <v>942</v>
      </c>
      <c r="T207" s="379" t="s">
        <v>942</v>
      </c>
      <c r="U207" s="50"/>
      <c r="V207" s="50"/>
      <c r="W207" s="380" t="s">
        <v>943</v>
      </c>
      <c r="X207" s="378"/>
      <c r="Y207" s="379" t="s">
        <v>942</v>
      </c>
      <c r="Z207" s="50"/>
      <c r="AA207" s="376" t="s">
        <v>944</v>
      </c>
      <c r="AB207" s="376" t="s">
        <v>945</v>
      </c>
      <c r="AC207" s="378" t="s">
        <v>943</v>
      </c>
      <c r="AD207" s="378"/>
      <c r="AE207" s="376" t="s">
        <v>946</v>
      </c>
      <c r="AF207" s="376" t="s">
        <v>947</v>
      </c>
      <c r="AG207" s="376"/>
      <c r="AH207" s="377"/>
      <c r="AI207" s="376"/>
      <c r="AJ207" s="378" t="s">
        <v>948</v>
      </c>
      <c r="AK207" s="378"/>
      <c r="AL207" s="50"/>
      <c r="AM207" s="376" t="s">
        <v>949</v>
      </c>
      <c r="AN207" s="381" t="s">
        <v>950</v>
      </c>
      <c r="AO207" s="376" t="s">
        <v>951</v>
      </c>
      <c r="AP207" s="50"/>
      <c r="AQ207" s="379" t="s">
        <v>952</v>
      </c>
      <c r="AR207" s="379" t="s">
        <v>953</v>
      </c>
      <c r="AS207" s="50"/>
      <c r="AT207" s="379" t="s">
        <v>954</v>
      </c>
      <c r="AU207" s="377" t="s">
        <v>954</v>
      </c>
      <c r="AV207" s="382" t="s">
        <v>954</v>
      </c>
      <c r="AW207" s="50"/>
      <c r="AX207" s="50"/>
    </row>
    <row r="208" spans="1:51" x14ac:dyDescent="0.25">
      <c r="B208" s="50"/>
      <c r="C208" s="50"/>
      <c r="F208" s="50"/>
      <c r="G208" s="50"/>
      <c r="H208" s="368"/>
      <c r="I208" s="368"/>
      <c r="J208" s="369"/>
      <c r="K208" s="50"/>
      <c r="L208" s="50"/>
      <c r="M208" s="50"/>
      <c r="N208" s="50"/>
      <c r="O208" s="369"/>
      <c r="P208" s="370"/>
      <c r="Q208" s="370"/>
      <c r="R208" s="50"/>
      <c r="S208" s="50"/>
      <c r="T208" s="50"/>
      <c r="U208" s="50"/>
      <c r="V208" s="50"/>
      <c r="W208" s="369"/>
      <c r="X208" s="370"/>
      <c r="Y208" s="50"/>
      <c r="Z208" s="50"/>
      <c r="AA208" s="50"/>
      <c r="AB208" s="50"/>
      <c r="AC208" s="370"/>
      <c r="AD208" s="370"/>
      <c r="AE208" s="50"/>
      <c r="AF208" s="50"/>
      <c r="AG208" s="50"/>
      <c r="AH208" s="369"/>
      <c r="AI208" s="50"/>
      <c r="AJ208" s="370"/>
      <c r="AK208" s="370"/>
      <c r="AL208" s="50"/>
      <c r="AM208" s="50"/>
      <c r="AN208" s="371"/>
      <c r="AO208" s="50"/>
      <c r="AP208" s="50"/>
      <c r="AQ208" s="50"/>
      <c r="AR208" s="50"/>
      <c r="AS208" s="50"/>
      <c r="AT208" s="50"/>
      <c r="AU208" s="369"/>
      <c r="AV208" s="50"/>
      <c r="AW208" s="50"/>
      <c r="AX208" s="50"/>
    </row>
    <row r="209" spans="2:54" customFormat="1" ht="15" customHeight="1" x14ac:dyDescent="0.25">
      <c r="B209" s="383"/>
      <c r="C209" s="383"/>
      <c r="D209" s="30"/>
      <c r="E209" s="30"/>
      <c r="F209" s="383"/>
      <c r="G209" s="383"/>
      <c r="H209" s="384"/>
      <c r="I209" s="384"/>
      <c r="J209" s="528" t="s">
        <v>955</v>
      </c>
      <c r="K209" s="528"/>
      <c r="L209" s="528"/>
      <c r="M209" s="528"/>
      <c r="N209" s="528"/>
      <c r="O209" s="528" t="s">
        <v>956</v>
      </c>
      <c r="P209" s="528"/>
      <c r="Q209" s="528"/>
      <c r="R209" s="528"/>
      <c r="S209" s="528"/>
      <c r="T209" s="528"/>
      <c r="U209" s="528"/>
      <c r="V209" s="508" t="s">
        <v>957</v>
      </c>
      <c r="W209" s="508"/>
      <c r="X209" s="508"/>
      <c r="Y209" s="508"/>
      <c r="Z209" s="508"/>
      <c r="AA209" s="508" t="s">
        <v>958</v>
      </c>
      <c r="AB209" s="508"/>
      <c r="AC209" s="508"/>
      <c r="AD209" s="508"/>
      <c r="AE209" s="508"/>
      <c r="AF209" s="508"/>
      <c r="AG209" s="508"/>
      <c r="AH209" s="508"/>
      <c r="AI209" s="508"/>
      <c r="AJ209" s="508"/>
      <c r="AK209" s="508"/>
      <c r="AL209" s="508"/>
      <c r="AM209" s="508" t="s">
        <v>959</v>
      </c>
      <c r="AN209" s="508"/>
      <c r="AO209" s="508"/>
      <c r="AP209" s="508"/>
      <c r="AQ209" s="508" t="s">
        <v>960</v>
      </c>
      <c r="AR209" s="508"/>
      <c r="AS209" s="508"/>
      <c r="AT209" s="508"/>
      <c r="AU209" s="508"/>
      <c r="AV209" s="508"/>
      <c r="AW209" s="508"/>
      <c r="AX209" s="508"/>
      <c r="AY209" s="51"/>
    </row>
    <row r="210" spans="2:54" customFormat="1" x14ac:dyDescent="0.25">
      <c r="B210" s="383"/>
      <c r="C210" s="383"/>
      <c r="D210" s="30"/>
      <c r="E210" s="30"/>
      <c r="F210" s="383"/>
      <c r="G210" s="383"/>
      <c r="H210" s="384"/>
      <c r="I210" s="384"/>
      <c r="J210" s="528"/>
      <c r="K210" s="528"/>
      <c r="L210" s="528"/>
      <c r="M210" s="528"/>
      <c r="N210" s="528"/>
      <c r="O210" s="528"/>
      <c r="P210" s="528"/>
      <c r="Q210" s="528"/>
      <c r="R210" s="528"/>
      <c r="S210" s="528"/>
      <c r="T210" s="528"/>
      <c r="U210" s="528"/>
      <c r="V210" s="508"/>
      <c r="W210" s="508"/>
      <c r="X210" s="508"/>
      <c r="Y210" s="508"/>
      <c r="Z210" s="508"/>
      <c r="AA210" s="508"/>
      <c r="AB210" s="508"/>
      <c r="AC210" s="508"/>
      <c r="AD210" s="508"/>
      <c r="AE210" s="508"/>
      <c r="AF210" s="508"/>
      <c r="AG210" s="508"/>
      <c r="AH210" s="508"/>
      <c r="AI210" s="508"/>
      <c r="AJ210" s="508"/>
      <c r="AK210" s="508"/>
      <c r="AL210" s="508"/>
      <c r="AM210" s="508"/>
      <c r="AN210" s="508"/>
      <c r="AO210" s="508"/>
      <c r="AP210" s="508"/>
      <c r="AQ210" s="508"/>
      <c r="AR210" s="508"/>
      <c r="AS210" s="508"/>
      <c r="AT210" s="508"/>
      <c r="AU210" s="508"/>
      <c r="AV210" s="508"/>
      <c r="AW210" s="508"/>
      <c r="AX210" s="508"/>
      <c r="AY210" s="51"/>
      <c r="AZ210" s="385"/>
      <c r="BA210" s="385"/>
      <c r="BB210" s="385"/>
    </row>
    <row r="211" spans="2:54" customFormat="1" x14ac:dyDescent="0.25">
      <c r="B211" s="383"/>
      <c r="C211" s="383"/>
      <c r="D211" s="30"/>
      <c r="E211" s="30"/>
      <c r="F211" s="383"/>
      <c r="G211" s="383"/>
      <c r="H211" s="384"/>
      <c r="I211" s="384"/>
      <c r="J211" s="528"/>
      <c r="K211" s="528"/>
      <c r="L211" s="528"/>
      <c r="M211" s="528"/>
      <c r="N211" s="528"/>
      <c r="O211" s="528"/>
      <c r="P211" s="528"/>
      <c r="Q211" s="528"/>
      <c r="R211" s="528"/>
      <c r="S211" s="528"/>
      <c r="T211" s="528"/>
      <c r="U211" s="528"/>
      <c r="V211" s="508"/>
      <c r="W211" s="508"/>
      <c r="X211" s="508"/>
      <c r="Y211" s="508"/>
      <c r="Z211" s="508"/>
      <c r="AA211" s="508"/>
      <c r="AB211" s="508"/>
      <c r="AC211" s="508"/>
      <c r="AD211" s="508"/>
      <c r="AE211" s="508"/>
      <c r="AF211" s="508"/>
      <c r="AG211" s="508"/>
      <c r="AH211" s="508"/>
      <c r="AI211" s="508"/>
      <c r="AJ211" s="508"/>
      <c r="AK211" s="508"/>
      <c r="AL211" s="508"/>
      <c r="AM211" s="508"/>
      <c r="AN211" s="508"/>
      <c r="AO211" s="508"/>
      <c r="AP211" s="508"/>
      <c r="AQ211" s="508"/>
      <c r="AR211" s="508"/>
      <c r="AS211" s="508"/>
      <c r="AT211" s="508"/>
      <c r="AU211" s="508"/>
      <c r="AV211" s="508"/>
      <c r="AW211" s="508"/>
      <c r="AX211" s="508"/>
      <c r="AY211" s="51"/>
    </row>
    <row r="212" spans="2:54" customFormat="1" x14ac:dyDescent="0.25">
      <c r="B212" s="383"/>
      <c r="C212" s="383"/>
      <c r="D212" s="30"/>
      <c r="E212" s="30"/>
      <c r="F212" s="383"/>
      <c r="G212" s="383"/>
      <c r="H212" s="384"/>
      <c r="I212" s="384"/>
      <c r="J212" s="528"/>
      <c r="K212" s="528"/>
      <c r="L212" s="528"/>
      <c r="M212" s="528"/>
      <c r="N212" s="528"/>
      <c r="O212" s="528"/>
      <c r="P212" s="528"/>
      <c r="Q212" s="528"/>
      <c r="R212" s="528"/>
      <c r="S212" s="528"/>
      <c r="T212" s="528"/>
      <c r="U212" s="528"/>
      <c r="V212" s="508"/>
      <c r="W212" s="508"/>
      <c r="X212" s="508"/>
      <c r="Y212" s="508"/>
      <c r="Z212" s="508"/>
      <c r="AA212" s="508"/>
      <c r="AB212" s="508"/>
      <c r="AC212" s="508"/>
      <c r="AD212" s="508"/>
      <c r="AE212" s="508"/>
      <c r="AF212" s="508"/>
      <c r="AG212" s="508"/>
      <c r="AH212" s="508"/>
      <c r="AI212" s="508"/>
      <c r="AJ212" s="508"/>
      <c r="AK212" s="508"/>
      <c r="AL212" s="508"/>
      <c r="AM212" s="508"/>
      <c r="AN212" s="508"/>
      <c r="AO212" s="508"/>
      <c r="AP212" s="508"/>
      <c r="AQ212" s="508"/>
      <c r="AR212" s="508"/>
      <c r="AS212" s="508"/>
      <c r="AT212" s="508"/>
      <c r="AU212" s="508"/>
      <c r="AV212" s="508"/>
      <c r="AW212" s="508"/>
      <c r="AX212" s="508"/>
      <c r="AY212" s="51"/>
    </row>
    <row r="213" spans="2:54" customFormat="1" x14ac:dyDescent="0.25">
      <c r="B213" s="383"/>
      <c r="C213" s="383"/>
      <c r="D213" s="30"/>
      <c r="E213" s="30"/>
      <c r="F213" s="383"/>
      <c r="G213" s="383"/>
      <c r="H213" s="384"/>
      <c r="I213" s="384"/>
      <c r="J213" s="528"/>
      <c r="K213" s="528"/>
      <c r="L213" s="528"/>
      <c r="M213" s="528"/>
      <c r="N213" s="528"/>
      <c r="O213" s="528"/>
      <c r="P213" s="528"/>
      <c r="Q213" s="528"/>
      <c r="R213" s="528"/>
      <c r="S213" s="528"/>
      <c r="T213" s="528"/>
      <c r="U213" s="528"/>
      <c r="V213" s="508"/>
      <c r="W213" s="508"/>
      <c r="X213" s="508"/>
      <c r="Y213" s="508"/>
      <c r="Z213" s="508"/>
      <c r="AA213" s="508"/>
      <c r="AB213" s="508"/>
      <c r="AC213" s="508"/>
      <c r="AD213" s="508"/>
      <c r="AE213" s="508"/>
      <c r="AF213" s="508"/>
      <c r="AG213" s="508"/>
      <c r="AH213" s="508"/>
      <c r="AI213" s="508"/>
      <c r="AJ213" s="508"/>
      <c r="AK213" s="508"/>
      <c r="AL213" s="508"/>
      <c r="AM213" s="508"/>
      <c r="AN213" s="508"/>
      <c r="AO213" s="508"/>
      <c r="AP213" s="508"/>
      <c r="AQ213" s="508"/>
      <c r="AR213" s="508"/>
      <c r="AS213" s="508"/>
      <c r="AT213" s="508"/>
      <c r="AU213" s="508"/>
      <c r="AV213" s="508"/>
      <c r="AW213" s="508"/>
      <c r="AX213" s="508"/>
      <c r="AY213" s="51"/>
    </row>
    <row r="214" spans="2:54" customFormat="1" x14ac:dyDescent="0.25">
      <c r="B214" s="383"/>
      <c r="C214" s="383"/>
      <c r="D214" s="30"/>
      <c r="E214" s="30"/>
      <c r="F214" s="383"/>
      <c r="G214" s="383"/>
      <c r="H214" s="384"/>
      <c r="I214" s="384"/>
      <c r="J214" s="528"/>
      <c r="K214" s="528"/>
      <c r="L214" s="528"/>
      <c r="M214" s="528"/>
      <c r="N214" s="528"/>
      <c r="O214" s="528"/>
      <c r="P214" s="528"/>
      <c r="Q214" s="528"/>
      <c r="R214" s="528"/>
      <c r="S214" s="528"/>
      <c r="T214" s="528"/>
      <c r="U214" s="528"/>
      <c r="V214" s="508"/>
      <c r="W214" s="508"/>
      <c r="X214" s="508"/>
      <c r="Y214" s="508"/>
      <c r="Z214" s="508"/>
      <c r="AA214" s="508"/>
      <c r="AB214" s="508"/>
      <c r="AC214" s="508"/>
      <c r="AD214" s="508"/>
      <c r="AE214" s="508"/>
      <c r="AF214" s="508"/>
      <c r="AG214" s="508"/>
      <c r="AH214" s="508"/>
      <c r="AI214" s="508"/>
      <c r="AJ214" s="508"/>
      <c r="AK214" s="508"/>
      <c r="AL214" s="508"/>
      <c r="AM214" s="508"/>
      <c r="AN214" s="508"/>
      <c r="AO214" s="508"/>
      <c r="AP214" s="508"/>
      <c r="AQ214" s="508"/>
      <c r="AR214" s="508"/>
      <c r="AS214" s="508"/>
      <c r="AT214" s="508"/>
      <c r="AU214" s="508"/>
      <c r="AV214" s="508"/>
      <c r="AW214" s="508"/>
      <c r="AX214" s="508"/>
      <c r="AY214" s="51"/>
    </row>
    <row r="215" spans="2:54" customFormat="1" x14ac:dyDescent="0.25">
      <c r="B215" s="383"/>
      <c r="C215" s="383"/>
      <c r="D215" s="30"/>
      <c r="E215" s="30"/>
      <c r="F215" s="383"/>
      <c r="G215" s="383"/>
      <c r="H215" s="384"/>
      <c r="I215" s="384"/>
      <c r="J215" s="528"/>
      <c r="K215" s="528"/>
      <c r="L215" s="528"/>
      <c r="M215" s="528"/>
      <c r="N215" s="528"/>
      <c r="O215" s="528"/>
      <c r="P215" s="528"/>
      <c r="Q215" s="528"/>
      <c r="R215" s="528"/>
      <c r="S215" s="528"/>
      <c r="T215" s="528"/>
      <c r="U215" s="528"/>
      <c r="V215" s="508"/>
      <c r="W215" s="508"/>
      <c r="X215" s="508"/>
      <c r="Y215" s="508"/>
      <c r="Z215" s="508"/>
      <c r="AA215" s="508"/>
      <c r="AB215" s="508"/>
      <c r="AC215" s="508"/>
      <c r="AD215" s="508"/>
      <c r="AE215" s="508"/>
      <c r="AF215" s="508"/>
      <c r="AG215" s="508"/>
      <c r="AH215" s="508"/>
      <c r="AI215" s="508"/>
      <c r="AJ215" s="508"/>
      <c r="AK215" s="508"/>
      <c r="AL215" s="508"/>
      <c r="AM215" s="508"/>
      <c r="AN215" s="508"/>
      <c r="AO215" s="508"/>
      <c r="AP215" s="508"/>
      <c r="AQ215" s="508"/>
      <c r="AR215" s="508"/>
      <c r="AS215" s="508"/>
      <c r="AT215" s="508"/>
      <c r="AU215" s="508"/>
      <c r="AV215" s="508"/>
      <c r="AW215" s="508"/>
      <c r="AX215" s="508"/>
      <c r="AY215" s="51"/>
    </row>
    <row r="216" spans="2:54" customFormat="1" x14ac:dyDescent="0.25">
      <c r="B216" s="383"/>
      <c r="C216" s="383"/>
      <c r="D216" s="30"/>
      <c r="E216" s="30"/>
      <c r="F216" s="383"/>
      <c r="G216" s="383"/>
      <c r="H216" s="384"/>
      <c r="I216" s="384"/>
      <c r="J216" s="528"/>
      <c r="K216" s="528"/>
      <c r="L216" s="528"/>
      <c r="M216" s="528"/>
      <c r="N216" s="528"/>
      <c r="O216" s="528"/>
      <c r="P216" s="528"/>
      <c r="Q216" s="528"/>
      <c r="R216" s="528"/>
      <c r="S216" s="528"/>
      <c r="T216" s="528"/>
      <c r="U216" s="528"/>
      <c r="V216" s="508"/>
      <c r="W216" s="508"/>
      <c r="X216" s="508"/>
      <c r="Y216" s="508"/>
      <c r="Z216" s="508"/>
      <c r="AA216" s="508"/>
      <c r="AB216" s="508"/>
      <c r="AC216" s="508"/>
      <c r="AD216" s="508"/>
      <c r="AE216" s="508"/>
      <c r="AF216" s="508"/>
      <c r="AG216" s="508"/>
      <c r="AH216" s="508"/>
      <c r="AI216" s="508"/>
      <c r="AJ216" s="508"/>
      <c r="AK216" s="508"/>
      <c r="AL216" s="508"/>
      <c r="AM216" s="508"/>
      <c r="AN216" s="508"/>
      <c r="AO216" s="508"/>
      <c r="AP216" s="508"/>
      <c r="AQ216" s="508"/>
      <c r="AR216" s="508"/>
      <c r="AS216" s="508"/>
      <c r="AT216" s="508"/>
      <c r="AU216" s="508"/>
      <c r="AV216" s="508"/>
      <c r="AW216" s="508"/>
      <c r="AX216" s="508"/>
      <c r="AY216" s="51"/>
    </row>
    <row r="217" spans="2:54" customFormat="1" x14ac:dyDescent="0.25">
      <c r="B217" s="383"/>
      <c r="C217" s="383"/>
      <c r="D217" s="30"/>
      <c r="E217" s="30"/>
      <c r="F217" s="383"/>
      <c r="G217" s="383"/>
      <c r="H217" s="384"/>
      <c r="I217" s="384"/>
      <c r="J217" s="528"/>
      <c r="K217" s="528"/>
      <c r="L217" s="528"/>
      <c r="M217" s="528"/>
      <c r="N217" s="528"/>
      <c r="O217" s="528"/>
      <c r="P217" s="528"/>
      <c r="Q217" s="528"/>
      <c r="R217" s="528"/>
      <c r="S217" s="528"/>
      <c r="T217" s="528"/>
      <c r="U217" s="528"/>
      <c r="V217" s="508"/>
      <c r="W217" s="508"/>
      <c r="X217" s="508"/>
      <c r="Y217" s="508"/>
      <c r="Z217" s="508"/>
      <c r="AA217" s="508"/>
      <c r="AB217" s="508"/>
      <c r="AC217" s="508"/>
      <c r="AD217" s="508"/>
      <c r="AE217" s="508"/>
      <c r="AF217" s="508"/>
      <c r="AG217" s="508"/>
      <c r="AH217" s="508"/>
      <c r="AI217" s="508"/>
      <c r="AJ217" s="508"/>
      <c r="AK217" s="508"/>
      <c r="AL217" s="508"/>
      <c r="AM217" s="508"/>
      <c r="AN217" s="508"/>
      <c r="AO217" s="508"/>
      <c r="AP217" s="508"/>
      <c r="AQ217" s="508"/>
      <c r="AR217" s="508"/>
      <c r="AS217" s="508"/>
      <c r="AT217" s="508"/>
      <c r="AU217" s="508"/>
      <c r="AV217" s="508"/>
      <c r="AW217" s="508"/>
      <c r="AX217" s="508"/>
      <c r="AY217" s="51"/>
    </row>
    <row r="218" spans="2:54" customFormat="1" x14ac:dyDescent="0.25">
      <c r="B218" s="383"/>
      <c r="C218" s="383"/>
      <c r="D218" s="30"/>
      <c r="E218" s="30"/>
      <c r="F218" s="383"/>
      <c r="G218" s="383"/>
      <c r="H218" s="384"/>
      <c r="I218" s="384"/>
      <c r="J218" s="528"/>
      <c r="K218" s="528"/>
      <c r="L218" s="528"/>
      <c r="M218" s="528"/>
      <c r="N218" s="528"/>
      <c r="O218" s="528"/>
      <c r="P218" s="528"/>
      <c r="Q218" s="528"/>
      <c r="R218" s="528"/>
      <c r="S218" s="528"/>
      <c r="T218" s="528"/>
      <c r="U218" s="528"/>
      <c r="V218" s="508"/>
      <c r="W218" s="508"/>
      <c r="X218" s="508"/>
      <c r="Y218" s="508"/>
      <c r="Z218" s="508"/>
      <c r="AA218" s="508"/>
      <c r="AB218" s="508"/>
      <c r="AC218" s="508"/>
      <c r="AD218" s="508"/>
      <c r="AE218" s="508"/>
      <c r="AF218" s="508"/>
      <c r="AG218" s="508"/>
      <c r="AH218" s="508"/>
      <c r="AI218" s="508"/>
      <c r="AJ218" s="508"/>
      <c r="AK218" s="508"/>
      <c r="AL218" s="508"/>
      <c r="AM218" s="508"/>
      <c r="AN218" s="508"/>
      <c r="AO218" s="508"/>
      <c r="AP218" s="508"/>
      <c r="AQ218" s="508"/>
      <c r="AR218" s="508"/>
      <c r="AS218" s="508"/>
      <c r="AT218" s="508"/>
      <c r="AU218" s="508"/>
      <c r="AV218" s="508"/>
      <c r="AW218" s="508"/>
      <c r="AX218" s="508"/>
      <c r="AY218" s="51"/>
    </row>
    <row r="219" spans="2:54" customFormat="1" x14ac:dyDescent="0.25">
      <c r="B219" s="383"/>
      <c r="C219" s="383"/>
      <c r="D219" s="30"/>
      <c r="E219" s="30"/>
      <c r="F219" s="383"/>
      <c r="G219" s="383"/>
      <c r="H219" s="384"/>
      <c r="I219" s="384"/>
      <c r="J219" s="528"/>
      <c r="K219" s="528"/>
      <c r="L219" s="528"/>
      <c r="M219" s="528"/>
      <c r="N219" s="528"/>
      <c r="O219" s="528"/>
      <c r="P219" s="528"/>
      <c r="Q219" s="528"/>
      <c r="R219" s="528"/>
      <c r="S219" s="528"/>
      <c r="T219" s="528"/>
      <c r="U219" s="528"/>
      <c r="V219" s="508"/>
      <c r="W219" s="508"/>
      <c r="X219" s="508"/>
      <c r="Y219" s="508"/>
      <c r="Z219" s="508"/>
      <c r="AA219" s="508"/>
      <c r="AB219" s="508"/>
      <c r="AC219" s="508"/>
      <c r="AD219" s="508"/>
      <c r="AE219" s="508"/>
      <c r="AF219" s="508"/>
      <c r="AG219" s="508"/>
      <c r="AH219" s="508"/>
      <c r="AI219" s="508"/>
      <c r="AJ219" s="508"/>
      <c r="AK219" s="508"/>
      <c r="AL219" s="508"/>
      <c r="AM219" s="508"/>
      <c r="AN219" s="508"/>
      <c r="AO219" s="508"/>
      <c r="AP219" s="508"/>
      <c r="AQ219" s="508"/>
      <c r="AR219" s="508"/>
      <c r="AS219" s="508"/>
      <c r="AT219" s="508"/>
      <c r="AU219" s="508"/>
      <c r="AV219" s="508"/>
      <c r="AW219" s="508"/>
      <c r="AX219" s="508"/>
      <c r="AY219" s="51"/>
    </row>
    <row r="220" spans="2:54" customFormat="1" x14ac:dyDescent="0.25">
      <c r="B220" s="383"/>
      <c r="C220" s="383"/>
      <c r="D220" s="30"/>
      <c r="E220" s="30"/>
      <c r="F220" s="383"/>
      <c r="G220" s="383"/>
      <c r="H220" s="384"/>
      <c r="I220" s="384"/>
      <c r="J220" s="528"/>
      <c r="K220" s="528"/>
      <c r="L220" s="528"/>
      <c r="M220" s="528"/>
      <c r="N220" s="528"/>
      <c r="O220" s="528"/>
      <c r="P220" s="528"/>
      <c r="Q220" s="528"/>
      <c r="R220" s="528"/>
      <c r="S220" s="528"/>
      <c r="T220" s="528"/>
      <c r="U220" s="528"/>
      <c r="V220" s="508"/>
      <c r="W220" s="508"/>
      <c r="X220" s="508"/>
      <c r="Y220" s="508"/>
      <c r="Z220" s="508"/>
      <c r="AA220" s="508"/>
      <c r="AB220" s="508"/>
      <c r="AC220" s="508"/>
      <c r="AD220" s="508"/>
      <c r="AE220" s="508"/>
      <c r="AF220" s="508"/>
      <c r="AG220" s="508"/>
      <c r="AH220" s="508"/>
      <c r="AI220" s="508"/>
      <c r="AJ220" s="508"/>
      <c r="AK220" s="508"/>
      <c r="AL220" s="508"/>
      <c r="AM220" s="508"/>
      <c r="AN220" s="508"/>
      <c r="AO220" s="508"/>
      <c r="AP220" s="508"/>
      <c r="AQ220" s="508"/>
      <c r="AR220" s="508"/>
      <c r="AS220" s="508"/>
      <c r="AT220" s="508"/>
      <c r="AU220" s="508"/>
      <c r="AV220" s="508"/>
      <c r="AW220" s="508"/>
      <c r="AX220" s="508"/>
      <c r="AY220" s="51"/>
    </row>
    <row r="221" spans="2:54" customFormat="1" x14ac:dyDescent="0.25">
      <c r="B221" s="383"/>
      <c r="C221" s="383"/>
      <c r="D221" s="30"/>
      <c r="E221" s="30"/>
      <c r="F221" s="383"/>
      <c r="G221" s="383"/>
      <c r="H221" s="384"/>
      <c r="I221" s="384"/>
      <c r="J221" s="528"/>
      <c r="K221" s="528"/>
      <c r="L221" s="528"/>
      <c r="M221" s="528"/>
      <c r="N221" s="528"/>
      <c r="O221" s="528"/>
      <c r="P221" s="528"/>
      <c r="Q221" s="528"/>
      <c r="R221" s="528"/>
      <c r="S221" s="528"/>
      <c r="T221" s="528"/>
      <c r="U221" s="528"/>
      <c r="V221" s="508"/>
      <c r="W221" s="508"/>
      <c r="X221" s="508"/>
      <c r="Y221" s="508"/>
      <c r="Z221" s="508"/>
      <c r="AA221" s="508"/>
      <c r="AB221" s="508"/>
      <c r="AC221" s="508"/>
      <c r="AD221" s="508"/>
      <c r="AE221" s="508"/>
      <c r="AF221" s="508"/>
      <c r="AG221" s="508"/>
      <c r="AH221" s="508"/>
      <c r="AI221" s="508"/>
      <c r="AJ221" s="508"/>
      <c r="AK221" s="508"/>
      <c r="AL221" s="508"/>
      <c r="AM221" s="508"/>
      <c r="AN221" s="508"/>
      <c r="AO221" s="508"/>
      <c r="AP221" s="508"/>
      <c r="AQ221" s="508"/>
      <c r="AR221" s="508"/>
      <c r="AS221" s="508"/>
      <c r="AT221" s="508"/>
      <c r="AU221" s="508"/>
      <c r="AV221" s="508"/>
      <c r="AW221" s="508"/>
      <c r="AX221" s="508"/>
      <c r="AY221" s="51"/>
    </row>
    <row r="222" spans="2:54" customFormat="1" ht="17.25" customHeight="1" x14ac:dyDescent="0.25">
      <c r="B222" s="383"/>
      <c r="C222" s="383"/>
      <c r="D222" s="30"/>
      <c r="E222" s="30"/>
      <c r="F222" s="383"/>
      <c r="G222" s="383"/>
      <c r="H222" s="384"/>
      <c r="I222" s="384"/>
      <c r="J222" s="528"/>
      <c r="K222" s="528"/>
      <c r="L222" s="528"/>
      <c r="M222" s="528"/>
      <c r="N222" s="528"/>
      <c r="O222" s="528"/>
      <c r="P222" s="528"/>
      <c r="Q222" s="528"/>
      <c r="R222" s="528"/>
      <c r="S222" s="528"/>
      <c r="T222" s="528"/>
      <c r="U222" s="528"/>
      <c r="V222" s="508"/>
      <c r="W222" s="508"/>
      <c r="X222" s="508"/>
      <c r="Y222" s="508"/>
      <c r="Z222" s="508"/>
      <c r="AA222" s="508"/>
      <c r="AB222" s="508"/>
      <c r="AC222" s="508"/>
      <c r="AD222" s="508"/>
      <c r="AE222" s="508"/>
      <c r="AF222" s="508"/>
      <c r="AG222" s="508"/>
      <c r="AH222" s="508"/>
      <c r="AI222" s="508"/>
      <c r="AJ222" s="508"/>
      <c r="AK222" s="508"/>
      <c r="AL222" s="508"/>
      <c r="AM222" s="508"/>
      <c r="AN222" s="508"/>
      <c r="AO222" s="508"/>
      <c r="AP222" s="508"/>
      <c r="AQ222" s="508"/>
      <c r="AR222" s="508"/>
      <c r="AS222" s="508"/>
      <c r="AT222" s="508"/>
      <c r="AU222" s="508"/>
      <c r="AV222" s="508"/>
      <c r="AW222" s="508"/>
      <c r="AX222" s="508"/>
      <c r="AY222" s="51"/>
    </row>
    <row r="223" spans="2:54" customFormat="1" ht="15" customHeight="1" x14ac:dyDescent="0.25">
      <c r="B223" s="383"/>
      <c r="C223" s="383"/>
      <c r="D223" s="30"/>
      <c r="E223" s="30"/>
      <c r="F223" s="383"/>
      <c r="G223" s="383"/>
      <c r="H223" s="384"/>
      <c r="I223" s="384"/>
      <c r="J223" s="528"/>
      <c r="K223" s="528"/>
      <c r="L223" s="528"/>
      <c r="M223" s="528"/>
      <c r="N223" s="528"/>
      <c r="O223" s="528"/>
      <c r="P223" s="528"/>
      <c r="Q223" s="528"/>
      <c r="R223" s="528"/>
      <c r="S223" s="528"/>
      <c r="T223" s="528"/>
      <c r="U223" s="528"/>
      <c r="V223" s="508"/>
      <c r="W223" s="508"/>
      <c r="X223" s="508"/>
      <c r="Y223" s="508"/>
      <c r="Z223" s="508"/>
      <c r="AA223" s="508"/>
      <c r="AB223" s="508"/>
      <c r="AC223" s="508"/>
      <c r="AD223" s="508"/>
      <c r="AE223" s="508"/>
      <c r="AF223" s="508"/>
      <c r="AG223" s="508"/>
      <c r="AH223" s="508"/>
      <c r="AI223" s="508"/>
      <c r="AJ223" s="508"/>
      <c r="AK223" s="508"/>
      <c r="AL223" s="508"/>
      <c r="AM223" s="508"/>
      <c r="AN223" s="508"/>
      <c r="AO223" s="508"/>
      <c r="AP223" s="508"/>
      <c r="AQ223" s="508"/>
      <c r="AR223" s="508"/>
      <c r="AS223" s="508"/>
      <c r="AT223" s="508"/>
      <c r="AU223" s="508"/>
      <c r="AV223" s="508"/>
      <c r="AW223" s="508"/>
      <c r="AX223" s="508"/>
      <c r="AY223" s="51"/>
    </row>
    <row r="224" spans="2:54" customFormat="1" ht="15" customHeight="1" x14ac:dyDescent="0.25">
      <c r="B224" s="383"/>
      <c r="C224" s="383"/>
      <c r="D224" s="30"/>
      <c r="E224" s="30"/>
      <c r="F224" s="383"/>
      <c r="G224" s="383"/>
      <c r="H224" s="384"/>
      <c r="I224" s="384"/>
      <c r="J224" s="528"/>
      <c r="K224" s="528"/>
      <c r="L224" s="528"/>
      <c r="M224" s="528"/>
      <c r="N224" s="528"/>
      <c r="O224" s="528"/>
      <c r="P224" s="528"/>
      <c r="Q224" s="528"/>
      <c r="R224" s="528"/>
      <c r="S224" s="528"/>
      <c r="T224" s="528"/>
      <c r="U224" s="528"/>
      <c r="V224" s="508"/>
      <c r="W224" s="508"/>
      <c r="X224" s="508"/>
      <c r="Y224" s="508"/>
      <c r="Z224" s="508"/>
      <c r="AA224" s="508"/>
      <c r="AB224" s="508"/>
      <c r="AC224" s="508"/>
      <c r="AD224" s="508"/>
      <c r="AE224" s="508"/>
      <c r="AF224" s="508"/>
      <c r="AG224" s="508"/>
      <c r="AH224" s="508"/>
      <c r="AI224" s="508"/>
      <c r="AJ224" s="508"/>
      <c r="AK224" s="508"/>
      <c r="AL224" s="508"/>
      <c r="AM224" s="508"/>
      <c r="AN224" s="508"/>
      <c r="AO224" s="508"/>
      <c r="AP224" s="508"/>
      <c r="AQ224" s="508"/>
      <c r="AR224" s="508"/>
      <c r="AS224" s="508"/>
      <c r="AT224" s="508"/>
      <c r="AU224" s="508"/>
      <c r="AV224" s="508"/>
      <c r="AW224" s="508"/>
      <c r="AX224" s="508"/>
      <c r="AY224" s="51"/>
    </row>
    <row r="225" spans="2:50" customFormat="1" x14ac:dyDescent="0.25">
      <c r="B225" s="109"/>
      <c r="C225" s="109"/>
      <c r="D225" s="30"/>
      <c r="E225" s="30"/>
      <c r="F225" s="386"/>
      <c r="G225" s="387"/>
      <c r="H225" s="388"/>
      <c r="I225" s="388"/>
      <c r="J225" s="528"/>
      <c r="K225" s="528"/>
      <c r="L225" s="528"/>
      <c r="M225" s="528"/>
      <c r="N225" s="528"/>
      <c r="O225" s="528"/>
      <c r="P225" s="528"/>
      <c r="Q225" s="528"/>
      <c r="R225" s="528"/>
      <c r="S225" s="528"/>
      <c r="T225" s="528"/>
      <c r="U225" s="528"/>
      <c r="V225" s="508"/>
      <c r="W225" s="508"/>
      <c r="X225" s="508"/>
      <c r="Y225" s="508"/>
      <c r="Z225" s="508"/>
      <c r="AA225" s="508"/>
      <c r="AB225" s="508"/>
      <c r="AC225" s="508"/>
      <c r="AD225" s="508"/>
      <c r="AE225" s="508"/>
      <c r="AF225" s="508"/>
      <c r="AG225" s="508"/>
      <c r="AH225" s="508"/>
      <c r="AI225" s="508"/>
      <c r="AJ225" s="508"/>
      <c r="AK225" s="508"/>
      <c r="AL225" s="508"/>
      <c r="AM225" s="508"/>
      <c r="AN225" s="508"/>
      <c r="AO225" s="508"/>
      <c r="AP225" s="508"/>
      <c r="AQ225" s="508"/>
      <c r="AR225" s="508"/>
      <c r="AS225" s="508"/>
      <c r="AT225" s="508"/>
      <c r="AU225" s="508"/>
      <c r="AV225" s="508"/>
      <c r="AW225" s="508"/>
      <c r="AX225" s="508"/>
    </row>
    <row r="226" spans="2:50" customFormat="1" x14ac:dyDescent="0.25">
      <c r="B226" s="109"/>
      <c r="C226" s="109"/>
      <c r="D226" s="30"/>
      <c r="E226" s="30"/>
      <c r="F226" s="386"/>
      <c r="G226" s="387"/>
      <c r="H226" s="388"/>
      <c r="I226" s="388"/>
      <c r="J226" s="528"/>
      <c r="K226" s="528"/>
      <c r="L226" s="528"/>
      <c r="M226" s="528"/>
      <c r="N226" s="528"/>
      <c r="O226" s="528"/>
      <c r="P226" s="528"/>
      <c r="Q226" s="528"/>
      <c r="R226" s="528"/>
      <c r="S226" s="528"/>
      <c r="T226" s="528"/>
      <c r="U226" s="528"/>
      <c r="V226" s="508"/>
      <c r="W226" s="508"/>
      <c r="X226" s="508"/>
      <c r="Y226" s="508"/>
      <c r="Z226" s="508"/>
      <c r="AA226" s="508"/>
      <c r="AB226" s="508"/>
      <c r="AC226" s="508"/>
      <c r="AD226" s="508"/>
      <c r="AE226" s="508"/>
      <c r="AF226" s="508"/>
      <c r="AG226" s="508"/>
      <c r="AH226" s="508"/>
      <c r="AI226" s="508"/>
      <c r="AJ226" s="508"/>
      <c r="AK226" s="508"/>
      <c r="AL226" s="508"/>
      <c r="AM226" s="508"/>
      <c r="AN226" s="508"/>
      <c r="AO226" s="508"/>
      <c r="AP226" s="508"/>
      <c r="AQ226" s="508"/>
      <c r="AR226" s="508"/>
      <c r="AS226" s="508"/>
      <c r="AT226" s="508"/>
      <c r="AU226" s="508"/>
      <c r="AV226" s="508"/>
      <c r="AW226" s="508"/>
      <c r="AX226" s="508"/>
    </row>
    <row r="227" spans="2:50" customFormat="1" x14ac:dyDescent="0.25">
      <c r="B227" s="109"/>
      <c r="C227" s="109"/>
      <c r="D227" s="30"/>
      <c r="E227" s="30"/>
      <c r="F227" s="386"/>
      <c r="G227" s="387"/>
      <c r="H227" s="388"/>
      <c r="I227" s="388"/>
      <c r="J227" s="528"/>
      <c r="K227" s="528"/>
      <c r="L227" s="528"/>
      <c r="M227" s="528"/>
      <c r="N227" s="528"/>
      <c r="O227" s="528"/>
      <c r="P227" s="528"/>
      <c r="Q227" s="528"/>
      <c r="R227" s="528"/>
      <c r="S227" s="528"/>
      <c r="T227" s="528"/>
      <c r="U227" s="528"/>
      <c r="V227" s="508"/>
      <c r="W227" s="508"/>
      <c r="X227" s="508"/>
      <c r="Y227" s="508"/>
      <c r="Z227" s="508"/>
      <c r="AA227" s="508"/>
      <c r="AB227" s="508"/>
      <c r="AC227" s="508"/>
      <c r="AD227" s="508"/>
      <c r="AE227" s="508"/>
      <c r="AF227" s="508"/>
      <c r="AG227" s="508"/>
      <c r="AH227" s="508"/>
      <c r="AI227" s="508"/>
      <c r="AJ227" s="508"/>
      <c r="AK227" s="508"/>
      <c r="AL227" s="508"/>
      <c r="AM227" s="508"/>
      <c r="AN227" s="508"/>
      <c r="AO227" s="508"/>
      <c r="AP227" s="508"/>
      <c r="AQ227" s="508"/>
      <c r="AR227" s="508"/>
      <c r="AS227" s="508"/>
      <c r="AT227" s="508"/>
      <c r="AU227" s="508"/>
      <c r="AV227" s="508"/>
      <c r="AW227" s="508"/>
      <c r="AX227" s="508"/>
    </row>
    <row r="228" spans="2:50" customFormat="1" x14ac:dyDescent="0.25">
      <c r="B228" s="30"/>
      <c r="C228" s="30"/>
      <c r="D228" s="30"/>
      <c r="E228" s="30"/>
      <c r="F228" s="51"/>
      <c r="G228" s="324"/>
      <c r="H228" s="362"/>
      <c r="I228" s="362"/>
      <c r="J228" s="528"/>
      <c r="K228" s="528"/>
      <c r="L228" s="528"/>
      <c r="M228" s="528"/>
      <c r="N228" s="528"/>
      <c r="O228" s="528"/>
      <c r="P228" s="528"/>
      <c r="Q228" s="528"/>
      <c r="R228" s="528"/>
      <c r="S228" s="528"/>
      <c r="T228" s="528"/>
      <c r="U228" s="528"/>
      <c r="V228" s="508"/>
      <c r="W228" s="508"/>
      <c r="X228" s="508"/>
      <c r="Y228" s="508"/>
      <c r="Z228" s="508"/>
      <c r="AA228" s="508"/>
      <c r="AB228" s="508"/>
      <c r="AC228" s="508"/>
      <c r="AD228" s="508"/>
      <c r="AE228" s="508"/>
      <c r="AF228" s="508"/>
      <c r="AG228" s="508"/>
      <c r="AH228" s="508"/>
      <c r="AI228" s="508"/>
      <c r="AJ228" s="508"/>
      <c r="AK228" s="508"/>
      <c r="AL228" s="508"/>
      <c r="AM228" s="508"/>
      <c r="AN228" s="508"/>
      <c r="AO228" s="508"/>
      <c r="AP228" s="508"/>
      <c r="AQ228" s="508"/>
      <c r="AR228" s="508"/>
      <c r="AS228" s="508"/>
      <c r="AT228" s="508"/>
      <c r="AU228" s="508"/>
      <c r="AV228" s="508"/>
      <c r="AW228" s="508"/>
      <c r="AX228" s="508"/>
    </row>
    <row r="229" spans="2:50" customFormat="1" x14ac:dyDescent="0.25">
      <c r="B229" s="30"/>
      <c r="C229" s="30"/>
      <c r="D229" s="30"/>
      <c r="E229" s="30"/>
      <c r="F229" s="51"/>
      <c r="G229" s="324"/>
      <c r="H229" s="362"/>
      <c r="I229" s="362"/>
      <c r="J229" s="528"/>
      <c r="K229" s="528"/>
      <c r="L229" s="528"/>
      <c r="M229" s="528"/>
      <c r="N229" s="528"/>
      <c r="O229" s="528"/>
      <c r="P229" s="528"/>
      <c r="Q229" s="528"/>
      <c r="R229" s="528"/>
      <c r="S229" s="528"/>
      <c r="T229" s="528"/>
      <c r="U229" s="528"/>
      <c r="V229" s="508"/>
      <c r="W229" s="508"/>
      <c r="X229" s="508"/>
      <c r="Y229" s="508"/>
      <c r="Z229" s="508"/>
      <c r="AA229" s="508"/>
      <c r="AB229" s="508"/>
      <c r="AC229" s="508"/>
      <c r="AD229" s="508"/>
      <c r="AE229" s="508"/>
      <c r="AF229" s="508"/>
      <c r="AG229" s="508"/>
      <c r="AH229" s="508"/>
      <c r="AI229" s="508"/>
      <c r="AJ229" s="508"/>
      <c r="AK229" s="508"/>
      <c r="AL229" s="508"/>
      <c r="AM229" s="508"/>
      <c r="AN229" s="508"/>
      <c r="AO229" s="508"/>
      <c r="AP229" s="508"/>
      <c r="AQ229" s="508"/>
      <c r="AR229" s="508"/>
      <c r="AS229" s="508"/>
      <c r="AT229" s="508"/>
      <c r="AU229" s="508"/>
      <c r="AV229" s="508"/>
      <c r="AW229" s="508"/>
      <c r="AX229" s="508"/>
    </row>
    <row r="230" spans="2:50" customFormat="1" x14ac:dyDescent="0.25">
      <c r="B230" s="30"/>
      <c r="C230" s="30"/>
      <c r="D230" s="30"/>
      <c r="E230" s="30"/>
      <c r="F230" s="51"/>
      <c r="G230" s="324"/>
      <c r="H230" s="362"/>
      <c r="I230" s="362"/>
      <c r="J230" s="528"/>
      <c r="K230" s="528"/>
      <c r="L230" s="528"/>
      <c r="M230" s="528"/>
      <c r="N230" s="528"/>
      <c r="O230" s="528"/>
      <c r="P230" s="528"/>
      <c r="Q230" s="528"/>
      <c r="R230" s="528"/>
      <c r="S230" s="528"/>
      <c r="T230" s="528"/>
      <c r="U230" s="528"/>
      <c r="V230" s="508"/>
      <c r="W230" s="508"/>
      <c r="X230" s="508"/>
      <c r="Y230" s="508"/>
      <c r="Z230" s="508"/>
      <c r="AA230" s="508"/>
      <c r="AB230" s="508"/>
      <c r="AC230" s="508"/>
      <c r="AD230" s="508"/>
      <c r="AE230" s="508"/>
      <c r="AF230" s="508"/>
      <c r="AG230" s="508"/>
      <c r="AH230" s="508"/>
      <c r="AI230" s="508"/>
      <c r="AJ230" s="508"/>
      <c r="AK230" s="508"/>
      <c r="AL230" s="508"/>
      <c r="AM230" s="508"/>
      <c r="AN230" s="508"/>
      <c r="AO230" s="508"/>
      <c r="AP230" s="508"/>
      <c r="AQ230" s="508"/>
      <c r="AR230" s="508"/>
      <c r="AS230" s="508"/>
      <c r="AT230" s="508"/>
      <c r="AU230" s="508"/>
      <c r="AV230" s="508"/>
      <c r="AW230" s="508"/>
      <c r="AX230" s="508"/>
    </row>
    <row r="231" spans="2:50" customFormat="1" x14ac:dyDescent="0.25">
      <c r="B231" s="30"/>
      <c r="C231" s="30"/>
      <c r="D231" s="30"/>
      <c r="E231" s="30"/>
      <c r="F231" s="51"/>
      <c r="G231" s="324"/>
      <c r="H231" s="362"/>
      <c r="I231" s="362"/>
      <c r="J231" s="528"/>
      <c r="K231" s="528"/>
      <c r="L231" s="528"/>
      <c r="M231" s="528"/>
      <c r="N231" s="528"/>
      <c r="O231" s="528"/>
      <c r="P231" s="528"/>
      <c r="Q231" s="528"/>
      <c r="R231" s="528"/>
      <c r="S231" s="528"/>
      <c r="T231" s="528"/>
      <c r="U231" s="528"/>
      <c r="V231" s="508"/>
      <c r="W231" s="508"/>
      <c r="X231" s="508"/>
      <c r="Y231" s="508"/>
      <c r="Z231" s="508"/>
      <c r="AA231" s="508"/>
      <c r="AB231" s="508"/>
      <c r="AC231" s="508"/>
      <c r="AD231" s="508"/>
      <c r="AE231" s="508"/>
      <c r="AF231" s="508"/>
      <c r="AG231" s="508"/>
      <c r="AH231" s="508"/>
      <c r="AI231" s="508"/>
      <c r="AJ231" s="508"/>
      <c r="AK231" s="508"/>
      <c r="AL231" s="508"/>
      <c r="AM231" s="508"/>
      <c r="AN231" s="508"/>
      <c r="AO231" s="508"/>
      <c r="AP231" s="508"/>
      <c r="AQ231" s="508"/>
      <c r="AR231" s="508"/>
      <c r="AS231" s="508"/>
      <c r="AT231" s="508"/>
      <c r="AU231" s="508"/>
      <c r="AV231" s="508"/>
      <c r="AW231" s="508"/>
      <c r="AX231" s="508"/>
    </row>
    <row r="232" spans="2:50" customFormat="1" x14ac:dyDescent="0.25">
      <c r="B232" s="30"/>
      <c r="C232" s="30"/>
      <c r="D232" s="30"/>
      <c r="E232" s="30"/>
      <c r="F232" s="51"/>
      <c r="G232" s="324"/>
      <c r="H232" s="362"/>
      <c r="I232" s="362"/>
      <c r="J232" s="528"/>
      <c r="K232" s="528"/>
      <c r="L232" s="528"/>
      <c r="M232" s="528"/>
      <c r="N232" s="528"/>
      <c r="O232" s="528"/>
      <c r="P232" s="528"/>
      <c r="Q232" s="528"/>
      <c r="R232" s="528"/>
      <c r="S232" s="528"/>
      <c r="T232" s="528"/>
      <c r="U232" s="528"/>
      <c r="V232" s="508"/>
      <c r="W232" s="508"/>
      <c r="X232" s="508"/>
      <c r="Y232" s="508"/>
      <c r="Z232" s="508"/>
      <c r="AA232" s="508"/>
      <c r="AB232" s="508"/>
      <c r="AC232" s="508"/>
      <c r="AD232" s="508"/>
      <c r="AE232" s="508"/>
      <c r="AF232" s="508"/>
      <c r="AG232" s="508"/>
      <c r="AH232" s="508"/>
      <c r="AI232" s="508"/>
      <c r="AJ232" s="508"/>
      <c r="AK232" s="508"/>
      <c r="AL232" s="508"/>
      <c r="AM232" s="508"/>
      <c r="AN232" s="508"/>
      <c r="AO232" s="508"/>
      <c r="AP232" s="508"/>
      <c r="AQ232" s="508"/>
      <c r="AR232" s="508"/>
      <c r="AS232" s="508"/>
      <c r="AT232" s="508"/>
      <c r="AU232" s="508"/>
      <c r="AV232" s="508"/>
      <c r="AW232" s="508"/>
      <c r="AX232" s="508"/>
    </row>
    <row r="233" spans="2:50" customFormat="1" x14ac:dyDescent="0.25">
      <c r="B233" s="30"/>
      <c r="C233" s="30"/>
      <c r="D233" s="30"/>
      <c r="E233" s="30"/>
      <c r="F233" s="51"/>
      <c r="G233" s="324"/>
      <c r="H233" s="362"/>
      <c r="I233" s="362"/>
      <c r="J233" s="528"/>
      <c r="K233" s="528"/>
      <c r="L233" s="528"/>
      <c r="M233" s="528"/>
      <c r="N233" s="528"/>
      <c r="O233" s="528"/>
      <c r="P233" s="528"/>
      <c r="Q233" s="528"/>
      <c r="R233" s="528"/>
      <c r="S233" s="528"/>
      <c r="T233" s="528"/>
      <c r="U233" s="528"/>
      <c r="V233" s="508"/>
      <c r="W233" s="508"/>
      <c r="X233" s="508"/>
      <c r="Y233" s="508"/>
      <c r="Z233" s="508"/>
      <c r="AA233" s="508"/>
      <c r="AB233" s="508"/>
      <c r="AC233" s="508"/>
      <c r="AD233" s="508"/>
      <c r="AE233" s="508"/>
      <c r="AF233" s="508"/>
      <c r="AG233" s="508"/>
      <c r="AH233" s="508"/>
      <c r="AI233" s="508"/>
      <c r="AJ233" s="508"/>
      <c r="AK233" s="508"/>
      <c r="AL233" s="508"/>
      <c r="AM233" s="508"/>
      <c r="AN233" s="508"/>
      <c r="AO233" s="508"/>
      <c r="AP233" s="508"/>
      <c r="AQ233" s="508"/>
      <c r="AR233" s="508"/>
      <c r="AS233" s="508"/>
      <c r="AT233" s="508"/>
      <c r="AU233" s="508"/>
      <c r="AV233" s="508"/>
      <c r="AW233" s="508"/>
      <c r="AX233" s="508"/>
    </row>
    <row r="234" spans="2:50" customFormat="1" x14ac:dyDescent="0.25">
      <c r="B234" s="30"/>
      <c r="C234" s="30"/>
      <c r="D234" s="30"/>
      <c r="E234" s="30"/>
      <c r="F234" s="51"/>
      <c r="G234" s="324"/>
      <c r="H234" s="362"/>
      <c r="I234" s="362"/>
      <c r="J234" s="528"/>
      <c r="K234" s="528"/>
      <c r="L234" s="528"/>
      <c r="M234" s="528"/>
      <c r="N234" s="528"/>
      <c r="O234" s="528"/>
      <c r="P234" s="528"/>
      <c r="Q234" s="528"/>
      <c r="R234" s="528"/>
      <c r="S234" s="528"/>
      <c r="T234" s="528"/>
      <c r="U234" s="528"/>
      <c r="V234" s="508"/>
      <c r="W234" s="508"/>
      <c r="X234" s="508"/>
      <c r="Y234" s="508"/>
      <c r="Z234" s="508"/>
      <c r="AA234" s="508"/>
      <c r="AB234" s="508"/>
      <c r="AC234" s="508"/>
      <c r="AD234" s="508"/>
      <c r="AE234" s="508"/>
      <c r="AF234" s="508"/>
      <c r="AG234" s="508"/>
      <c r="AH234" s="508"/>
      <c r="AI234" s="508"/>
      <c r="AJ234" s="508"/>
      <c r="AK234" s="508"/>
      <c r="AL234" s="508"/>
      <c r="AM234" s="508"/>
      <c r="AN234" s="508"/>
      <c r="AO234" s="508"/>
      <c r="AP234" s="508"/>
      <c r="AQ234" s="508"/>
      <c r="AR234" s="508"/>
      <c r="AS234" s="508"/>
      <c r="AT234" s="508"/>
      <c r="AU234" s="508"/>
      <c r="AV234" s="508"/>
      <c r="AW234" s="508"/>
      <c r="AX234" s="508"/>
    </row>
    <row r="235" spans="2:50" customFormat="1" x14ac:dyDescent="0.25">
      <c r="B235" s="30"/>
      <c r="C235" s="30"/>
      <c r="D235" s="30"/>
      <c r="E235" s="30"/>
      <c r="F235" s="51"/>
      <c r="G235" s="324"/>
      <c r="H235" s="362"/>
      <c r="I235" s="362"/>
      <c r="J235" s="528"/>
      <c r="K235" s="528"/>
      <c r="L235" s="528"/>
      <c r="M235" s="528"/>
      <c r="N235" s="528"/>
      <c r="O235" s="528"/>
      <c r="P235" s="528"/>
      <c r="Q235" s="528"/>
      <c r="R235" s="528"/>
      <c r="S235" s="528"/>
      <c r="T235" s="528"/>
      <c r="U235" s="528"/>
      <c r="V235" s="508"/>
      <c r="W235" s="508"/>
      <c r="X235" s="508"/>
      <c r="Y235" s="508"/>
      <c r="Z235" s="508"/>
      <c r="AA235" s="508"/>
      <c r="AB235" s="508"/>
      <c r="AC235" s="508"/>
      <c r="AD235" s="508"/>
      <c r="AE235" s="508"/>
      <c r="AF235" s="508"/>
      <c r="AG235" s="508"/>
      <c r="AH235" s="508"/>
      <c r="AI235" s="508"/>
      <c r="AJ235" s="508"/>
      <c r="AK235" s="508"/>
      <c r="AL235" s="508"/>
      <c r="AM235" s="508"/>
      <c r="AN235" s="508"/>
      <c r="AO235" s="508"/>
      <c r="AP235" s="508"/>
      <c r="AQ235" s="508"/>
      <c r="AR235" s="508"/>
      <c r="AS235" s="508"/>
      <c r="AT235" s="508"/>
      <c r="AU235" s="508"/>
      <c r="AV235" s="508"/>
      <c r="AW235" s="508"/>
      <c r="AX235" s="508"/>
    </row>
    <row r="236" spans="2:50" customFormat="1" x14ac:dyDescent="0.25">
      <c r="B236" s="30"/>
      <c r="C236" s="30"/>
      <c r="D236" s="30"/>
      <c r="E236" s="30"/>
      <c r="F236" s="51"/>
      <c r="G236" s="324"/>
      <c r="H236" s="362"/>
      <c r="I236" s="362"/>
      <c r="J236" s="528"/>
      <c r="K236" s="528"/>
      <c r="L236" s="528"/>
      <c r="M236" s="528"/>
      <c r="N236" s="528"/>
      <c r="O236" s="528"/>
      <c r="P236" s="528"/>
      <c r="Q236" s="528"/>
      <c r="R236" s="528"/>
      <c r="S236" s="528"/>
      <c r="T236" s="528"/>
      <c r="U236" s="528"/>
      <c r="V236" s="508"/>
      <c r="W236" s="508"/>
      <c r="X236" s="508"/>
      <c r="Y236" s="508"/>
      <c r="Z236" s="508"/>
      <c r="AA236" s="508"/>
      <c r="AB236" s="508"/>
      <c r="AC236" s="508"/>
      <c r="AD236" s="508"/>
      <c r="AE236" s="508"/>
      <c r="AF236" s="508"/>
      <c r="AG236" s="508"/>
      <c r="AH236" s="508"/>
      <c r="AI236" s="508"/>
      <c r="AJ236" s="508"/>
      <c r="AK236" s="508"/>
      <c r="AL236" s="508"/>
      <c r="AM236" s="508"/>
      <c r="AN236" s="508"/>
      <c r="AO236" s="508"/>
      <c r="AP236" s="508"/>
      <c r="AQ236" s="508"/>
      <c r="AR236" s="508"/>
      <c r="AS236" s="508"/>
      <c r="AT236" s="508"/>
      <c r="AU236" s="508"/>
      <c r="AV236" s="508"/>
      <c r="AW236" s="508"/>
      <c r="AX236" s="508"/>
    </row>
    <row r="237" spans="2:50" customFormat="1" x14ac:dyDescent="0.25">
      <c r="B237" s="30"/>
      <c r="C237" s="30"/>
      <c r="D237" s="30"/>
      <c r="E237" s="30"/>
      <c r="F237" s="51"/>
      <c r="G237" s="324"/>
      <c r="H237" s="362"/>
      <c r="I237" s="362"/>
      <c r="J237" s="528"/>
      <c r="K237" s="528"/>
      <c r="L237" s="528"/>
      <c r="M237" s="528"/>
      <c r="N237" s="528"/>
      <c r="O237" s="528"/>
      <c r="P237" s="528"/>
      <c r="Q237" s="528"/>
      <c r="R237" s="528"/>
      <c r="S237" s="528"/>
      <c r="T237" s="528"/>
      <c r="U237" s="528"/>
      <c r="V237" s="508"/>
      <c r="W237" s="508"/>
      <c r="X237" s="508"/>
      <c r="Y237" s="508"/>
      <c r="Z237" s="508"/>
      <c r="AA237" s="508"/>
      <c r="AB237" s="508"/>
      <c r="AC237" s="508"/>
      <c r="AD237" s="508"/>
      <c r="AE237" s="508"/>
      <c r="AF237" s="508"/>
      <c r="AG237" s="508"/>
      <c r="AH237" s="508"/>
      <c r="AI237" s="508"/>
      <c r="AJ237" s="508"/>
      <c r="AK237" s="508"/>
      <c r="AL237" s="508"/>
      <c r="AM237" s="508"/>
      <c r="AN237" s="508"/>
      <c r="AO237" s="508"/>
      <c r="AP237" s="508"/>
      <c r="AQ237" s="508"/>
      <c r="AR237" s="508"/>
      <c r="AS237" s="508"/>
      <c r="AT237" s="508"/>
      <c r="AU237" s="508"/>
      <c r="AV237" s="508"/>
      <c r="AW237" s="508"/>
      <c r="AX237" s="508"/>
    </row>
    <row r="238" spans="2:50" customFormat="1" x14ac:dyDescent="0.25">
      <c r="B238" s="30"/>
      <c r="C238" s="30"/>
      <c r="D238" s="30"/>
      <c r="E238" s="30"/>
      <c r="F238" s="51"/>
      <c r="G238" s="324"/>
      <c r="H238" s="362"/>
      <c r="I238" s="362"/>
      <c r="J238" s="528"/>
      <c r="K238" s="528"/>
      <c r="L238" s="528"/>
      <c r="M238" s="528"/>
      <c r="N238" s="528"/>
      <c r="O238" s="528"/>
      <c r="P238" s="528"/>
      <c r="Q238" s="528"/>
      <c r="R238" s="528"/>
      <c r="S238" s="528"/>
      <c r="T238" s="528"/>
      <c r="U238" s="528"/>
      <c r="V238" s="508"/>
      <c r="W238" s="508"/>
      <c r="X238" s="508"/>
      <c r="Y238" s="508"/>
      <c r="Z238" s="508"/>
      <c r="AA238" s="508"/>
      <c r="AB238" s="508"/>
      <c r="AC238" s="508"/>
      <c r="AD238" s="508"/>
      <c r="AE238" s="508"/>
      <c r="AF238" s="508"/>
      <c r="AG238" s="508"/>
      <c r="AH238" s="508"/>
      <c r="AI238" s="508"/>
      <c r="AJ238" s="508"/>
      <c r="AK238" s="508"/>
      <c r="AL238" s="508"/>
      <c r="AM238" s="508"/>
      <c r="AN238" s="508"/>
      <c r="AO238" s="508"/>
      <c r="AP238" s="508"/>
      <c r="AQ238" s="508"/>
      <c r="AR238" s="508"/>
      <c r="AS238" s="508"/>
      <c r="AT238" s="508"/>
      <c r="AU238" s="508"/>
      <c r="AV238" s="508"/>
      <c r="AW238" s="508"/>
      <c r="AX238" s="508"/>
    </row>
    <row r="239" spans="2:50" customFormat="1" x14ac:dyDescent="0.25">
      <c r="B239" s="30"/>
      <c r="C239" s="30"/>
      <c r="D239" s="30"/>
      <c r="E239" s="30"/>
      <c r="F239" s="51"/>
      <c r="G239" s="324"/>
      <c r="H239" s="362"/>
      <c r="I239" s="362"/>
      <c r="J239" s="528"/>
      <c r="K239" s="528"/>
      <c r="L239" s="528"/>
      <c r="M239" s="528"/>
      <c r="N239" s="528"/>
      <c r="O239" s="528"/>
      <c r="P239" s="528"/>
      <c r="Q239" s="528"/>
      <c r="R239" s="528"/>
      <c r="S239" s="528"/>
      <c r="T239" s="528"/>
      <c r="U239" s="528"/>
      <c r="V239" s="508"/>
      <c r="W239" s="508"/>
      <c r="X239" s="508"/>
      <c r="Y239" s="508"/>
      <c r="Z239" s="508"/>
      <c r="AA239" s="508"/>
      <c r="AB239" s="508"/>
      <c r="AC239" s="508"/>
      <c r="AD239" s="508"/>
      <c r="AE239" s="508"/>
      <c r="AF239" s="508"/>
      <c r="AG239" s="508"/>
      <c r="AH239" s="508"/>
      <c r="AI239" s="508"/>
      <c r="AJ239" s="508"/>
      <c r="AK239" s="508"/>
      <c r="AL239" s="508"/>
      <c r="AM239" s="508"/>
      <c r="AN239" s="508"/>
      <c r="AO239" s="508"/>
      <c r="AP239" s="508"/>
      <c r="AQ239" s="508"/>
      <c r="AR239" s="508"/>
      <c r="AS239" s="508"/>
      <c r="AT239" s="508"/>
      <c r="AU239" s="508"/>
      <c r="AV239" s="508"/>
      <c r="AW239" s="508"/>
      <c r="AX239" s="508"/>
    </row>
    <row r="240" spans="2:50" customFormat="1" x14ac:dyDescent="0.25">
      <c r="B240" s="30"/>
      <c r="C240" s="30"/>
      <c r="D240" s="30"/>
      <c r="E240" s="30"/>
      <c r="F240" s="51"/>
      <c r="G240" s="324"/>
      <c r="H240" s="362"/>
      <c r="I240" s="362"/>
      <c r="J240" s="528"/>
      <c r="K240" s="528"/>
      <c r="L240" s="528"/>
      <c r="M240" s="528"/>
      <c r="N240" s="528"/>
      <c r="O240" s="528"/>
      <c r="P240" s="528"/>
      <c r="Q240" s="528"/>
      <c r="R240" s="528"/>
      <c r="S240" s="528"/>
      <c r="T240" s="528"/>
      <c r="U240" s="528"/>
      <c r="V240" s="508"/>
      <c r="W240" s="508"/>
      <c r="X240" s="508"/>
      <c r="Y240" s="508"/>
      <c r="Z240" s="508"/>
      <c r="AA240" s="508"/>
      <c r="AB240" s="508"/>
      <c r="AC240" s="508"/>
      <c r="AD240" s="508"/>
      <c r="AE240" s="508"/>
      <c r="AF240" s="508"/>
      <c r="AG240" s="508"/>
      <c r="AH240" s="508"/>
      <c r="AI240" s="508"/>
      <c r="AJ240" s="508"/>
      <c r="AK240" s="508"/>
      <c r="AL240" s="508"/>
      <c r="AM240" s="508"/>
      <c r="AN240" s="508"/>
      <c r="AO240" s="508"/>
      <c r="AP240" s="508"/>
      <c r="AQ240" s="508"/>
      <c r="AR240" s="508"/>
      <c r="AS240" s="508"/>
      <c r="AT240" s="508"/>
      <c r="AU240" s="508"/>
      <c r="AV240" s="508"/>
      <c r="AW240" s="508"/>
      <c r="AX240" s="508"/>
    </row>
    <row r="241" spans="4:50" customFormat="1" x14ac:dyDescent="0.25">
      <c r="D241" s="30"/>
      <c r="E241" s="30"/>
      <c r="H241" s="362"/>
      <c r="I241" s="362"/>
      <c r="J241" s="528"/>
      <c r="K241" s="528"/>
      <c r="L241" s="528"/>
      <c r="M241" s="528"/>
      <c r="N241" s="528"/>
      <c r="O241" s="528"/>
      <c r="P241" s="528"/>
      <c r="Q241" s="528"/>
      <c r="R241" s="528"/>
      <c r="S241" s="528"/>
      <c r="T241" s="528"/>
      <c r="U241" s="528"/>
      <c r="V241" s="508"/>
      <c r="W241" s="508"/>
      <c r="X241" s="508"/>
      <c r="Y241" s="508"/>
      <c r="Z241" s="508"/>
      <c r="AA241" s="508"/>
      <c r="AB241" s="508"/>
      <c r="AC241" s="508"/>
      <c r="AD241" s="508"/>
      <c r="AE241" s="508"/>
      <c r="AF241" s="508"/>
      <c r="AG241" s="508"/>
      <c r="AH241" s="508"/>
      <c r="AI241" s="508"/>
      <c r="AJ241" s="508"/>
      <c r="AK241" s="508"/>
      <c r="AL241" s="508"/>
      <c r="AM241" s="508"/>
      <c r="AN241" s="508"/>
      <c r="AO241" s="508"/>
      <c r="AP241" s="508"/>
      <c r="AQ241" s="508"/>
      <c r="AR241" s="508"/>
      <c r="AS241" s="508"/>
      <c r="AT241" s="508"/>
      <c r="AU241" s="508"/>
      <c r="AV241" s="508"/>
      <c r="AW241" s="508"/>
      <c r="AX241" s="508"/>
    </row>
    <row r="242" spans="4:50" customFormat="1" x14ac:dyDescent="0.25">
      <c r="D242" s="30"/>
      <c r="E242" s="30"/>
      <c r="H242" s="362"/>
      <c r="I242" s="362"/>
      <c r="J242" s="528"/>
      <c r="K242" s="528"/>
      <c r="L242" s="528"/>
      <c r="M242" s="528"/>
      <c r="N242" s="528"/>
      <c r="O242" s="528"/>
      <c r="P242" s="528"/>
      <c r="Q242" s="528"/>
      <c r="R242" s="528"/>
      <c r="S242" s="528"/>
      <c r="T242" s="528"/>
      <c r="U242" s="528"/>
      <c r="V242" s="508"/>
      <c r="W242" s="508"/>
      <c r="X242" s="508"/>
      <c r="Y242" s="508"/>
      <c r="Z242" s="508"/>
      <c r="AA242" s="508"/>
      <c r="AB242" s="508"/>
      <c r="AC242" s="508"/>
      <c r="AD242" s="508"/>
      <c r="AE242" s="508"/>
      <c r="AF242" s="508"/>
      <c r="AG242" s="508"/>
      <c r="AH242" s="508"/>
      <c r="AI242" s="508"/>
      <c r="AJ242" s="508"/>
      <c r="AK242" s="508"/>
      <c r="AL242" s="508"/>
      <c r="AM242" s="508"/>
      <c r="AN242" s="508"/>
      <c r="AO242" s="508"/>
      <c r="AP242" s="508"/>
      <c r="AQ242" s="508"/>
      <c r="AR242" s="508"/>
      <c r="AS242" s="508"/>
      <c r="AT242" s="508"/>
      <c r="AU242" s="508"/>
      <c r="AV242" s="508"/>
      <c r="AW242" s="508"/>
      <c r="AX242" s="508"/>
    </row>
    <row r="243" spans="4:50" customFormat="1" x14ac:dyDescent="0.25">
      <c r="D243" s="30"/>
      <c r="E243" s="30"/>
      <c r="H243" s="362"/>
      <c r="I243" s="362"/>
      <c r="J243" s="528"/>
      <c r="K243" s="528"/>
      <c r="L243" s="528"/>
      <c r="M243" s="528"/>
      <c r="N243" s="528"/>
      <c r="O243" s="528"/>
      <c r="P243" s="528"/>
      <c r="Q243" s="528"/>
      <c r="R243" s="528"/>
      <c r="S243" s="528"/>
      <c r="T243" s="528"/>
      <c r="U243" s="528"/>
      <c r="V243" s="508"/>
      <c r="W243" s="508"/>
      <c r="X243" s="508"/>
      <c r="Y243" s="508"/>
      <c r="Z243" s="508"/>
      <c r="AA243" s="508"/>
      <c r="AB243" s="508"/>
      <c r="AC243" s="508"/>
      <c r="AD243" s="508"/>
      <c r="AE243" s="508"/>
      <c r="AF243" s="508"/>
      <c r="AG243" s="508"/>
      <c r="AH243" s="508"/>
      <c r="AI243" s="508"/>
      <c r="AJ243" s="508"/>
      <c r="AK243" s="508"/>
      <c r="AL243" s="508"/>
      <c r="AM243" s="508"/>
      <c r="AN243" s="508"/>
      <c r="AO243" s="508"/>
      <c r="AP243" s="508"/>
      <c r="AQ243" s="508"/>
      <c r="AR243" s="508"/>
      <c r="AS243" s="508"/>
      <c r="AT243" s="508"/>
      <c r="AU243" s="508"/>
      <c r="AV243" s="508"/>
      <c r="AW243" s="508"/>
      <c r="AX243" s="508"/>
    </row>
    <row r="244" spans="4:50" customFormat="1" x14ac:dyDescent="0.25">
      <c r="D244" s="30"/>
      <c r="E244" s="30"/>
      <c r="H244" s="362"/>
      <c r="I244" s="362"/>
      <c r="J244" s="528"/>
      <c r="K244" s="528"/>
      <c r="L244" s="528"/>
      <c r="M244" s="528"/>
      <c r="N244" s="528"/>
      <c r="O244" s="528"/>
      <c r="P244" s="528"/>
      <c r="Q244" s="528"/>
      <c r="R244" s="528"/>
      <c r="S244" s="528"/>
      <c r="T244" s="528"/>
      <c r="U244" s="528"/>
      <c r="V244" s="508"/>
      <c r="W244" s="508"/>
      <c r="X244" s="508"/>
      <c r="Y244" s="508"/>
      <c r="Z244" s="508"/>
      <c r="AA244" s="508"/>
      <c r="AB244" s="508"/>
      <c r="AC244" s="508"/>
      <c r="AD244" s="508"/>
      <c r="AE244" s="508"/>
      <c r="AF244" s="508"/>
      <c r="AG244" s="508"/>
      <c r="AH244" s="508"/>
      <c r="AI244" s="508"/>
      <c r="AJ244" s="508"/>
      <c r="AK244" s="508"/>
      <c r="AL244" s="508"/>
      <c r="AM244" s="508"/>
      <c r="AN244" s="508"/>
      <c r="AO244" s="508"/>
      <c r="AP244" s="508"/>
      <c r="AQ244" s="508"/>
      <c r="AR244" s="508"/>
      <c r="AS244" s="508"/>
      <c r="AT244" s="508"/>
      <c r="AU244" s="508"/>
      <c r="AV244" s="508"/>
      <c r="AW244" s="508"/>
      <c r="AX244" s="508"/>
    </row>
    <row r="245" spans="4:50" customFormat="1" x14ac:dyDescent="0.25">
      <c r="D245" s="30"/>
      <c r="E245" s="30"/>
      <c r="H245" s="362"/>
      <c r="I245" s="362"/>
      <c r="J245" s="528"/>
      <c r="K245" s="528"/>
      <c r="L245" s="528"/>
      <c r="M245" s="528"/>
      <c r="N245" s="528"/>
      <c r="O245" s="528"/>
      <c r="P245" s="528"/>
      <c r="Q245" s="528"/>
      <c r="R245" s="528"/>
      <c r="S245" s="528"/>
      <c r="T245" s="528"/>
      <c r="U245" s="528"/>
      <c r="V245" s="508"/>
      <c r="W245" s="508"/>
      <c r="X245" s="508"/>
      <c r="Y245" s="508"/>
      <c r="Z245" s="508"/>
      <c r="AA245" s="508"/>
      <c r="AB245" s="508"/>
      <c r="AC245" s="508"/>
      <c r="AD245" s="508"/>
      <c r="AE245" s="508"/>
      <c r="AF245" s="508"/>
      <c r="AG245" s="508"/>
      <c r="AH245" s="508"/>
      <c r="AI245" s="508"/>
      <c r="AJ245" s="508"/>
      <c r="AK245" s="508"/>
      <c r="AL245" s="508"/>
      <c r="AM245" s="508"/>
      <c r="AN245" s="508"/>
      <c r="AO245" s="508"/>
      <c r="AP245" s="508"/>
      <c r="AQ245" s="508"/>
      <c r="AR245" s="508"/>
      <c r="AS245" s="508"/>
      <c r="AT245" s="508"/>
      <c r="AU245" s="508"/>
      <c r="AV245" s="508"/>
      <c r="AW245" s="508"/>
      <c r="AX245" s="508"/>
    </row>
    <row r="246" spans="4:50" customFormat="1" x14ac:dyDescent="0.25">
      <c r="D246" s="30"/>
      <c r="E246" s="30"/>
      <c r="H246" s="362"/>
      <c r="I246" s="362"/>
      <c r="J246" s="528"/>
      <c r="K246" s="528"/>
      <c r="L246" s="528"/>
      <c r="M246" s="528"/>
      <c r="N246" s="528"/>
      <c r="O246" s="528"/>
      <c r="P246" s="528"/>
      <c r="Q246" s="528"/>
      <c r="R246" s="528"/>
      <c r="S246" s="528"/>
      <c r="T246" s="528"/>
      <c r="U246" s="528"/>
      <c r="V246" s="508"/>
      <c r="W246" s="508"/>
      <c r="X246" s="508"/>
      <c r="Y246" s="508"/>
      <c r="Z246" s="508"/>
      <c r="AA246" s="508"/>
      <c r="AB246" s="508"/>
      <c r="AC246" s="508"/>
      <c r="AD246" s="508"/>
      <c r="AE246" s="508"/>
      <c r="AF246" s="508"/>
      <c r="AG246" s="508"/>
      <c r="AH246" s="508"/>
      <c r="AI246" s="508"/>
      <c r="AJ246" s="508"/>
      <c r="AK246" s="508"/>
      <c r="AL246" s="508"/>
      <c r="AM246" s="508"/>
      <c r="AN246" s="508"/>
      <c r="AO246" s="508"/>
      <c r="AP246" s="508"/>
      <c r="AQ246" s="508"/>
      <c r="AR246" s="508"/>
      <c r="AS246" s="508"/>
      <c r="AT246" s="508"/>
      <c r="AU246" s="508"/>
      <c r="AV246" s="508"/>
      <c r="AW246" s="508"/>
      <c r="AX246" s="508"/>
    </row>
    <row r="247" spans="4:50" customFormat="1" x14ac:dyDescent="0.25">
      <c r="D247" s="30"/>
      <c r="E247" s="30"/>
      <c r="H247" s="362"/>
      <c r="I247" s="362"/>
      <c r="J247" s="528"/>
      <c r="K247" s="528"/>
      <c r="L247" s="528"/>
      <c r="M247" s="528"/>
      <c r="N247" s="528"/>
      <c r="O247" s="528"/>
      <c r="P247" s="528"/>
      <c r="Q247" s="528"/>
      <c r="R247" s="528"/>
      <c r="S247" s="528"/>
      <c r="T247" s="528"/>
      <c r="U247" s="528"/>
      <c r="V247" s="508"/>
      <c r="W247" s="508"/>
      <c r="X247" s="508"/>
      <c r="Y247" s="508"/>
      <c r="Z247" s="508"/>
      <c r="AA247" s="508"/>
      <c r="AB247" s="508"/>
      <c r="AC247" s="508"/>
      <c r="AD247" s="508"/>
      <c r="AE247" s="508"/>
      <c r="AF247" s="508"/>
      <c r="AG247" s="508"/>
      <c r="AH247" s="508"/>
      <c r="AI247" s="508"/>
      <c r="AJ247" s="508"/>
      <c r="AK247" s="508"/>
      <c r="AL247" s="508"/>
      <c r="AM247" s="508"/>
      <c r="AN247" s="508"/>
      <c r="AO247" s="508"/>
      <c r="AP247" s="508"/>
      <c r="AQ247" s="508"/>
      <c r="AR247" s="508"/>
      <c r="AS247" s="508"/>
      <c r="AT247" s="508"/>
      <c r="AU247" s="508"/>
      <c r="AV247" s="508"/>
      <c r="AW247" s="508"/>
      <c r="AX247" s="508"/>
    </row>
    <row r="248" spans="4:50" customFormat="1" x14ac:dyDescent="0.25">
      <c r="D248" s="30"/>
      <c r="E248" s="30"/>
      <c r="H248" s="362"/>
      <c r="I248" s="362"/>
      <c r="J248" s="528"/>
      <c r="K248" s="528"/>
      <c r="L248" s="528"/>
      <c r="M248" s="528"/>
      <c r="N248" s="528"/>
      <c r="O248" s="528"/>
      <c r="P248" s="528"/>
      <c r="Q248" s="528"/>
      <c r="R248" s="528"/>
      <c r="S248" s="528"/>
      <c r="T248" s="528"/>
      <c r="U248" s="528"/>
      <c r="V248" s="508"/>
      <c r="W248" s="508"/>
      <c r="X248" s="508"/>
      <c r="Y248" s="508"/>
      <c r="Z248" s="508"/>
      <c r="AA248" s="508"/>
      <c r="AB248" s="508"/>
      <c r="AC248" s="508"/>
      <c r="AD248" s="508"/>
      <c r="AE248" s="508"/>
      <c r="AF248" s="508"/>
      <c r="AG248" s="508"/>
      <c r="AH248" s="508"/>
      <c r="AI248" s="508"/>
      <c r="AJ248" s="508"/>
      <c r="AK248" s="508"/>
      <c r="AL248" s="508"/>
      <c r="AM248" s="508"/>
      <c r="AN248" s="508"/>
      <c r="AO248" s="508"/>
      <c r="AP248" s="508"/>
      <c r="AQ248" s="508"/>
      <c r="AR248" s="508"/>
      <c r="AS248" s="508"/>
      <c r="AT248" s="508"/>
      <c r="AU248" s="508"/>
      <c r="AV248" s="508"/>
      <c r="AW248" s="508"/>
      <c r="AX248" s="508"/>
    </row>
    <row r="249" spans="4:50" customFormat="1" x14ac:dyDescent="0.25">
      <c r="D249" s="30"/>
      <c r="E249" s="30"/>
      <c r="H249" s="362"/>
      <c r="I249" s="362"/>
      <c r="J249" s="528"/>
      <c r="K249" s="528"/>
      <c r="L249" s="528"/>
      <c r="M249" s="528"/>
      <c r="N249" s="528"/>
      <c r="O249" s="528"/>
      <c r="P249" s="528"/>
      <c r="Q249" s="528"/>
      <c r="R249" s="528"/>
      <c r="S249" s="528"/>
      <c r="T249" s="528"/>
      <c r="U249" s="528"/>
      <c r="V249" s="508"/>
      <c r="W249" s="508"/>
      <c r="X249" s="508"/>
      <c r="Y249" s="508"/>
      <c r="Z249" s="508"/>
      <c r="AA249" s="508"/>
      <c r="AB249" s="508"/>
      <c r="AC249" s="508"/>
      <c r="AD249" s="508"/>
      <c r="AE249" s="508"/>
      <c r="AF249" s="508"/>
      <c r="AG249" s="508"/>
      <c r="AH249" s="508"/>
      <c r="AI249" s="508"/>
      <c r="AJ249" s="508"/>
      <c r="AK249" s="508"/>
      <c r="AL249" s="508"/>
      <c r="AM249" s="508"/>
      <c r="AN249" s="508"/>
      <c r="AO249" s="508"/>
      <c r="AP249" s="508"/>
      <c r="AQ249" s="508"/>
      <c r="AR249" s="508"/>
      <c r="AS249" s="508"/>
      <c r="AT249" s="508"/>
      <c r="AU249" s="508"/>
      <c r="AV249" s="508"/>
      <c r="AW249" s="508"/>
      <c r="AX249" s="508"/>
    </row>
    <row r="250" spans="4:50" customFormat="1" x14ac:dyDescent="0.25">
      <c r="D250" s="30"/>
      <c r="E250" s="30"/>
      <c r="H250" s="362"/>
      <c r="I250" s="362"/>
      <c r="J250" s="528"/>
      <c r="K250" s="528"/>
      <c r="L250" s="528"/>
      <c r="M250" s="528"/>
      <c r="N250" s="528"/>
      <c r="O250" s="528"/>
      <c r="P250" s="528"/>
      <c r="Q250" s="528"/>
      <c r="R250" s="528"/>
      <c r="S250" s="528"/>
      <c r="T250" s="528"/>
      <c r="U250" s="528"/>
      <c r="V250" s="508"/>
      <c r="W250" s="508"/>
      <c r="X250" s="508"/>
      <c r="Y250" s="508"/>
      <c r="Z250" s="508"/>
      <c r="AA250" s="508"/>
      <c r="AB250" s="508"/>
      <c r="AC250" s="508"/>
      <c r="AD250" s="508"/>
      <c r="AE250" s="508"/>
      <c r="AF250" s="508"/>
      <c r="AG250" s="508"/>
      <c r="AH250" s="508"/>
      <c r="AI250" s="508"/>
      <c r="AJ250" s="508"/>
      <c r="AK250" s="508"/>
      <c r="AL250" s="508"/>
      <c r="AM250" s="508"/>
      <c r="AN250" s="508"/>
      <c r="AO250" s="508"/>
      <c r="AP250" s="508"/>
      <c r="AQ250" s="508"/>
      <c r="AR250" s="508"/>
      <c r="AS250" s="508"/>
      <c r="AT250" s="508"/>
      <c r="AU250" s="508"/>
      <c r="AV250" s="508"/>
      <c r="AW250" s="508"/>
      <c r="AX250" s="508"/>
    </row>
    <row r="251" spans="4:50" customFormat="1" x14ac:dyDescent="0.25">
      <c r="D251" s="30"/>
      <c r="E251" s="30"/>
      <c r="H251" s="362"/>
      <c r="I251" s="362"/>
      <c r="J251" s="528"/>
      <c r="K251" s="528"/>
      <c r="L251" s="528"/>
      <c r="M251" s="528"/>
      <c r="N251" s="528"/>
      <c r="O251" s="528"/>
      <c r="P251" s="528"/>
      <c r="Q251" s="528"/>
      <c r="R251" s="528"/>
      <c r="S251" s="528"/>
      <c r="T251" s="528"/>
      <c r="U251" s="528"/>
      <c r="V251" s="508"/>
      <c r="W251" s="508"/>
      <c r="X251" s="508"/>
      <c r="Y251" s="508"/>
      <c r="Z251" s="508"/>
      <c r="AA251" s="508"/>
      <c r="AB251" s="508"/>
      <c r="AC251" s="508"/>
      <c r="AD251" s="508"/>
      <c r="AE251" s="508"/>
      <c r="AF251" s="508"/>
      <c r="AG251" s="508"/>
      <c r="AH251" s="508"/>
      <c r="AI251" s="508"/>
      <c r="AJ251" s="508"/>
      <c r="AK251" s="508"/>
      <c r="AL251" s="508"/>
      <c r="AM251" s="508"/>
      <c r="AN251" s="508"/>
      <c r="AO251" s="508"/>
      <c r="AP251" s="508"/>
      <c r="AQ251" s="508"/>
      <c r="AR251" s="508"/>
      <c r="AS251" s="508"/>
      <c r="AT251" s="508"/>
      <c r="AU251" s="508"/>
      <c r="AV251" s="508"/>
      <c r="AW251" s="508"/>
      <c r="AX251" s="508"/>
    </row>
    <row r="252" spans="4:50" customFormat="1" x14ac:dyDescent="0.25">
      <c r="D252" s="30"/>
      <c r="E252" s="30"/>
      <c r="H252" s="362"/>
      <c r="I252" s="362"/>
      <c r="J252" s="528"/>
      <c r="K252" s="528"/>
      <c r="L252" s="528"/>
      <c r="M252" s="528"/>
      <c r="N252" s="528"/>
      <c r="O252" s="528"/>
      <c r="P252" s="528"/>
      <c r="Q252" s="528"/>
      <c r="R252" s="528"/>
      <c r="S252" s="528"/>
      <c r="T252" s="528"/>
      <c r="U252" s="528"/>
      <c r="V252" s="508"/>
      <c r="W252" s="508"/>
      <c r="X252" s="508"/>
      <c r="Y252" s="508"/>
      <c r="Z252" s="508"/>
      <c r="AA252" s="508"/>
      <c r="AB252" s="508"/>
      <c r="AC252" s="508"/>
      <c r="AD252" s="508"/>
      <c r="AE252" s="508"/>
      <c r="AF252" s="508"/>
      <c r="AG252" s="508"/>
      <c r="AH252" s="508"/>
      <c r="AI252" s="508"/>
      <c r="AJ252" s="508"/>
      <c r="AK252" s="508"/>
      <c r="AL252" s="508"/>
      <c r="AM252" s="508"/>
      <c r="AN252" s="508"/>
      <c r="AO252" s="508"/>
      <c r="AP252" s="508"/>
      <c r="AQ252" s="508"/>
      <c r="AR252" s="508"/>
      <c r="AS252" s="508"/>
      <c r="AT252" s="508"/>
      <c r="AU252" s="508"/>
      <c r="AV252" s="508"/>
      <c r="AW252" s="508"/>
      <c r="AX252" s="508"/>
    </row>
    <row r="253" spans="4:50" customFormat="1" x14ac:dyDescent="0.25">
      <c r="D253" s="30"/>
      <c r="E253" s="30"/>
      <c r="H253" s="362"/>
      <c r="I253" s="362"/>
      <c r="J253" s="528"/>
      <c r="K253" s="528"/>
      <c r="L253" s="528"/>
      <c r="M253" s="528"/>
      <c r="N253" s="528"/>
      <c r="O253" s="528"/>
      <c r="P253" s="528"/>
      <c r="Q253" s="528"/>
      <c r="R253" s="528"/>
      <c r="S253" s="528"/>
      <c r="T253" s="528"/>
      <c r="U253" s="528"/>
      <c r="V253" s="508"/>
      <c r="W253" s="508"/>
      <c r="X253" s="508"/>
      <c r="Y253" s="508"/>
      <c r="Z253" s="508"/>
      <c r="AA253" s="508"/>
      <c r="AB253" s="508"/>
      <c r="AC253" s="508"/>
      <c r="AD253" s="508"/>
      <c r="AE253" s="508"/>
      <c r="AF253" s="508"/>
      <c r="AG253" s="508"/>
      <c r="AH253" s="508"/>
      <c r="AI253" s="508"/>
      <c r="AJ253" s="508"/>
      <c r="AK253" s="508"/>
      <c r="AL253" s="508"/>
      <c r="AM253" s="508"/>
      <c r="AN253" s="508"/>
      <c r="AO253" s="508"/>
      <c r="AP253" s="508"/>
      <c r="AQ253" s="508"/>
      <c r="AR253" s="508"/>
      <c r="AS253" s="508"/>
      <c r="AT253" s="508"/>
      <c r="AU253" s="508"/>
      <c r="AV253" s="508"/>
      <c r="AW253" s="508"/>
      <c r="AX253" s="508"/>
    </row>
    <row r="254" spans="4:50" customFormat="1" x14ac:dyDescent="0.25">
      <c r="D254" s="30"/>
      <c r="E254" s="30"/>
      <c r="H254" s="362"/>
      <c r="I254" s="362"/>
      <c r="J254" s="528"/>
      <c r="K254" s="528"/>
      <c r="L254" s="528"/>
      <c r="M254" s="528"/>
      <c r="N254" s="528"/>
      <c r="O254" s="528"/>
      <c r="P254" s="528"/>
      <c r="Q254" s="528"/>
      <c r="R254" s="528"/>
      <c r="S254" s="528"/>
      <c r="T254" s="528"/>
      <c r="U254" s="528"/>
      <c r="V254" s="508"/>
      <c r="W254" s="508"/>
      <c r="X254" s="508"/>
      <c r="Y254" s="508"/>
      <c r="Z254" s="508"/>
      <c r="AA254" s="508"/>
      <c r="AB254" s="508"/>
      <c r="AC254" s="508"/>
      <c r="AD254" s="508"/>
      <c r="AE254" s="508"/>
      <c r="AF254" s="508"/>
      <c r="AG254" s="508"/>
      <c r="AH254" s="508"/>
      <c r="AI254" s="508"/>
      <c r="AJ254" s="508"/>
      <c r="AK254" s="508"/>
      <c r="AL254" s="508"/>
      <c r="AM254" s="508"/>
      <c r="AN254" s="508"/>
      <c r="AO254" s="508"/>
      <c r="AP254" s="508"/>
      <c r="AQ254" s="508"/>
      <c r="AR254" s="508"/>
      <c r="AS254" s="508"/>
      <c r="AT254" s="508"/>
      <c r="AU254" s="508"/>
      <c r="AV254" s="508"/>
      <c r="AW254" s="508"/>
      <c r="AX254" s="508"/>
    </row>
    <row r="255" spans="4:50" customFormat="1" x14ac:dyDescent="0.25">
      <c r="D255" s="30"/>
      <c r="E255" s="30"/>
      <c r="H255" s="362"/>
      <c r="I255" s="362"/>
      <c r="J255" s="528"/>
      <c r="K255" s="528"/>
      <c r="L255" s="528"/>
      <c r="M255" s="528"/>
      <c r="N255" s="528"/>
      <c r="O255" s="528"/>
      <c r="P255" s="528"/>
      <c r="Q255" s="528"/>
      <c r="R255" s="528"/>
      <c r="S255" s="528"/>
      <c r="T255" s="528"/>
      <c r="U255" s="528"/>
      <c r="V255" s="508"/>
      <c r="W255" s="508"/>
      <c r="X255" s="508"/>
      <c r="Y255" s="508"/>
      <c r="Z255" s="508"/>
      <c r="AA255" s="508"/>
      <c r="AB255" s="508"/>
      <c r="AC255" s="508"/>
      <c r="AD255" s="508"/>
      <c r="AE255" s="508"/>
      <c r="AF255" s="508"/>
      <c r="AG255" s="508"/>
      <c r="AH255" s="508"/>
      <c r="AI255" s="508"/>
      <c r="AJ255" s="508"/>
      <c r="AK255" s="508"/>
      <c r="AL255" s="508"/>
      <c r="AM255" s="508"/>
      <c r="AN255" s="508"/>
      <c r="AO255" s="508"/>
      <c r="AP255" s="508"/>
      <c r="AQ255" s="508"/>
      <c r="AR255" s="508"/>
      <c r="AS255" s="508"/>
      <c r="AT255" s="508"/>
      <c r="AU255" s="508"/>
      <c r="AV255" s="508"/>
      <c r="AW255" s="508"/>
      <c r="AX255" s="508"/>
    </row>
    <row r="256" spans="4:50" customFormat="1" x14ac:dyDescent="0.25">
      <c r="D256" s="30"/>
      <c r="E256" s="30"/>
      <c r="H256" s="362"/>
      <c r="I256" s="362"/>
      <c r="J256" s="528"/>
      <c r="K256" s="528"/>
      <c r="L256" s="528"/>
      <c r="M256" s="528"/>
      <c r="N256" s="528"/>
      <c r="O256" s="528"/>
      <c r="P256" s="528"/>
      <c r="Q256" s="528"/>
      <c r="R256" s="528"/>
      <c r="S256" s="528"/>
      <c r="T256" s="528"/>
      <c r="U256" s="528"/>
      <c r="V256" s="508"/>
      <c r="W256" s="508"/>
      <c r="X256" s="508"/>
      <c r="Y256" s="508"/>
      <c r="Z256" s="508"/>
      <c r="AA256" s="508"/>
      <c r="AB256" s="508"/>
      <c r="AC256" s="508"/>
      <c r="AD256" s="508"/>
      <c r="AE256" s="508"/>
      <c r="AF256" s="508"/>
      <c r="AG256" s="508"/>
      <c r="AH256" s="508"/>
      <c r="AI256" s="508"/>
      <c r="AJ256" s="508"/>
      <c r="AK256" s="508"/>
      <c r="AL256" s="508"/>
      <c r="AM256" s="508"/>
      <c r="AN256" s="508"/>
      <c r="AO256" s="508"/>
      <c r="AP256" s="508"/>
      <c r="AQ256" s="508"/>
      <c r="AR256" s="508"/>
      <c r="AS256" s="508"/>
      <c r="AT256" s="508"/>
      <c r="AU256" s="508"/>
      <c r="AV256" s="508"/>
      <c r="AW256" s="508"/>
      <c r="AX256" s="508"/>
    </row>
    <row r="257" spans="4:50" customFormat="1" x14ac:dyDescent="0.25">
      <c r="D257" s="30"/>
      <c r="E257" s="30"/>
      <c r="H257" s="362"/>
      <c r="I257" s="362"/>
      <c r="J257" s="528"/>
      <c r="K257" s="528"/>
      <c r="L257" s="528"/>
      <c r="M257" s="528"/>
      <c r="N257" s="528"/>
      <c r="O257" s="528"/>
      <c r="P257" s="528"/>
      <c r="Q257" s="528"/>
      <c r="R257" s="528"/>
      <c r="S257" s="528"/>
      <c r="T257" s="528"/>
      <c r="U257" s="528"/>
      <c r="V257" s="508"/>
      <c r="W257" s="508"/>
      <c r="X257" s="508"/>
      <c r="Y257" s="508"/>
      <c r="Z257" s="508"/>
      <c r="AA257" s="508"/>
      <c r="AB257" s="508"/>
      <c r="AC257" s="508"/>
      <c r="AD257" s="508"/>
      <c r="AE257" s="508"/>
      <c r="AF257" s="508"/>
      <c r="AG257" s="508"/>
      <c r="AH257" s="508"/>
      <c r="AI257" s="508"/>
      <c r="AJ257" s="508"/>
      <c r="AK257" s="508"/>
      <c r="AL257" s="508"/>
      <c r="AM257" s="508"/>
      <c r="AN257" s="508"/>
      <c r="AO257" s="508"/>
      <c r="AP257" s="508"/>
      <c r="AQ257" s="508"/>
      <c r="AR257" s="508"/>
      <c r="AS257" s="508"/>
      <c r="AT257" s="508"/>
      <c r="AU257" s="508"/>
      <c r="AV257" s="508"/>
      <c r="AW257" s="508"/>
      <c r="AX257" s="508"/>
    </row>
    <row r="258" spans="4:50" customFormat="1" x14ac:dyDescent="0.25">
      <c r="D258" s="30"/>
      <c r="E258" s="30"/>
      <c r="H258" s="362"/>
      <c r="I258" s="362"/>
      <c r="J258" s="528"/>
      <c r="K258" s="528"/>
      <c r="L258" s="528"/>
      <c r="M258" s="528"/>
      <c r="N258" s="528"/>
      <c r="O258" s="528"/>
      <c r="P258" s="528"/>
      <c r="Q258" s="528"/>
      <c r="R258" s="528"/>
      <c r="S258" s="528"/>
      <c r="T258" s="528"/>
      <c r="U258" s="528"/>
      <c r="V258" s="508"/>
      <c r="W258" s="508"/>
      <c r="X258" s="508"/>
      <c r="Y258" s="508"/>
      <c r="Z258" s="508"/>
      <c r="AA258" s="508"/>
      <c r="AB258" s="508"/>
      <c r="AC258" s="508"/>
      <c r="AD258" s="508"/>
      <c r="AE258" s="508"/>
      <c r="AF258" s="508"/>
      <c r="AG258" s="508"/>
      <c r="AH258" s="508"/>
      <c r="AI258" s="508"/>
      <c r="AJ258" s="508"/>
      <c r="AK258" s="508"/>
      <c r="AL258" s="508"/>
      <c r="AM258" s="508"/>
      <c r="AN258" s="508"/>
      <c r="AO258" s="508"/>
      <c r="AP258" s="508"/>
      <c r="AQ258" s="508"/>
      <c r="AR258" s="508"/>
      <c r="AS258" s="508"/>
      <c r="AT258" s="508"/>
      <c r="AU258" s="508"/>
      <c r="AV258" s="508"/>
      <c r="AW258" s="508"/>
      <c r="AX258" s="508"/>
    </row>
    <row r="259" spans="4:50" customFormat="1" x14ac:dyDescent="0.25">
      <c r="D259" s="30"/>
      <c r="E259" s="30"/>
      <c r="H259" s="362"/>
      <c r="I259" s="362"/>
      <c r="J259" s="528"/>
      <c r="K259" s="528"/>
      <c r="L259" s="528"/>
      <c r="M259" s="528"/>
      <c r="N259" s="528"/>
      <c r="O259" s="528"/>
      <c r="P259" s="528"/>
      <c r="Q259" s="528"/>
      <c r="R259" s="528"/>
      <c r="S259" s="528"/>
      <c r="T259" s="528"/>
      <c r="U259" s="528"/>
      <c r="V259" s="508"/>
      <c r="W259" s="508"/>
      <c r="X259" s="508"/>
      <c r="Y259" s="508"/>
      <c r="Z259" s="508"/>
      <c r="AA259" s="508"/>
      <c r="AB259" s="508"/>
      <c r="AC259" s="508"/>
      <c r="AD259" s="508"/>
      <c r="AE259" s="508"/>
      <c r="AF259" s="508"/>
      <c r="AG259" s="508"/>
      <c r="AH259" s="508"/>
      <c r="AI259" s="508"/>
      <c r="AJ259" s="508"/>
      <c r="AK259" s="508"/>
      <c r="AL259" s="508"/>
      <c r="AM259" s="508"/>
      <c r="AN259" s="508"/>
      <c r="AO259" s="508"/>
      <c r="AP259" s="508"/>
      <c r="AQ259" s="508"/>
      <c r="AR259" s="508"/>
      <c r="AS259" s="508"/>
      <c r="AT259" s="508"/>
      <c r="AU259" s="508"/>
      <c r="AV259" s="508"/>
      <c r="AW259" s="508"/>
      <c r="AX259" s="508"/>
    </row>
    <row r="260" spans="4:50" customFormat="1" x14ac:dyDescent="0.25">
      <c r="D260" s="30"/>
      <c r="E260" s="30"/>
      <c r="H260" s="362"/>
      <c r="I260" s="362"/>
      <c r="J260" s="528"/>
      <c r="K260" s="528"/>
      <c r="L260" s="528"/>
      <c r="M260" s="528"/>
      <c r="N260" s="528"/>
      <c r="O260" s="528"/>
      <c r="P260" s="528"/>
      <c r="Q260" s="528"/>
      <c r="R260" s="528"/>
      <c r="S260" s="528"/>
      <c r="T260" s="528"/>
      <c r="U260" s="528"/>
      <c r="V260" s="508"/>
      <c r="W260" s="508"/>
      <c r="X260" s="508"/>
      <c r="Y260" s="508"/>
      <c r="Z260" s="508"/>
      <c r="AA260" s="508"/>
      <c r="AB260" s="508"/>
      <c r="AC260" s="508"/>
      <c r="AD260" s="508"/>
      <c r="AE260" s="508"/>
      <c r="AF260" s="508"/>
      <c r="AG260" s="508"/>
      <c r="AH260" s="508"/>
      <c r="AI260" s="508"/>
      <c r="AJ260" s="508"/>
      <c r="AK260" s="508"/>
      <c r="AL260" s="508"/>
      <c r="AM260" s="508"/>
      <c r="AN260" s="508"/>
      <c r="AO260" s="508"/>
      <c r="AP260" s="508"/>
      <c r="AQ260" s="508"/>
      <c r="AR260" s="508"/>
      <c r="AS260" s="508"/>
      <c r="AT260" s="508"/>
      <c r="AU260" s="508"/>
      <c r="AV260" s="508"/>
      <c r="AW260" s="508"/>
      <c r="AX260" s="508"/>
    </row>
    <row r="261" spans="4:50" customFormat="1" x14ac:dyDescent="0.25">
      <c r="D261" s="30"/>
      <c r="E261" s="30"/>
      <c r="H261" s="362"/>
      <c r="I261" s="362"/>
      <c r="J261" s="528"/>
      <c r="K261" s="528"/>
      <c r="L261" s="528"/>
      <c r="M261" s="528"/>
      <c r="N261" s="528"/>
      <c r="O261" s="528"/>
      <c r="P261" s="528"/>
      <c r="Q261" s="528"/>
      <c r="R261" s="528"/>
      <c r="S261" s="528"/>
      <c r="T261" s="528"/>
      <c r="U261" s="528"/>
      <c r="V261" s="508"/>
      <c r="W261" s="508"/>
      <c r="X261" s="508"/>
      <c r="Y261" s="508"/>
      <c r="Z261" s="508"/>
      <c r="AA261" s="508"/>
      <c r="AB261" s="508"/>
      <c r="AC261" s="508"/>
      <c r="AD261" s="508"/>
      <c r="AE261" s="508"/>
      <c r="AF261" s="508"/>
      <c r="AG261" s="508"/>
      <c r="AH261" s="508"/>
      <c r="AI261" s="508"/>
      <c r="AJ261" s="508"/>
      <c r="AK261" s="508"/>
      <c r="AL261" s="508"/>
      <c r="AM261" s="508"/>
      <c r="AN261" s="508"/>
      <c r="AO261" s="508"/>
      <c r="AP261" s="508"/>
      <c r="AQ261" s="508"/>
      <c r="AR261" s="508"/>
      <c r="AS261" s="508"/>
      <c r="AT261" s="508"/>
      <c r="AU261" s="508"/>
      <c r="AV261" s="508"/>
      <c r="AW261" s="508"/>
      <c r="AX261" s="508"/>
    </row>
    <row r="262" spans="4:50" customFormat="1" x14ac:dyDescent="0.25">
      <c r="D262" s="30"/>
      <c r="E262" s="30"/>
      <c r="H262" s="362"/>
      <c r="I262" s="362"/>
      <c r="J262" s="528"/>
      <c r="K262" s="528"/>
      <c r="L262" s="528"/>
      <c r="M262" s="528"/>
      <c r="N262" s="528"/>
      <c r="O262" s="528"/>
      <c r="P262" s="528"/>
      <c r="Q262" s="528"/>
      <c r="R262" s="528"/>
      <c r="S262" s="528"/>
      <c r="T262" s="528"/>
      <c r="U262" s="528"/>
      <c r="V262" s="508"/>
      <c r="W262" s="508"/>
      <c r="X262" s="508"/>
      <c r="Y262" s="508"/>
      <c r="Z262" s="508"/>
      <c r="AA262" s="508"/>
      <c r="AB262" s="508"/>
      <c r="AC262" s="508"/>
      <c r="AD262" s="508"/>
      <c r="AE262" s="508"/>
      <c r="AF262" s="508"/>
      <c r="AG262" s="508"/>
      <c r="AH262" s="508"/>
      <c r="AI262" s="508"/>
      <c r="AJ262" s="508"/>
      <c r="AK262" s="508"/>
      <c r="AL262" s="508"/>
      <c r="AM262" s="508"/>
      <c r="AN262" s="508"/>
      <c r="AO262" s="508"/>
      <c r="AP262" s="508"/>
      <c r="AQ262" s="508"/>
      <c r="AR262" s="508"/>
      <c r="AS262" s="508"/>
      <c r="AT262" s="508"/>
      <c r="AU262" s="508"/>
      <c r="AV262" s="508"/>
      <c r="AW262" s="508"/>
      <c r="AX262" s="508"/>
    </row>
    <row r="263" spans="4:50" customFormat="1" x14ac:dyDescent="0.25">
      <c r="D263" s="30"/>
      <c r="E263" s="30"/>
      <c r="H263" s="362"/>
      <c r="I263" s="362"/>
      <c r="J263" s="528"/>
      <c r="K263" s="528"/>
      <c r="L263" s="528"/>
      <c r="M263" s="528"/>
      <c r="N263" s="528"/>
      <c r="O263" s="528"/>
      <c r="P263" s="528"/>
      <c r="Q263" s="528"/>
      <c r="R263" s="528"/>
      <c r="S263" s="528"/>
      <c r="T263" s="528"/>
      <c r="U263" s="528"/>
      <c r="V263" s="508"/>
      <c r="W263" s="508"/>
      <c r="X263" s="508"/>
      <c r="Y263" s="508"/>
      <c r="Z263" s="508"/>
      <c r="AA263" s="508"/>
      <c r="AB263" s="508"/>
      <c r="AC263" s="508"/>
      <c r="AD263" s="508"/>
      <c r="AE263" s="508"/>
      <c r="AF263" s="508"/>
      <c r="AG263" s="508"/>
      <c r="AH263" s="508"/>
      <c r="AI263" s="508"/>
      <c r="AJ263" s="508"/>
      <c r="AK263" s="508"/>
      <c r="AL263" s="508"/>
      <c r="AM263" s="508"/>
      <c r="AN263" s="508"/>
      <c r="AO263" s="508"/>
      <c r="AP263" s="508"/>
      <c r="AQ263" s="508"/>
      <c r="AR263" s="508"/>
      <c r="AS263" s="508"/>
      <c r="AT263" s="508"/>
      <c r="AU263" s="508"/>
      <c r="AV263" s="508"/>
      <c r="AW263" s="508"/>
      <c r="AX263" s="508"/>
    </row>
    <row r="264" spans="4:50" customFormat="1" x14ac:dyDescent="0.25">
      <c r="D264" s="30"/>
      <c r="E264" s="30"/>
      <c r="H264" s="362"/>
      <c r="I264" s="362"/>
      <c r="J264" s="528"/>
      <c r="K264" s="528"/>
      <c r="L264" s="528"/>
      <c r="M264" s="528"/>
      <c r="N264" s="528"/>
      <c r="O264" s="528"/>
      <c r="P264" s="528"/>
      <c r="Q264" s="528"/>
      <c r="R264" s="528"/>
      <c r="S264" s="528"/>
      <c r="T264" s="528"/>
      <c r="U264" s="528"/>
      <c r="V264" s="508"/>
      <c r="W264" s="508"/>
      <c r="X264" s="508"/>
      <c r="Y264" s="508"/>
      <c r="Z264" s="508"/>
      <c r="AA264" s="508"/>
      <c r="AB264" s="508"/>
      <c r="AC264" s="508"/>
      <c r="AD264" s="508"/>
      <c r="AE264" s="508"/>
      <c r="AF264" s="508"/>
      <c r="AG264" s="508"/>
      <c r="AH264" s="508"/>
      <c r="AI264" s="508"/>
      <c r="AJ264" s="508"/>
      <c r="AK264" s="508"/>
      <c r="AL264" s="508"/>
      <c r="AM264" s="508"/>
      <c r="AN264" s="508"/>
      <c r="AO264" s="508"/>
      <c r="AP264" s="508"/>
      <c r="AQ264" s="508"/>
      <c r="AR264" s="508"/>
      <c r="AS264" s="508"/>
      <c r="AT264" s="508"/>
      <c r="AU264" s="508"/>
      <c r="AV264" s="508"/>
      <c r="AW264" s="508"/>
      <c r="AX264" s="508"/>
    </row>
    <row r="265" spans="4:50" customFormat="1" x14ac:dyDescent="0.25">
      <c r="D265" s="30"/>
      <c r="E265" s="30"/>
      <c r="H265" s="362"/>
      <c r="I265" s="362"/>
      <c r="J265" s="528"/>
      <c r="K265" s="528"/>
      <c r="L265" s="528"/>
      <c r="M265" s="528"/>
      <c r="N265" s="528"/>
      <c r="O265" s="528"/>
      <c r="P265" s="528"/>
      <c r="Q265" s="528"/>
      <c r="R265" s="528"/>
      <c r="S265" s="528"/>
      <c r="T265" s="528"/>
      <c r="U265" s="528"/>
      <c r="V265" s="508"/>
      <c r="W265" s="508"/>
      <c r="X265" s="508"/>
      <c r="Y265" s="508"/>
      <c r="Z265" s="508"/>
      <c r="AA265" s="508"/>
      <c r="AB265" s="508"/>
      <c r="AC265" s="508"/>
      <c r="AD265" s="508"/>
      <c r="AE265" s="508"/>
      <c r="AF265" s="508"/>
      <c r="AG265" s="508"/>
      <c r="AH265" s="508"/>
      <c r="AI265" s="508"/>
      <c r="AJ265" s="508"/>
      <c r="AK265" s="508"/>
      <c r="AL265" s="508"/>
      <c r="AM265" s="508"/>
      <c r="AN265" s="508"/>
      <c r="AO265" s="508"/>
      <c r="AP265" s="508"/>
      <c r="AQ265" s="508"/>
      <c r="AR265" s="508"/>
      <c r="AS265" s="508"/>
      <c r="AT265" s="508"/>
      <c r="AU265" s="508"/>
      <c r="AV265" s="508"/>
      <c r="AW265" s="508"/>
      <c r="AX265" s="508"/>
    </row>
    <row r="266" spans="4:50" customFormat="1" x14ac:dyDescent="0.25">
      <c r="D266" s="30"/>
      <c r="E266" s="30"/>
      <c r="H266" s="362"/>
      <c r="I266" s="362"/>
      <c r="J266" s="528"/>
      <c r="K266" s="528"/>
      <c r="L266" s="528"/>
      <c r="M266" s="528"/>
      <c r="N266" s="528"/>
      <c r="O266" s="528"/>
      <c r="P266" s="528"/>
      <c r="Q266" s="528"/>
      <c r="R266" s="528"/>
      <c r="S266" s="528"/>
      <c r="T266" s="528"/>
      <c r="U266" s="528"/>
      <c r="V266" s="508"/>
      <c r="W266" s="508"/>
      <c r="X266" s="508"/>
      <c r="Y266" s="508"/>
      <c r="Z266" s="508"/>
      <c r="AA266" s="508"/>
      <c r="AB266" s="508"/>
      <c r="AC266" s="508"/>
      <c r="AD266" s="508"/>
      <c r="AE266" s="508"/>
      <c r="AF266" s="508"/>
      <c r="AG266" s="508"/>
      <c r="AH266" s="508"/>
      <c r="AI266" s="508"/>
      <c r="AJ266" s="508"/>
      <c r="AK266" s="508"/>
      <c r="AL266" s="508"/>
      <c r="AM266" s="508"/>
      <c r="AN266" s="508"/>
      <c r="AO266" s="508"/>
      <c r="AP266" s="508"/>
      <c r="AQ266" s="508"/>
      <c r="AR266" s="508"/>
      <c r="AS266" s="508"/>
      <c r="AT266" s="508"/>
      <c r="AU266" s="508"/>
      <c r="AV266" s="508"/>
      <c r="AW266" s="508"/>
      <c r="AX266" s="508"/>
    </row>
    <row r="267" spans="4:50" customFormat="1" x14ac:dyDescent="0.25">
      <c r="D267" s="30"/>
      <c r="E267" s="30"/>
      <c r="H267" s="362"/>
      <c r="I267" s="362"/>
      <c r="J267" s="528"/>
      <c r="K267" s="528"/>
      <c r="L267" s="528"/>
      <c r="M267" s="528"/>
      <c r="N267" s="528"/>
      <c r="O267" s="528"/>
      <c r="P267" s="528"/>
      <c r="Q267" s="528"/>
      <c r="R267" s="528"/>
      <c r="S267" s="528"/>
      <c r="T267" s="528"/>
      <c r="U267" s="528"/>
      <c r="V267" s="508"/>
      <c r="W267" s="508"/>
      <c r="X267" s="508"/>
      <c r="Y267" s="508"/>
      <c r="Z267" s="508"/>
      <c r="AA267" s="508"/>
      <c r="AB267" s="508"/>
      <c r="AC267" s="508"/>
      <c r="AD267" s="508"/>
      <c r="AE267" s="508"/>
      <c r="AF267" s="508"/>
      <c r="AG267" s="508"/>
      <c r="AH267" s="508"/>
      <c r="AI267" s="508"/>
      <c r="AJ267" s="508"/>
      <c r="AK267" s="508"/>
      <c r="AL267" s="508"/>
      <c r="AM267" s="508"/>
      <c r="AN267" s="508"/>
      <c r="AO267" s="508"/>
      <c r="AP267" s="508"/>
      <c r="AQ267" s="508"/>
      <c r="AR267" s="508"/>
      <c r="AS267" s="508"/>
      <c r="AT267" s="508"/>
      <c r="AU267" s="508"/>
      <c r="AV267" s="508"/>
      <c r="AW267" s="508"/>
      <c r="AX267" s="508"/>
    </row>
    <row r="268" spans="4:50" customFormat="1" x14ac:dyDescent="0.25">
      <c r="D268" s="30"/>
      <c r="E268" s="30"/>
      <c r="H268" s="362"/>
      <c r="I268" s="362"/>
      <c r="J268" s="528"/>
      <c r="K268" s="528"/>
      <c r="L268" s="528"/>
      <c r="M268" s="528"/>
      <c r="N268" s="528"/>
      <c r="O268" s="528"/>
      <c r="P268" s="528"/>
      <c r="Q268" s="528"/>
      <c r="R268" s="528"/>
      <c r="S268" s="528"/>
      <c r="T268" s="528"/>
      <c r="U268" s="528"/>
      <c r="V268" s="508"/>
      <c r="W268" s="508"/>
      <c r="X268" s="508"/>
      <c r="Y268" s="508"/>
      <c r="Z268" s="508"/>
      <c r="AA268" s="508"/>
      <c r="AB268" s="508"/>
      <c r="AC268" s="508"/>
      <c r="AD268" s="508"/>
      <c r="AE268" s="508"/>
      <c r="AF268" s="508"/>
      <c r="AG268" s="508"/>
      <c r="AH268" s="508"/>
      <c r="AI268" s="508"/>
      <c r="AJ268" s="508"/>
      <c r="AK268" s="508"/>
      <c r="AL268" s="508"/>
      <c r="AM268" s="508"/>
      <c r="AN268" s="508"/>
      <c r="AO268" s="508"/>
      <c r="AP268" s="508"/>
      <c r="AQ268" s="508"/>
      <c r="AR268" s="508"/>
      <c r="AS268" s="508"/>
      <c r="AT268" s="508"/>
      <c r="AU268" s="508"/>
      <c r="AV268" s="508"/>
      <c r="AW268" s="508"/>
      <c r="AX268" s="508"/>
    </row>
    <row r="269" spans="4:50" customFormat="1" x14ac:dyDescent="0.25">
      <c r="D269" s="30"/>
      <c r="E269" s="30"/>
      <c r="H269" s="362"/>
      <c r="I269" s="362"/>
      <c r="J269" s="528"/>
      <c r="K269" s="528"/>
      <c r="L269" s="528"/>
      <c r="M269" s="528"/>
      <c r="N269" s="528"/>
      <c r="O269" s="528"/>
      <c r="P269" s="528"/>
      <c r="Q269" s="528"/>
      <c r="R269" s="528"/>
      <c r="S269" s="528"/>
      <c r="T269" s="528"/>
      <c r="U269" s="528"/>
      <c r="V269" s="508"/>
      <c r="W269" s="508"/>
      <c r="X269" s="508"/>
      <c r="Y269" s="508"/>
      <c r="Z269" s="508"/>
      <c r="AA269" s="508"/>
      <c r="AB269" s="508"/>
      <c r="AC269" s="508"/>
      <c r="AD269" s="508"/>
      <c r="AE269" s="508"/>
      <c r="AF269" s="508"/>
      <c r="AG269" s="508"/>
      <c r="AH269" s="508"/>
      <c r="AI269" s="508"/>
      <c r="AJ269" s="508"/>
      <c r="AK269" s="508"/>
      <c r="AL269" s="508"/>
      <c r="AM269" s="508"/>
      <c r="AN269" s="508"/>
      <c r="AO269" s="508"/>
      <c r="AP269" s="508"/>
      <c r="AQ269" s="508"/>
      <c r="AR269" s="508"/>
      <c r="AS269" s="508"/>
      <c r="AT269" s="508"/>
      <c r="AU269" s="508"/>
      <c r="AV269" s="508"/>
      <c r="AW269" s="508"/>
      <c r="AX269" s="508"/>
    </row>
    <row r="270" spans="4:50" customFormat="1" x14ac:dyDescent="0.25">
      <c r="D270" s="30"/>
      <c r="E270" s="30"/>
      <c r="H270" s="362"/>
      <c r="I270" s="362"/>
      <c r="J270" s="528"/>
      <c r="K270" s="528"/>
      <c r="L270" s="528"/>
      <c r="M270" s="528"/>
      <c r="N270" s="528"/>
      <c r="O270" s="528"/>
      <c r="P270" s="528"/>
      <c r="Q270" s="528"/>
      <c r="R270" s="528"/>
      <c r="S270" s="528"/>
      <c r="T270" s="528"/>
      <c r="U270" s="528"/>
      <c r="V270" s="508"/>
      <c r="W270" s="508"/>
      <c r="X270" s="508"/>
      <c r="Y270" s="508"/>
      <c r="Z270" s="508"/>
      <c r="AA270" s="508"/>
      <c r="AB270" s="508"/>
      <c r="AC270" s="508"/>
      <c r="AD270" s="508"/>
      <c r="AE270" s="508"/>
      <c r="AF270" s="508"/>
      <c r="AG270" s="508"/>
      <c r="AH270" s="508"/>
      <c r="AI270" s="508"/>
      <c r="AJ270" s="508"/>
      <c r="AK270" s="508"/>
      <c r="AL270" s="508"/>
      <c r="AM270" s="508"/>
      <c r="AN270" s="508"/>
      <c r="AO270" s="508"/>
      <c r="AP270" s="508"/>
      <c r="AQ270" s="508"/>
      <c r="AR270" s="508"/>
      <c r="AS270" s="508"/>
      <c r="AT270" s="508"/>
      <c r="AU270" s="508"/>
      <c r="AV270" s="508"/>
      <c r="AW270" s="508"/>
      <c r="AX270" s="508"/>
    </row>
    <row r="271" spans="4:50" customFormat="1" x14ac:dyDescent="0.25">
      <c r="D271" s="30"/>
      <c r="E271" s="30"/>
      <c r="H271" s="362"/>
      <c r="I271" s="362"/>
      <c r="J271" s="528"/>
      <c r="K271" s="528"/>
      <c r="L271" s="528"/>
      <c r="M271" s="528"/>
      <c r="N271" s="528"/>
      <c r="O271" s="528"/>
      <c r="P271" s="528"/>
      <c r="Q271" s="528"/>
      <c r="R271" s="528"/>
      <c r="S271" s="528"/>
      <c r="T271" s="528"/>
      <c r="U271" s="528"/>
      <c r="V271" s="508"/>
      <c r="W271" s="508"/>
      <c r="X271" s="508"/>
      <c r="Y271" s="508"/>
      <c r="Z271" s="508"/>
      <c r="AA271" s="508"/>
      <c r="AB271" s="508"/>
      <c r="AC271" s="508"/>
      <c r="AD271" s="508"/>
      <c r="AE271" s="508"/>
      <c r="AF271" s="508"/>
      <c r="AG271" s="508"/>
      <c r="AH271" s="508"/>
      <c r="AI271" s="508"/>
      <c r="AJ271" s="508"/>
      <c r="AK271" s="508"/>
      <c r="AL271" s="508"/>
      <c r="AM271" s="508"/>
      <c r="AN271" s="508"/>
      <c r="AO271" s="508"/>
      <c r="AP271" s="508"/>
      <c r="AQ271" s="508"/>
      <c r="AR271" s="508"/>
      <c r="AS271" s="508"/>
      <c r="AT271" s="508"/>
      <c r="AU271" s="508"/>
      <c r="AV271" s="508"/>
      <c r="AW271" s="508"/>
      <c r="AX271" s="508"/>
    </row>
    <row r="272" spans="4:50" customFormat="1" x14ac:dyDescent="0.25">
      <c r="D272" s="30"/>
      <c r="E272" s="30"/>
      <c r="H272" s="362"/>
      <c r="I272" s="362"/>
      <c r="J272" s="528"/>
      <c r="K272" s="528"/>
      <c r="L272" s="528"/>
      <c r="M272" s="528"/>
      <c r="N272" s="528"/>
      <c r="O272" s="528"/>
      <c r="P272" s="528"/>
      <c r="Q272" s="528"/>
      <c r="R272" s="528"/>
      <c r="S272" s="528"/>
      <c r="T272" s="528"/>
      <c r="U272" s="528"/>
      <c r="V272" s="508"/>
      <c r="W272" s="508"/>
      <c r="X272" s="508"/>
      <c r="Y272" s="508"/>
      <c r="Z272" s="508"/>
      <c r="AA272" s="508"/>
      <c r="AB272" s="508"/>
      <c r="AC272" s="508"/>
      <c r="AD272" s="508"/>
      <c r="AE272" s="508"/>
      <c r="AF272" s="508"/>
      <c r="AG272" s="508"/>
      <c r="AH272" s="508"/>
      <c r="AI272" s="508"/>
      <c r="AJ272" s="508"/>
      <c r="AK272" s="508"/>
      <c r="AL272" s="508"/>
      <c r="AM272" s="508"/>
      <c r="AN272" s="508"/>
      <c r="AO272" s="508"/>
      <c r="AP272" s="508"/>
      <c r="AQ272" s="508"/>
      <c r="AR272" s="508"/>
      <c r="AS272" s="508"/>
      <c r="AT272" s="508"/>
      <c r="AU272" s="508"/>
      <c r="AV272" s="508"/>
      <c r="AW272" s="508"/>
      <c r="AX272" s="508"/>
    </row>
    <row r="273" spans="4:50" customFormat="1" x14ac:dyDescent="0.25">
      <c r="D273" s="30"/>
      <c r="E273" s="30"/>
      <c r="H273" s="362"/>
      <c r="I273" s="362"/>
      <c r="J273" s="528"/>
      <c r="K273" s="528"/>
      <c r="L273" s="528"/>
      <c r="M273" s="528"/>
      <c r="N273" s="528"/>
      <c r="O273" s="528"/>
      <c r="P273" s="528"/>
      <c r="Q273" s="528"/>
      <c r="R273" s="528"/>
      <c r="S273" s="528"/>
      <c r="T273" s="528"/>
      <c r="U273" s="528"/>
      <c r="V273" s="508"/>
      <c r="W273" s="508"/>
      <c r="X273" s="508"/>
      <c r="Y273" s="508"/>
      <c r="Z273" s="508"/>
      <c r="AA273" s="508"/>
      <c r="AB273" s="508"/>
      <c r="AC273" s="508"/>
      <c r="AD273" s="508"/>
      <c r="AE273" s="508"/>
      <c r="AF273" s="508"/>
      <c r="AG273" s="508"/>
      <c r="AH273" s="508"/>
      <c r="AI273" s="508"/>
      <c r="AJ273" s="508"/>
      <c r="AK273" s="508"/>
      <c r="AL273" s="508"/>
      <c r="AM273" s="508"/>
      <c r="AN273" s="508"/>
      <c r="AO273" s="508"/>
      <c r="AP273" s="508"/>
      <c r="AQ273" s="508"/>
      <c r="AR273" s="508"/>
      <c r="AS273" s="508"/>
      <c r="AT273" s="508"/>
      <c r="AU273" s="508"/>
      <c r="AV273" s="508"/>
      <c r="AW273" s="508"/>
      <c r="AX273" s="508"/>
    </row>
    <row r="274" spans="4:50" customFormat="1" x14ac:dyDescent="0.25">
      <c r="D274" s="30"/>
      <c r="E274" s="30"/>
      <c r="H274" s="362"/>
      <c r="I274" s="362"/>
      <c r="J274" s="528"/>
      <c r="K274" s="528"/>
      <c r="L274" s="528"/>
      <c r="M274" s="528"/>
      <c r="N274" s="528"/>
      <c r="O274" s="528"/>
      <c r="P274" s="528"/>
      <c r="Q274" s="528"/>
      <c r="R274" s="528"/>
      <c r="S274" s="528"/>
      <c r="T274" s="528"/>
      <c r="U274" s="528"/>
      <c r="V274" s="508"/>
      <c r="W274" s="508"/>
      <c r="X274" s="508"/>
      <c r="Y274" s="508"/>
      <c r="Z274" s="508"/>
      <c r="AA274" s="508"/>
      <c r="AB274" s="508"/>
      <c r="AC274" s="508"/>
      <c r="AD274" s="508"/>
      <c r="AE274" s="508"/>
      <c r="AF274" s="508"/>
      <c r="AG274" s="508"/>
      <c r="AH274" s="508"/>
      <c r="AI274" s="508"/>
      <c r="AJ274" s="508"/>
      <c r="AK274" s="508"/>
      <c r="AL274" s="508"/>
      <c r="AM274" s="508"/>
      <c r="AN274" s="508"/>
      <c r="AO274" s="508"/>
      <c r="AP274" s="508"/>
      <c r="AQ274" s="508"/>
      <c r="AR274" s="508"/>
      <c r="AS274" s="508"/>
      <c r="AT274" s="508"/>
      <c r="AU274" s="508"/>
      <c r="AV274" s="508"/>
      <c r="AW274" s="508"/>
      <c r="AX274" s="508"/>
    </row>
    <row r="275" spans="4:50" customFormat="1" x14ac:dyDescent="0.25">
      <c r="D275" s="30"/>
      <c r="E275" s="30"/>
      <c r="H275" s="362"/>
      <c r="I275" s="362"/>
      <c r="J275" s="528"/>
      <c r="K275" s="528"/>
      <c r="L275" s="528"/>
      <c r="M275" s="528"/>
      <c r="N275" s="528"/>
      <c r="O275" s="528"/>
      <c r="P275" s="528"/>
      <c r="Q275" s="528"/>
      <c r="R275" s="528"/>
      <c r="S275" s="528"/>
      <c r="T275" s="528"/>
      <c r="U275" s="528"/>
      <c r="V275" s="508"/>
      <c r="W275" s="508"/>
      <c r="X275" s="508"/>
      <c r="Y275" s="508"/>
      <c r="Z275" s="508"/>
      <c r="AA275" s="508"/>
      <c r="AB275" s="508"/>
      <c r="AC275" s="508"/>
      <c r="AD275" s="508"/>
      <c r="AE275" s="508"/>
      <c r="AF275" s="508"/>
      <c r="AG275" s="508"/>
      <c r="AH275" s="508"/>
      <c r="AI275" s="508"/>
      <c r="AJ275" s="508"/>
      <c r="AK275" s="508"/>
      <c r="AL275" s="508"/>
      <c r="AM275" s="508"/>
      <c r="AN275" s="508"/>
      <c r="AO275" s="508"/>
      <c r="AP275" s="508"/>
      <c r="AQ275" s="508"/>
      <c r="AR275" s="508"/>
      <c r="AS275" s="508"/>
      <c r="AT275" s="508"/>
      <c r="AU275" s="508"/>
      <c r="AV275" s="508"/>
      <c r="AW275" s="508"/>
      <c r="AX275" s="508"/>
    </row>
    <row r="276" spans="4:50" customFormat="1" x14ac:dyDescent="0.25">
      <c r="D276" s="30"/>
      <c r="E276" s="30"/>
      <c r="H276" s="362"/>
      <c r="I276" s="362"/>
      <c r="J276" s="528"/>
      <c r="K276" s="528"/>
      <c r="L276" s="528"/>
      <c r="M276" s="528"/>
      <c r="N276" s="528"/>
      <c r="O276" s="528"/>
      <c r="P276" s="528"/>
      <c r="Q276" s="528"/>
      <c r="R276" s="528"/>
      <c r="S276" s="528"/>
      <c r="T276" s="528"/>
      <c r="U276" s="528"/>
      <c r="V276" s="508"/>
      <c r="W276" s="508"/>
      <c r="X276" s="508"/>
      <c r="Y276" s="508"/>
      <c r="Z276" s="508"/>
      <c r="AA276" s="508"/>
      <c r="AB276" s="508"/>
      <c r="AC276" s="508"/>
      <c r="AD276" s="508"/>
      <c r="AE276" s="508"/>
      <c r="AF276" s="508"/>
      <c r="AG276" s="508"/>
      <c r="AH276" s="508"/>
      <c r="AI276" s="508"/>
      <c r="AJ276" s="508"/>
      <c r="AK276" s="508"/>
      <c r="AL276" s="508"/>
      <c r="AM276" s="508"/>
      <c r="AN276" s="508"/>
      <c r="AO276" s="508"/>
      <c r="AP276" s="508"/>
      <c r="AQ276" s="508"/>
      <c r="AR276" s="508"/>
      <c r="AS276" s="508"/>
      <c r="AT276" s="508"/>
      <c r="AU276" s="508"/>
      <c r="AV276" s="508"/>
      <c r="AW276" s="508"/>
      <c r="AX276" s="508"/>
    </row>
    <row r="277" spans="4:50" customFormat="1" x14ac:dyDescent="0.25">
      <c r="D277" s="30"/>
      <c r="E277" s="30"/>
      <c r="H277" s="362"/>
      <c r="I277" s="362"/>
      <c r="J277" s="528"/>
      <c r="K277" s="528"/>
      <c r="L277" s="528"/>
      <c r="M277" s="528"/>
      <c r="N277" s="528"/>
      <c r="O277" s="528"/>
      <c r="P277" s="528"/>
      <c r="Q277" s="528"/>
      <c r="R277" s="528"/>
      <c r="S277" s="528"/>
      <c r="T277" s="528"/>
      <c r="U277" s="528"/>
      <c r="V277" s="508"/>
      <c r="W277" s="508"/>
      <c r="X277" s="508"/>
      <c r="Y277" s="508"/>
      <c r="Z277" s="508"/>
      <c r="AA277" s="508"/>
      <c r="AB277" s="508"/>
      <c r="AC277" s="508"/>
      <c r="AD277" s="508"/>
      <c r="AE277" s="508"/>
      <c r="AF277" s="508"/>
      <c r="AG277" s="508"/>
      <c r="AH277" s="508"/>
      <c r="AI277" s="508"/>
      <c r="AJ277" s="508"/>
      <c r="AK277" s="508"/>
      <c r="AL277" s="508"/>
      <c r="AM277" s="508"/>
      <c r="AN277" s="508"/>
      <c r="AO277" s="508"/>
      <c r="AP277" s="508"/>
      <c r="AQ277" s="508"/>
      <c r="AR277" s="508"/>
      <c r="AS277" s="508"/>
      <c r="AT277" s="508"/>
      <c r="AU277" s="508"/>
      <c r="AV277" s="508"/>
      <c r="AW277" s="508"/>
      <c r="AX277" s="508"/>
    </row>
    <row r="278" spans="4:50" customFormat="1" x14ac:dyDescent="0.25">
      <c r="D278" s="30"/>
      <c r="E278" s="30"/>
      <c r="H278" s="362"/>
      <c r="I278" s="362"/>
      <c r="J278" s="528"/>
      <c r="K278" s="528"/>
      <c r="L278" s="528"/>
      <c r="M278" s="528"/>
      <c r="N278" s="528"/>
      <c r="O278" s="528"/>
      <c r="P278" s="528"/>
      <c r="Q278" s="528"/>
      <c r="R278" s="528"/>
      <c r="S278" s="528"/>
      <c r="T278" s="528"/>
      <c r="U278" s="528"/>
      <c r="V278" s="508"/>
      <c r="W278" s="508"/>
      <c r="X278" s="508"/>
      <c r="Y278" s="508"/>
      <c r="Z278" s="508"/>
      <c r="AA278" s="508"/>
      <c r="AB278" s="508"/>
      <c r="AC278" s="508"/>
      <c r="AD278" s="508"/>
      <c r="AE278" s="508"/>
      <c r="AF278" s="508"/>
      <c r="AG278" s="508"/>
      <c r="AH278" s="508"/>
      <c r="AI278" s="508"/>
      <c r="AJ278" s="508"/>
      <c r="AK278" s="508"/>
      <c r="AL278" s="508"/>
      <c r="AM278" s="508"/>
      <c r="AN278" s="508"/>
      <c r="AO278" s="508"/>
      <c r="AP278" s="508"/>
      <c r="AQ278" s="508"/>
      <c r="AR278" s="508"/>
      <c r="AS278" s="508"/>
      <c r="AT278" s="508"/>
      <c r="AU278" s="508"/>
      <c r="AV278" s="508"/>
      <c r="AW278" s="508"/>
      <c r="AX278" s="508"/>
    </row>
    <row r="279" spans="4:50" customFormat="1" x14ac:dyDescent="0.25">
      <c r="D279" s="30"/>
      <c r="E279" s="30"/>
      <c r="H279" s="362"/>
      <c r="I279" s="362"/>
      <c r="J279" s="528"/>
      <c r="K279" s="528"/>
      <c r="L279" s="528"/>
      <c r="M279" s="528"/>
      <c r="N279" s="528"/>
      <c r="O279" s="528"/>
      <c r="P279" s="528"/>
      <c r="Q279" s="528"/>
      <c r="R279" s="528"/>
      <c r="S279" s="528"/>
      <c r="T279" s="528"/>
      <c r="U279" s="528"/>
      <c r="V279" s="508"/>
      <c r="W279" s="508"/>
      <c r="X279" s="508"/>
      <c r="Y279" s="508"/>
      <c r="Z279" s="508"/>
      <c r="AA279" s="508"/>
      <c r="AB279" s="508"/>
      <c r="AC279" s="508"/>
      <c r="AD279" s="508"/>
      <c r="AE279" s="508"/>
      <c r="AF279" s="508"/>
      <c r="AG279" s="508"/>
      <c r="AH279" s="508"/>
      <c r="AI279" s="508"/>
      <c r="AJ279" s="508"/>
      <c r="AK279" s="508"/>
      <c r="AL279" s="508"/>
      <c r="AM279" s="508"/>
      <c r="AN279" s="508"/>
      <c r="AO279" s="508"/>
      <c r="AP279" s="508"/>
      <c r="AQ279" s="508"/>
      <c r="AR279" s="508"/>
      <c r="AS279" s="508"/>
      <c r="AT279" s="508"/>
      <c r="AU279" s="508"/>
      <c r="AV279" s="508"/>
      <c r="AW279" s="508"/>
      <c r="AX279" s="508"/>
    </row>
    <row r="280" spans="4:50" customFormat="1" x14ac:dyDescent="0.25">
      <c r="D280" s="30"/>
      <c r="E280" s="30"/>
      <c r="H280" s="362"/>
      <c r="I280" s="362"/>
      <c r="J280" s="528"/>
      <c r="K280" s="528"/>
      <c r="L280" s="528"/>
      <c r="M280" s="528"/>
      <c r="N280" s="528"/>
      <c r="O280" s="528"/>
      <c r="P280" s="528"/>
      <c r="Q280" s="528"/>
      <c r="R280" s="528"/>
      <c r="S280" s="528"/>
      <c r="T280" s="528"/>
      <c r="U280" s="528"/>
      <c r="V280" s="508"/>
      <c r="W280" s="508"/>
      <c r="X280" s="508"/>
      <c r="Y280" s="508"/>
      <c r="Z280" s="508"/>
      <c r="AA280" s="508"/>
      <c r="AB280" s="508"/>
      <c r="AC280" s="508"/>
      <c r="AD280" s="508"/>
      <c r="AE280" s="508"/>
      <c r="AF280" s="508"/>
      <c r="AG280" s="508"/>
      <c r="AH280" s="508"/>
      <c r="AI280" s="508"/>
      <c r="AJ280" s="508"/>
      <c r="AK280" s="508"/>
      <c r="AL280" s="508"/>
      <c r="AM280" s="508"/>
      <c r="AN280" s="508"/>
      <c r="AO280" s="508"/>
      <c r="AP280" s="508"/>
      <c r="AQ280" s="508"/>
      <c r="AR280" s="508"/>
      <c r="AS280" s="508"/>
      <c r="AT280" s="508"/>
      <c r="AU280" s="508"/>
      <c r="AV280" s="508"/>
      <c r="AW280" s="508"/>
      <c r="AX280" s="508"/>
    </row>
    <row r="281" spans="4:50" customFormat="1" x14ac:dyDescent="0.25">
      <c r="D281" s="30"/>
      <c r="E281" s="30"/>
      <c r="H281" s="362"/>
      <c r="I281" s="362"/>
      <c r="J281" s="528"/>
      <c r="K281" s="528"/>
      <c r="L281" s="528"/>
      <c r="M281" s="528"/>
      <c r="N281" s="528"/>
      <c r="O281" s="528"/>
      <c r="P281" s="528"/>
      <c r="Q281" s="528"/>
      <c r="R281" s="528"/>
      <c r="S281" s="528"/>
      <c r="T281" s="528"/>
      <c r="U281" s="528"/>
      <c r="V281" s="508"/>
      <c r="W281" s="508"/>
      <c r="X281" s="508"/>
      <c r="Y281" s="508"/>
      <c r="Z281" s="508"/>
      <c r="AA281" s="508"/>
      <c r="AB281" s="508"/>
      <c r="AC281" s="508"/>
      <c r="AD281" s="508"/>
      <c r="AE281" s="508"/>
      <c r="AF281" s="508"/>
      <c r="AG281" s="508"/>
      <c r="AH281" s="508"/>
      <c r="AI281" s="508"/>
      <c r="AJ281" s="508"/>
      <c r="AK281" s="508"/>
      <c r="AL281" s="508"/>
      <c r="AM281" s="508"/>
      <c r="AN281" s="508"/>
      <c r="AO281" s="508"/>
      <c r="AP281" s="508"/>
      <c r="AQ281" s="508"/>
      <c r="AR281" s="508"/>
      <c r="AS281" s="508"/>
      <c r="AT281" s="508"/>
      <c r="AU281" s="508"/>
      <c r="AV281" s="508"/>
      <c r="AW281" s="508"/>
      <c r="AX281" s="508"/>
    </row>
    <row r="282" spans="4:50" customFormat="1" x14ac:dyDescent="0.25">
      <c r="D282" s="30"/>
      <c r="E282" s="30"/>
      <c r="H282" s="362"/>
      <c r="I282" s="362"/>
      <c r="J282" s="528"/>
      <c r="K282" s="528"/>
      <c r="L282" s="528"/>
      <c r="M282" s="528"/>
      <c r="N282" s="528"/>
      <c r="O282" s="528"/>
      <c r="P282" s="528"/>
      <c r="Q282" s="528"/>
      <c r="R282" s="528"/>
      <c r="S282" s="528"/>
      <c r="T282" s="528"/>
      <c r="U282" s="528"/>
      <c r="V282" s="508"/>
      <c r="W282" s="508"/>
      <c r="X282" s="508"/>
      <c r="Y282" s="508"/>
      <c r="Z282" s="508"/>
      <c r="AA282" s="508"/>
      <c r="AB282" s="508"/>
      <c r="AC282" s="508"/>
      <c r="AD282" s="508"/>
      <c r="AE282" s="508"/>
      <c r="AF282" s="508"/>
      <c r="AG282" s="508"/>
      <c r="AH282" s="508"/>
      <c r="AI282" s="508"/>
      <c r="AJ282" s="508"/>
      <c r="AK282" s="508"/>
      <c r="AL282" s="508"/>
      <c r="AM282" s="508"/>
      <c r="AN282" s="508"/>
      <c r="AO282" s="508"/>
      <c r="AP282" s="508"/>
      <c r="AQ282" s="508"/>
      <c r="AR282" s="508"/>
      <c r="AS282" s="508"/>
      <c r="AT282" s="508"/>
      <c r="AU282" s="508"/>
      <c r="AV282" s="508"/>
      <c r="AW282" s="508"/>
      <c r="AX282" s="508"/>
    </row>
    <row r="283" spans="4:50" customFormat="1" x14ac:dyDescent="0.25">
      <c r="D283" s="30"/>
      <c r="E283" s="30"/>
      <c r="H283" s="362"/>
      <c r="I283" s="362"/>
      <c r="J283" s="528"/>
      <c r="K283" s="528"/>
      <c r="L283" s="528"/>
      <c r="M283" s="528"/>
      <c r="N283" s="528"/>
      <c r="O283" s="528"/>
      <c r="P283" s="528"/>
      <c r="Q283" s="528"/>
      <c r="R283" s="528"/>
      <c r="S283" s="528"/>
      <c r="T283" s="528"/>
      <c r="U283" s="528"/>
      <c r="V283" s="508"/>
      <c r="W283" s="508"/>
      <c r="X283" s="508"/>
      <c r="Y283" s="508"/>
      <c r="Z283" s="508"/>
      <c r="AA283" s="508"/>
      <c r="AB283" s="508"/>
      <c r="AC283" s="508"/>
      <c r="AD283" s="508"/>
      <c r="AE283" s="508"/>
      <c r="AF283" s="508"/>
      <c r="AG283" s="508"/>
      <c r="AH283" s="508"/>
      <c r="AI283" s="508"/>
      <c r="AJ283" s="508"/>
      <c r="AK283" s="508"/>
      <c r="AL283" s="508"/>
      <c r="AM283" s="508"/>
      <c r="AN283" s="508"/>
      <c r="AO283" s="508"/>
      <c r="AP283" s="508"/>
      <c r="AQ283" s="508"/>
      <c r="AR283" s="508"/>
      <c r="AS283" s="508"/>
      <c r="AT283" s="508"/>
      <c r="AU283" s="508"/>
      <c r="AV283" s="508"/>
      <c r="AW283" s="508"/>
      <c r="AX283" s="508"/>
    </row>
    <row r="284" spans="4:50" customFormat="1" x14ac:dyDescent="0.25">
      <c r="D284" s="30"/>
      <c r="E284" s="30"/>
      <c r="H284" s="362"/>
      <c r="I284" s="362"/>
      <c r="J284" s="528"/>
      <c r="K284" s="528"/>
      <c r="L284" s="528"/>
      <c r="M284" s="528"/>
      <c r="N284" s="528"/>
      <c r="O284" s="528"/>
      <c r="P284" s="528"/>
      <c r="Q284" s="528"/>
      <c r="R284" s="528"/>
      <c r="S284" s="528"/>
      <c r="T284" s="528"/>
      <c r="U284" s="528"/>
      <c r="V284" s="508"/>
      <c r="W284" s="508"/>
      <c r="X284" s="508"/>
      <c r="Y284" s="508"/>
      <c r="Z284" s="508"/>
      <c r="AA284" s="508"/>
      <c r="AB284" s="508"/>
      <c r="AC284" s="508"/>
      <c r="AD284" s="508"/>
      <c r="AE284" s="508"/>
      <c r="AF284" s="508"/>
      <c r="AG284" s="508"/>
      <c r="AH284" s="508"/>
      <c r="AI284" s="508"/>
      <c r="AJ284" s="508"/>
      <c r="AK284" s="508"/>
      <c r="AL284" s="508"/>
      <c r="AM284" s="508"/>
      <c r="AN284" s="508"/>
      <c r="AO284" s="508"/>
      <c r="AP284" s="508"/>
      <c r="AQ284" s="508"/>
      <c r="AR284" s="508"/>
      <c r="AS284" s="508"/>
      <c r="AT284" s="508"/>
      <c r="AU284" s="508"/>
      <c r="AV284" s="508"/>
      <c r="AW284" s="508"/>
      <c r="AX284" s="508"/>
    </row>
    <row r="285" spans="4:50" customFormat="1" x14ac:dyDescent="0.25">
      <c r="D285" s="30"/>
      <c r="E285" s="30"/>
      <c r="H285" s="362"/>
      <c r="I285" s="362"/>
      <c r="J285" s="528"/>
      <c r="K285" s="528"/>
      <c r="L285" s="528"/>
      <c r="M285" s="528"/>
      <c r="N285" s="528"/>
      <c r="O285" s="528"/>
      <c r="P285" s="528"/>
      <c r="Q285" s="528"/>
      <c r="R285" s="528"/>
      <c r="S285" s="528"/>
      <c r="T285" s="528"/>
      <c r="U285" s="528"/>
      <c r="V285" s="508"/>
      <c r="W285" s="508"/>
      <c r="X285" s="508"/>
      <c r="Y285" s="508"/>
      <c r="Z285" s="508"/>
      <c r="AA285" s="508"/>
      <c r="AB285" s="508"/>
      <c r="AC285" s="508"/>
      <c r="AD285" s="508"/>
      <c r="AE285" s="508"/>
      <c r="AF285" s="508"/>
      <c r="AG285" s="508"/>
      <c r="AH285" s="508"/>
      <c r="AI285" s="508"/>
      <c r="AJ285" s="508"/>
      <c r="AK285" s="508"/>
      <c r="AL285" s="508"/>
      <c r="AM285" s="508"/>
      <c r="AN285" s="508"/>
      <c r="AO285" s="508"/>
      <c r="AP285" s="508"/>
      <c r="AQ285" s="508"/>
      <c r="AR285" s="508"/>
      <c r="AS285" s="508"/>
      <c r="AT285" s="508"/>
      <c r="AU285" s="508"/>
      <c r="AV285" s="508"/>
      <c r="AW285" s="508"/>
      <c r="AX285" s="508"/>
    </row>
    <row r="286" spans="4:50" customFormat="1" x14ac:dyDescent="0.25">
      <c r="D286" s="30"/>
      <c r="E286" s="30"/>
      <c r="H286" s="362"/>
      <c r="I286" s="362"/>
      <c r="J286" s="528"/>
      <c r="K286" s="528"/>
      <c r="L286" s="528"/>
      <c r="M286" s="528"/>
      <c r="N286" s="528"/>
      <c r="O286" s="528"/>
      <c r="P286" s="528"/>
      <c r="Q286" s="528"/>
      <c r="R286" s="528"/>
      <c r="S286" s="528"/>
      <c r="T286" s="528"/>
      <c r="U286" s="528"/>
      <c r="V286" s="508"/>
      <c r="W286" s="508"/>
      <c r="X286" s="508"/>
      <c r="Y286" s="508"/>
      <c r="Z286" s="508"/>
      <c r="AA286" s="508"/>
      <c r="AB286" s="508"/>
      <c r="AC286" s="508"/>
      <c r="AD286" s="508"/>
      <c r="AE286" s="508"/>
      <c r="AF286" s="508"/>
      <c r="AG286" s="508"/>
      <c r="AH286" s="508"/>
      <c r="AI286" s="508"/>
      <c r="AJ286" s="508"/>
      <c r="AK286" s="508"/>
      <c r="AL286" s="508"/>
      <c r="AM286" s="508"/>
      <c r="AN286" s="508"/>
      <c r="AO286" s="508"/>
      <c r="AP286" s="508"/>
      <c r="AQ286" s="508"/>
      <c r="AR286" s="508"/>
      <c r="AS286" s="508"/>
      <c r="AT286" s="508"/>
      <c r="AU286" s="508"/>
      <c r="AV286" s="508"/>
      <c r="AW286" s="508"/>
      <c r="AX286" s="508"/>
    </row>
    <row r="287" spans="4:50" customFormat="1" x14ac:dyDescent="0.25">
      <c r="D287" s="30"/>
      <c r="E287" s="30"/>
      <c r="H287" s="362"/>
      <c r="I287" s="362"/>
      <c r="J287" s="528"/>
      <c r="K287" s="528"/>
      <c r="L287" s="528"/>
      <c r="M287" s="528"/>
      <c r="N287" s="528"/>
      <c r="O287" s="528"/>
      <c r="P287" s="528"/>
      <c r="Q287" s="528"/>
      <c r="R287" s="528"/>
      <c r="S287" s="528"/>
      <c r="T287" s="528"/>
      <c r="U287" s="528"/>
      <c r="V287" s="508"/>
      <c r="W287" s="508"/>
      <c r="X287" s="508"/>
      <c r="Y287" s="508"/>
      <c r="Z287" s="508"/>
      <c r="AA287" s="508"/>
      <c r="AB287" s="508"/>
      <c r="AC287" s="508"/>
      <c r="AD287" s="508"/>
      <c r="AE287" s="508"/>
      <c r="AF287" s="508"/>
      <c r="AG287" s="508"/>
      <c r="AH287" s="508"/>
      <c r="AI287" s="508"/>
      <c r="AJ287" s="508"/>
      <c r="AK287" s="508"/>
      <c r="AL287" s="508"/>
      <c r="AM287" s="508"/>
      <c r="AN287" s="508"/>
      <c r="AO287" s="508"/>
      <c r="AP287" s="508"/>
      <c r="AQ287" s="508"/>
      <c r="AR287" s="508"/>
      <c r="AS287" s="508"/>
      <c r="AT287" s="508"/>
      <c r="AU287" s="508"/>
      <c r="AV287" s="508"/>
      <c r="AW287" s="508"/>
      <c r="AX287" s="508"/>
    </row>
    <row r="288" spans="4:50" customFormat="1" x14ac:dyDescent="0.25">
      <c r="D288" s="30"/>
      <c r="E288" s="30"/>
      <c r="H288" s="362"/>
      <c r="I288" s="362"/>
      <c r="J288" s="528"/>
      <c r="K288" s="528"/>
      <c r="L288" s="528"/>
      <c r="M288" s="528"/>
      <c r="N288" s="528"/>
      <c r="O288" s="528"/>
      <c r="P288" s="528"/>
      <c r="Q288" s="528"/>
      <c r="R288" s="528"/>
      <c r="S288" s="528"/>
      <c r="T288" s="528"/>
      <c r="U288" s="528"/>
      <c r="V288" s="508"/>
      <c r="W288" s="508"/>
      <c r="X288" s="508"/>
      <c r="Y288" s="508"/>
      <c r="Z288" s="508"/>
      <c r="AA288" s="508"/>
      <c r="AB288" s="508"/>
      <c r="AC288" s="508"/>
      <c r="AD288" s="508"/>
      <c r="AE288" s="508"/>
      <c r="AF288" s="508"/>
      <c r="AG288" s="508"/>
      <c r="AH288" s="508"/>
      <c r="AI288" s="508"/>
      <c r="AJ288" s="508"/>
      <c r="AK288" s="508"/>
      <c r="AL288" s="508"/>
      <c r="AM288" s="508"/>
      <c r="AN288" s="508"/>
      <c r="AO288" s="508"/>
      <c r="AP288" s="508"/>
      <c r="AQ288" s="508"/>
      <c r="AR288" s="508"/>
      <c r="AS288" s="508"/>
      <c r="AT288" s="508"/>
      <c r="AU288" s="508"/>
      <c r="AV288" s="508"/>
      <c r="AW288" s="508"/>
      <c r="AX288" s="508"/>
    </row>
    <row r="289" spans="4:50" customFormat="1" x14ac:dyDescent="0.25">
      <c r="D289" s="30"/>
      <c r="E289" s="30"/>
      <c r="H289" s="362"/>
      <c r="I289" s="362"/>
      <c r="J289" s="528"/>
      <c r="K289" s="528"/>
      <c r="L289" s="528"/>
      <c r="M289" s="528"/>
      <c r="N289" s="528"/>
      <c r="O289" s="528"/>
      <c r="P289" s="528"/>
      <c r="Q289" s="528"/>
      <c r="R289" s="528"/>
      <c r="S289" s="528"/>
      <c r="T289" s="528"/>
      <c r="U289" s="528"/>
      <c r="V289" s="508"/>
      <c r="W289" s="508"/>
      <c r="X289" s="508"/>
      <c r="Y289" s="508"/>
      <c r="Z289" s="508"/>
      <c r="AA289" s="508"/>
      <c r="AB289" s="508"/>
      <c r="AC289" s="508"/>
      <c r="AD289" s="508"/>
      <c r="AE289" s="508"/>
      <c r="AF289" s="508"/>
      <c r="AG289" s="508"/>
      <c r="AH289" s="508"/>
      <c r="AI289" s="508"/>
      <c r="AJ289" s="508"/>
      <c r="AK289" s="508"/>
      <c r="AL289" s="508"/>
      <c r="AM289" s="508"/>
      <c r="AN289" s="508"/>
      <c r="AO289" s="508"/>
      <c r="AP289" s="508"/>
      <c r="AQ289" s="508"/>
      <c r="AR289" s="508"/>
      <c r="AS289" s="508"/>
      <c r="AT289" s="508"/>
      <c r="AU289" s="508"/>
      <c r="AV289" s="508"/>
      <c r="AW289" s="508"/>
      <c r="AX289" s="508"/>
    </row>
    <row r="290" spans="4:50" customFormat="1" x14ac:dyDescent="0.25">
      <c r="D290" s="30"/>
      <c r="E290" s="30"/>
      <c r="H290" s="362"/>
      <c r="I290" s="362"/>
      <c r="J290" s="528"/>
      <c r="K290" s="528"/>
      <c r="L290" s="528"/>
      <c r="M290" s="528"/>
      <c r="N290" s="528"/>
      <c r="O290" s="528"/>
      <c r="P290" s="528"/>
      <c r="Q290" s="528"/>
      <c r="R290" s="528"/>
      <c r="S290" s="528"/>
      <c r="T290" s="528"/>
      <c r="U290" s="528"/>
      <c r="V290" s="508"/>
      <c r="W290" s="508"/>
      <c r="X290" s="508"/>
      <c r="Y290" s="508"/>
      <c r="Z290" s="508"/>
      <c r="AA290" s="508"/>
      <c r="AB290" s="508"/>
      <c r="AC290" s="508"/>
      <c r="AD290" s="508"/>
      <c r="AE290" s="508"/>
      <c r="AF290" s="508"/>
      <c r="AG290" s="508"/>
      <c r="AH290" s="508"/>
      <c r="AI290" s="508"/>
      <c r="AJ290" s="508"/>
      <c r="AK290" s="508"/>
      <c r="AL290" s="508"/>
      <c r="AM290" s="508"/>
      <c r="AN290" s="508"/>
      <c r="AO290" s="508"/>
      <c r="AP290" s="508"/>
      <c r="AQ290" s="508"/>
      <c r="AR290" s="508"/>
      <c r="AS290" s="508"/>
      <c r="AT290" s="508"/>
      <c r="AU290" s="508"/>
      <c r="AV290" s="508"/>
      <c r="AW290" s="508"/>
      <c r="AX290" s="508"/>
    </row>
    <row r="291" spans="4:50" customFormat="1" x14ac:dyDescent="0.25">
      <c r="D291" s="30"/>
      <c r="E291" s="30"/>
      <c r="H291" s="362"/>
      <c r="I291" s="362"/>
      <c r="J291" s="528"/>
      <c r="K291" s="528"/>
      <c r="L291" s="528"/>
      <c r="M291" s="528"/>
      <c r="N291" s="528"/>
      <c r="O291" s="528"/>
      <c r="P291" s="528"/>
      <c r="Q291" s="528"/>
      <c r="R291" s="528"/>
      <c r="S291" s="528"/>
      <c r="T291" s="528"/>
      <c r="U291" s="528"/>
      <c r="V291" s="508"/>
      <c r="W291" s="508"/>
      <c r="X291" s="508"/>
      <c r="Y291" s="508"/>
      <c r="Z291" s="508"/>
      <c r="AA291" s="508"/>
      <c r="AB291" s="508"/>
      <c r="AC291" s="508"/>
      <c r="AD291" s="508"/>
      <c r="AE291" s="508"/>
      <c r="AF291" s="508"/>
      <c r="AG291" s="508"/>
      <c r="AH291" s="508"/>
      <c r="AI291" s="508"/>
      <c r="AJ291" s="508"/>
      <c r="AK291" s="508"/>
      <c r="AL291" s="508"/>
      <c r="AM291" s="508"/>
      <c r="AN291" s="508"/>
      <c r="AO291" s="508"/>
      <c r="AP291" s="508"/>
      <c r="AQ291" s="508"/>
      <c r="AR291" s="508"/>
      <c r="AS291" s="508"/>
      <c r="AT291" s="508"/>
      <c r="AU291" s="508"/>
      <c r="AV291" s="508"/>
      <c r="AW291" s="508"/>
      <c r="AX291" s="508"/>
    </row>
    <row r="292" spans="4:50" customFormat="1" x14ac:dyDescent="0.25">
      <c r="D292" s="30"/>
      <c r="E292" s="30"/>
      <c r="H292" s="362"/>
      <c r="I292" s="362"/>
      <c r="J292" s="528"/>
      <c r="K292" s="528"/>
      <c r="L292" s="528"/>
      <c r="M292" s="528"/>
      <c r="N292" s="528"/>
      <c r="O292" s="528"/>
      <c r="P292" s="528"/>
      <c r="Q292" s="528"/>
      <c r="R292" s="528"/>
      <c r="S292" s="528"/>
      <c r="T292" s="528"/>
      <c r="U292" s="528"/>
      <c r="V292" s="508"/>
      <c r="W292" s="508"/>
      <c r="X292" s="508"/>
      <c r="Y292" s="508"/>
      <c r="Z292" s="508"/>
      <c r="AA292" s="508"/>
      <c r="AB292" s="508"/>
      <c r="AC292" s="508"/>
      <c r="AD292" s="508"/>
      <c r="AE292" s="508"/>
      <c r="AF292" s="508"/>
      <c r="AG292" s="508"/>
      <c r="AH292" s="508"/>
      <c r="AI292" s="508"/>
      <c r="AJ292" s="508"/>
      <c r="AK292" s="508"/>
      <c r="AL292" s="508"/>
      <c r="AM292" s="508"/>
      <c r="AN292" s="508"/>
      <c r="AO292" s="508"/>
      <c r="AP292" s="508"/>
      <c r="AQ292" s="508"/>
      <c r="AR292" s="508"/>
      <c r="AS292" s="508"/>
      <c r="AT292" s="508"/>
      <c r="AU292" s="508"/>
      <c r="AV292" s="508"/>
      <c r="AW292" s="508"/>
      <c r="AX292" s="508"/>
    </row>
    <row r="293" spans="4:50" customFormat="1" x14ac:dyDescent="0.25">
      <c r="D293" s="30"/>
      <c r="E293" s="30"/>
      <c r="H293" s="362"/>
      <c r="I293" s="362"/>
      <c r="J293" s="528"/>
      <c r="K293" s="528"/>
      <c r="L293" s="528"/>
      <c r="M293" s="528"/>
      <c r="N293" s="528"/>
      <c r="O293" s="528"/>
      <c r="P293" s="528"/>
      <c r="Q293" s="528"/>
      <c r="R293" s="528"/>
      <c r="S293" s="528"/>
      <c r="T293" s="528"/>
      <c r="U293" s="528"/>
      <c r="V293" s="508"/>
      <c r="W293" s="508"/>
      <c r="X293" s="508"/>
      <c r="Y293" s="508"/>
      <c r="Z293" s="508"/>
      <c r="AA293" s="508"/>
      <c r="AB293" s="508"/>
      <c r="AC293" s="508"/>
      <c r="AD293" s="508"/>
      <c r="AE293" s="508"/>
      <c r="AF293" s="508"/>
      <c r="AG293" s="508"/>
      <c r="AH293" s="508"/>
      <c r="AI293" s="508"/>
      <c r="AJ293" s="508"/>
      <c r="AK293" s="508"/>
      <c r="AL293" s="508"/>
      <c r="AM293" s="508"/>
      <c r="AN293" s="508"/>
      <c r="AO293" s="508"/>
      <c r="AP293" s="508"/>
      <c r="AQ293" s="508"/>
      <c r="AR293" s="508"/>
      <c r="AS293" s="508"/>
      <c r="AT293" s="508"/>
      <c r="AU293" s="508"/>
      <c r="AV293" s="508"/>
      <c r="AW293" s="508"/>
      <c r="AX293" s="508"/>
    </row>
    <row r="294" spans="4:50" customFormat="1" x14ac:dyDescent="0.25">
      <c r="D294" s="30"/>
      <c r="E294" s="30"/>
      <c r="H294" s="362"/>
      <c r="I294" s="362"/>
      <c r="J294" s="528"/>
      <c r="K294" s="528"/>
      <c r="L294" s="528"/>
      <c r="M294" s="528"/>
      <c r="N294" s="528"/>
      <c r="O294" s="528"/>
      <c r="P294" s="528"/>
      <c r="Q294" s="528"/>
      <c r="R294" s="528"/>
      <c r="S294" s="528"/>
      <c r="T294" s="528"/>
      <c r="U294" s="528"/>
      <c r="V294" s="508"/>
      <c r="W294" s="508"/>
      <c r="X294" s="508"/>
      <c r="Y294" s="508"/>
      <c r="Z294" s="508"/>
      <c r="AA294" s="508"/>
      <c r="AB294" s="508"/>
      <c r="AC294" s="508"/>
      <c r="AD294" s="508"/>
      <c r="AE294" s="508"/>
      <c r="AF294" s="508"/>
      <c r="AG294" s="508"/>
      <c r="AH294" s="508"/>
      <c r="AI294" s="508"/>
      <c r="AJ294" s="508"/>
      <c r="AK294" s="508"/>
      <c r="AL294" s="508"/>
      <c r="AM294" s="508"/>
      <c r="AN294" s="508"/>
      <c r="AO294" s="508"/>
      <c r="AP294" s="508"/>
      <c r="AQ294" s="508"/>
      <c r="AR294" s="508"/>
      <c r="AS294" s="508"/>
      <c r="AT294" s="508"/>
      <c r="AU294" s="508"/>
      <c r="AV294" s="508"/>
      <c r="AW294" s="508"/>
      <c r="AX294" s="508"/>
    </row>
    <row r="295" spans="4:50" customFormat="1" x14ac:dyDescent="0.25">
      <c r="D295" s="30"/>
      <c r="E295" s="30"/>
      <c r="H295" s="362"/>
      <c r="I295" s="362"/>
      <c r="J295" s="528"/>
      <c r="K295" s="528"/>
      <c r="L295" s="528"/>
      <c r="M295" s="528"/>
      <c r="N295" s="528"/>
      <c r="O295" s="528"/>
      <c r="P295" s="528"/>
      <c r="Q295" s="528"/>
      <c r="R295" s="528"/>
      <c r="S295" s="528"/>
      <c r="T295" s="528"/>
      <c r="U295" s="528"/>
      <c r="V295" s="508"/>
      <c r="W295" s="508"/>
      <c r="X295" s="508"/>
      <c r="Y295" s="508"/>
      <c r="Z295" s="508"/>
      <c r="AA295" s="508"/>
      <c r="AB295" s="508"/>
      <c r="AC295" s="508"/>
      <c r="AD295" s="508"/>
      <c r="AE295" s="508"/>
      <c r="AF295" s="508"/>
      <c r="AG295" s="508"/>
      <c r="AH295" s="508"/>
      <c r="AI295" s="508"/>
      <c r="AJ295" s="508"/>
      <c r="AK295" s="508"/>
      <c r="AL295" s="508"/>
      <c r="AM295" s="508"/>
      <c r="AN295" s="508"/>
      <c r="AO295" s="508"/>
      <c r="AP295" s="508"/>
      <c r="AQ295" s="508"/>
      <c r="AR295" s="508"/>
      <c r="AS295" s="508"/>
      <c r="AT295" s="508"/>
      <c r="AU295" s="508"/>
      <c r="AV295" s="508"/>
      <c r="AW295" s="508"/>
      <c r="AX295" s="508"/>
    </row>
    <row r="296" spans="4:50" customFormat="1" x14ac:dyDescent="0.25">
      <c r="D296" s="30"/>
      <c r="E296" s="30"/>
      <c r="H296" s="362"/>
      <c r="I296" s="362"/>
      <c r="J296" s="528"/>
      <c r="K296" s="528"/>
      <c r="L296" s="528"/>
      <c r="M296" s="528"/>
      <c r="N296" s="528"/>
      <c r="O296" s="528"/>
      <c r="P296" s="528"/>
      <c r="Q296" s="528"/>
      <c r="R296" s="528"/>
      <c r="S296" s="528"/>
      <c r="T296" s="528"/>
      <c r="U296" s="528"/>
      <c r="V296" s="508"/>
      <c r="W296" s="508"/>
      <c r="X296" s="508"/>
      <c r="Y296" s="508"/>
      <c r="Z296" s="508"/>
      <c r="AA296" s="508"/>
      <c r="AB296" s="508"/>
      <c r="AC296" s="508"/>
      <c r="AD296" s="508"/>
      <c r="AE296" s="508"/>
      <c r="AF296" s="508"/>
      <c r="AG296" s="508"/>
      <c r="AH296" s="508"/>
      <c r="AI296" s="508"/>
      <c r="AJ296" s="508"/>
      <c r="AK296" s="508"/>
      <c r="AL296" s="508"/>
      <c r="AM296" s="508"/>
      <c r="AN296" s="508"/>
      <c r="AO296" s="508"/>
      <c r="AP296" s="508"/>
      <c r="AQ296" s="508"/>
      <c r="AR296" s="508"/>
      <c r="AS296" s="508"/>
      <c r="AT296" s="508"/>
      <c r="AU296" s="508"/>
      <c r="AV296" s="508"/>
      <c r="AW296" s="508"/>
      <c r="AX296" s="508"/>
    </row>
    <row r="297" spans="4:50" customFormat="1" x14ac:dyDescent="0.25">
      <c r="D297" s="30"/>
      <c r="E297" s="30"/>
      <c r="H297" s="362"/>
      <c r="I297" s="362"/>
      <c r="J297" s="528"/>
      <c r="K297" s="528"/>
      <c r="L297" s="528"/>
      <c r="M297" s="528"/>
      <c r="N297" s="528"/>
      <c r="O297" s="528"/>
      <c r="P297" s="528"/>
      <c r="Q297" s="528"/>
      <c r="R297" s="528"/>
      <c r="S297" s="528"/>
      <c r="T297" s="528"/>
      <c r="U297" s="528"/>
      <c r="V297" s="508"/>
      <c r="W297" s="508"/>
      <c r="X297" s="508"/>
      <c r="Y297" s="508"/>
      <c r="Z297" s="508"/>
      <c r="AA297" s="508"/>
      <c r="AB297" s="508"/>
      <c r="AC297" s="508"/>
      <c r="AD297" s="508"/>
      <c r="AE297" s="508"/>
      <c r="AF297" s="508"/>
      <c r="AG297" s="508"/>
      <c r="AH297" s="508"/>
      <c r="AI297" s="508"/>
      <c r="AJ297" s="508"/>
      <c r="AK297" s="508"/>
      <c r="AL297" s="508"/>
      <c r="AM297" s="508"/>
      <c r="AN297" s="508"/>
      <c r="AO297" s="508"/>
      <c r="AP297" s="508"/>
      <c r="AQ297" s="508"/>
      <c r="AR297" s="508"/>
      <c r="AS297" s="508"/>
      <c r="AT297" s="508"/>
      <c r="AU297" s="508"/>
      <c r="AV297" s="508"/>
      <c r="AW297" s="508"/>
      <c r="AX297" s="508"/>
    </row>
    <row r="298" spans="4:50" customFormat="1" x14ac:dyDescent="0.25">
      <c r="D298" s="30"/>
      <c r="E298" s="30"/>
      <c r="H298" s="362"/>
      <c r="I298" s="362"/>
      <c r="J298" s="528"/>
      <c r="K298" s="528"/>
      <c r="L298" s="528"/>
      <c r="M298" s="528"/>
      <c r="N298" s="528"/>
      <c r="O298" s="528"/>
      <c r="P298" s="528"/>
      <c r="Q298" s="528"/>
      <c r="R298" s="528"/>
      <c r="S298" s="528"/>
      <c r="T298" s="528"/>
      <c r="U298" s="528"/>
      <c r="V298" s="508"/>
      <c r="W298" s="508"/>
      <c r="X298" s="508"/>
      <c r="Y298" s="508"/>
      <c r="Z298" s="508"/>
      <c r="AA298" s="508"/>
      <c r="AB298" s="508"/>
      <c r="AC298" s="508"/>
      <c r="AD298" s="508"/>
      <c r="AE298" s="508"/>
      <c r="AF298" s="508"/>
      <c r="AG298" s="508"/>
      <c r="AH298" s="508"/>
      <c r="AI298" s="508"/>
      <c r="AJ298" s="508"/>
      <c r="AK298" s="508"/>
      <c r="AL298" s="508"/>
      <c r="AM298" s="508"/>
      <c r="AN298" s="508"/>
      <c r="AO298" s="508"/>
      <c r="AP298" s="508"/>
      <c r="AQ298" s="508"/>
      <c r="AR298" s="508"/>
      <c r="AS298" s="508"/>
      <c r="AT298" s="508"/>
      <c r="AU298" s="508"/>
      <c r="AV298" s="508"/>
      <c r="AW298" s="508"/>
      <c r="AX298" s="508"/>
    </row>
    <row r="299" spans="4:50" customFormat="1" x14ac:dyDescent="0.25">
      <c r="D299" s="30"/>
      <c r="E299" s="30"/>
      <c r="H299" s="362"/>
      <c r="I299" s="362"/>
      <c r="J299" s="528"/>
      <c r="K299" s="528"/>
      <c r="L299" s="528"/>
      <c r="M299" s="528"/>
      <c r="N299" s="528"/>
      <c r="O299" s="528"/>
      <c r="P299" s="528"/>
      <c r="Q299" s="528"/>
      <c r="R299" s="528"/>
      <c r="S299" s="528"/>
      <c r="T299" s="528"/>
      <c r="U299" s="528"/>
      <c r="V299" s="508"/>
      <c r="W299" s="508"/>
      <c r="X299" s="508"/>
      <c r="Y299" s="508"/>
      <c r="Z299" s="508"/>
      <c r="AA299" s="508"/>
      <c r="AB299" s="508"/>
      <c r="AC299" s="508"/>
      <c r="AD299" s="508"/>
      <c r="AE299" s="508"/>
      <c r="AF299" s="508"/>
      <c r="AG299" s="508"/>
      <c r="AH299" s="508"/>
      <c r="AI299" s="508"/>
      <c r="AJ299" s="508"/>
      <c r="AK299" s="508"/>
      <c r="AL299" s="508"/>
      <c r="AM299" s="508"/>
      <c r="AN299" s="508"/>
      <c r="AO299" s="508"/>
      <c r="AP299" s="508"/>
      <c r="AQ299" s="508"/>
      <c r="AR299" s="508"/>
      <c r="AS299" s="508"/>
      <c r="AT299" s="508"/>
      <c r="AU299" s="508"/>
      <c r="AV299" s="508"/>
      <c r="AW299" s="508"/>
      <c r="AX299" s="508"/>
    </row>
    <row r="300" spans="4:50" customFormat="1" x14ac:dyDescent="0.25">
      <c r="D300" s="30"/>
      <c r="E300" s="30"/>
      <c r="H300" s="362"/>
      <c r="I300" s="362"/>
      <c r="J300" s="528"/>
      <c r="K300" s="528"/>
      <c r="L300" s="528"/>
      <c r="M300" s="528"/>
      <c r="N300" s="528"/>
      <c r="O300" s="528"/>
      <c r="P300" s="528"/>
      <c r="Q300" s="528"/>
      <c r="R300" s="528"/>
      <c r="S300" s="528"/>
      <c r="T300" s="528"/>
      <c r="U300" s="528"/>
      <c r="V300" s="508"/>
      <c r="W300" s="508"/>
      <c r="X300" s="508"/>
      <c r="Y300" s="508"/>
      <c r="Z300" s="508"/>
      <c r="AA300" s="508"/>
      <c r="AB300" s="508"/>
      <c r="AC300" s="508"/>
      <c r="AD300" s="508"/>
      <c r="AE300" s="508"/>
      <c r="AF300" s="508"/>
      <c r="AG300" s="508"/>
      <c r="AH300" s="508"/>
      <c r="AI300" s="508"/>
      <c r="AJ300" s="508"/>
      <c r="AK300" s="508"/>
      <c r="AL300" s="508"/>
      <c r="AM300" s="508"/>
      <c r="AN300" s="508"/>
      <c r="AO300" s="508"/>
      <c r="AP300" s="508"/>
      <c r="AQ300" s="508"/>
      <c r="AR300" s="508"/>
      <c r="AS300" s="508"/>
      <c r="AT300" s="508"/>
      <c r="AU300" s="508"/>
      <c r="AV300" s="508"/>
      <c r="AW300" s="508"/>
      <c r="AX300" s="508"/>
    </row>
    <row r="301" spans="4:50" customFormat="1" x14ac:dyDescent="0.25">
      <c r="D301" s="30"/>
      <c r="E301" s="30"/>
      <c r="H301" s="362"/>
      <c r="I301" s="362"/>
      <c r="J301" s="528"/>
      <c r="K301" s="528"/>
      <c r="L301" s="528"/>
      <c r="M301" s="528"/>
      <c r="N301" s="528"/>
      <c r="O301" s="528"/>
      <c r="P301" s="528"/>
      <c r="Q301" s="528"/>
      <c r="R301" s="528"/>
      <c r="S301" s="528"/>
      <c r="T301" s="528"/>
      <c r="U301" s="528"/>
      <c r="V301" s="508"/>
      <c r="W301" s="508"/>
      <c r="X301" s="508"/>
      <c r="Y301" s="508"/>
      <c r="Z301" s="508"/>
      <c r="AA301" s="508"/>
      <c r="AB301" s="508"/>
      <c r="AC301" s="508"/>
      <c r="AD301" s="508"/>
      <c r="AE301" s="508"/>
      <c r="AF301" s="508"/>
      <c r="AG301" s="508"/>
      <c r="AH301" s="508"/>
      <c r="AI301" s="508"/>
      <c r="AJ301" s="508"/>
      <c r="AK301" s="508"/>
      <c r="AL301" s="508"/>
      <c r="AM301" s="508"/>
      <c r="AN301" s="508"/>
      <c r="AO301" s="508"/>
      <c r="AP301" s="508"/>
      <c r="AQ301" s="508"/>
      <c r="AR301" s="508"/>
      <c r="AS301" s="508"/>
      <c r="AT301" s="508"/>
      <c r="AU301" s="508"/>
      <c r="AV301" s="508"/>
      <c r="AW301" s="508"/>
      <c r="AX301" s="508"/>
    </row>
    <row r="302" spans="4:50" customFormat="1" x14ac:dyDescent="0.25">
      <c r="D302" s="30"/>
      <c r="E302" s="30"/>
      <c r="H302" s="362"/>
      <c r="I302" s="362"/>
      <c r="J302" s="528"/>
      <c r="K302" s="528"/>
      <c r="L302" s="528"/>
      <c r="M302" s="528"/>
      <c r="N302" s="528"/>
      <c r="O302" s="528"/>
      <c r="P302" s="528"/>
      <c r="Q302" s="528"/>
      <c r="R302" s="528"/>
      <c r="S302" s="528"/>
      <c r="T302" s="528"/>
      <c r="U302" s="528"/>
      <c r="V302" s="508"/>
      <c r="W302" s="508"/>
      <c r="X302" s="508"/>
      <c r="Y302" s="508"/>
      <c r="Z302" s="508"/>
      <c r="AA302" s="508"/>
      <c r="AB302" s="508"/>
      <c r="AC302" s="508"/>
      <c r="AD302" s="508"/>
      <c r="AE302" s="508"/>
      <c r="AF302" s="508"/>
      <c r="AG302" s="508"/>
      <c r="AH302" s="508"/>
      <c r="AI302" s="508"/>
      <c r="AJ302" s="508"/>
      <c r="AK302" s="508"/>
      <c r="AL302" s="508"/>
      <c r="AM302" s="508"/>
      <c r="AN302" s="508"/>
      <c r="AO302" s="508"/>
      <c r="AP302" s="508"/>
      <c r="AQ302" s="508"/>
      <c r="AR302" s="508"/>
      <c r="AS302" s="508"/>
      <c r="AT302" s="508"/>
      <c r="AU302" s="508"/>
      <c r="AV302" s="508"/>
      <c r="AW302" s="508"/>
      <c r="AX302" s="508"/>
    </row>
    <row r="303" spans="4:50" customFormat="1" x14ac:dyDescent="0.25">
      <c r="D303" s="30"/>
      <c r="E303" s="30"/>
      <c r="H303" s="362"/>
      <c r="I303" s="362"/>
      <c r="J303" s="528"/>
      <c r="K303" s="528"/>
      <c r="L303" s="528"/>
      <c r="M303" s="528"/>
      <c r="N303" s="528"/>
      <c r="O303" s="528"/>
      <c r="P303" s="528"/>
      <c r="Q303" s="528"/>
      <c r="R303" s="528"/>
      <c r="S303" s="528"/>
      <c r="T303" s="528"/>
      <c r="U303" s="528"/>
      <c r="V303" s="508"/>
      <c r="W303" s="508"/>
      <c r="X303" s="508"/>
      <c r="Y303" s="508"/>
      <c r="Z303" s="508"/>
      <c r="AA303" s="508"/>
      <c r="AB303" s="508"/>
      <c r="AC303" s="508"/>
      <c r="AD303" s="508"/>
      <c r="AE303" s="508"/>
      <c r="AF303" s="508"/>
      <c r="AG303" s="508"/>
      <c r="AH303" s="508"/>
      <c r="AI303" s="508"/>
      <c r="AJ303" s="508"/>
      <c r="AK303" s="508"/>
      <c r="AL303" s="508"/>
      <c r="AM303" s="508"/>
      <c r="AN303" s="508"/>
      <c r="AO303" s="508"/>
      <c r="AP303" s="508"/>
      <c r="AQ303" s="508"/>
      <c r="AR303" s="508"/>
      <c r="AS303" s="508"/>
      <c r="AT303" s="508"/>
      <c r="AU303" s="508"/>
      <c r="AV303" s="508"/>
      <c r="AW303" s="508"/>
      <c r="AX303" s="508"/>
    </row>
    <row r="304" spans="4:50" customFormat="1" x14ac:dyDescent="0.25">
      <c r="D304" s="30"/>
      <c r="E304" s="30"/>
      <c r="H304" s="362"/>
      <c r="I304" s="362"/>
      <c r="J304" s="528"/>
      <c r="K304" s="528"/>
      <c r="L304" s="528"/>
      <c r="M304" s="528"/>
      <c r="N304" s="528"/>
      <c r="O304" s="528"/>
      <c r="P304" s="528"/>
      <c r="Q304" s="528"/>
      <c r="R304" s="528"/>
      <c r="S304" s="528"/>
      <c r="T304" s="528"/>
      <c r="U304" s="528"/>
      <c r="V304" s="508"/>
      <c r="W304" s="508"/>
      <c r="X304" s="508"/>
      <c r="Y304" s="508"/>
      <c r="Z304" s="508"/>
      <c r="AA304" s="508"/>
      <c r="AB304" s="508"/>
      <c r="AC304" s="508"/>
      <c r="AD304" s="508"/>
      <c r="AE304" s="508"/>
      <c r="AF304" s="508"/>
      <c r="AG304" s="508"/>
      <c r="AH304" s="508"/>
      <c r="AI304" s="508"/>
      <c r="AJ304" s="508"/>
      <c r="AK304" s="508"/>
      <c r="AL304" s="508"/>
      <c r="AM304" s="508"/>
      <c r="AN304" s="508"/>
      <c r="AO304" s="508"/>
      <c r="AP304" s="508"/>
      <c r="AQ304" s="508"/>
      <c r="AR304" s="508"/>
      <c r="AS304" s="508"/>
      <c r="AT304" s="508"/>
      <c r="AU304" s="508"/>
      <c r="AV304" s="508"/>
      <c r="AW304" s="508"/>
      <c r="AX304" s="508"/>
    </row>
    <row r="305" spans="4:50" customFormat="1" x14ac:dyDescent="0.25">
      <c r="D305" s="30"/>
      <c r="E305" s="30"/>
      <c r="H305" s="362"/>
      <c r="I305" s="362"/>
      <c r="J305" s="528"/>
      <c r="K305" s="528"/>
      <c r="L305" s="528"/>
      <c r="M305" s="528"/>
      <c r="N305" s="528"/>
      <c r="O305" s="528"/>
      <c r="P305" s="528"/>
      <c r="Q305" s="528"/>
      <c r="R305" s="528"/>
      <c r="S305" s="528"/>
      <c r="T305" s="528"/>
      <c r="U305" s="528"/>
      <c r="V305" s="508"/>
      <c r="W305" s="508"/>
      <c r="X305" s="508"/>
      <c r="Y305" s="508"/>
      <c r="Z305" s="508"/>
      <c r="AA305" s="508"/>
      <c r="AB305" s="508"/>
      <c r="AC305" s="508"/>
      <c r="AD305" s="508"/>
      <c r="AE305" s="508"/>
      <c r="AF305" s="508"/>
      <c r="AG305" s="508"/>
      <c r="AH305" s="508"/>
      <c r="AI305" s="508"/>
      <c r="AJ305" s="508"/>
      <c r="AK305" s="508"/>
      <c r="AL305" s="508"/>
      <c r="AM305" s="508"/>
      <c r="AN305" s="508"/>
      <c r="AO305" s="508"/>
      <c r="AP305" s="508"/>
      <c r="AQ305" s="508"/>
      <c r="AR305" s="508"/>
      <c r="AS305" s="508"/>
      <c r="AT305" s="508"/>
      <c r="AU305" s="508"/>
      <c r="AV305" s="508"/>
      <c r="AW305" s="508"/>
      <c r="AX305" s="508"/>
    </row>
    <row r="306" spans="4:50" customFormat="1" x14ac:dyDescent="0.25">
      <c r="D306" s="30"/>
      <c r="E306" s="30"/>
      <c r="H306" s="362"/>
      <c r="I306" s="362"/>
      <c r="J306" s="528"/>
      <c r="K306" s="528"/>
      <c r="L306" s="528"/>
      <c r="M306" s="528"/>
      <c r="N306" s="528"/>
      <c r="O306" s="528"/>
      <c r="P306" s="528"/>
      <c r="Q306" s="528"/>
      <c r="R306" s="528"/>
      <c r="S306" s="528"/>
      <c r="T306" s="528"/>
      <c r="U306" s="528"/>
      <c r="V306" s="508"/>
      <c r="W306" s="508"/>
      <c r="X306" s="508"/>
      <c r="Y306" s="508"/>
      <c r="Z306" s="508"/>
      <c r="AA306" s="508"/>
      <c r="AB306" s="508"/>
      <c r="AC306" s="508"/>
      <c r="AD306" s="508"/>
      <c r="AE306" s="508"/>
      <c r="AF306" s="508"/>
      <c r="AG306" s="508"/>
      <c r="AH306" s="508"/>
      <c r="AI306" s="508"/>
      <c r="AJ306" s="508"/>
      <c r="AK306" s="508"/>
      <c r="AL306" s="508"/>
      <c r="AM306" s="508"/>
      <c r="AN306" s="508"/>
      <c r="AO306" s="508"/>
      <c r="AP306" s="508"/>
      <c r="AQ306" s="508"/>
      <c r="AR306" s="508"/>
      <c r="AS306" s="508"/>
      <c r="AT306" s="508"/>
      <c r="AU306" s="508"/>
      <c r="AV306" s="508"/>
      <c r="AW306" s="508"/>
      <c r="AX306" s="508"/>
    </row>
    <row r="307" spans="4:50" customFormat="1" x14ac:dyDescent="0.25">
      <c r="D307" s="30"/>
      <c r="E307" s="30"/>
      <c r="H307" s="362"/>
      <c r="I307" s="362"/>
      <c r="J307" s="528"/>
      <c r="K307" s="528"/>
      <c r="L307" s="528"/>
      <c r="M307" s="528"/>
      <c r="N307" s="528"/>
      <c r="O307" s="528"/>
      <c r="P307" s="528"/>
      <c r="Q307" s="528"/>
      <c r="R307" s="528"/>
      <c r="S307" s="528"/>
      <c r="T307" s="528"/>
      <c r="U307" s="528"/>
      <c r="V307" s="508"/>
      <c r="W307" s="508"/>
      <c r="X307" s="508"/>
      <c r="Y307" s="508"/>
      <c r="Z307" s="508"/>
      <c r="AA307" s="508"/>
      <c r="AB307" s="508"/>
      <c r="AC307" s="508"/>
      <c r="AD307" s="508"/>
      <c r="AE307" s="508"/>
      <c r="AF307" s="508"/>
      <c r="AG307" s="508"/>
      <c r="AH307" s="508"/>
      <c r="AI307" s="508"/>
      <c r="AJ307" s="508"/>
      <c r="AK307" s="508"/>
      <c r="AL307" s="508"/>
      <c r="AM307" s="508"/>
      <c r="AN307" s="508"/>
      <c r="AO307" s="508"/>
      <c r="AP307" s="508"/>
      <c r="AQ307" s="508"/>
      <c r="AR307" s="508"/>
      <c r="AS307" s="508"/>
      <c r="AT307" s="508"/>
      <c r="AU307" s="508"/>
      <c r="AV307" s="508"/>
      <c r="AW307" s="508"/>
      <c r="AX307" s="508"/>
    </row>
    <row r="308" spans="4:50" customFormat="1" x14ac:dyDescent="0.25">
      <c r="D308" s="30"/>
      <c r="E308" s="30"/>
      <c r="H308" s="362"/>
      <c r="I308" s="362"/>
      <c r="J308" s="528"/>
      <c r="K308" s="528"/>
      <c r="L308" s="528"/>
      <c r="M308" s="528"/>
      <c r="N308" s="528"/>
      <c r="O308" s="528"/>
      <c r="P308" s="528"/>
      <c r="Q308" s="528"/>
      <c r="R308" s="528"/>
      <c r="S308" s="528"/>
      <c r="T308" s="528"/>
      <c r="U308" s="528"/>
      <c r="V308" s="508"/>
      <c r="W308" s="508"/>
      <c r="X308" s="508"/>
      <c r="Y308" s="508"/>
      <c r="Z308" s="508"/>
      <c r="AA308" s="508"/>
      <c r="AB308" s="508"/>
      <c r="AC308" s="508"/>
      <c r="AD308" s="508"/>
      <c r="AE308" s="508"/>
      <c r="AF308" s="508"/>
      <c r="AG308" s="508"/>
      <c r="AH308" s="508"/>
      <c r="AI308" s="508"/>
      <c r="AJ308" s="508"/>
      <c r="AK308" s="508"/>
      <c r="AL308" s="508"/>
      <c r="AM308" s="508"/>
      <c r="AN308" s="508"/>
      <c r="AO308" s="508"/>
      <c r="AP308" s="508"/>
      <c r="AQ308" s="508"/>
      <c r="AR308" s="508"/>
      <c r="AS308" s="508"/>
      <c r="AT308" s="508"/>
      <c r="AU308" s="508"/>
      <c r="AV308" s="508"/>
      <c r="AW308" s="508"/>
      <c r="AX308" s="508"/>
    </row>
    <row r="309" spans="4:50" customFormat="1" x14ac:dyDescent="0.25">
      <c r="D309" s="30"/>
      <c r="E309" s="30"/>
      <c r="H309" s="362"/>
      <c r="I309" s="362"/>
      <c r="J309" s="528"/>
      <c r="K309" s="528"/>
      <c r="L309" s="528"/>
      <c r="M309" s="528"/>
      <c r="N309" s="528"/>
      <c r="O309" s="528"/>
      <c r="P309" s="528"/>
      <c r="Q309" s="528"/>
      <c r="R309" s="528"/>
      <c r="S309" s="528"/>
      <c r="T309" s="528"/>
      <c r="U309" s="528"/>
      <c r="V309" s="508"/>
      <c r="W309" s="508"/>
      <c r="X309" s="508"/>
      <c r="Y309" s="508"/>
      <c r="Z309" s="508"/>
      <c r="AA309" s="508"/>
      <c r="AB309" s="508"/>
      <c r="AC309" s="508"/>
      <c r="AD309" s="508"/>
      <c r="AE309" s="508"/>
      <c r="AF309" s="508"/>
      <c r="AG309" s="508"/>
      <c r="AH309" s="508"/>
      <c r="AI309" s="508"/>
      <c r="AJ309" s="508"/>
      <c r="AK309" s="508"/>
      <c r="AL309" s="508"/>
      <c r="AM309" s="508"/>
      <c r="AN309" s="508"/>
      <c r="AO309" s="508"/>
      <c r="AP309" s="508"/>
      <c r="AQ309" s="508"/>
      <c r="AR309" s="508"/>
      <c r="AS309" s="508"/>
      <c r="AT309" s="508"/>
      <c r="AU309" s="508"/>
      <c r="AV309" s="508"/>
      <c r="AW309" s="508"/>
      <c r="AX309" s="508"/>
    </row>
    <row r="310" spans="4:50" customFormat="1" x14ac:dyDescent="0.25">
      <c r="D310" s="30"/>
      <c r="E310" s="30"/>
      <c r="H310" s="362"/>
      <c r="I310" s="362"/>
      <c r="J310" s="528"/>
      <c r="K310" s="528"/>
      <c r="L310" s="528"/>
      <c r="M310" s="528"/>
      <c r="N310" s="528"/>
      <c r="O310" s="528"/>
      <c r="P310" s="528"/>
      <c r="Q310" s="528"/>
      <c r="R310" s="528"/>
      <c r="S310" s="528"/>
      <c r="T310" s="528"/>
      <c r="U310" s="528"/>
      <c r="V310" s="508"/>
      <c r="W310" s="508"/>
      <c r="X310" s="508"/>
      <c r="Y310" s="508"/>
      <c r="Z310" s="508"/>
      <c r="AA310" s="508"/>
      <c r="AB310" s="508"/>
      <c r="AC310" s="508"/>
      <c r="AD310" s="508"/>
      <c r="AE310" s="508"/>
      <c r="AF310" s="508"/>
      <c r="AG310" s="508"/>
      <c r="AH310" s="508"/>
      <c r="AI310" s="508"/>
      <c r="AJ310" s="508"/>
      <c r="AK310" s="508"/>
      <c r="AL310" s="508"/>
      <c r="AM310" s="508"/>
      <c r="AN310" s="508"/>
      <c r="AO310" s="508"/>
      <c r="AP310" s="508"/>
      <c r="AQ310" s="508"/>
      <c r="AR310" s="508"/>
      <c r="AS310" s="508"/>
      <c r="AT310" s="508"/>
      <c r="AU310" s="508"/>
      <c r="AV310" s="508"/>
      <c r="AW310" s="508"/>
      <c r="AX310" s="508"/>
    </row>
    <row r="311" spans="4:50" customFormat="1" x14ac:dyDescent="0.25">
      <c r="D311" s="30"/>
      <c r="E311" s="30"/>
      <c r="H311" s="362"/>
      <c r="I311" s="362"/>
      <c r="J311" s="528"/>
      <c r="K311" s="528"/>
      <c r="L311" s="528"/>
      <c r="M311" s="528"/>
      <c r="N311" s="528"/>
      <c r="O311" s="528"/>
      <c r="P311" s="528"/>
      <c r="Q311" s="528"/>
      <c r="R311" s="528"/>
      <c r="S311" s="528"/>
      <c r="T311" s="528"/>
      <c r="U311" s="528"/>
      <c r="V311" s="508"/>
      <c r="W311" s="508"/>
      <c r="X311" s="508"/>
      <c r="Y311" s="508"/>
      <c r="Z311" s="508"/>
      <c r="AA311" s="508"/>
      <c r="AB311" s="508"/>
      <c r="AC311" s="508"/>
      <c r="AD311" s="508"/>
      <c r="AE311" s="508"/>
      <c r="AF311" s="508"/>
      <c r="AG311" s="508"/>
      <c r="AH311" s="508"/>
      <c r="AI311" s="508"/>
      <c r="AJ311" s="508"/>
      <c r="AK311" s="508"/>
      <c r="AL311" s="508"/>
      <c r="AM311" s="508"/>
      <c r="AN311" s="508"/>
      <c r="AO311" s="508"/>
      <c r="AP311" s="508"/>
      <c r="AQ311" s="508"/>
      <c r="AR311" s="508"/>
      <c r="AS311" s="508"/>
      <c r="AT311" s="508"/>
      <c r="AU311" s="508"/>
      <c r="AV311" s="508"/>
      <c r="AW311" s="508"/>
      <c r="AX311" s="508"/>
    </row>
    <row r="312" spans="4:50" customFormat="1" x14ac:dyDescent="0.25">
      <c r="D312" s="30"/>
      <c r="E312" s="30"/>
      <c r="H312" s="362"/>
      <c r="I312" s="362"/>
      <c r="J312" s="528"/>
      <c r="K312" s="528"/>
      <c r="L312" s="528"/>
      <c r="M312" s="528"/>
      <c r="N312" s="528"/>
      <c r="O312" s="528"/>
      <c r="P312" s="528"/>
      <c r="Q312" s="528"/>
      <c r="R312" s="528"/>
      <c r="S312" s="528"/>
      <c r="T312" s="528"/>
      <c r="U312" s="528"/>
      <c r="V312" s="508"/>
      <c r="W312" s="508"/>
      <c r="X312" s="508"/>
      <c r="Y312" s="508"/>
      <c r="Z312" s="508"/>
      <c r="AA312" s="508"/>
      <c r="AB312" s="508"/>
      <c r="AC312" s="508"/>
      <c r="AD312" s="508"/>
      <c r="AE312" s="508"/>
      <c r="AF312" s="508"/>
      <c r="AG312" s="508"/>
      <c r="AH312" s="508"/>
      <c r="AI312" s="508"/>
      <c r="AJ312" s="508"/>
      <c r="AK312" s="508"/>
      <c r="AL312" s="508"/>
      <c r="AM312" s="508"/>
      <c r="AN312" s="508"/>
      <c r="AO312" s="508"/>
      <c r="AP312" s="508"/>
      <c r="AQ312" s="508"/>
      <c r="AR312" s="508"/>
      <c r="AS312" s="508"/>
      <c r="AT312" s="508"/>
      <c r="AU312" s="508"/>
      <c r="AV312" s="508"/>
      <c r="AW312" s="508"/>
      <c r="AX312" s="508"/>
    </row>
    <row r="313" spans="4:50" customFormat="1" x14ac:dyDescent="0.25">
      <c r="D313" s="30"/>
      <c r="E313" s="30"/>
      <c r="H313" s="362"/>
      <c r="I313" s="362"/>
      <c r="J313" s="528"/>
      <c r="K313" s="528"/>
      <c r="L313" s="528"/>
      <c r="M313" s="528"/>
      <c r="N313" s="528"/>
      <c r="O313" s="528"/>
      <c r="P313" s="528"/>
      <c r="Q313" s="528"/>
      <c r="R313" s="528"/>
      <c r="S313" s="528"/>
      <c r="T313" s="528"/>
      <c r="U313" s="528"/>
      <c r="V313" s="508"/>
      <c r="W313" s="508"/>
      <c r="X313" s="508"/>
      <c r="Y313" s="508"/>
      <c r="Z313" s="508"/>
      <c r="AA313" s="508"/>
      <c r="AB313" s="508"/>
      <c r="AC313" s="508"/>
      <c r="AD313" s="508"/>
      <c r="AE313" s="508"/>
      <c r="AF313" s="508"/>
      <c r="AG313" s="508"/>
      <c r="AH313" s="508"/>
      <c r="AI313" s="508"/>
      <c r="AJ313" s="508"/>
      <c r="AK313" s="508"/>
      <c r="AL313" s="508"/>
      <c r="AM313" s="508"/>
      <c r="AN313" s="508"/>
      <c r="AO313" s="508"/>
      <c r="AP313" s="508"/>
      <c r="AQ313" s="508"/>
      <c r="AR313" s="508"/>
      <c r="AS313" s="508"/>
      <c r="AT313" s="508"/>
      <c r="AU313" s="508"/>
      <c r="AV313" s="508"/>
      <c r="AW313" s="508"/>
      <c r="AX313" s="508"/>
    </row>
    <row r="314" spans="4:50" customFormat="1" x14ac:dyDescent="0.25">
      <c r="D314" s="30"/>
      <c r="E314" s="30"/>
      <c r="H314" s="362"/>
      <c r="I314" s="362"/>
      <c r="J314" s="528"/>
      <c r="K314" s="528"/>
      <c r="L314" s="528"/>
      <c r="M314" s="528"/>
      <c r="N314" s="528"/>
      <c r="O314" s="528"/>
      <c r="P314" s="528"/>
      <c r="Q314" s="528"/>
      <c r="R314" s="528"/>
      <c r="S314" s="528"/>
      <c r="T314" s="528"/>
      <c r="U314" s="528"/>
      <c r="V314" s="508"/>
      <c r="W314" s="508"/>
      <c r="X314" s="508"/>
      <c r="Y314" s="508"/>
      <c r="Z314" s="508"/>
      <c r="AA314" s="508"/>
      <c r="AB314" s="508"/>
      <c r="AC314" s="508"/>
      <c r="AD314" s="508"/>
      <c r="AE314" s="508"/>
      <c r="AF314" s="508"/>
      <c r="AG314" s="508"/>
      <c r="AH314" s="508"/>
      <c r="AI314" s="508"/>
      <c r="AJ314" s="508"/>
      <c r="AK314" s="508"/>
      <c r="AL314" s="508"/>
      <c r="AM314" s="508"/>
      <c r="AN314" s="508"/>
      <c r="AO314" s="508"/>
      <c r="AP314" s="508"/>
      <c r="AQ314" s="508"/>
      <c r="AR314" s="508"/>
      <c r="AS314" s="508"/>
      <c r="AT314" s="508"/>
      <c r="AU314" s="508"/>
      <c r="AV314" s="508"/>
      <c r="AW314" s="508"/>
      <c r="AX314" s="508"/>
    </row>
  </sheetData>
  <autoFilter ref="B4:AW4" xr:uid="{9D10984E-6385-41E7-8D06-5C7D4BB21F28}">
    <sortState ref="B8:AW202">
      <sortCondition descending="1" ref="G4"/>
    </sortState>
  </autoFilter>
  <mergeCells count="26">
    <mergeCell ref="C207:F207"/>
    <mergeCell ref="F1:F4"/>
    <mergeCell ref="A1:A4"/>
    <mergeCell ref="B1:B4"/>
    <mergeCell ref="C1:C4"/>
    <mergeCell ref="D1:D4"/>
    <mergeCell ref="E1:E4"/>
    <mergeCell ref="G2:G4"/>
    <mergeCell ref="H2:H4"/>
    <mergeCell ref="I2:I4"/>
    <mergeCell ref="J2:AL2"/>
    <mergeCell ref="AM2:AW2"/>
    <mergeCell ref="J3:N3"/>
    <mergeCell ref="O3:U3"/>
    <mergeCell ref="V3:Z3"/>
    <mergeCell ref="AA3:AL3"/>
    <mergeCell ref="AM3:AP3"/>
    <mergeCell ref="AQ3:AS3"/>
    <mergeCell ref="AT3:AW3"/>
    <mergeCell ref="AQ209:AS314"/>
    <mergeCell ref="AT209:AX314"/>
    <mergeCell ref="J209:N314"/>
    <mergeCell ref="O209:U314"/>
    <mergeCell ref="V209:Z314"/>
    <mergeCell ref="AA209:AL314"/>
    <mergeCell ref="AM209:AP314"/>
  </mergeCells>
  <conditionalFormatting sqref="M4">
    <cfRule type="colorScale" priority="56">
      <colorScale>
        <cfvo type="min"/>
        <cfvo type="percentile" val="50"/>
        <cfvo type="max"/>
        <color rgb="FFF8696B"/>
        <color rgb="FFFFEB84"/>
        <color rgb="FF63BE7B"/>
      </colorScale>
    </cfRule>
  </conditionalFormatting>
  <conditionalFormatting sqref="L5:L202">
    <cfRule type="colorScale" priority="55">
      <colorScale>
        <cfvo type="min"/>
        <cfvo type="percentile" val="50"/>
        <cfvo type="max"/>
        <color rgb="FFF8696B"/>
        <color rgb="FFFFEB84"/>
        <color rgb="FF63BE7B"/>
      </colorScale>
    </cfRule>
  </conditionalFormatting>
  <conditionalFormatting sqref="S5:T202">
    <cfRule type="colorScale" priority="54">
      <colorScale>
        <cfvo type="min"/>
        <cfvo type="percentile" val="50"/>
        <cfvo type="max"/>
        <color rgb="FFF8696B"/>
        <color rgb="FFFFEB84"/>
        <color rgb="FF63BE7B"/>
      </colorScale>
    </cfRule>
  </conditionalFormatting>
  <conditionalFormatting sqref="S207">
    <cfRule type="colorScale" priority="53">
      <colorScale>
        <cfvo type="min"/>
        <cfvo type="percentile" val="50"/>
        <cfvo type="max"/>
        <color rgb="FFF8696B"/>
        <color rgb="FFFFEB84"/>
        <color rgb="FF63BE7B"/>
      </colorScale>
    </cfRule>
  </conditionalFormatting>
  <conditionalFormatting sqref="T207">
    <cfRule type="colorScale" priority="52">
      <colorScale>
        <cfvo type="min"/>
        <cfvo type="percentile" val="50"/>
        <cfvo type="max"/>
        <color rgb="FFF8696B"/>
        <color rgb="FFFFEB84"/>
        <color rgb="FF63BE7B"/>
      </colorScale>
    </cfRule>
  </conditionalFormatting>
  <conditionalFormatting sqref="J2:J3">
    <cfRule type="colorScale" priority="48">
      <colorScale>
        <cfvo type="min"/>
        <cfvo type="percentile" val="50"/>
        <cfvo type="max"/>
        <color rgb="FFF8696B"/>
        <color rgb="FFFFEB84"/>
        <color rgb="FF63BE7B"/>
      </colorScale>
    </cfRule>
  </conditionalFormatting>
  <conditionalFormatting sqref="O3">
    <cfRule type="colorScale" priority="46">
      <colorScale>
        <cfvo type="min"/>
        <cfvo type="percentile" val="50"/>
        <cfvo type="max"/>
        <color rgb="FFF8696B"/>
        <color rgb="FFFFEB84"/>
        <color rgb="FF63BE7B"/>
      </colorScale>
    </cfRule>
  </conditionalFormatting>
  <conditionalFormatting sqref="R5:R202">
    <cfRule type="colorScale" priority="44">
      <colorScale>
        <cfvo type="min"/>
        <cfvo type="percentile" val="50"/>
        <cfvo type="max"/>
        <color rgb="FF63BE7B"/>
        <color rgb="FFFFEB84"/>
        <color rgb="FFF8696B"/>
      </colorScale>
    </cfRule>
  </conditionalFormatting>
  <conditionalFormatting sqref="T5:T202">
    <cfRule type="colorScale" priority="43">
      <colorScale>
        <cfvo type="min"/>
        <cfvo type="percentile" val="50"/>
        <cfvo type="max"/>
        <color rgb="FF63BE7B"/>
        <color rgb="FFFFEB84"/>
        <color rgb="FFF8696B"/>
      </colorScale>
    </cfRule>
  </conditionalFormatting>
  <conditionalFormatting sqref="O5:O202">
    <cfRule type="colorScale" priority="42">
      <colorScale>
        <cfvo type="min"/>
        <cfvo type="percentile" val="50"/>
        <cfvo type="max"/>
        <color rgb="FFF8696B"/>
        <color rgb="FFFFEB84"/>
        <color rgb="FF63BE7B"/>
      </colorScale>
    </cfRule>
  </conditionalFormatting>
  <conditionalFormatting sqref="S5:S202">
    <cfRule type="colorScale" priority="41">
      <colorScale>
        <cfvo type="min"/>
        <cfvo type="percentile" val="50"/>
        <cfvo type="max"/>
        <color rgb="FF63BE7B"/>
        <color rgb="FFFFEB84"/>
        <color rgb="FFF8696B"/>
      </colorScale>
    </cfRule>
  </conditionalFormatting>
  <conditionalFormatting sqref="A5:A202">
    <cfRule type="colorScale" priority="40">
      <colorScale>
        <cfvo type="min"/>
        <cfvo type="percentile" val="50"/>
        <cfvo type="max"/>
        <color rgb="FF63BE7B"/>
        <color rgb="FFFFEB84"/>
        <color rgb="FFF8696B"/>
      </colorScale>
    </cfRule>
  </conditionalFormatting>
  <conditionalFormatting sqref="V5:V202">
    <cfRule type="colorScale" priority="38">
      <colorScale>
        <cfvo type="min"/>
        <cfvo type="percentile" val="50"/>
        <cfvo type="max"/>
        <color rgb="FFF8696B"/>
        <color rgb="FFFFEB84"/>
        <color rgb="FF63BE7B"/>
      </colorScale>
    </cfRule>
  </conditionalFormatting>
  <conditionalFormatting sqref="Z5:Z202">
    <cfRule type="colorScale" priority="37">
      <colorScale>
        <cfvo type="min"/>
        <cfvo type="percentile" val="50"/>
        <cfvo type="max"/>
        <color rgb="FFF8696B"/>
        <color rgb="FFFFEB84"/>
        <color rgb="FF63BE7B"/>
      </colorScale>
    </cfRule>
  </conditionalFormatting>
  <conditionalFormatting sqref="Y5:Y202">
    <cfRule type="colorScale" priority="35">
      <colorScale>
        <cfvo type="min"/>
        <cfvo type="percentile" val="50"/>
        <cfvo type="max"/>
        <color rgb="FF63BE7B"/>
        <color rgb="FFFFEB84"/>
        <color rgb="FFF8696B"/>
      </colorScale>
    </cfRule>
  </conditionalFormatting>
  <conditionalFormatting sqref="AA5:AA202">
    <cfRule type="colorScale" priority="32">
      <colorScale>
        <cfvo type="min"/>
        <cfvo type="percentile" val="50"/>
        <cfvo type="max"/>
        <color rgb="FFF8696B"/>
        <color rgb="FFFFEB84"/>
        <color rgb="FF63BE7B"/>
      </colorScale>
    </cfRule>
  </conditionalFormatting>
  <conditionalFormatting sqref="AB5:AB202">
    <cfRule type="colorScale" priority="31">
      <colorScale>
        <cfvo type="min"/>
        <cfvo type="percentile" val="50"/>
        <cfvo type="max"/>
        <color rgb="FFF8696B"/>
        <color rgb="FFFFEB84"/>
        <color rgb="FF63BE7B"/>
      </colorScale>
    </cfRule>
  </conditionalFormatting>
  <conditionalFormatting sqref="AE5:AE202">
    <cfRule type="colorScale" priority="30">
      <colorScale>
        <cfvo type="min"/>
        <cfvo type="percentile" val="50"/>
        <cfvo type="max"/>
        <color rgb="FFF8696B"/>
        <color rgb="FFFFEB84"/>
        <color rgb="FF63BE7B"/>
      </colorScale>
    </cfRule>
  </conditionalFormatting>
  <conditionalFormatting sqref="AF5:AF202">
    <cfRule type="colorScale" priority="29">
      <colorScale>
        <cfvo type="min"/>
        <cfvo type="percentile" val="50"/>
        <cfvo type="max"/>
        <color rgb="FFF8696B"/>
        <color rgb="FFFFEB84"/>
        <color rgb="FF63BE7B"/>
      </colorScale>
    </cfRule>
  </conditionalFormatting>
  <conditionalFormatting sqref="AG5:AG202">
    <cfRule type="colorScale" priority="28">
      <colorScale>
        <cfvo type="min"/>
        <cfvo type="percentile" val="50"/>
        <cfvo type="max"/>
        <color rgb="FF63BE7B"/>
        <color rgb="FFFFEB84"/>
        <color rgb="FFF8696B"/>
      </colorScale>
    </cfRule>
  </conditionalFormatting>
  <conditionalFormatting sqref="AI5:AI202">
    <cfRule type="colorScale" priority="27">
      <colorScale>
        <cfvo type="min"/>
        <cfvo type="percentile" val="50"/>
        <cfvo type="max"/>
        <color rgb="FFF8696B"/>
        <color rgb="FFFFEB84"/>
        <color rgb="FF63BE7B"/>
      </colorScale>
    </cfRule>
  </conditionalFormatting>
  <conditionalFormatting sqref="I5:I202">
    <cfRule type="colorScale" priority="26">
      <colorScale>
        <cfvo type="min"/>
        <cfvo type="percentile" val="50"/>
        <cfvo type="max"/>
        <color rgb="FFF8696B"/>
        <color rgb="FFFFEB84"/>
        <color rgb="FF63BE7B"/>
      </colorScale>
    </cfRule>
  </conditionalFormatting>
  <conditionalFormatting sqref="AM5:AM202">
    <cfRule type="colorScale" priority="25">
      <colorScale>
        <cfvo type="min"/>
        <cfvo type="percentile" val="50"/>
        <cfvo type="max"/>
        <color rgb="FF63BE7B"/>
        <color rgb="FFFFEB84"/>
        <color rgb="FFF8696B"/>
      </colorScale>
    </cfRule>
  </conditionalFormatting>
  <conditionalFormatting sqref="AN5:AN202">
    <cfRule type="colorScale" priority="24">
      <colorScale>
        <cfvo type="min"/>
        <cfvo type="percentile" val="50"/>
        <cfvo type="max"/>
        <color rgb="FFF8696B"/>
        <color rgb="FFFFEB84"/>
        <color rgb="FF63BE7B"/>
      </colorScale>
    </cfRule>
  </conditionalFormatting>
  <conditionalFormatting sqref="AO5:AO202">
    <cfRule type="colorScale" priority="23">
      <colorScale>
        <cfvo type="min"/>
        <cfvo type="percentile" val="50"/>
        <cfvo type="max"/>
        <color rgb="FF63BE7B"/>
        <color rgb="FFFFEB84"/>
        <color rgb="FFF8696B"/>
      </colorScale>
    </cfRule>
  </conditionalFormatting>
  <conditionalFormatting sqref="N315:N1048576 N204:N208 N4:N202">
    <cfRule type="colorScale" priority="57">
      <colorScale>
        <cfvo type="min"/>
        <cfvo type="percentile" val="50"/>
        <cfvo type="max"/>
        <color rgb="FFF8696B"/>
        <color rgb="FFFFEB84"/>
        <color rgb="FF63BE7B"/>
      </colorScale>
    </cfRule>
  </conditionalFormatting>
  <conditionalFormatting sqref="J207:J209 J4:J202 J315:J1048576 J204:J205">
    <cfRule type="colorScale" priority="58">
      <colorScale>
        <cfvo type="min"/>
        <cfvo type="percentile" val="50"/>
        <cfvo type="max"/>
        <color rgb="FFF8696B"/>
        <color rgb="FFFFEB84"/>
        <color rgb="FF63BE7B"/>
      </colorScale>
    </cfRule>
  </conditionalFormatting>
  <conditionalFormatting sqref="L315:M1048576 M5:M202 L4 L207:M208 L204:M205">
    <cfRule type="colorScale" priority="59">
      <colorScale>
        <cfvo type="min"/>
        <cfvo type="percentile" val="50"/>
        <cfvo type="max"/>
        <color rgb="FFF8696B"/>
        <color rgb="FFFFEB84"/>
        <color rgb="FF63BE7B"/>
      </colorScale>
    </cfRule>
  </conditionalFormatting>
  <conditionalFormatting sqref="K315:K1048576 K207:K208 K4:K202 K204:K205">
    <cfRule type="colorScale" priority="60">
      <colorScale>
        <cfvo type="min"/>
        <cfvo type="percentile" val="50"/>
        <cfvo type="max"/>
        <color rgb="FFF8696B"/>
        <color rgb="FFFFEB84"/>
        <color rgb="FF63BE7B"/>
      </colorScale>
    </cfRule>
  </conditionalFormatting>
  <conditionalFormatting sqref="O315:Q1048576 O207:Q208 O4:Q4 O204:Q205 O5:O202 O209">
    <cfRule type="colorScale" priority="61">
      <colorScale>
        <cfvo type="min"/>
        <cfvo type="percentile" val="50"/>
        <cfvo type="max"/>
        <color rgb="FFF8696B"/>
        <color rgb="FFFFEB84"/>
        <color rgb="FF63BE7B"/>
      </colorScale>
    </cfRule>
  </conditionalFormatting>
  <conditionalFormatting sqref="R315:R1048576 R207:R208 R4:R202 R204:R205">
    <cfRule type="colorScale" priority="62">
      <colorScale>
        <cfvo type="min"/>
        <cfvo type="percentile" val="50"/>
        <cfvo type="max"/>
        <color rgb="FFF8696B"/>
        <color rgb="FFFFEB84"/>
        <color rgb="FF63BE7B"/>
      </colorScale>
    </cfRule>
  </conditionalFormatting>
  <conditionalFormatting sqref="S315:T1048576 S208:T208 S4:T4 S204:T205">
    <cfRule type="colorScale" priority="63">
      <colorScale>
        <cfvo type="min"/>
        <cfvo type="percentile" val="50"/>
        <cfvo type="max"/>
        <color rgb="FFF8696B"/>
        <color rgb="FFFFEB84"/>
        <color rgb="FF63BE7B"/>
      </colorScale>
    </cfRule>
  </conditionalFormatting>
  <conditionalFormatting sqref="W315:X1048576 W207:X208 W4:X4 W204:X205">
    <cfRule type="colorScale" priority="64">
      <colorScale>
        <cfvo type="min"/>
        <cfvo type="percentile" val="50"/>
        <cfvo type="max"/>
        <color rgb="FFF8696B"/>
        <color rgb="FFFFEB84"/>
        <color rgb="FF63BE7B"/>
      </colorScale>
    </cfRule>
  </conditionalFormatting>
  <conditionalFormatting sqref="Y315:Y1048576 Y207:Y208 Y4:Y202 Y204:Y205">
    <cfRule type="colorScale" priority="65">
      <colorScale>
        <cfvo type="min"/>
        <cfvo type="percentile" val="50"/>
        <cfvo type="max"/>
        <color rgb="FFF8696B"/>
        <color rgb="FFFFEB84"/>
        <color rgb="FF63BE7B"/>
      </colorScale>
    </cfRule>
  </conditionalFormatting>
  <conditionalFormatting sqref="AJ315:AK1048576 AJ207:AK208 AJ4:AK4 AJ204:AK205">
    <cfRule type="colorScale" priority="66">
      <colorScale>
        <cfvo type="min"/>
        <cfvo type="percentile" val="50"/>
        <cfvo type="max"/>
        <color rgb="FFF8696B"/>
        <color rgb="FFFFEB84"/>
        <color rgb="FF63BE7B"/>
      </colorScale>
    </cfRule>
  </conditionalFormatting>
  <conditionalFormatting sqref="AC315:AD1048576 AC207:AD208 AC4:AD4 AC204:AD205">
    <cfRule type="colorScale" priority="67">
      <colorScale>
        <cfvo type="min"/>
        <cfvo type="percentile" val="50"/>
        <cfvo type="max"/>
        <color rgb="FFF8696B"/>
        <color rgb="FFFFEB84"/>
        <color rgb="FF63BE7B"/>
      </colorScale>
    </cfRule>
  </conditionalFormatting>
  <conditionalFormatting sqref="AM2 V3">
    <cfRule type="colorScale" priority="68">
      <colorScale>
        <cfvo type="min"/>
        <cfvo type="percentile" val="50"/>
        <cfvo type="max"/>
        <color rgb="FFF8696B"/>
        <color rgb="FFFFEB84"/>
        <color rgb="FF63BE7B"/>
      </colorScale>
    </cfRule>
  </conditionalFormatting>
  <conditionalFormatting sqref="AP5:AP202">
    <cfRule type="colorScale" priority="69">
      <colorScale>
        <cfvo type="min"/>
        <cfvo type="percentile" val="50"/>
        <cfvo type="max"/>
        <color rgb="FFF8696B"/>
        <color rgb="FFFFEB84"/>
        <color rgb="FF63BE7B"/>
      </colorScale>
    </cfRule>
  </conditionalFormatting>
  <conditionalFormatting sqref="Z315:AB1048576 U315:V1048576 U4:V4 Z207:AB208 U204:V208 U5:U202 Z4:AB4 Z204:Z206 AM207:AP208 AE207:AG208 AE315:AG1048576 V209 AA209 AM315:AP1048576 AM4:AP4 AE4:AG4 AI4 AI315:AI1048576 AI207:AI208">
    <cfRule type="colorScale" priority="70">
      <colorScale>
        <cfvo type="min"/>
        <cfvo type="percentile" val="50"/>
        <cfvo type="max"/>
        <color rgb="FFF8696B"/>
        <color rgb="FFFFEB84"/>
        <color rgb="FF63BE7B"/>
      </colorScale>
    </cfRule>
  </conditionalFormatting>
  <conditionalFormatting sqref="AR5:AR202">
    <cfRule type="colorScale" priority="22">
      <colorScale>
        <cfvo type="min"/>
        <cfvo type="percentile" val="50"/>
        <cfvo type="max"/>
        <color rgb="FFF8696B"/>
        <color rgb="FFFFEB84"/>
        <color rgb="FF63BE7B"/>
      </colorScale>
    </cfRule>
  </conditionalFormatting>
  <conditionalFormatting sqref="AQ5:AQ202">
    <cfRule type="colorScale" priority="21">
      <colorScale>
        <cfvo type="min"/>
        <cfvo type="percentile" val="50"/>
        <cfvo type="max"/>
        <color rgb="FFF8696B"/>
        <color rgb="FFFFEB84"/>
        <color rgb="FF63BE7B"/>
      </colorScale>
    </cfRule>
  </conditionalFormatting>
  <conditionalFormatting sqref="AH208:AH1048576 AH4:AH202">
    <cfRule type="colorScale" priority="20">
      <colorScale>
        <cfvo type="min"/>
        <cfvo type="percentile" val="50"/>
        <cfvo type="max"/>
        <color rgb="FFF8696B"/>
        <color rgb="FFFFEB84"/>
        <color rgb="FF63BE7B"/>
      </colorScale>
    </cfRule>
  </conditionalFormatting>
  <conditionalFormatting sqref="AL204:AL1048576 AL4:AL202">
    <cfRule type="colorScale" priority="19">
      <colorScale>
        <cfvo type="min"/>
        <cfvo type="percentile" val="50"/>
        <cfvo type="max"/>
        <color rgb="FFF8696B"/>
        <color rgb="FFFFEB84"/>
        <color rgb="FF63BE7B"/>
      </colorScale>
    </cfRule>
  </conditionalFormatting>
  <conditionalFormatting sqref="AV207:AV1048576 AV4:AV202">
    <cfRule type="colorScale" priority="18">
      <colorScale>
        <cfvo type="min"/>
        <cfvo type="percentile" val="50"/>
        <cfvo type="max"/>
        <color rgb="FF63BE7B"/>
        <color rgb="FFFFEB84"/>
        <color rgb="FFF8696B"/>
      </colorScale>
    </cfRule>
  </conditionalFormatting>
  <conditionalFormatting sqref="AT207:AT1048576 AT3:AT202">
    <cfRule type="colorScale" priority="17">
      <colorScale>
        <cfvo type="min"/>
        <cfvo type="percentile" val="50"/>
        <cfvo type="max"/>
        <color rgb="FF63BE7B"/>
        <color rgb="FFFFEB84"/>
        <color rgb="FFF8696B"/>
      </colorScale>
    </cfRule>
  </conditionalFormatting>
  <conditionalFormatting sqref="AU5:AU202">
    <cfRule type="colorScale" priority="16">
      <colorScale>
        <cfvo type="min"/>
        <cfvo type="percentile" val="50"/>
        <cfvo type="max"/>
        <color rgb="FF63BE7B"/>
        <color rgb="FFFFEB84"/>
        <color rgb="FFF8696B"/>
      </colorScale>
    </cfRule>
  </conditionalFormatting>
  <conditionalFormatting sqref="AS5:AS202">
    <cfRule type="colorScale" priority="71">
      <colorScale>
        <cfvo type="min"/>
        <cfvo type="percentile" val="50"/>
        <cfvo type="max"/>
        <color rgb="FFF8696B"/>
        <color rgb="FFFFEB84"/>
        <color rgb="FF63BE7B"/>
      </colorScale>
    </cfRule>
  </conditionalFormatting>
  <conditionalFormatting sqref="AW5:AW202">
    <cfRule type="colorScale" priority="14">
      <colorScale>
        <cfvo type="min"/>
        <cfvo type="percentile" val="50"/>
        <cfvo type="max"/>
        <color rgb="FFF8696B"/>
        <color rgb="FFFFEB84"/>
        <color rgb="FF63BE7B"/>
      </colorScale>
    </cfRule>
  </conditionalFormatting>
  <conditionalFormatting sqref="AW207:AW208 AW315:AW1048576 AW4">
    <cfRule type="colorScale" priority="15">
      <colorScale>
        <cfvo type="min"/>
        <cfvo type="percentile" val="50"/>
        <cfvo type="max"/>
        <color rgb="FFF8696B"/>
        <color rgb="FFFFEB84"/>
        <color rgb="FF63BE7B"/>
      </colorScale>
    </cfRule>
  </conditionalFormatting>
  <conditionalFormatting sqref="AX202">
    <cfRule type="colorScale" priority="13">
      <colorScale>
        <cfvo type="min"/>
        <cfvo type="percentile" val="50"/>
        <cfvo type="max"/>
        <color rgb="FFF8696B"/>
        <color rgb="FFFFEB84"/>
        <color rgb="FF63BE7B"/>
      </colorScale>
    </cfRule>
  </conditionalFormatting>
  <conditionalFormatting sqref="AX284:AX1048576">
    <cfRule type="colorScale" priority="12">
      <colorScale>
        <cfvo type="min"/>
        <cfvo type="percentile" val="50"/>
        <cfvo type="max"/>
        <color rgb="FFF8696B"/>
        <color rgb="FFFFEB84"/>
        <color rgb="FF63BE7B"/>
      </colorScale>
    </cfRule>
  </conditionalFormatting>
  <conditionalFormatting sqref="AX4:AX201">
    <cfRule type="colorScale" priority="11">
      <colorScale>
        <cfvo type="min"/>
        <cfvo type="percentile" val="50"/>
        <cfvo type="max"/>
        <color rgb="FFF8696B"/>
        <color rgb="FFFFEB84"/>
        <color rgb="FF63BE7B"/>
      </colorScale>
    </cfRule>
  </conditionalFormatting>
  <conditionalFormatting sqref="AU315:AU1048576 AU4 AU207:AU208">
    <cfRule type="colorScale" priority="72">
      <colorScale>
        <cfvo type="min"/>
        <cfvo type="percentile" val="50"/>
        <cfvo type="max"/>
        <color rgb="FFF8696B"/>
        <color rgb="FFFFEB84"/>
        <color rgb="FF63BE7B"/>
      </colorScale>
    </cfRule>
  </conditionalFormatting>
  <conditionalFormatting sqref="I203:J203">
    <cfRule type="colorScale" priority="10">
      <colorScale>
        <cfvo type="min"/>
        <cfvo type="percentile" val="50"/>
        <cfvo type="max"/>
        <color rgb="FFF8696B"/>
        <color rgb="FFFFEB84"/>
        <color rgb="FF63BE7B"/>
      </colorScale>
    </cfRule>
  </conditionalFormatting>
  <conditionalFormatting sqref="K203">
    <cfRule type="colorScale" priority="9">
      <colorScale>
        <cfvo type="min"/>
        <cfvo type="percentile" val="50"/>
        <cfvo type="max"/>
        <color rgb="FFF8696B"/>
        <color rgb="FFFFEB84"/>
        <color rgb="FF63BE7B"/>
      </colorScale>
    </cfRule>
  </conditionalFormatting>
  <conditionalFormatting sqref="L203">
    <cfRule type="colorScale" priority="8">
      <colorScale>
        <cfvo type="min"/>
        <cfvo type="percentile" val="50"/>
        <cfvo type="max"/>
        <color rgb="FFF8696B"/>
        <color rgb="FFFFEB84"/>
        <color rgb="FF63BE7B"/>
      </colorScale>
    </cfRule>
  </conditionalFormatting>
  <conditionalFormatting sqref="M203">
    <cfRule type="colorScale" priority="7">
      <colorScale>
        <cfvo type="min"/>
        <cfvo type="percentile" val="50"/>
        <cfvo type="max"/>
        <color rgb="FFF8696B"/>
        <color rgb="FFFFEB84"/>
        <color rgb="FF63BE7B"/>
      </colorScale>
    </cfRule>
  </conditionalFormatting>
  <conditionalFormatting sqref="Q203">
    <cfRule type="colorScale" priority="6">
      <colorScale>
        <cfvo type="min"/>
        <cfvo type="percentile" val="50"/>
        <cfvo type="max"/>
        <color rgb="FFF8696B"/>
        <color rgb="FFFFEB84"/>
        <color rgb="FF63BE7B"/>
      </colorScale>
    </cfRule>
  </conditionalFormatting>
  <conditionalFormatting sqref="G203">
    <cfRule type="colorScale" priority="5">
      <colorScale>
        <cfvo type="min"/>
        <cfvo type="percentile" val="50"/>
        <cfvo type="max"/>
        <color rgb="FFF8696B"/>
        <color rgb="FFFFEB84"/>
        <color rgb="FF63BE7B"/>
      </colorScale>
    </cfRule>
  </conditionalFormatting>
  <conditionalFormatting sqref="N203:O203">
    <cfRule type="colorScale" priority="4">
      <colorScale>
        <cfvo type="min"/>
        <cfvo type="percentile" val="50"/>
        <cfvo type="max"/>
        <color rgb="FFF8696B"/>
        <color rgb="FFFFEB84"/>
        <color rgb="FF63BE7B"/>
      </colorScale>
    </cfRule>
  </conditionalFormatting>
  <conditionalFormatting sqref="P203">
    <cfRule type="colorScale" priority="3">
      <colorScale>
        <cfvo type="min"/>
        <cfvo type="percentile" val="50"/>
        <cfvo type="max"/>
        <color rgb="FFF8696B"/>
        <color rgb="FFFFEB84"/>
        <color rgb="FF63BE7B"/>
      </colorScale>
    </cfRule>
  </conditionalFormatting>
  <conditionalFormatting sqref="AQ207:AS208 AQ315:AS1048576 AQ4:AS4">
    <cfRule type="colorScale" priority="73">
      <colorScale>
        <cfvo type="min"/>
        <cfvo type="percentile" val="50"/>
        <cfvo type="max"/>
        <color rgb="FFF8696B"/>
        <color rgb="FFFFEB84"/>
        <color rgb="FF63BE7B"/>
      </colorScale>
    </cfRule>
  </conditionalFormatting>
  <conditionalFormatting sqref="H5:H202">
    <cfRule type="colorScale" priority="2">
      <colorScale>
        <cfvo type="min"/>
        <cfvo type="percentile" val="50"/>
        <cfvo type="max"/>
        <color rgb="FFF8696B"/>
        <color rgb="FFFFEB84"/>
        <color rgb="FF63BE7B"/>
      </colorScale>
    </cfRule>
  </conditionalFormatting>
  <conditionalFormatting sqref="G5:G202">
    <cfRule type="colorScale" priority="1">
      <colorScale>
        <cfvo type="min"/>
        <cfvo type="percentile" val="50"/>
        <cfvo type="max"/>
        <color rgb="FFF8696B"/>
        <color rgb="FFFFEB84"/>
        <color rgb="FF63BE7B"/>
      </colorScale>
    </cfRule>
  </conditionalFormatting>
  <hyperlinks>
    <hyperlink ref="M207" r:id="rId1" xr:uid="{9CAF4A34-B79F-4ABF-BDFE-4905B5D884D1}"/>
    <hyperlink ref="K207" r:id="rId2" xr:uid="{D1755880-2D5F-4593-9823-FB26A18E0688}"/>
    <hyperlink ref="L207" r:id="rId3" location="year=2024" xr:uid="{588BBDD7-F0EE-4377-AA4F-9171813DA8AD}"/>
    <hyperlink ref="R207" r:id="rId4" xr:uid="{15D4F8CC-6FE6-48A6-A928-8A4A1AF57B90}"/>
    <hyperlink ref="S207" r:id="rId5" xr:uid="{AE9E3340-EEF0-465B-A3FD-310C657E3218}"/>
    <hyperlink ref="T207" r:id="rId6" xr:uid="{23D69789-4090-4350-BE8E-2C8BE5B5A2CA}"/>
    <hyperlink ref="Q207" r:id="rId7" xr:uid="{ACC1B5DF-419E-4583-9B9F-28141186CCF8}"/>
    <hyperlink ref="AA207" r:id="rId8" xr:uid="{2ADC62DD-FFF8-4290-9F68-02ECD12DBCFF}"/>
    <hyperlink ref="AB207" r:id="rId9" xr:uid="{D5B3A06F-191D-431E-BCCD-72163495B99E}"/>
    <hyperlink ref="AE207" r:id="rId10" xr:uid="{8A65E4B7-1452-407B-9ABF-0E2C956D83C7}"/>
    <hyperlink ref="AF207" r:id="rId11" xr:uid="{2A08A2B3-9A1D-41D0-A3A2-F472764419DE}"/>
    <hyperlink ref="Y207" r:id="rId12" xr:uid="{066EFF39-E908-4E36-B924-906A6575D8C5}"/>
    <hyperlink ref="P207" r:id="rId13" xr:uid="{9A3E152E-9783-4B9B-A423-10D4FB26F827}"/>
    <hyperlink ref="W207" r:id="rId14" xr:uid="{78D99AEF-F01C-407A-9ACA-5873BD477801}"/>
    <hyperlink ref="AC207" r:id="rId15" xr:uid="{F0B2AFCC-4B2A-483B-A206-332A9FA6C37B}"/>
    <hyperlink ref="AN207" r:id="rId16" xr:uid="{BB5C6C39-F963-43AE-89F7-F834090C4802}"/>
    <hyperlink ref="AJ207" r:id="rId17" xr:uid="{648C86E4-CC6B-42F2-8588-7D21A992CEF9}"/>
    <hyperlink ref="AM207" r:id="rId18" xr:uid="{D885AD4E-F44E-4D51-BEE9-0AB6BD1AC3F4}"/>
    <hyperlink ref="AO207" r:id="rId19" xr:uid="{9D34A677-181B-4133-B154-B17824ACFBE4}"/>
    <hyperlink ref="AR207" r:id="rId20" xr:uid="{D39AF747-3FFA-4472-834C-424047A8386B}"/>
    <hyperlink ref="AQ207" r:id="rId21" xr:uid="{2EF69FCC-E9B6-4716-9AC8-092A88F09CD3}"/>
    <hyperlink ref="AT207" r:id="rId22" xr:uid="{88C2C110-FC85-454E-BB5D-7BBA61B4FCD9}"/>
    <hyperlink ref="AU207" r:id="rId23" xr:uid="{3C85B251-2772-457B-B55B-1F30BE43ADD4}"/>
    <hyperlink ref="AV207" r:id="rId24" xr:uid="{3C4F2C4D-6941-4192-8054-7652AF0E68F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200DC-7C00-40BE-9D27-CC8A9A521372}">
  <dimension ref="A1:Y314"/>
  <sheetViews>
    <sheetView workbookViewId="0">
      <selection activeCell="D212" sqref="D212"/>
    </sheetView>
  </sheetViews>
  <sheetFormatPr baseColWidth="10" defaultRowHeight="15" x14ac:dyDescent="0.25"/>
  <cols>
    <col min="1" max="1" width="6.140625" style="52" customWidth="1"/>
    <col min="2" max="2" width="9.85546875" style="30" customWidth="1"/>
    <col min="3" max="3" width="21.28515625" style="30" customWidth="1"/>
    <col min="4" max="4" width="31.28515625" style="51" customWidth="1"/>
    <col min="5" max="5" width="18" style="324" customWidth="1"/>
    <col min="6" max="10" width="8.85546875" style="365" customWidth="1"/>
    <col min="11" max="11" width="8.85546875" style="411" customWidth="1"/>
    <col min="12" max="20" width="8.85546875" style="365" customWidth="1"/>
    <col min="21" max="21" width="0.5703125" customWidth="1"/>
    <col min="22" max="22" width="28" style="51" customWidth="1"/>
  </cols>
  <sheetData>
    <row r="1" spans="1:23" ht="18.75" customHeight="1" x14ac:dyDescent="0.25">
      <c r="A1" s="550" t="s">
        <v>875</v>
      </c>
      <c r="B1" s="518" t="s">
        <v>0</v>
      </c>
      <c r="C1" s="518" t="s">
        <v>1</v>
      </c>
      <c r="D1" s="552" t="s">
        <v>961</v>
      </c>
      <c r="E1" s="553"/>
      <c r="F1" s="553"/>
      <c r="G1" s="553"/>
      <c r="H1" s="553"/>
      <c r="I1" s="553"/>
      <c r="J1" s="553"/>
      <c r="K1" s="553"/>
      <c r="L1" s="553"/>
      <c r="M1" s="553"/>
      <c r="N1" s="553"/>
      <c r="O1" s="553"/>
      <c r="P1" s="553"/>
      <c r="Q1" s="553"/>
      <c r="R1" s="553"/>
      <c r="S1" s="553"/>
      <c r="T1" s="553"/>
      <c r="U1" s="328"/>
    </row>
    <row r="2" spans="1:23" ht="19.5" customHeight="1" x14ac:dyDescent="0.25">
      <c r="A2" s="550"/>
      <c r="B2" s="519"/>
      <c r="C2" s="519"/>
      <c r="D2" s="392" t="s">
        <v>962</v>
      </c>
      <c r="E2" s="554" t="s">
        <v>963</v>
      </c>
      <c r="F2" s="557" t="s">
        <v>964</v>
      </c>
      <c r="G2" s="558"/>
      <c r="H2" s="558"/>
      <c r="I2" s="558"/>
      <c r="J2" s="558"/>
      <c r="K2" s="558"/>
      <c r="L2" s="558"/>
      <c r="M2" s="558"/>
      <c r="N2" s="559"/>
      <c r="O2" s="557" t="s">
        <v>965</v>
      </c>
      <c r="P2" s="558"/>
      <c r="Q2" s="558"/>
      <c r="R2" s="558"/>
      <c r="S2" s="558"/>
      <c r="T2" s="559"/>
      <c r="U2" s="393"/>
    </row>
    <row r="3" spans="1:23" ht="20.25" customHeight="1" x14ac:dyDescent="0.25">
      <c r="A3" s="550"/>
      <c r="B3" s="519"/>
      <c r="C3" s="519"/>
      <c r="D3" s="392" t="s">
        <v>966</v>
      </c>
      <c r="E3" s="555"/>
      <c r="F3" s="394">
        <v>2</v>
      </c>
      <c r="G3" s="394">
        <v>1.5</v>
      </c>
      <c r="H3" s="394">
        <v>1</v>
      </c>
      <c r="I3" s="394">
        <v>1.5</v>
      </c>
      <c r="J3" s="394">
        <v>2</v>
      </c>
      <c r="K3" s="394">
        <v>1</v>
      </c>
      <c r="L3" s="394">
        <v>1</v>
      </c>
      <c r="M3" s="394">
        <v>1.5</v>
      </c>
      <c r="N3" s="560" t="s">
        <v>877</v>
      </c>
      <c r="O3" s="394">
        <v>1</v>
      </c>
      <c r="P3" s="394">
        <v>1</v>
      </c>
      <c r="Q3" s="394">
        <v>1</v>
      </c>
      <c r="R3" s="394">
        <v>1</v>
      </c>
      <c r="S3" s="394">
        <v>2</v>
      </c>
      <c r="T3" s="560" t="s">
        <v>877</v>
      </c>
      <c r="U3" s="393"/>
    </row>
    <row r="4" spans="1:23" ht="132.75" customHeight="1" x14ac:dyDescent="0.25">
      <c r="A4" s="551"/>
      <c r="B4" s="520"/>
      <c r="C4" s="520"/>
      <c r="D4" s="395" t="s">
        <v>2</v>
      </c>
      <c r="E4" s="556"/>
      <c r="F4" s="396" t="s">
        <v>967</v>
      </c>
      <c r="G4" s="396" t="s">
        <v>968</v>
      </c>
      <c r="H4" s="396" t="s">
        <v>969</v>
      </c>
      <c r="I4" s="396" t="s">
        <v>970</v>
      </c>
      <c r="J4" s="396" t="s">
        <v>971</v>
      </c>
      <c r="K4" s="397" t="s">
        <v>972</v>
      </c>
      <c r="L4" s="396" t="s">
        <v>973</v>
      </c>
      <c r="M4" s="396" t="s">
        <v>974</v>
      </c>
      <c r="N4" s="561"/>
      <c r="O4" s="396" t="s">
        <v>975</v>
      </c>
      <c r="P4" s="396" t="s">
        <v>976</v>
      </c>
      <c r="Q4" s="396" t="s">
        <v>977</v>
      </c>
      <c r="R4" s="396" t="s">
        <v>978</v>
      </c>
      <c r="S4" s="398" t="s">
        <v>979</v>
      </c>
      <c r="T4" s="561"/>
      <c r="U4" s="399"/>
      <c r="V4" s="329"/>
      <c r="W4" s="329"/>
    </row>
    <row r="5" spans="1:23" s="5" customFormat="1" ht="15.75" customHeight="1" x14ac:dyDescent="0.25">
      <c r="A5" s="2">
        <v>1</v>
      </c>
      <c r="B5" s="6" t="s">
        <v>13</v>
      </c>
      <c r="C5" s="10" t="s">
        <v>19</v>
      </c>
      <c r="D5" s="400" t="s">
        <v>146</v>
      </c>
      <c r="E5" s="401">
        <f t="shared" ref="E5:E36" si="0">(N5+T5)/2</f>
        <v>93.685614906255665</v>
      </c>
      <c r="F5" s="402">
        <v>86.09</v>
      </c>
      <c r="G5" s="403">
        <v>219.408974305334</v>
      </c>
      <c r="H5" s="402">
        <v>9.19</v>
      </c>
      <c r="I5" s="402">
        <v>23.36</v>
      </c>
      <c r="J5" s="404">
        <v>100</v>
      </c>
      <c r="K5" s="405">
        <v>100</v>
      </c>
      <c r="L5" s="406">
        <v>84.5</v>
      </c>
      <c r="M5" s="402">
        <v>8391.4156751138598</v>
      </c>
      <c r="N5" s="407">
        <f t="shared" ref="N5:N36" si="1">((LN(MAX(MIN(F5,75),4))-LN(4))/(LN(75)-LN(4))*100*2+(LN(MAX(MIN(G5,160),16))-LN(16))/(LN(160)-LN(16))*100+(LN(MAX(MIN(H5,12),0.3))-LN(0.3))/(LN(12)-LN(0.3))*100+(LN(MAX(MIN(I5,20),0.3))-LN(0.3))/(LN(20)-LN(0.3))*100*1.5+((MAX(J5,50))-50)/(50)*100*2+((MAX(K5,40))-40)/(60)*100+L5+(LN(MAX(MIN(M5,8000),200))-LN(200))/(LN(8000)-LN(200))*100*1.5)/11</f>
        <v>97.933427556970955</v>
      </c>
      <c r="O5" s="405">
        <v>99</v>
      </c>
      <c r="P5" s="405">
        <v>80</v>
      </c>
      <c r="Q5" s="405">
        <v>99</v>
      </c>
      <c r="R5" s="405">
        <v>99</v>
      </c>
      <c r="S5" s="404">
        <v>77.130272698954997</v>
      </c>
      <c r="T5" s="407">
        <f t="shared" ref="T5:T36" si="2">((O5+P5+Q5+R5+S5*2)/6)/99*100</f>
        <v>89.43780225554039</v>
      </c>
      <c r="U5" s="399"/>
      <c r="V5" s="121"/>
    </row>
    <row r="6" spans="1:23" s="5" customFormat="1" ht="15.75" customHeight="1" x14ac:dyDescent="0.25">
      <c r="A6" s="2">
        <v>2</v>
      </c>
      <c r="B6" s="6" t="s">
        <v>13</v>
      </c>
      <c r="C6" s="10" t="s">
        <v>19</v>
      </c>
      <c r="D6" s="400" t="s">
        <v>161</v>
      </c>
      <c r="E6" s="401">
        <f t="shared" si="0"/>
        <v>90.42835715952495</v>
      </c>
      <c r="F6" s="402">
        <v>49.75</v>
      </c>
      <c r="G6" s="402">
        <v>160.4</v>
      </c>
      <c r="H6" s="402">
        <v>8.7899999999999991</v>
      </c>
      <c r="I6" s="402">
        <v>6.42</v>
      </c>
      <c r="J6" s="408">
        <v>99.1</v>
      </c>
      <c r="K6" s="405">
        <v>88</v>
      </c>
      <c r="L6" s="406">
        <v>84.5</v>
      </c>
      <c r="M6" s="402">
        <v>8200.1482136596096</v>
      </c>
      <c r="N6" s="407">
        <f t="shared" si="1"/>
        <v>89.442572904908488</v>
      </c>
      <c r="O6" s="405">
        <v>97</v>
      </c>
      <c r="P6" s="405">
        <v>94</v>
      </c>
      <c r="Q6" s="405">
        <v>96</v>
      </c>
      <c r="R6" s="405">
        <v>97</v>
      </c>
      <c r="S6" s="408">
        <v>79.5</v>
      </c>
      <c r="T6" s="407">
        <f t="shared" si="2"/>
        <v>91.414141414141412</v>
      </c>
      <c r="U6" s="399"/>
      <c r="V6" s="121"/>
    </row>
    <row r="7" spans="1:23" s="5" customFormat="1" ht="15.75" customHeight="1" x14ac:dyDescent="0.25">
      <c r="A7" s="2">
        <v>3</v>
      </c>
      <c r="B7" s="6" t="s">
        <v>13</v>
      </c>
      <c r="C7" s="10" t="s">
        <v>19</v>
      </c>
      <c r="D7" s="400" t="s">
        <v>131</v>
      </c>
      <c r="E7" s="401">
        <f t="shared" si="0"/>
        <v>89.582204933563531</v>
      </c>
      <c r="F7" s="403">
        <v>57.82099705834122</v>
      </c>
      <c r="G7" s="403">
        <v>206.77673053544285</v>
      </c>
      <c r="H7" s="403">
        <v>7.3845507950781801</v>
      </c>
      <c r="I7" s="403">
        <v>13.872886643362399</v>
      </c>
      <c r="J7" s="404">
        <v>100</v>
      </c>
      <c r="K7" s="406">
        <v>99.02326752224991</v>
      </c>
      <c r="L7" s="406">
        <v>84.5</v>
      </c>
      <c r="M7" s="402">
        <v>6763.0425076475904</v>
      </c>
      <c r="N7" s="407">
        <f t="shared" si="1"/>
        <v>93.824168820326307</v>
      </c>
      <c r="O7" s="406">
        <v>98.093388598415572</v>
      </c>
      <c r="P7" s="406">
        <v>90.791754922279964</v>
      </c>
      <c r="Q7" s="406">
        <v>97.459186243173463</v>
      </c>
      <c r="R7" s="406">
        <v>98.719731195529405</v>
      </c>
      <c r="S7" s="404">
        <v>60.928485429299002</v>
      </c>
      <c r="T7" s="407">
        <f t="shared" si="2"/>
        <v>85.340241046800742</v>
      </c>
      <c r="U7" s="399"/>
      <c r="V7" s="121"/>
    </row>
    <row r="8" spans="1:23" s="5" customFormat="1" ht="15.75" customHeight="1" x14ac:dyDescent="0.25">
      <c r="A8" s="2">
        <v>4</v>
      </c>
      <c r="B8" s="6" t="s">
        <v>13</v>
      </c>
      <c r="C8" s="10" t="s">
        <v>19</v>
      </c>
      <c r="D8" s="400" t="s">
        <v>133</v>
      </c>
      <c r="E8" s="401">
        <f t="shared" si="0"/>
        <v>87.353620765938373</v>
      </c>
      <c r="F8" s="402">
        <v>29.84</v>
      </c>
      <c r="G8" s="402">
        <v>137.21</v>
      </c>
      <c r="H8" s="402">
        <v>9.74</v>
      </c>
      <c r="I8" s="402">
        <v>6.97</v>
      </c>
      <c r="J8" s="408">
        <v>99.8</v>
      </c>
      <c r="K8" s="405">
        <v>95</v>
      </c>
      <c r="L8" s="405">
        <v>84</v>
      </c>
      <c r="M8" s="402">
        <v>7213.6616903850199</v>
      </c>
      <c r="N8" s="407">
        <f t="shared" si="1"/>
        <v>87.072267397288613</v>
      </c>
      <c r="O8" s="405">
        <v>99</v>
      </c>
      <c r="P8" s="405">
        <v>94</v>
      </c>
      <c r="Q8" s="405">
        <v>98</v>
      </c>
      <c r="R8" s="405">
        <v>99</v>
      </c>
      <c r="S8" s="404">
        <v>65.275873179726702</v>
      </c>
      <c r="T8" s="407">
        <f t="shared" si="2"/>
        <v>87.634974134588134</v>
      </c>
      <c r="U8" s="399"/>
      <c r="V8" s="121"/>
    </row>
    <row r="9" spans="1:23" s="13" customFormat="1" ht="15.75" customHeight="1" x14ac:dyDescent="0.25">
      <c r="A9" s="2">
        <v>5</v>
      </c>
      <c r="B9" s="6" t="s">
        <v>13</v>
      </c>
      <c r="C9" s="10" t="s">
        <v>19</v>
      </c>
      <c r="D9" s="400" t="s">
        <v>199</v>
      </c>
      <c r="E9" s="401">
        <f t="shared" si="0"/>
        <v>87.305111960327935</v>
      </c>
      <c r="F9" s="402">
        <v>44.74</v>
      </c>
      <c r="G9" s="402">
        <v>117.41</v>
      </c>
      <c r="H9" s="402">
        <v>7.79</v>
      </c>
      <c r="I9" s="402">
        <v>8.02</v>
      </c>
      <c r="J9" s="404">
        <v>100</v>
      </c>
      <c r="K9" s="405">
        <v>86</v>
      </c>
      <c r="L9" s="405">
        <v>95</v>
      </c>
      <c r="M9" s="402">
        <v>6466.5161349988202</v>
      </c>
      <c r="N9" s="407">
        <f t="shared" si="1"/>
        <v>88.179247489679426</v>
      </c>
      <c r="O9" s="405">
        <v>96</v>
      </c>
      <c r="P9" s="405">
        <v>92</v>
      </c>
      <c r="Q9" s="405">
        <v>95</v>
      </c>
      <c r="R9" s="405">
        <v>95</v>
      </c>
      <c r="S9" s="408">
        <v>67.7</v>
      </c>
      <c r="T9" s="407">
        <f t="shared" si="2"/>
        <v>86.430976430976429</v>
      </c>
      <c r="U9" s="399"/>
      <c r="V9" s="354"/>
    </row>
    <row r="10" spans="1:23" s="5" customFormat="1" ht="15.75" customHeight="1" x14ac:dyDescent="0.25">
      <c r="A10" s="2">
        <v>6</v>
      </c>
      <c r="B10" s="6" t="s">
        <v>13</v>
      </c>
      <c r="C10" s="10" t="s">
        <v>19</v>
      </c>
      <c r="D10" s="400" t="s">
        <v>40</v>
      </c>
      <c r="E10" s="401">
        <f t="shared" si="0"/>
        <v>87.069358149663231</v>
      </c>
      <c r="F10" s="402">
        <v>33.909999999999997</v>
      </c>
      <c r="G10" s="402">
        <v>122.92</v>
      </c>
      <c r="H10" s="402">
        <v>7.24</v>
      </c>
      <c r="I10" s="402">
        <v>12.84</v>
      </c>
      <c r="J10" s="404">
        <v>100</v>
      </c>
      <c r="K10" s="405">
        <v>100</v>
      </c>
      <c r="L10" s="405">
        <v>88</v>
      </c>
      <c r="M10" s="402">
        <v>5516.34876160561</v>
      </c>
      <c r="N10" s="407">
        <f t="shared" si="1"/>
        <v>88.88619104680123</v>
      </c>
      <c r="O10" s="405">
        <v>97</v>
      </c>
      <c r="P10" s="405">
        <v>82</v>
      </c>
      <c r="Q10" s="405">
        <v>97</v>
      </c>
      <c r="R10" s="405">
        <v>98</v>
      </c>
      <c r="S10" s="408">
        <v>66.2</v>
      </c>
      <c r="T10" s="407">
        <f t="shared" si="2"/>
        <v>85.252525252525245</v>
      </c>
      <c r="U10" s="399"/>
      <c r="V10" s="121"/>
    </row>
    <row r="11" spans="1:23" s="5" customFormat="1" ht="15.75" customHeight="1" x14ac:dyDescent="0.25">
      <c r="A11" s="2">
        <v>7</v>
      </c>
      <c r="B11" s="6" t="s">
        <v>13</v>
      </c>
      <c r="C11" s="10" t="s">
        <v>19</v>
      </c>
      <c r="D11" s="400" t="s">
        <v>73</v>
      </c>
      <c r="E11" s="401">
        <f t="shared" si="0"/>
        <v>86.759799296275531</v>
      </c>
      <c r="F11" s="402">
        <v>45.3</v>
      </c>
      <c r="G11" s="402">
        <v>109.3</v>
      </c>
      <c r="H11" s="402">
        <v>7.73</v>
      </c>
      <c r="I11" s="402">
        <v>5.88</v>
      </c>
      <c r="J11" s="408">
        <v>96.9</v>
      </c>
      <c r="K11" s="405">
        <v>88</v>
      </c>
      <c r="L11" s="405">
        <v>92</v>
      </c>
      <c r="M11" s="402">
        <v>5911.1489201255199</v>
      </c>
      <c r="N11" s="407">
        <f t="shared" si="1"/>
        <v>85.518041410439238</v>
      </c>
      <c r="O11" s="405">
        <v>96</v>
      </c>
      <c r="P11" s="405">
        <v>93</v>
      </c>
      <c r="Q11" s="406">
        <v>91.929249661744095</v>
      </c>
      <c r="R11" s="405">
        <v>96</v>
      </c>
      <c r="S11" s="408">
        <v>72.900000000000006</v>
      </c>
      <c r="T11" s="407">
        <f t="shared" si="2"/>
        <v>88.00155718211181</v>
      </c>
      <c r="U11" s="399"/>
      <c r="V11" s="121"/>
    </row>
    <row r="12" spans="1:23" s="5" customFormat="1" ht="15.75" customHeight="1" x14ac:dyDescent="0.25">
      <c r="A12" s="2">
        <v>8</v>
      </c>
      <c r="B12" s="6" t="s">
        <v>13</v>
      </c>
      <c r="C12" s="10" t="s">
        <v>19</v>
      </c>
      <c r="D12" s="400" t="s">
        <v>172</v>
      </c>
      <c r="E12" s="401">
        <f t="shared" si="0"/>
        <v>86.625916842589845</v>
      </c>
      <c r="F12" s="402">
        <v>60.22</v>
      </c>
      <c r="G12" s="402">
        <v>80.09</v>
      </c>
      <c r="H12" s="402">
        <v>12.25</v>
      </c>
      <c r="I12" s="402">
        <v>10.01</v>
      </c>
      <c r="J12" s="408">
        <v>98.6</v>
      </c>
      <c r="K12" s="405">
        <v>88</v>
      </c>
      <c r="L12" s="405">
        <v>82</v>
      </c>
      <c r="M12" s="402">
        <v>2874.6054014055999</v>
      </c>
      <c r="N12" s="407">
        <f t="shared" si="1"/>
        <v>85.911766345112355</v>
      </c>
      <c r="O12" s="405">
        <v>99</v>
      </c>
      <c r="P12" s="405">
        <v>96</v>
      </c>
      <c r="Q12" s="405">
        <v>99</v>
      </c>
      <c r="R12" s="405">
        <v>99</v>
      </c>
      <c r="S12" s="408">
        <v>62.9</v>
      </c>
      <c r="T12" s="407">
        <f t="shared" si="2"/>
        <v>87.340067340067336</v>
      </c>
      <c r="U12" s="399"/>
      <c r="V12" s="121"/>
    </row>
    <row r="13" spans="1:23" s="5" customFormat="1" ht="15.75" customHeight="1" x14ac:dyDescent="0.25">
      <c r="A13" s="2">
        <v>9</v>
      </c>
      <c r="B13" s="6" t="s">
        <v>13</v>
      </c>
      <c r="C13" s="10" t="s">
        <v>19</v>
      </c>
      <c r="D13" s="400" t="s">
        <v>88</v>
      </c>
      <c r="E13" s="401">
        <f t="shared" si="0"/>
        <v>86.624284367075632</v>
      </c>
      <c r="F13" s="402">
        <v>40.090000000000003</v>
      </c>
      <c r="G13" s="402">
        <v>94.22</v>
      </c>
      <c r="H13" s="402">
        <v>7.01</v>
      </c>
      <c r="I13" s="402">
        <v>9.43</v>
      </c>
      <c r="J13" s="408">
        <v>97.6</v>
      </c>
      <c r="K13" s="405">
        <v>82</v>
      </c>
      <c r="L13" s="405">
        <v>91</v>
      </c>
      <c r="M13" s="402">
        <v>4549.7268472343803</v>
      </c>
      <c r="N13" s="407">
        <f t="shared" si="1"/>
        <v>83.753619239201768</v>
      </c>
      <c r="O13" s="405">
        <v>96</v>
      </c>
      <c r="P13" s="405">
        <v>93</v>
      </c>
      <c r="Q13" s="405">
        <v>96</v>
      </c>
      <c r="R13" s="405">
        <v>96</v>
      </c>
      <c r="S13" s="408">
        <v>75.3</v>
      </c>
      <c r="T13" s="407">
        <f t="shared" si="2"/>
        <v>89.494949494949509</v>
      </c>
      <c r="U13" s="399"/>
      <c r="V13" s="121"/>
    </row>
    <row r="14" spans="1:23" s="5" customFormat="1" ht="15.75" customHeight="1" x14ac:dyDescent="0.25">
      <c r="A14" s="2">
        <v>10</v>
      </c>
      <c r="B14" s="6" t="s">
        <v>13</v>
      </c>
      <c r="C14" s="10" t="s">
        <v>19</v>
      </c>
      <c r="D14" s="400" t="s">
        <v>104</v>
      </c>
      <c r="E14" s="401">
        <f t="shared" si="0"/>
        <v>86.205105336270904</v>
      </c>
      <c r="F14" s="402">
        <v>45.78</v>
      </c>
      <c r="G14" s="402">
        <v>160.83000000000001</v>
      </c>
      <c r="H14" s="402">
        <v>8.01</v>
      </c>
      <c r="I14" s="402">
        <v>12.2</v>
      </c>
      <c r="J14" s="408">
        <v>97.6</v>
      </c>
      <c r="K14" s="405">
        <v>67</v>
      </c>
      <c r="L14" s="405">
        <v>88</v>
      </c>
      <c r="M14" s="402">
        <v>5534.4851043563604</v>
      </c>
      <c r="N14" s="407">
        <f t="shared" si="1"/>
        <v>86.011257290729631</v>
      </c>
      <c r="O14" s="405">
        <v>94</v>
      </c>
      <c r="P14" s="405">
        <v>98</v>
      </c>
      <c r="Q14" s="406">
        <v>91.78381496245305</v>
      </c>
      <c r="R14" s="405">
        <v>94</v>
      </c>
      <c r="S14" s="404">
        <v>67.712984062755609</v>
      </c>
      <c r="T14" s="407">
        <f t="shared" si="2"/>
        <v>86.398953381812177</v>
      </c>
      <c r="U14" s="399"/>
      <c r="V14" s="121"/>
    </row>
    <row r="15" spans="1:23" s="5" customFormat="1" ht="15.75" customHeight="1" x14ac:dyDescent="0.25">
      <c r="A15" s="2">
        <v>11</v>
      </c>
      <c r="B15" s="6" t="s">
        <v>13</v>
      </c>
      <c r="C15" s="10" t="s">
        <v>19</v>
      </c>
      <c r="D15" s="400" t="s">
        <v>87</v>
      </c>
      <c r="E15" s="401">
        <f t="shared" si="0"/>
        <v>86.201461700943383</v>
      </c>
      <c r="F15" s="402">
        <v>28.75</v>
      </c>
      <c r="G15" s="402">
        <v>130.19999999999999</v>
      </c>
      <c r="H15" s="402">
        <v>6.95</v>
      </c>
      <c r="I15" s="402">
        <v>11.61</v>
      </c>
      <c r="J15" s="408">
        <v>99.5</v>
      </c>
      <c r="K15" s="405">
        <v>86</v>
      </c>
      <c r="L15" s="406">
        <v>84.5</v>
      </c>
      <c r="M15" s="402">
        <v>5220.6026538282404</v>
      </c>
      <c r="N15" s="407">
        <f t="shared" si="1"/>
        <v>84.836819054205577</v>
      </c>
      <c r="O15" s="405">
        <v>91</v>
      </c>
      <c r="P15" s="405">
        <v>92</v>
      </c>
      <c r="Q15" s="406">
        <v>90.942659825226329</v>
      </c>
      <c r="R15" s="405">
        <v>91</v>
      </c>
      <c r="S15" s="408">
        <v>77.599999999999994</v>
      </c>
      <c r="T15" s="407">
        <f t="shared" si="2"/>
        <v>87.56610434768119</v>
      </c>
      <c r="U15" s="399"/>
      <c r="V15" s="121"/>
    </row>
    <row r="16" spans="1:23" s="5" customFormat="1" ht="15.75" customHeight="1" x14ac:dyDescent="0.25">
      <c r="A16" s="2">
        <v>12</v>
      </c>
      <c r="B16" s="6" t="s">
        <v>13</v>
      </c>
      <c r="C16" s="10" t="s">
        <v>19</v>
      </c>
      <c r="D16" s="400" t="s">
        <v>109</v>
      </c>
      <c r="E16" s="401">
        <f t="shared" si="0"/>
        <v>86.113400391764458</v>
      </c>
      <c r="F16" s="402">
        <v>39.89</v>
      </c>
      <c r="G16" s="402">
        <v>154.04</v>
      </c>
      <c r="H16" s="402">
        <v>4.87</v>
      </c>
      <c r="I16" s="402">
        <v>11.89</v>
      </c>
      <c r="J16" s="408">
        <v>99.5</v>
      </c>
      <c r="K16" s="405">
        <v>83</v>
      </c>
      <c r="L16" s="405">
        <v>98</v>
      </c>
      <c r="M16" s="402">
        <v>6333.6074422764495</v>
      </c>
      <c r="N16" s="407">
        <f t="shared" si="1"/>
        <v>88.220066776794908</v>
      </c>
      <c r="O16" s="405">
        <v>92</v>
      </c>
      <c r="P16" s="405">
        <v>90</v>
      </c>
      <c r="Q16" s="405">
        <v>92</v>
      </c>
      <c r="R16" s="405">
        <v>92</v>
      </c>
      <c r="S16" s="408">
        <v>66.5</v>
      </c>
      <c r="T16" s="407">
        <f t="shared" si="2"/>
        <v>84.006734006734007</v>
      </c>
      <c r="U16" s="399"/>
      <c r="V16" s="121"/>
    </row>
    <row r="17" spans="1:22" s="5" customFormat="1" ht="15.75" customHeight="1" x14ac:dyDescent="0.25">
      <c r="A17" s="2">
        <v>13</v>
      </c>
      <c r="B17" s="17" t="s">
        <v>29</v>
      </c>
      <c r="C17" s="18" t="s">
        <v>30</v>
      </c>
      <c r="D17" s="400" t="s">
        <v>31</v>
      </c>
      <c r="E17" s="401">
        <f t="shared" si="0"/>
        <v>85.886920270540116</v>
      </c>
      <c r="F17" s="402">
        <v>42.28</v>
      </c>
      <c r="G17" s="402">
        <v>144.31</v>
      </c>
      <c r="H17" s="402">
        <v>6.52</v>
      </c>
      <c r="I17" s="402">
        <v>9.58</v>
      </c>
      <c r="J17" s="408">
        <v>98.5</v>
      </c>
      <c r="K17" s="405">
        <v>87</v>
      </c>
      <c r="L17" s="405">
        <v>88</v>
      </c>
      <c r="M17" s="402">
        <v>5665.1263842917497</v>
      </c>
      <c r="N17" s="407">
        <f t="shared" si="1"/>
        <v>87.262056029295707</v>
      </c>
      <c r="O17" s="405">
        <v>93</v>
      </c>
      <c r="P17" s="405">
        <v>92</v>
      </c>
      <c r="Q17" s="405">
        <v>95</v>
      </c>
      <c r="R17" s="405">
        <v>94</v>
      </c>
      <c r="S17" s="408">
        <v>64</v>
      </c>
      <c r="T17" s="407">
        <f t="shared" si="2"/>
        <v>84.511784511784512</v>
      </c>
      <c r="U17" s="399"/>
      <c r="V17" s="121"/>
    </row>
    <row r="18" spans="1:22" s="5" customFormat="1" ht="15.75" customHeight="1" x14ac:dyDescent="0.25">
      <c r="A18" s="2">
        <v>14</v>
      </c>
      <c r="B18" s="6" t="s">
        <v>13</v>
      </c>
      <c r="C18" s="10" t="s">
        <v>19</v>
      </c>
      <c r="D18" s="400" t="s">
        <v>20</v>
      </c>
      <c r="E18" s="401">
        <f t="shared" si="0"/>
        <v>85.487980958588281</v>
      </c>
      <c r="F18" s="402">
        <v>51.16</v>
      </c>
      <c r="G18" s="402">
        <v>49.45</v>
      </c>
      <c r="H18" s="402">
        <v>12.7</v>
      </c>
      <c r="I18" s="402">
        <v>9.77</v>
      </c>
      <c r="J18" s="404">
        <v>100</v>
      </c>
      <c r="K18" s="405">
        <v>100</v>
      </c>
      <c r="L18" s="406">
        <v>84.5</v>
      </c>
      <c r="M18" s="402">
        <v>3907.8784915313399</v>
      </c>
      <c r="N18" s="407">
        <f t="shared" si="1"/>
        <v>86.607564827723706</v>
      </c>
      <c r="O18" s="405">
        <v>98</v>
      </c>
      <c r="P18" s="405">
        <v>97</v>
      </c>
      <c r="Q18" s="405">
        <v>97</v>
      </c>
      <c r="R18" s="405">
        <v>98</v>
      </c>
      <c r="S18" s="404">
        <v>55.574139355675001</v>
      </c>
      <c r="T18" s="407">
        <f t="shared" si="2"/>
        <v>84.368397089452856</v>
      </c>
      <c r="U18" s="399"/>
      <c r="V18" s="121"/>
    </row>
    <row r="19" spans="1:22" s="5" customFormat="1" ht="15.75" customHeight="1" x14ac:dyDescent="0.25">
      <c r="A19" s="2">
        <v>15</v>
      </c>
      <c r="B19" s="6" t="s">
        <v>13</v>
      </c>
      <c r="C19" s="10" t="s">
        <v>19</v>
      </c>
      <c r="D19" s="400" t="s">
        <v>200</v>
      </c>
      <c r="E19" s="401">
        <f t="shared" si="0"/>
        <v>85.146512813999649</v>
      </c>
      <c r="F19" s="402">
        <v>45.59</v>
      </c>
      <c r="G19" s="402">
        <v>191.96</v>
      </c>
      <c r="H19" s="402">
        <v>4.0599999999999996</v>
      </c>
      <c r="I19" s="402">
        <v>7</v>
      </c>
      <c r="J19" s="404">
        <v>100</v>
      </c>
      <c r="K19" s="405">
        <v>87</v>
      </c>
      <c r="L19" s="405">
        <v>90</v>
      </c>
      <c r="M19" s="402">
        <v>3507.3919627647701</v>
      </c>
      <c r="N19" s="407">
        <f t="shared" si="1"/>
        <v>84.905820240793915</v>
      </c>
      <c r="O19" s="405">
        <v>96</v>
      </c>
      <c r="P19" s="405">
        <v>93</v>
      </c>
      <c r="Q19" s="405">
        <v>86</v>
      </c>
      <c r="R19" s="405">
        <v>96</v>
      </c>
      <c r="S19" s="408">
        <v>68.099999999999994</v>
      </c>
      <c r="T19" s="407">
        <f t="shared" si="2"/>
        <v>85.387205387205384</v>
      </c>
      <c r="U19" s="399"/>
      <c r="V19" s="121"/>
    </row>
    <row r="20" spans="1:22" s="13" customFormat="1" ht="15.75" customHeight="1" x14ac:dyDescent="0.25">
      <c r="A20" s="2">
        <v>16</v>
      </c>
      <c r="B20" s="14" t="s">
        <v>23</v>
      </c>
      <c r="C20" s="23" t="s">
        <v>57</v>
      </c>
      <c r="D20" s="400" t="s">
        <v>58</v>
      </c>
      <c r="E20" s="401">
        <f t="shared" si="0"/>
        <v>84.973886904268198</v>
      </c>
      <c r="F20" s="402">
        <v>28.54</v>
      </c>
      <c r="G20" s="402">
        <v>116.18</v>
      </c>
      <c r="H20" s="402">
        <v>6.53</v>
      </c>
      <c r="I20" s="402">
        <v>11.66</v>
      </c>
      <c r="J20" s="408">
        <v>97.8</v>
      </c>
      <c r="K20" s="405">
        <v>100</v>
      </c>
      <c r="L20" s="405">
        <v>76</v>
      </c>
      <c r="M20" s="402">
        <v>5171.5468840148797</v>
      </c>
      <c r="N20" s="407">
        <f t="shared" si="1"/>
        <v>84.897268758031359</v>
      </c>
      <c r="O20" s="405">
        <v>92</v>
      </c>
      <c r="P20" s="405">
        <v>79</v>
      </c>
      <c r="Q20" s="405">
        <v>83</v>
      </c>
      <c r="R20" s="405">
        <v>92</v>
      </c>
      <c r="S20" s="408">
        <v>79.599999999999994</v>
      </c>
      <c r="T20" s="407">
        <f t="shared" si="2"/>
        <v>85.050505050505052</v>
      </c>
      <c r="U20" s="399"/>
      <c r="V20" s="354"/>
    </row>
    <row r="21" spans="1:22" s="5" customFormat="1" ht="15.75" customHeight="1" x14ac:dyDescent="0.25">
      <c r="A21" s="2">
        <v>17</v>
      </c>
      <c r="B21" s="6" t="s">
        <v>13</v>
      </c>
      <c r="C21" s="10" t="s">
        <v>19</v>
      </c>
      <c r="D21" s="400" t="s">
        <v>92</v>
      </c>
      <c r="E21" s="401">
        <f t="shared" si="0"/>
        <v>84.922687712914183</v>
      </c>
      <c r="F21" s="402">
        <v>45.93</v>
      </c>
      <c r="G21" s="402">
        <v>123.95</v>
      </c>
      <c r="H21" s="402">
        <v>8.44</v>
      </c>
      <c r="I21" s="402">
        <v>6.65</v>
      </c>
      <c r="J21" s="408">
        <v>96.4</v>
      </c>
      <c r="K21" s="405">
        <v>92</v>
      </c>
      <c r="L21" s="405">
        <v>93</v>
      </c>
      <c r="M21" s="402">
        <v>6571.6382337203504</v>
      </c>
      <c r="N21" s="407">
        <f t="shared" si="1"/>
        <v>87.623153203606137</v>
      </c>
      <c r="O21" s="405">
        <v>89</v>
      </c>
      <c r="P21" s="405">
        <v>92</v>
      </c>
      <c r="Q21" s="405">
        <v>85</v>
      </c>
      <c r="R21" s="405">
        <v>88</v>
      </c>
      <c r="S21" s="408">
        <v>67.2</v>
      </c>
      <c r="T21" s="407">
        <f t="shared" si="2"/>
        <v>82.222222222222214</v>
      </c>
      <c r="U21" s="399"/>
      <c r="V21" s="121"/>
    </row>
    <row r="22" spans="1:22" s="5" customFormat="1" ht="15.75" customHeight="1" x14ac:dyDescent="0.25">
      <c r="A22" s="2">
        <v>18</v>
      </c>
      <c r="B22" s="14" t="s">
        <v>23</v>
      </c>
      <c r="C22" s="23" t="s">
        <v>57</v>
      </c>
      <c r="D22" s="400" t="s">
        <v>217</v>
      </c>
      <c r="E22" s="401">
        <f t="shared" si="0"/>
        <v>84.910013142183715</v>
      </c>
      <c r="F22" s="402">
        <v>26.54</v>
      </c>
      <c r="G22" s="402">
        <v>123.92</v>
      </c>
      <c r="H22" s="402">
        <v>5.89</v>
      </c>
      <c r="I22" s="402">
        <v>9.52</v>
      </c>
      <c r="J22" s="408">
        <v>98.8</v>
      </c>
      <c r="K22" s="405">
        <v>86</v>
      </c>
      <c r="L22" s="406">
        <v>84.5</v>
      </c>
      <c r="M22" s="402">
        <v>7269.29118467429</v>
      </c>
      <c r="N22" s="407">
        <f t="shared" si="1"/>
        <v>84.062450526791693</v>
      </c>
      <c r="O22" s="405">
        <v>94</v>
      </c>
      <c r="P22" s="405">
        <v>95</v>
      </c>
      <c r="Q22" s="405">
        <v>93</v>
      </c>
      <c r="R22" s="405">
        <v>93</v>
      </c>
      <c r="S22" s="408">
        <v>67.2</v>
      </c>
      <c r="T22" s="407">
        <f t="shared" si="2"/>
        <v>85.757575757575751</v>
      </c>
      <c r="U22" s="399"/>
      <c r="V22" s="121"/>
    </row>
    <row r="23" spans="1:22" s="5" customFormat="1" ht="15.75" customHeight="1" x14ac:dyDescent="0.25">
      <c r="A23" s="2">
        <v>19</v>
      </c>
      <c r="B23" s="14" t="s">
        <v>23</v>
      </c>
      <c r="C23" s="16" t="s">
        <v>26</v>
      </c>
      <c r="D23" s="400" t="s">
        <v>70</v>
      </c>
      <c r="E23" s="401">
        <f t="shared" si="0"/>
        <v>84.672231611594242</v>
      </c>
      <c r="F23" s="402">
        <v>85.05</v>
      </c>
      <c r="G23" s="402">
        <v>71.94</v>
      </c>
      <c r="H23" s="402">
        <v>15.97</v>
      </c>
      <c r="I23" s="402">
        <v>5.37</v>
      </c>
      <c r="J23" s="408">
        <v>99.8</v>
      </c>
      <c r="K23" s="405">
        <v>84</v>
      </c>
      <c r="L23" s="405">
        <v>68</v>
      </c>
      <c r="M23" s="402">
        <v>2147.74176243907</v>
      </c>
      <c r="N23" s="407">
        <f t="shared" si="1"/>
        <v>82.307426186151417</v>
      </c>
      <c r="O23" s="405">
        <v>99</v>
      </c>
      <c r="P23" s="405">
        <v>99</v>
      </c>
      <c r="Q23" s="405">
        <v>99</v>
      </c>
      <c r="R23" s="405">
        <v>99</v>
      </c>
      <c r="S23" s="408">
        <v>60.5</v>
      </c>
      <c r="T23" s="407">
        <f t="shared" si="2"/>
        <v>87.037037037037052</v>
      </c>
      <c r="U23" s="399"/>
      <c r="V23" s="121"/>
    </row>
    <row r="24" spans="1:22" s="5" customFormat="1" ht="15.75" customHeight="1" x14ac:dyDescent="0.25">
      <c r="A24" s="2">
        <v>20</v>
      </c>
      <c r="B24" s="6" t="s">
        <v>13</v>
      </c>
      <c r="C24" s="10" t="s">
        <v>19</v>
      </c>
      <c r="D24" s="400" t="s">
        <v>192</v>
      </c>
      <c r="E24" s="401">
        <f t="shared" si="0"/>
        <v>84.629392876118999</v>
      </c>
      <c r="F24" s="402">
        <v>44.29</v>
      </c>
      <c r="G24" s="402">
        <v>62.21</v>
      </c>
      <c r="H24" s="402">
        <v>6.48</v>
      </c>
      <c r="I24" s="402">
        <v>12.45</v>
      </c>
      <c r="J24" s="408">
        <v>99.9</v>
      </c>
      <c r="K24" s="405">
        <v>86</v>
      </c>
      <c r="L24" s="405">
        <v>90</v>
      </c>
      <c r="M24" s="402">
        <v>3611.5799088490699</v>
      </c>
      <c r="N24" s="407">
        <f t="shared" si="1"/>
        <v>83.938920432372697</v>
      </c>
      <c r="O24" s="405">
        <v>94</v>
      </c>
      <c r="P24" s="405">
        <v>92</v>
      </c>
      <c r="Q24" s="405">
        <v>94</v>
      </c>
      <c r="R24" s="405">
        <v>94</v>
      </c>
      <c r="S24" s="408">
        <v>66.400000000000006</v>
      </c>
      <c r="T24" s="407">
        <f t="shared" si="2"/>
        <v>85.319865319865315</v>
      </c>
      <c r="U24" s="399"/>
      <c r="V24" s="121"/>
    </row>
    <row r="25" spans="1:22" s="5" customFormat="1" ht="15.75" customHeight="1" x14ac:dyDescent="0.25">
      <c r="A25" s="2">
        <v>21</v>
      </c>
      <c r="B25" s="6" t="s">
        <v>13</v>
      </c>
      <c r="C25" s="10" t="s">
        <v>19</v>
      </c>
      <c r="D25" s="400" t="s">
        <v>216</v>
      </c>
      <c r="E25" s="401">
        <f t="shared" si="0"/>
        <v>84.359300910790779</v>
      </c>
      <c r="F25" s="402">
        <v>33.54</v>
      </c>
      <c r="G25" s="402">
        <v>95.59</v>
      </c>
      <c r="H25" s="402">
        <v>5.08</v>
      </c>
      <c r="I25" s="402">
        <v>9.52</v>
      </c>
      <c r="J25" s="404">
        <v>100</v>
      </c>
      <c r="K25" s="405">
        <v>89</v>
      </c>
      <c r="L25" s="405">
        <v>94</v>
      </c>
      <c r="M25" s="402">
        <v>5204.6432518864503</v>
      </c>
      <c r="N25" s="407">
        <f t="shared" si="1"/>
        <v>84.644527747507482</v>
      </c>
      <c r="O25" s="405">
        <v>92</v>
      </c>
      <c r="P25" s="405">
        <v>85</v>
      </c>
      <c r="Q25" s="405">
        <v>92</v>
      </c>
      <c r="R25" s="405">
        <v>92</v>
      </c>
      <c r="S25" s="408">
        <v>69.2</v>
      </c>
      <c r="T25" s="407">
        <f t="shared" si="2"/>
        <v>84.074074074074076</v>
      </c>
      <c r="U25" s="399"/>
      <c r="V25" s="121"/>
    </row>
    <row r="26" spans="1:22" s="5" customFormat="1" ht="15.75" customHeight="1" x14ac:dyDescent="0.25">
      <c r="A26" s="2">
        <v>22</v>
      </c>
      <c r="B26" s="6" t="s">
        <v>13</v>
      </c>
      <c r="C26" s="10" t="s">
        <v>19</v>
      </c>
      <c r="D26" s="400" t="s">
        <v>32</v>
      </c>
      <c r="E26" s="401">
        <f t="shared" si="0"/>
        <v>83.799615729552343</v>
      </c>
      <c r="F26" s="402">
        <v>56.7</v>
      </c>
      <c r="G26" s="402">
        <v>109.37</v>
      </c>
      <c r="H26" s="402">
        <v>6.35</v>
      </c>
      <c r="I26" s="402">
        <v>7.69</v>
      </c>
      <c r="J26" s="408">
        <v>98.7</v>
      </c>
      <c r="K26" s="405">
        <v>85</v>
      </c>
      <c r="L26" s="406">
        <v>84.5</v>
      </c>
      <c r="M26" s="402">
        <v>6031.2139626420603</v>
      </c>
      <c r="N26" s="407">
        <f t="shared" si="1"/>
        <v>86.892160752033988</v>
      </c>
      <c r="O26" s="405">
        <v>85</v>
      </c>
      <c r="P26" s="405">
        <v>84</v>
      </c>
      <c r="Q26" s="405">
        <v>85</v>
      </c>
      <c r="R26" s="405">
        <v>85</v>
      </c>
      <c r="S26" s="408">
        <v>70.2</v>
      </c>
      <c r="T26" s="407">
        <f t="shared" si="2"/>
        <v>80.707070707070699</v>
      </c>
      <c r="U26" s="399"/>
      <c r="V26" s="121"/>
    </row>
    <row r="27" spans="1:22" s="5" customFormat="1" ht="15.75" customHeight="1" x14ac:dyDescent="0.25">
      <c r="A27" s="2">
        <v>23</v>
      </c>
      <c r="B27" s="3" t="s">
        <v>10</v>
      </c>
      <c r="C27" s="22" t="s">
        <v>49</v>
      </c>
      <c r="D27" s="400" t="s">
        <v>121</v>
      </c>
      <c r="E27" s="401">
        <f t="shared" si="0"/>
        <v>83.755680063728164</v>
      </c>
      <c r="F27" s="402">
        <v>26.63</v>
      </c>
      <c r="G27" s="402">
        <v>98.03</v>
      </c>
      <c r="H27" s="402">
        <v>5.49</v>
      </c>
      <c r="I27" s="402">
        <v>8.26</v>
      </c>
      <c r="J27" s="408">
        <v>99.8</v>
      </c>
      <c r="K27" s="405">
        <v>94</v>
      </c>
      <c r="L27" s="406">
        <v>64</v>
      </c>
      <c r="M27" s="402">
        <v>2810.7853051573502</v>
      </c>
      <c r="N27" s="407">
        <f t="shared" si="1"/>
        <v>78.72348133957756</v>
      </c>
      <c r="O27" s="405">
        <v>97</v>
      </c>
      <c r="P27" s="405">
        <v>96</v>
      </c>
      <c r="Q27" s="405">
        <v>97</v>
      </c>
      <c r="R27" s="405">
        <v>97</v>
      </c>
      <c r="S27" s="408">
        <v>70.2</v>
      </c>
      <c r="T27" s="407">
        <f t="shared" si="2"/>
        <v>88.787878787878782</v>
      </c>
      <c r="U27" s="399"/>
      <c r="V27" s="121"/>
    </row>
    <row r="28" spans="1:22" s="5" customFormat="1" ht="15.75" customHeight="1" x14ac:dyDescent="0.25">
      <c r="A28" s="2">
        <v>24</v>
      </c>
      <c r="B28" s="6" t="s">
        <v>13</v>
      </c>
      <c r="C28" s="10" t="s">
        <v>19</v>
      </c>
      <c r="D28" s="400" t="s">
        <v>111</v>
      </c>
      <c r="E28" s="401">
        <f t="shared" si="0"/>
        <v>83.726042282151951</v>
      </c>
      <c r="F28" s="402">
        <v>53.06</v>
      </c>
      <c r="G28" s="402">
        <v>70.95</v>
      </c>
      <c r="H28" s="402">
        <v>8.16</v>
      </c>
      <c r="I28" s="402">
        <v>13.85</v>
      </c>
      <c r="J28" s="408">
        <v>99.9</v>
      </c>
      <c r="K28" s="405">
        <v>100</v>
      </c>
      <c r="L28" s="405">
        <v>86</v>
      </c>
      <c r="M28" s="402">
        <v>3555.8881638555699</v>
      </c>
      <c r="N28" s="407">
        <f t="shared" si="1"/>
        <v>88.19282530504465</v>
      </c>
      <c r="O28" s="405">
        <v>94</v>
      </c>
      <c r="P28" s="405">
        <v>84</v>
      </c>
      <c r="Q28" s="405">
        <v>94</v>
      </c>
      <c r="R28" s="405">
        <v>94</v>
      </c>
      <c r="S28" s="408">
        <v>52.4</v>
      </c>
      <c r="T28" s="407">
        <f t="shared" si="2"/>
        <v>79.259259259259267</v>
      </c>
      <c r="U28" s="399"/>
      <c r="V28" s="121"/>
    </row>
    <row r="29" spans="1:22" s="5" customFormat="1" ht="15.75" customHeight="1" x14ac:dyDescent="0.25">
      <c r="A29" s="2">
        <v>25</v>
      </c>
      <c r="B29" s="6" t="s">
        <v>13</v>
      </c>
      <c r="C29" s="7" t="s">
        <v>14</v>
      </c>
      <c r="D29" s="400" t="s">
        <v>72</v>
      </c>
      <c r="E29" s="401">
        <f t="shared" si="0"/>
        <v>83.668705108880857</v>
      </c>
      <c r="F29" s="402">
        <v>42.39</v>
      </c>
      <c r="G29" s="402">
        <v>94.24</v>
      </c>
      <c r="H29" s="402">
        <v>7.52</v>
      </c>
      <c r="I29" s="402">
        <v>7.64</v>
      </c>
      <c r="J29" s="408">
        <v>99.8</v>
      </c>
      <c r="K29" s="405">
        <v>84</v>
      </c>
      <c r="L29" s="406">
        <v>84.5</v>
      </c>
      <c r="M29" s="402">
        <v>3794.9922314290402</v>
      </c>
      <c r="N29" s="407">
        <f t="shared" si="1"/>
        <v>83.431686312037797</v>
      </c>
      <c r="O29" s="405">
        <v>86</v>
      </c>
      <c r="P29" s="405">
        <v>89</v>
      </c>
      <c r="Q29" s="405">
        <v>86</v>
      </c>
      <c r="R29" s="405">
        <v>86</v>
      </c>
      <c r="S29" s="408">
        <v>75.7</v>
      </c>
      <c r="T29" s="407">
        <f t="shared" si="2"/>
        <v>83.905723905723903</v>
      </c>
      <c r="U29" s="399"/>
      <c r="V29" s="121"/>
    </row>
    <row r="30" spans="1:22" s="5" customFormat="1" ht="15.75" customHeight="1" x14ac:dyDescent="0.25">
      <c r="A30" s="2">
        <v>26</v>
      </c>
      <c r="B30" s="17" t="s">
        <v>29</v>
      </c>
      <c r="C30" s="18" t="s">
        <v>30</v>
      </c>
      <c r="D30" s="400" t="s">
        <v>156</v>
      </c>
      <c r="E30" s="401">
        <f t="shared" si="0"/>
        <v>83.530961504639123</v>
      </c>
      <c r="F30" s="402">
        <v>37.72</v>
      </c>
      <c r="G30" s="402">
        <v>131.24</v>
      </c>
      <c r="H30" s="402">
        <v>5.17</v>
      </c>
      <c r="I30" s="402">
        <v>7.4</v>
      </c>
      <c r="J30" s="408">
        <v>96.3</v>
      </c>
      <c r="K30" s="405">
        <v>85</v>
      </c>
      <c r="L30" s="405">
        <v>84</v>
      </c>
      <c r="M30" s="402">
        <v>4297.0026716801904</v>
      </c>
      <c r="N30" s="407">
        <f t="shared" si="1"/>
        <v>82.280778228133443</v>
      </c>
      <c r="O30" s="405">
        <v>89</v>
      </c>
      <c r="P30" s="405">
        <v>87</v>
      </c>
      <c r="Q30" s="405">
        <v>89</v>
      </c>
      <c r="R30" s="405">
        <v>89</v>
      </c>
      <c r="S30" s="408">
        <v>74.8</v>
      </c>
      <c r="T30" s="407">
        <f t="shared" si="2"/>
        <v>84.781144781144789</v>
      </c>
      <c r="U30" s="399"/>
      <c r="V30" s="121"/>
    </row>
    <row r="31" spans="1:22" s="5" customFormat="1" ht="15.75" customHeight="1" x14ac:dyDescent="0.25">
      <c r="A31" s="2">
        <v>27</v>
      </c>
      <c r="B31" s="6" t="s">
        <v>13</v>
      </c>
      <c r="C31" s="10" t="s">
        <v>19</v>
      </c>
      <c r="D31" s="400" t="s">
        <v>140</v>
      </c>
      <c r="E31" s="401">
        <f t="shared" si="0"/>
        <v>83.277436669898947</v>
      </c>
      <c r="F31" s="402">
        <v>47.19</v>
      </c>
      <c r="G31" s="402">
        <v>82.57</v>
      </c>
      <c r="H31" s="402">
        <v>5.29</v>
      </c>
      <c r="I31" s="402">
        <v>16.02</v>
      </c>
      <c r="J31" s="408">
        <v>99.8</v>
      </c>
      <c r="K31" s="405">
        <v>73</v>
      </c>
      <c r="L31" s="405">
        <v>69</v>
      </c>
      <c r="M31" s="402">
        <v>3767.07118568229</v>
      </c>
      <c r="N31" s="407">
        <f t="shared" si="1"/>
        <v>82.009418794343347</v>
      </c>
      <c r="O31" s="405">
        <v>97</v>
      </c>
      <c r="P31" s="405">
        <v>86</v>
      </c>
      <c r="Q31" s="405">
        <v>97</v>
      </c>
      <c r="R31" s="405">
        <v>97</v>
      </c>
      <c r="S31" s="408">
        <v>62.6</v>
      </c>
      <c r="T31" s="407">
        <f t="shared" si="2"/>
        <v>84.545454545454547</v>
      </c>
      <c r="U31" s="399"/>
      <c r="V31" s="121"/>
    </row>
    <row r="32" spans="1:22" s="5" customFormat="1" ht="15.75" customHeight="1" x14ac:dyDescent="0.25">
      <c r="A32" s="2">
        <v>28</v>
      </c>
      <c r="B32" s="3" t="s">
        <v>10</v>
      </c>
      <c r="C32" s="22" t="s">
        <v>49</v>
      </c>
      <c r="D32" s="400" t="s">
        <v>113</v>
      </c>
      <c r="E32" s="401">
        <f t="shared" si="0"/>
        <v>83.178099820142194</v>
      </c>
      <c r="F32" s="402">
        <v>26.49</v>
      </c>
      <c r="G32" s="402">
        <v>124.44</v>
      </c>
      <c r="H32" s="402">
        <v>8.16</v>
      </c>
      <c r="I32" s="402">
        <v>20.260000000000002</v>
      </c>
      <c r="J32" s="408">
        <v>99.8</v>
      </c>
      <c r="K32" s="405">
        <v>83</v>
      </c>
      <c r="L32" s="406">
        <v>64</v>
      </c>
      <c r="M32" s="402">
        <v>4550.9507443051698</v>
      </c>
      <c r="N32" s="407">
        <f t="shared" si="1"/>
        <v>83.595256879341619</v>
      </c>
      <c r="O32" s="405">
        <v>99</v>
      </c>
      <c r="P32" s="405">
        <v>96</v>
      </c>
      <c r="Q32" s="405">
        <v>95</v>
      </c>
      <c r="R32" s="405">
        <v>98</v>
      </c>
      <c r="S32" s="408">
        <v>51.8</v>
      </c>
      <c r="T32" s="407">
        <f t="shared" si="2"/>
        <v>82.760942760942768</v>
      </c>
      <c r="U32" s="409"/>
      <c r="V32" s="121"/>
    </row>
    <row r="33" spans="1:22" s="5" customFormat="1" ht="15.75" customHeight="1" x14ac:dyDescent="0.25">
      <c r="A33" s="2">
        <v>29</v>
      </c>
      <c r="B33" s="6" t="s">
        <v>13</v>
      </c>
      <c r="C33" s="10" t="s">
        <v>19</v>
      </c>
      <c r="D33" s="400" t="s">
        <v>178</v>
      </c>
      <c r="E33" s="401">
        <f t="shared" si="0"/>
        <v>82.987539650465436</v>
      </c>
      <c r="F33" s="402">
        <v>44.05</v>
      </c>
      <c r="G33" s="402">
        <v>97.02</v>
      </c>
      <c r="H33" s="402">
        <v>6.85</v>
      </c>
      <c r="I33" s="402">
        <v>10.42</v>
      </c>
      <c r="J33" s="404">
        <v>100</v>
      </c>
      <c r="K33" s="405">
        <v>100</v>
      </c>
      <c r="L33" s="406">
        <v>84.5</v>
      </c>
      <c r="M33" s="402">
        <v>4546.2983825916399</v>
      </c>
      <c r="N33" s="407">
        <f t="shared" si="1"/>
        <v>87.72709228199308</v>
      </c>
      <c r="O33" s="405">
        <v>88</v>
      </c>
      <c r="P33" s="405">
        <v>81</v>
      </c>
      <c r="Q33" s="405">
        <v>88</v>
      </c>
      <c r="R33" s="405">
        <v>88</v>
      </c>
      <c r="S33" s="404">
        <v>59.896521446245202</v>
      </c>
      <c r="T33" s="407">
        <f t="shared" si="2"/>
        <v>78.247987018937778</v>
      </c>
      <c r="U33" s="399"/>
      <c r="V33" s="121"/>
    </row>
    <row r="34" spans="1:22" s="13" customFormat="1" ht="15.75" customHeight="1" x14ac:dyDescent="0.25">
      <c r="A34" s="2">
        <v>30</v>
      </c>
      <c r="B34" s="3" t="s">
        <v>10</v>
      </c>
      <c r="C34" s="22" t="s">
        <v>49</v>
      </c>
      <c r="D34" s="400" t="s">
        <v>102</v>
      </c>
      <c r="E34" s="401">
        <f t="shared" si="0"/>
        <v>82.969916198086622</v>
      </c>
      <c r="F34" s="403">
        <v>30.006409912201001</v>
      </c>
      <c r="G34" s="403">
        <v>96.18835052000091</v>
      </c>
      <c r="H34" s="403">
        <v>6.6507997033909652</v>
      </c>
      <c r="I34" s="403">
        <v>11.518761046462567</v>
      </c>
      <c r="J34" s="404">
        <v>100</v>
      </c>
      <c r="K34" s="405">
        <v>65</v>
      </c>
      <c r="L34" s="406">
        <v>64</v>
      </c>
      <c r="M34" s="403">
        <v>3321.2488744840562</v>
      </c>
      <c r="N34" s="407">
        <f t="shared" si="1"/>
        <v>77.23721179513467</v>
      </c>
      <c r="O34" s="406">
        <v>99</v>
      </c>
      <c r="P34" s="406">
        <v>99</v>
      </c>
      <c r="Q34" s="406">
        <v>99</v>
      </c>
      <c r="R34" s="406">
        <v>94.893566370169268</v>
      </c>
      <c r="S34" s="408">
        <v>67.5</v>
      </c>
      <c r="T34" s="407">
        <f t="shared" si="2"/>
        <v>88.702620601038589</v>
      </c>
      <c r="U34" s="399"/>
      <c r="V34" s="354"/>
    </row>
    <row r="35" spans="1:22" s="13" customFormat="1" ht="15.75" customHeight="1" x14ac:dyDescent="0.25">
      <c r="A35" s="2">
        <v>31</v>
      </c>
      <c r="B35" s="6" t="s">
        <v>13</v>
      </c>
      <c r="C35" s="7" t="s">
        <v>14</v>
      </c>
      <c r="D35" s="400" t="s">
        <v>187</v>
      </c>
      <c r="E35" s="401">
        <f t="shared" si="0"/>
        <v>82.865321732178984</v>
      </c>
      <c r="F35" s="402">
        <v>35.07</v>
      </c>
      <c r="G35" s="402">
        <v>106.82</v>
      </c>
      <c r="H35" s="402">
        <v>7.66</v>
      </c>
      <c r="I35" s="402">
        <v>7.39</v>
      </c>
      <c r="J35" s="408">
        <v>99.8</v>
      </c>
      <c r="K35" s="405">
        <v>85</v>
      </c>
      <c r="L35" s="405">
        <v>86</v>
      </c>
      <c r="M35" s="402">
        <v>3620.0180404712801</v>
      </c>
      <c r="N35" s="407">
        <f t="shared" si="1"/>
        <v>82.801350535065012</v>
      </c>
      <c r="O35" s="405">
        <v>90</v>
      </c>
      <c r="P35" s="405">
        <v>89</v>
      </c>
      <c r="Q35" s="405">
        <v>90</v>
      </c>
      <c r="R35" s="405">
        <v>90</v>
      </c>
      <c r="S35" s="408">
        <v>66.8</v>
      </c>
      <c r="T35" s="407">
        <f t="shared" si="2"/>
        <v>82.929292929292941</v>
      </c>
      <c r="U35" s="399"/>
      <c r="V35" s="354"/>
    </row>
    <row r="36" spans="1:22" s="13" customFormat="1" ht="15.75" customHeight="1" x14ac:dyDescent="0.25">
      <c r="A36" s="2">
        <v>32</v>
      </c>
      <c r="B36" s="3" t="s">
        <v>10</v>
      </c>
      <c r="C36" s="19" t="s">
        <v>35</v>
      </c>
      <c r="D36" s="400" t="s">
        <v>110</v>
      </c>
      <c r="E36" s="401">
        <f t="shared" si="0"/>
        <v>81.908810566945988</v>
      </c>
      <c r="F36" s="402">
        <v>39.22</v>
      </c>
      <c r="G36" s="402">
        <v>62.14</v>
      </c>
      <c r="H36" s="402">
        <v>11.61</v>
      </c>
      <c r="I36" s="402">
        <v>9.59</v>
      </c>
      <c r="J36" s="408">
        <v>99.5</v>
      </c>
      <c r="K36" s="405">
        <v>86</v>
      </c>
      <c r="L36" s="406">
        <v>65</v>
      </c>
      <c r="M36" s="402">
        <v>2631.3048976177902</v>
      </c>
      <c r="N36" s="407">
        <f t="shared" si="1"/>
        <v>80.18125749752835</v>
      </c>
      <c r="O36" s="405">
        <v>98</v>
      </c>
      <c r="P36" s="405">
        <v>92</v>
      </c>
      <c r="Q36" s="405">
        <v>96</v>
      </c>
      <c r="R36" s="405">
        <v>98</v>
      </c>
      <c r="S36" s="408">
        <v>56.4</v>
      </c>
      <c r="T36" s="407">
        <f t="shared" si="2"/>
        <v>83.636363636363626</v>
      </c>
      <c r="U36" s="399"/>
      <c r="V36" s="354"/>
    </row>
    <row r="37" spans="1:22" s="13" customFormat="1" ht="15.75" customHeight="1" x14ac:dyDescent="0.25">
      <c r="A37" s="2">
        <v>33</v>
      </c>
      <c r="B37" s="6" t="s">
        <v>13</v>
      </c>
      <c r="C37" s="10" t="s">
        <v>19</v>
      </c>
      <c r="D37" s="400" t="s">
        <v>155</v>
      </c>
      <c r="E37" s="401">
        <f t="shared" ref="E37:E68" si="3">(N37+T37)/2</f>
        <v>81.857587349666346</v>
      </c>
      <c r="F37" s="402">
        <v>38.68</v>
      </c>
      <c r="G37" s="402">
        <v>112.31</v>
      </c>
      <c r="H37" s="402">
        <v>5.6</v>
      </c>
      <c r="I37" s="402">
        <v>2.16</v>
      </c>
      <c r="J37" s="404">
        <v>100</v>
      </c>
      <c r="K37" s="405">
        <v>87</v>
      </c>
      <c r="L37" s="405">
        <v>89</v>
      </c>
      <c r="M37" s="402">
        <v>5282.8399186712804</v>
      </c>
      <c r="N37" s="407">
        <f t="shared" ref="N37:N68" si="4">((LN(MAX(MIN(F37,75),4))-LN(4))/(LN(75)-LN(4))*100*2+(LN(MAX(MIN(G37,160),16))-LN(16))/(LN(160)-LN(16))*100+(LN(MAX(MIN(H37,12),0.3))-LN(0.3))/(LN(12)-LN(0.3))*100+(LN(MAX(MIN(I37,20),0.3))-LN(0.3))/(LN(20)-LN(0.3))*100*1.5+((MAX(J37,50))-50)/(50)*100*2+((MAX(K37,40))-40)/(60)*100+L37+(LN(MAX(MIN(M37,8000),200))-LN(200))/(LN(8000)-LN(200))*100*1.5)/11</f>
        <v>80.886891871049869</v>
      </c>
      <c r="O37" s="405">
        <v>91</v>
      </c>
      <c r="P37" s="405">
        <v>81</v>
      </c>
      <c r="Q37" s="405">
        <v>89</v>
      </c>
      <c r="R37" s="405">
        <v>91</v>
      </c>
      <c r="S37" s="408">
        <v>70</v>
      </c>
      <c r="T37" s="407">
        <f t="shared" ref="T37:T68" si="5">((O37+P37+Q37+R37+S37*2)/6)/99*100</f>
        <v>82.828282828282823</v>
      </c>
      <c r="U37" s="399"/>
      <c r="V37" s="354"/>
    </row>
    <row r="38" spans="1:22" s="13" customFormat="1" ht="15.75" customHeight="1" x14ac:dyDescent="0.25">
      <c r="A38" s="2">
        <v>34</v>
      </c>
      <c r="B38" s="6" t="s">
        <v>13</v>
      </c>
      <c r="C38" s="10" t="s">
        <v>19</v>
      </c>
      <c r="D38" s="400" t="s">
        <v>71</v>
      </c>
      <c r="E38" s="401">
        <f t="shared" si="3"/>
        <v>81.845317083944593</v>
      </c>
      <c r="F38" s="402">
        <v>38.06</v>
      </c>
      <c r="G38" s="402">
        <v>39.840000000000003</v>
      </c>
      <c r="H38" s="402">
        <v>9.41</v>
      </c>
      <c r="I38" s="402">
        <v>7.86</v>
      </c>
      <c r="J38" s="408">
        <v>99.9</v>
      </c>
      <c r="K38" s="405">
        <v>81</v>
      </c>
      <c r="L38" s="406">
        <v>84.5</v>
      </c>
      <c r="M38" s="402">
        <v>3484.3572492083099</v>
      </c>
      <c r="N38" s="407">
        <f t="shared" si="4"/>
        <v>79.274947384793435</v>
      </c>
      <c r="O38" s="405">
        <v>94</v>
      </c>
      <c r="P38" s="405">
        <v>97</v>
      </c>
      <c r="Q38" s="405">
        <v>94</v>
      </c>
      <c r="R38" s="405">
        <v>94</v>
      </c>
      <c r="S38" s="404">
        <v>61.214589745794342</v>
      </c>
      <c r="T38" s="407">
        <f t="shared" si="5"/>
        <v>84.415686783095737</v>
      </c>
      <c r="U38" s="399"/>
      <c r="V38" s="354"/>
    </row>
    <row r="39" spans="1:22" s="13" customFormat="1" ht="15.75" customHeight="1" x14ac:dyDescent="0.25">
      <c r="A39" s="2">
        <v>35</v>
      </c>
      <c r="B39" s="6" t="s">
        <v>13</v>
      </c>
      <c r="C39" s="7" t="s">
        <v>14</v>
      </c>
      <c r="D39" s="400" t="s">
        <v>103</v>
      </c>
      <c r="E39" s="401">
        <f t="shared" si="3"/>
        <v>81.844967938296364</v>
      </c>
      <c r="F39" s="402">
        <v>35.869999999999997</v>
      </c>
      <c r="G39" s="402">
        <v>57.22</v>
      </c>
      <c r="H39" s="402">
        <v>7.56</v>
      </c>
      <c r="I39" s="402">
        <v>8.66</v>
      </c>
      <c r="J39" s="408">
        <v>98.7</v>
      </c>
      <c r="K39" s="405">
        <v>78</v>
      </c>
      <c r="L39" s="406">
        <v>84.5</v>
      </c>
      <c r="M39" s="402">
        <v>2109.4349037182201</v>
      </c>
      <c r="N39" s="407">
        <f t="shared" si="4"/>
        <v>77.3658549513911</v>
      </c>
      <c r="O39" s="405">
        <v>99</v>
      </c>
      <c r="P39" s="405">
        <v>99</v>
      </c>
      <c r="Q39" s="406">
        <v>89.36504069569763</v>
      </c>
      <c r="R39" s="405">
        <v>99</v>
      </c>
      <c r="S39" s="408">
        <v>63.2</v>
      </c>
      <c r="T39" s="407">
        <f t="shared" si="5"/>
        <v>86.324080925201628</v>
      </c>
      <c r="U39" s="399"/>
      <c r="V39" s="354"/>
    </row>
    <row r="40" spans="1:22" s="13" customFormat="1" ht="15.75" customHeight="1" x14ac:dyDescent="0.25">
      <c r="A40" s="2">
        <v>36</v>
      </c>
      <c r="B40" s="3" t="s">
        <v>10</v>
      </c>
      <c r="C40" s="22" t="s">
        <v>49</v>
      </c>
      <c r="D40" s="400" t="s">
        <v>185</v>
      </c>
      <c r="E40" s="401">
        <f t="shared" si="3"/>
        <v>81.475526251273067</v>
      </c>
      <c r="F40" s="402">
        <v>26.7</v>
      </c>
      <c r="G40" s="402">
        <v>70.900000000000006</v>
      </c>
      <c r="H40" s="402">
        <v>4.45</v>
      </c>
      <c r="I40" s="402">
        <v>6.04</v>
      </c>
      <c r="J40" s="408">
        <v>99.5</v>
      </c>
      <c r="K40" s="405">
        <v>89</v>
      </c>
      <c r="L40" s="405">
        <v>86</v>
      </c>
      <c r="M40" s="402">
        <v>3829.90494882147</v>
      </c>
      <c r="N40" s="407">
        <f t="shared" si="4"/>
        <v>78.203577755071407</v>
      </c>
      <c r="O40" s="405">
        <v>97</v>
      </c>
      <c r="P40" s="405">
        <v>93</v>
      </c>
      <c r="Q40" s="405">
        <v>96</v>
      </c>
      <c r="R40" s="405">
        <v>97</v>
      </c>
      <c r="S40" s="408">
        <v>60.2</v>
      </c>
      <c r="T40" s="407">
        <f t="shared" si="5"/>
        <v>84.74747474747474</v>
      </c>
      <c r="U40" s="399"/>
      <c r="V40" s="354"/>
    </row>
    <row r="41" spans="1:22" s="5" customFormat="1" ht="15.75" customHeight="1" x14ac:dyDescent="0.25">
      <c r="A41" s="2">
        <v>37</v>
      </c>
      <c r="B41" s="14" t="s">
        <v>23</v>
      </c>
      <c r="C41" s="16" t="s">
        <v>26</v>
      </c>
      <c r="D41" s="400" t="s">
        <v>67</v>
      </c>
      <c r="E41" s="401">
        <f t="shared" si="3"/>
        <v>81.410317505551021</v>
      </c>
      <c r="F41" s="402">
        <v>26.87</v>
      </c>
      <c r="G41" s="402">
        <v>30.71</v>
      </c>
      <c r="H41" s="402">
        <v>10.89</v>
      </c>
      <c r="I41" s="402">
        <v>12.09</v>
      </c>
      <c r="J41" s="408">
        <v>98.9</v>
      </c>
      <c r="K41" s="405">
        <v>95</v>
      </c>
      <c r="L41" s="405">
        <v>62</v>
      </c>
      <c r="M41" s="402">
        <v>1294.6123864951101</v>
      </c>
      <c r="N41" s="407">
        <f t="shared" si="4"/>
        <v>73.898076088543107</v>
      </c>
      <c r="O41" s="405">
        <v>99</v>
      </c>
      <c r="P41" s="405">
        <v>87</v>
      </c>
      <c r="Q41" s="405">
        <v>99</v>
      </c>
      <c r="R41" s="405">
        <v>99</v>
      </c>
      <c r="S41" s="408">
        <v>72.099999999999994</v>
      </c>
      <c r="T41" s="407">
        <f t="shared" si="5"/>
        <v>88.922558922558935</v>
      </c>
      <c r="U41" s="399"/>
      <c r="V41" s="121"/>
    </row>
    <row r="42" spans="1:22" s="5" customFormat="1" ht="15.75" customHeight="1" x14ac:dyDescent="0.25">
      <c r="A42" s="2">
        <v>38</v>
      </c>
      <c r="B42" s="6" t="s">
        <v>13</v>
      </c>
      <c r="C42" s="7" t="s">
        <v>14</v>
      </c>
      <c r="D42" s="400" t="s">
        <v>39</v>
      </c>
      <c r="E42" s="401">
        <f t="shared" si="3"/>
        <v>81.370449581039026</v>
      </c>
      <c r="F42" s="402">
        <v>47.96</v>
      </c>
      <c r="G42" s="402">
        <v>107.55</v>
      </c>
      <c r="H42" s="402">
        <v>6.16</v>
      </c>
      <c r="I42" s="402">
        <v>4.66</v>
      </c>
      <c r="J42" s="408">
        <v>99.9</v>
      </c>
      <c r="K42" s="405">
        <v>82</v>
      </c>
      <c r="L42" s="406">
        <v>84.5</v>
      </c>
      <c r="M42" s="402">
        <v>1464.2866066612901</v>
      </c>
      <c r="N42" s="407">
        <f t="shared" si="4"/>
        <v>78.835175256354148</v>
      </c>
      <c r="O42" s="405">
        <v>98</v>
      </c>
      <c r="P42" s="405">
        <v>98</v>
      </c>
      <c r="Q42" s="405">
        <v>98</v>
      </c>
      <c r="R42" s="405">
        <v>98</v>
      </c>
      <c r="S42" s="408">
        <v>53.2</v>
      </c>
      <c r="T42" s="407">
        <f t="shared" si="5"/>
        <v>83.905723905723903</v>
      </c>
      <c r="U42" s="399"/>
      <c r="V42" s="121"/>
    </row>
    <row r="43" spans="1:22" s="5" customFormat="1" ht="15.75" customHeight="1" x14ac:dyDescent="0.25">
      <c r="A43" s="2">
        <v>39</v>
      </c>
      <c r="B43" s="6" t="s">
        <v>13</v>
      </c>
      <c r="C43" s="7" t="s">
        <v>14</v>
      </c>
      <c r="D43" s="400" t="s">
        <v>69</v>
      </c>
      <c r="E43" s="401">
        <f t="shared" si="3"/>
        <v>80.925907012690004</v>
      </c>
      <c r="F43" s="402">
        <v>39.729999999999997</v>
      </c>
      <c r="G43" s="402">
        <v>80.45</v>
      </c>
      <c r="H43" s="402">
        <v>9.56</v>
      </c>
      <c r="I43" s="402">
        <v>8.7799999999999994</v>
      </c>
      <c r="J43" s="408">
        <v>99.9</v>
      </c>
      <c r="K43" s="405">
        <v>100</v>
      </c>
      <c r="L43" s="405">
        <v>85</v>
      </c>
      <c r="M43" s="402">
        <v>2713.1607854076801</v>
      </c>
      <c r="N43" s="407">
        <f t="shared" si="4"/>
        <v>84.713766887332866</v>
      </c>
      <c r="O43" s="405">
        <v>92</v>
      </c>
      <c r="P43" s="405">
        <v>89</v>
      </c>
      <c r="Q43" s="405">
        <v>91</v>
      </c>
      <c r="R43" s="405">
        <v>92</v>
      </c>
      <c r="S43" s="408">
        <v>47.1</v>
      </c>
      <c r="T43" s="407">
        <f t="shared" si="5"/>
        <v>77.138047138047128</v>
      </c>
      <c r="U43" s="399"/>
      <c r="V43" s="121"/>
    </row>
    <row r="44" spans="1:22" s="13" customFormat="1" ht="15.75" customHeight="1" x14ac:dyDescent="0.25">
      <c r="A44" s="2">
        <v>40</v>
      </c>
      <c r="B44" s="3" t="s">
        <v>10</v>
      </c>
      <c r="C44" s="22" t="s">
        <v>49</v>
      </c>
      <c r="D44" s="400" t="s">
        <v>202</v>
      </c>
      <c r="E44" s="401">
        <f t="shared" si="3"/>
        <v>80.694961851720322</v>
      </c>
      <c r="F44" s="403">
        <v>24.422027034805964</v>
      </c>
      <c r="G44" s="403">
        <v>72.396103181738169</v>
      </c>
      <c r="H44" s="403">
        <v>4.7108280582870634</v>
      </c>
      <c r="I44" s="403">
        <v>7.4212415893607027</v>
      </c>
      <c r="J44" s="404">
        <v>100</v>
      </c>
      <c r="K44" s="406">
        <v>76.212316789149895</v>
      </c>
      <c r="L44" s="406">
        <v>64</v>
      </c>
      <c r="M44" s="403">
        <v>2619.318685649187</v>
      </c>
      <c r="N44" s="407">
        <f t="shared" si="4"/>
        <v>73.381776893942344</v>
      </c>
      <c r="O44" s="406">
        <v>96.822145973168205</v>
      </c>
      <c r="P44" s="406">
        <v>94.788384545808782</v>
      </c>
      <c r="Q44" s="406">
        <v>95.938895556571097</v>
      </c>
      <c r="R44" s="406">
        <v>96.218965972871743</v>
      </c>
      <c r="S44" s="408">
        <v>69.5</v>
      </c>
      <c r="T44" s="407">
        <f t="shared" si="5"/>
        <v>88.008146809498299</v>
      </c>
      <c r="U44" s="399"/>
      <c r="V44" s="354"/>
    </row>
    <row r="45" spans="1:22" s="5" customFormat="1" ht="15.75" customHeight="1" x14ac:dyDescent="0.25">
      <c r="A45" s="2">
        <v>41</v>
      </c>
      <c r="B45" s="6" t="s">
        <v>13</v>
      </c>
      <c r="C45" s="7" t="s">
        <v>14</v>
      </c>
      <c r="D45" s="400" t="s">
        <v>51</v>
      </c>
      <c r="E45" s="401">
        <f t="shared" si="3"/>
        <v>80.638053141327134</v>
      </c>
      <c r="F45" s="402">
        <v>43.92</v>
      </c>
      <c r="G45" s="402">
        <v>46.83</v>
      </c>
      <c r="H45" s="402">
        <v>11.29</v>
      </c>
      <c r="I45" s="402">
        <v>9.59</v>
      </c>
      <c r="J45" s="408">
        <v>94.2</v>
      </c>
      <c r="K45" s="405">
        <v>100</v>
      </c>
      <c r="L45" s="405">
        <v>62</v>
      </c>
      <c r="M45" s="402">
        <v>1865.20130292875</v>
      </c>
      <c r="N45" s="407">
        <f t="shared" si="4"/>
        <v>78.346813353361313</v>
      </c>
      <c r="O45" s="405">
        <v>94</v>
      </c>
      <c r="P45" s="405">
        <v>91</v>
      </c>
      <c r="Q45" s="405">
        <v>94</v>
      </c>
      <c r="R45" s="405">
        <v>94</v>
      </c>
      <c r="S45" s="408">
        <v>59.8</v>
      </c>
      <c r="T45" s="407">
        <f t="shared" si="5"/>
        <v>82.929292929292941</v>
      </c>
      <c r="U45" s="399"/>
      <c r="V45" s="121"/>
    </row>
    <row r="46" spans="1:22" s="13" customFormat="1" ht="15.75" customHeight="1" x14ac:dyDescent="0.25">
      <c r="A46" s="2">
        <v>42</v>
      </c>
      <c r="B46" s="6" t="s">
        <v>13</v>
      </c>
      <c r="C46" s="7" t="s">
        <v>14</v>
      </c>
      <c r="D46" s="400" t="s">
        <v>186</v>
      </c>
      <c r="E46" s="401">
        <f t="shared" si="3"/>
        <v>80.354199867779613</v>
      </c>
      <c r="F46" s="402">
        <v>37.61</v>
      </c>
      <c r="G46" s="402">
        <v>59.72</v>
      </c>
      <c r="H46" s="402">
        <v>5.37</v>
      </c>
      <c r="I46" s="402">
        <v>8.49</v>
      </c>
      <c r="J46" s="408">
        <v>97.2</v>
      </c>
      <c r="K46" s="405">
        <v>69</v>
      </c>
      <c r="L46" s="405">
        <v>65</v>
      </c>
      <c r="M46" s="402">
        <v>2550.1297208104802</v>
      </c>
      <c r="N46" s="407">
        <f t="shared" si="4"/>
        <v>73.940722967882479</v>
      </c>
      <c r="O46" s="405">
        <v>96</v>
      </c>
      <c r="P46" s="405">
        <v>94</v>
      </c>
      <c r="Q46" s="405">
        <v>96</v>
      </c>
      <c r="R46" s="405">
        <v>96</v>
      </c>
      <c r="S46" s="408">
        <v>66.7</v>
      </c>
      <c r="T46" s="407">
        <f t="shared" si="5"/>
        <v>86.767676767676761</v>
      </c>
      <c r="U46" s="399"/>
      <c r="V46" s="354"/>
    </row>
    <row r="47" spans="1:22" s="5" customFormat="1" ht="15.75" customHeight="1" x14ac:dyDescent="0.25">
      <c r="A47" s="2">
        <v>43</v>
      </c>
      <c r="B47" s="3" t="s">
        <v>10</v>
      </c>
      <c r="C47" s="22" t="s">
        <v>49</v>
      </c>
      <c r="D47" s="400" t="s">
        <v>134</v>
      </c>
      <c r="E47" s="401">
        <f t="shared" si="3"/>
        <v>80.276347603992775</v>
      </c>
      <c r="F47" s="403">
        <v>27.219486832484844</v>
      </c>
      <c r="G47" s="403">
        <v>83.747700252581666</v>
      </c>
      <c r="H47" s="403">
        <v>5.0997783952384994</v>
      </c>
      <c r="I47" s="403">
        <v>7.3174072189211188</v>
      </c>
      <c r="J47" s="404">
        <v>100</v>
      </c>
      <c r="K47" s="405">
        <v>65</v>
      </c>
      <c r="L47" s="406">
        <v>64</v>
      </c>
      <c r="M47" s="403">
        <v>3459.4206520766397</v>
      </c>
      <c r="N47" s="407">
        <f t="shared" si="4"/>
        <v>74.108806523130212</v>
      </c>
      <c r="O47" s="406">
        <v>99</v>
      </c>
      <c r="P47" s="406">
        <v>98.019599749182603</v>
      </c>
      <c r="Q47" s="406">
        <v>98.659891509578202</v>
      </c>
      <c r="R47" s="406">
        <v>99</v>
      </c>
      <c r="S47" s="404">
        <v>59.398603764640001</v>
      </c>
      <c r="T47" s="407">
        <f t="shared" si="5"/>
        <v>86.443888684855338</v>
      </c>
      <c r="U47" s="399"/>
      <c r="V47" s="121"/>
    </row>
    <row r="48" spans="1:22" s="5" customFormat="1" ht="15.75" customHeight="1" x14ac:dyDescent="0.25">
      <c r="A48" s="2">
        <v>44</v>
      </c>
      <c r="B48" s="14" t="s">
        <v>23</v>
      </c>
      <c r="C48" s="16" t="s">
        <v>26</v>
      </c>
      <c r="D48" s="400" t="s">
        <v>61</v>
      </c>
      <c r="E48" s="401">
        <f t="shared" si="3"/>
        <v>80.232970818609104</v>
      </c>
      <c r="F48" s="402">
        <v>34.9</v>
      </c>
      <c r="G48" s="402">
        <v>47.16</v>
      </c>
      <c r="H48" s="402">
        <v>16.77</v>
      </c>
      <c r="I48" s="402">
        <v>7.27</v>
      </c>
      <c r="J48" s="408">
        <v>99.4</v>
      </c>
      <c r="K48" s="405">
        <v>82</v>
      </c>
      <c r="L48" s="405">
        <v>71</v>
      </c>
      <c r="M48" s="402">
        <v>1722.32025612042</v>
      </c>
      <c r="N48" s="407">
        <f t="shared" si="4"/>
        <v>75.886817058093627</v>
      </c>
      <c r="O48" s="405">
        <v>95</v>
      </c>
      <c r="P48" s="405">
        <v>73</v>
      </c>
      <c r="Q48" s="405">
        <v>95</v>
      </c>
      <c r="R48" s="405">
        <v>95</v>
      </c>
      <c r="S48" s="408">
        <v>72.2</v>
      </c>
      <c r="T48" s="407">
        <f t="shared" si="5"/>
        <v>84.579124579124581</v>
      </c>
      <c r="U48" s="399"/>
      <c r="V48" s="121"/>
    </row>
    <row r="49" spans="1:22" s="5" customFormat="1" ht="15.75" customHeight="1" x14ac:dyDescent="0.25">
      <c r="A49" s="2">
        <v>45</v>
      </c>
      <c r="B49" s="6" t="s">
        <v>13</v>
      </c>
      <c r="C49" s="10" t="s">
        <v>19</v>
      </c>
      <c r="D49" s="400" t="s">
        <v>94</v>
      </c>
      <c r="E49" s="401">
        <f t="shared" si="3"/>
        <v>80.081971315815821</v>
      </c>
      <c r="F49" s="402">
        <v>67.12</v>
      </c>
      <c r="G49" s="402">
        <v>41.28</v>
      </c>
      <c r="H49" s="402">
        <v>13.59</v>
      </c>
      <c r="I49" s="402">
        <v>11.21</v>
      </c>
      <c r="J49" s="408">
        <v>99.7</v>
      </c>
      <c r="K49" s="405">
        <v>100</v>
      </c>
      <c r="L49" s="405">
        <v>66</v>
      </c>
      <c r="M49" s="402">
        <v>1748.5921793949699</v>
      </c>
      <c r="N49" s="407">
        <f t="shared" si="4"/>
        <v>83.261585729274742</v>
      </c>
      <c r="O49" s="405">
        <v>95</v>
      </c>
      <c r="P49" s="405">
        <v>71</v>
      </c>
      <c r="Q49" s="405">
        <v>92</v>
      </c>
      <c r="R49" s="405">
        <v>95</v>
      </c>
      <c r="S49" s="408">
        <v>51.9</v>
      </c>
      <c r="T49" s="407">
        <f t="shared" si="5"/>
        <v>76.9023569023569</v>
      </c>
      <c r="U49" s="399"/>
      <c r="V49" s="121"/>
    </row>
    <row r="50" spans="1:22" s="5" customFormat="1" ht="15.75" customHeight="1" x14ac:dyDescent="0.25">
      <c r="A50" s="2">
        <v>46</v>
      </c>
      <c r="B50" s="14" t="s">
        <v>23</v>
      </c>
      <c r="C50" s="16" t="s">
        <v>26</v>
      </c>
      <c r="D50" s="400" t="s">
        <v>218</v>
      </c>
      <c r="E50" s="401">
        <f t="shared" si="3"/>
        <v>79.770757580972287</v>
      </c>
      <c r="F50" s="402">
        <v>45.51</v>
      </c>
      <c r="G50" s="402">
        <v>76.25</v>
      </c>
      <c r="H50" s="402">
        <v>2.6</v>
      </c>
      <c r="I50" s="402">
        <v>0.72</v>
      </c>
      <c r="J50" s="408">
        <v>100</v>
      </c>
      <c r="K50" s="405">
        <v>81</v>
      </c>
      <c r="L50" s="405">
        <v>81</v>
      </c>
      <c r="M50" s="402">
        <v>2268.6331132771802</v>
      </c>
      <c r="N50" s="407">
        <f t="shared" si="4"/>
        <v>70.147575768005197</v>
      </c>
      <c r="O50" s="405">
        <v>94</v>
      </c>
      <c r="P50" s="405">
        <v>95</v>
      </c>
      <c r="Q50" s="405">
        <v>94</v>
      </c>
      <c r="R50" s="405">
        <v>94</v>
      </c>
      <c r="S50" s="408">
        <v>77</v>
      </c>
      <c r="T50" s="407">
        <f t="shared" si="5"/>
        <v>89.393939393939391</v>
      </c>
      <c r="U50" s="399"/>
      <c r="V50" s="121"/>
    </row>
    <row r="51" spans="1:22" s="5" customFormat="1" ht="15.75" customHeight="1" x14ac:dyDescent="0.25">
      <c r="A51" s="2">
        <v>47</v>
      </c>
      <c r="B51" s="6" t="s">
        <v>13</v>
      </c>
      <c r="C51" s="7" t="s">
        <v>14</v>
      </c>
      <c r="D51" s="400" t="s">
        <v>171</v>
      </c>
      <c r="E51" s="401">
        <f t="shared" si="3"/>
        <v>79.726842910117298</v>
      </c>
      <c r="F51" s="402">
        <v>36.49</v>
      </c>
      <c r="G51" s="402">
        <v>63.11</v>
      </c>
      <c r="H51" s="402">
        <v>9.51</v>
      </c>
      <c r="I51" s="402">
        <v>7.39</v>
      </c>
      <c r="J51" s="408">
        <v>99.6</v>
      </c>
      <c r="K51" s="405">
        <v>91</v>
      </c>
      <c r="L51" s="406">
        <v>84.5</v>
      </c>
      <c r="M51" s="402">
        <v>2569.0328935949401</v>
      </c>
      <c r="N51" s="407">
        <f t="shared" si="4"/>
        <v>80.935167301716078</v>
      </c>
      <c r="O51" s="405">
        <v>94</v>
      </c>
      <c r="P51" s="405">
        <v>82</v>
      </c>
      <c r="Q51" s="405">
        <v>87</v>
      </c>
      <c r="R51" s="405">
        <v>86</v>
      </c>
      <c r="S51" s="408">
        <v>58.7</v>
      </c>
      <c r="T51" s="407">
        <f t="shared" si="5"/>
        <v>78.518518518518519</v>
      </c>
      <c r="U51" s="399"/>
      <c r="V51" s="121"/>
    </row>
    <row r="52" spans="1:22" s="13" customFormat="1" ht="15.75" customHeight="1" x14ac:dyDescent="0.25">
      <c r="A52" s="2">
        <v>48</v>
      </c>
      <c r="B52" s="3" t="s">
        <v>10</v>
      </c>
      <c r="C52" s="19" t="s">
        <v>35</v>
      </c>
      <c r="D52" s="400" t="s">
        <v>180</v>
      </c>
      <c r="E52" s="401">
        <f t="shared" si="3"/>
        <v>79.488662488242923</v>
      </c>
      <c r="F52" s="402">
        <v>34.06</v>
      </c>
      <c r="G52" s="402">
        <v>65.569999999999993</v>
      </c>
      <c r="H52" s="402">
        <v>7.81</v>
      </c>
      <c r="I52" s="402">
        <v>11.07</v>
      </c>
      <c r="J52" s="408">
        <v>99.6</v>
      </c>
      <c r="K52" s="405">
        <v>91</v>
      </c>
      <c r="L52" s="405">
        <v>93</v>
      </c>
      <c r="M52" s="402">
        <v>2702.43523564938</v>
      </c>
      <c r="N52" s="407">
        <f t="shared" si="4"/>
        <v>82.445338444499313</v>
      </c>
      <c r="O52" s="405">
        <v>97</v>
      </c>
      <c r="P52" s="405">
        <v>96</v>
      </c>
      <c r="Q52" s="405">
        <v>97</v>
      </c>
      <c r="R52" s="405">
        <v>97</v>
      </c>
      <c r="S52" s="408">
        <v>33.799999999999997</v>
      </c>
      <c r="T52" s="407">
        <f t="shared" si="5"/>
        <v>76.531986531986533</v>
      </c>
      <c r="U52" s="399"/>
      <c r="V52" s="354"/>
    </row>
    <row r="53" spans="1:22" s="5" customFormat="1" ht="15.75" customHeight="1" x14ac:dyDescent="0.25">
      <c r="A53" s="2">
        <v>49</v>
      </c>
      <c r="B53" s="3" t="s">
        <v>10</v>
      </c>
      <c r="C53" s="19" t="s">
        <v>35</v>
      </c>
      <c r="D53" s="400" t="s">
        <v>123</v>
      </c>
      <c r="E53" s="401">
        <f t="shared" si="3"/>
        <v>79.467893252835466</v>
      </c>
      <c r="F53" s="402">
        <v>29.69</v>
      </c>
      <c r="G53" s="402">
        <v>67.099999999999994</v>
      </c>
      <c r="H53" s="402">
        <v>8.34</v>
      </c>
      <c r="I53" s="402">
        <v>9</v>
      </c>
      <c r="J53" s="408">
        <v>100</v>
      </c>
      <c r="K53" s="405">
        <v>77</v>
      </c>
      <c r="L53" s="405">
        <v>69</v>
      </c>
      <c r="M53" s="402">
        <v>2272.9037332216499</v>
      </c>
      <c r="N53" s="407">
        <f t="shared" si="4"/>
        <v>76.376863946748387</v>
      </c>
      <c r="O53" s="405">
        <v>99</v>
      </c>
      <c r="P53" s="405">
        <v>94</v>
      </c>
      <c r="Q53" s="405">
        <v>99</v>
      </c>
      <c r="R53" s="405">
        <v>99</v>
      </c>
      <c r="S53" s="408">
        <v>49.7</v>
      </c>
      <c r="T53" s="407">
        <f t="shared" si="5"/>
        <v>82.558922558922561</v>
      </c>
      <c r="U53" s="399"/>
      <c r="V53" s="121"/>
    </row>
    <row r="54" spans="1:22" s="5" customFormat="1" ht="15.75" customHeight="1" x14ac:dyDescent="0.25">
      <c r="A54" s="2">
        <v>50</v>
      </c>
      <c r="B54" s="3" t="s">
        <v>10</v>
      </c>
      <c r="C54" s="22" t="s">
        <v>49</v>
      </c>
      <c r="D54" s="400" t="s">
        <v>62</v>
      </c>
      <c r="E54" s="401">
        <f t="shared" si="3"/>
        <v>79.203632950138484</v>
      </c>
      <c r="F54" s="402">
        <v>28.19</v>
      </c>
      <c r="G54" s="402">
        <v>39.630000000000003</v>
      </c>
      <c r="H54" s="402">
        <v>4.51</v>
      </c>
      <c r="I54" s="402">
        <v>4</v>
      </c>
      <c r="J54" s="408">
        <v>99.9</v>
      </c>
      <c r="K54" s="405">
        <v>76</v>
      </c>
      <c r="L54" s="406">
        <v>64</v>
      </c>
      <c r="M54" s="402">
        <v>848.975305692657</v>
      </c>
      <c r="N54" s="407">
        <f t="shared" si="4"/>
        <v>65.545313038324082</v>
      </c>
      <c r="O54" s="405">
        <v>97</v>
      </c>
      <c r="P54" s="405">
        <v>95</v>
      </c>
      <c r="Q54" s="405">
        <v>96</v>
      </c>
      <c r="R54" s="405">
        <v>97</v>
      </c>
      <c r="S54" s="408">
        <v>83.3</v>
      </c>
      <c r="T54" s="407">
        <f t="shared" si="5"/>
        <v>92.861952861952872</v>
      </c>
      <c r="U54" s="399"/>
      <c r="V54" s="121"/>
    </row>
    <row r="55" spans="1:22" s="5" customFormat="1" ht="15.75" customHeight="1" x14ac:dyDescent="0.25">
      <c r="A55" s="2">
        <v>51</v>
      </c>
      <c r="B55" s="3" t="s">
        <v>10</v>
      </c>
      <c r="C55" s="19" t="s">
        <v>35</v>
      </c>
      <c r="D55" s="400" t="s">
        <v>215</v>
      </c>
      <c r="E55" s="401">
        <f t="shared" si="3"/>
        <v>78.656037381274956</v>
      </c>
      <c r="F55" s="402">
        <v>29.92</v>
      </c>
      <c r="G55" s="402">
        <v>61.56</v>
      </c>
      <c r="H55" s="402">
        <v>8.85</v>
      </c>
      <c r="I55" s="402">
        <v>15.28</v>
      </c>
      <c r="J55" s="408">
        <v>100</v>
      </c>
      <c r="K55" s="405">
        <v>82</v>
      </c>
      <c r="L55" s="405">
        <v>77</v>
      </c>
      <c r="M55" s="402">
        <v>2488.9478407004199</v>
      </c>
      <c r="N55" s="407">
        <f t="shared" si="4"/>
        <v>79.769987220462369</v>
      </c>
      <c r="O55" s="405">
        <v>96</v>
      </c>
      <c r="P55" s="405">
        <v>92</v>
      </c>
      <c r="Q55" s="405">
        <v>93</v>
      </c>
      <c r="R55" s="405">
        <v>95</v>
      </c>
      <c r="S55" s="408">
        <v>42.3</v>
      </c>
      <c r="T55" s="407">
        <f t="shared" si="5"/>
        <v>77.542087542087543</v>
      </c>
      <c r="U55" s="399"/>
      <c r="V55" s="121"/>
    </row>
    <row r="56" spans="1:22" s="5" customFormat="1" ht="15.75" customHeight="1" x14ac:dyDescent="0.25">
      <c r="A56" s="2">
        <v>52</v>
      </c>
      <c r="B56" s="6" t="s">
        <v>13</v>
      </c>
      <c r="C56" s="7" t="s">
        <v>14</v>
      </c>
      <c r="D56" s="400" t="s">
        <v>132</v>
      </c>
      <c r="E56" s="401">
        <f t="shared" si="3"/>
        <v>78.609909666935749</v>
      </c>
      <c r="F56" s="402">
        <v>46.45</v>
      </c>
      <c r="G56" s="402">
        <v>77.900000000000006</v>
      </c>
      <c r="H56" s="402">
        <v>11.65</v>
      </c>
      <c r="I56" s="402">
        <v>9.4600000000000009</v>
      </c>
      <c r="J56" s="408">
        <v>100</v>
      </c>
      <c r="K56" s="405">
        <v>73</v>
      </c>
      <c r="L56" s="405">
        <v>52</v>
      </c>
      <c r="M56" s="402">
        <v>2483.11321037472</v>
      </c>
      <c r="N56" s="407">
        <f t="shared" si="4"/>
        <v>78.903321017373187</v>
      </c>
      <c r="O56" s="405">
        <v>89</v>
      </c>
      <c r="P56" s="405">
        <v>85</v>
      </c>
      <c r="Q56" s="405">
        <v>87</v>
      </c>
      <c r="R56" s="405">
        <v>89</v>
      </c>
      <c r="S56" s="408">
        <v>57.6</v>
      </c>
      <c r="T56" s="407">
        <f t="shared" si="5"/>
        <v>78.316498316498311</v>
      </c>
      <c r="U56" s="399"/>
      <c r="V56" s="121"/>
    </row>
    <row r="57" spans="1:22" s="5" customFormat="1" ht="15.75" customHeight="1" x14ac:dyDescent="0.25">
      <c r="A57" s="2">
        <v>53</v>
      </c>
      <c r="B57" s="14" t="s">
        <v>23</v>
      </c>
      <c r="C57" s="15" t="s">
        <v>24</v>
      </c>
      <c r="D57" s="400" t="s">
        <v>25</v>
      </c>
      <c r="E57" s="401">
        <f t="shared" si="3"/>
        <v>78.549796745403796</v>
      </c>
      <c r="F57" s="402">
        <v>43.18</v>
      </c>
      <c r="G57" s="402">
        <v>50.75</v>
      </c>
      <c r="H57" s="402">
        <v>2.35</v>
      </c>
      <c r="I57" s="402">
        <v>9.06</v>
      </c>
      <c r="J57" s="408">
        <v>99</v>
      </c>
      <c r="K57" s="405">
        <v>100</v>
      </c>
      <c r="L57" s="406">
        <v>67.5</v>
      </c>
      <c r="M57" s="402">
        <v>732.14447242122105</v>
      </c>
      <c r="N57" s="407">
        <f t="shared" si="4"/>
        <v>73.294879686093793</v>
      </c>
      <c r="O57" s="405">
        <v>99</v>
      </c>
      <c r="P57" s="405">
        <v>82</v>
      </c>
      <c r="Q57" s="405">
        <v>99</v>
      </c>
      <c r="R57" s="405">
        <v>99</v>
      </c>
      <c r="S57" s="408">
        <v>59.4</v>
      </c>
      <c r="T57" s="407">
        <f t="shared" si="5"/>
        <v>83.804713804713799</v>
      </c>
      <c r="U57" s="399"/>
      <c r="V57" s="121"/>
    </row>
    <row r="58" spans="1:22" s="5" customFormat="1" ht="15.75" customHeight="1" x14ac:dyDescent="0.25">
      <c r="A58" s="2">
        <v>54</v>
      </c>
      <c r="B58" s="14" t="s">
        <v>23</v>
      </c>
      <c r="C58" s="15" t="s">
        <v>24</v>
      </c>
      <c r="D58" s="400" t="s">
        <v>196</v>
      </c>
      <c r="E58" s="401">
        <f t="shared" si="3"/>
        <v>78.179001169551015</v>
      </c>
      <c r="F58" s="402">
        <v>18.989999999999998</v>
      </c>
      <c r="G58" s="402">
        <v>80.16</v>
      </c>
      <c r="H58" s="402">
        <v>2.27</v>
      </c>
      <c r="I58" s="402">
        <v>7.01</v>
      </c>
      <c r="J58" s="408">
        <v>99</v>
      </c>
      <c r="K58" s="405">
        <v>100</v>
      </c>
      <c r="L58" s="406">
        <v>67.5</v>
      </c>
      <c r="M58" s="402">
        <v>627.01753011507299</v>
      </c>
      <c r="N58" s="407">
        <f t="shared" si="4"/>
        <v>68.512884493984203</v>
      </c>
      <c r="O58" s="405">
        <v>99</v>
      </c>
      <c r="P58" s="405">
        <v>99</v>
      </c>
      <c r="Q58" s="405">
        <v>99</v>
      </c>
      <c r="R58" s="405">
        <v>99</v>
      </c>
      <c r="S58" s="408">
        <v>62.9</v>
      </c>
      <c r="T58" s="407">
        <f t="shared" si="5"/>
        <v>87.845117845117841</v>
      </c>
      <c r="U58" s="399"/>
      <c r="V58" s="121"/>
    </row>
    <row r="59" spans="1:22" s="5" customFormat="1" ht="15.75" customHeight="1" x14ac:dyDescent="0.25">
      <c r="A59" s="2">
        <v>55</v>
      </c>
      <c r="B59" s="6" t="s">
        <v>13</v>
      </c>
      <c r="C59" s="7" t="s">
        <v>14</v>
      </c>
      <c r="D59" s="400" t="s">
        <v>126</v>
      </c>
      <c r="E59" s="401">
        <f t="shared" si="3"/>
        <v>78.161742761081015</v>
      </c>
      <c r="F59" s="402">
        <v>33.520000000000003</v>
      </c>
      <c r="G59" s="402">
        <v>43.62</v>
      </c>
      <c r="H59" s="402">
        <v>7.18</v>
      </c>
      <c r="I59" s="402">
        <v>8.59</v>
      </c>
      <c r="J59" s="408">
        <v>98.5</v>
      </c>
      <c r="K59" s="405">
        <v>72</v>
      </c>
      <c r="L59" s="405">
        <v>52</v>
      </c>
      <c r="M59" s="402">
        <v>1803.79090357787</v>
      </c>
      <c r="N59" s="407">
        <f t="shared" si="4"/>
        <v>71.20564040431691</v>
      </c>
      <c r="O59" s="405">
        <v>97</v>
      </c>
      <c r="P59" s="405">
        <v>88</v>
      </c>
      <c r="Q59" s="405">
        <v>99</v>
      </c>
      <c r="R59" s="405">
        <v>97</v>
      </c>
      <c r="S59" s="408">
        <v>62.3</v>
      </c>
      <c r="T59" s="407">
        <f t="shared" si="5"/>
        <v>85.117845117845121</v>
      </c>
      <c r="U59" s="399"/>
      <c r="V59" s="121"/>
    </row>
    <row r="60" spans="1:22" s="5" customFormat="1" ht="15.75" customHeight="1" x14ac:dyDescent="0.25">
      <c r="A60" s="2">
        <v>56</v>
      </c>
      <c r="B60" s="3" t="s">
        <v>10</v>
      </c>
      <c r="C60" s="19" t="s">
        <v>35</v>
      </c>
      <c r="D60" s="400" t="s">
        <v>173</v>
      </c>
      <c r="E60" s="401">
        <f t="shared" si="3"/>
        <v>78.105250291467399</v>
      </c>
      <c r="F60" s="402">
        <v>31.36</v>
      </c>
      <c r="G60" s="402">
        <v>86.07</v>
      </c>
      <c r="H60" s="402">
        <v>7.23</v>
      </c>
      <c r="I60" s="402">
        <v>12.87</v>
      </c>
      <c r="J60" s="408">
        <v>100</v>
      </c>
      <c r="K60" s="405">
        <v>76</v>
      </c>
      <c r="L60" s="405">
        <v>46</v>
      </c>
      <c r="M60" s="402">
        <v>2408.10891806475</v>
      </c>
      <c r="N60" s="407">
        <f t="shared" si="4"/>
        <v>76.479860852295076</v>
      </c>
      <c r="O60" s="405">
        <v>96</v>
      </c>
      <c r="P60" s="405">
        <v>99</v>
      </c>
      <c r="Q60" s="405">
        <v>96</v>
      </c>
      <c r="R60" s="405">
        <v>98</v>
      </c>
      <c r="S60" s="408">
        <v>42.3</v>
      </c>
      <c r="T60" s="407">
        <f t="shared" si="5"/>
        <v>79.730639730639723</v>
      </c>
      <c r="U60" s="399"/>
      <c r="V60" s="121"/>
    </row>
    <row r="61" spans="1:22" s="5" customFormat="1" ht="15.75" customHeight="1" x14ac:dyDescent="0.25">
      <c r="A61" s="2">
        <v>57</v>
      </c>
      <c r="B61" s="6" t="s">
        <v>13</v>
      </c>
      <c r="C61" s="7" t="s">
        <v>14</v>
      </c>
      <c r="D61" s="400" t="s">
        <v>175</v>
      </c>
      <c r="E61" s="401">
        <f t="shared" si="3"/>
        <v>77.995558910653955</v>
      </c>
      <c r="F61" s="402">
        <v>51.11</v>
      </c>
      <c r="G61" s="402">
        <v>70.39</v>
      </c>
      <c r="H61" s="402">
        <v>2.79</v>
      </c>
      <c r="I61" s="402">
        <v>0.39</v>
      </c>
      <c r="J61" s="408">
        <v>99.7</v>
      </c>
      <c r="K61" s="405">
        <v>100</v>
      </c>
      <c r="L61" s="406">
        <v>84.5</v>
      </c>
      <c r="M61" s="402">
        <v>2244.04623326602</v>
      </c>
      <c r="N61" s="407">
        <f t="shared" si="4"/>
        <v>71.782363612553709</v>
      </c>
      <c r="O61" s="405">
        <v>97</v>
      </c>
      <c r="P61" s="405">
        <v>93</v>
      </c>
      <c r="Q61" s="405">
        <v>97</v>
      </c>
      <c r="R61" s="405">
        <v>97</v>
      </c>
      <c r="S61" s="408">
        <v>58.1</v>
      </c>
      <c r="T61" s="407">
        <f t="shared" si="5"/>
        <v>84.2087542087542</v>
      </c>
      <c r="U61" s="399"/>
      <c r="V61" s="121"/>
    </row>
    <row r="62" spans="1:22" s="5" customFormat="1" ht="15.75" customHeight="1" x14ac:dyDescent="0.25">
      <c r="A62" s="2">
        <v>58</v>
      </c>
      <c r="B62" s="14" t="s">
        <v>23</v>
      </c>
      <c r="C62" s="15" t="s">
        <v>24</v>
      </c>
      <c r="D62" s="400" t="s">
        <v>194</v>
      </c>
      <c r="E62" s="401">
        <f t="shared" si="3"/>
        <v>77.332091629783292</v>
      </c>
      <c r="F62" s="402">
        <v>30.85</v>
      </c>
      <c r="G62" s="402">
        <v>65.81</v>
      </c>
      <c r="H62" s="402">
        <v>2.5499999999999998</v>
      </c>
      <c r="I62" s="403">
        <v>3.2193716583779466</v>
      </c>
      <c r="J62" s="408">
        <v>99.4</v>
      </c>
      <c r="K62" s="405">
        <v>100</v>
      </c>
      <c r="L62" s="406">
        <v>67.5</v>
      </c>
      <c r="M62" s="402">
        <v>1050.3491847673899</v>
      </c>
      <c r="N62" s="407">
        <f t="shared" si="4"/>
        <v>70.556439151822474</v>
      </c>
      <c r="O62" s="405">
        <v>97</v>
      </c>
      <c r="P62" s="405">
        <v>97</v>
      </c>
      <c r="Q62" s="405">
        <v>97</v>
      </c>
      <c r="R62" s="405">
        <v>97</v>
      </c>
      <c r="S62" s="408">
        <v>55.8</v>
      </c>
      <c r="T62" s="407">
        <f t="shared" si="5"/>
        <v>84.107744107744111</v>
      </c>
      <c r="U62" s="399"/>
      <c r="V62" s="121"/>
    </row>
    <row r="63" spans="1:22" s="5" customFormat="1" ht="15.75" customHeight="1" x14ac:dyDescent="0.25">
      <c r="A63" s="2">
        <v>59</v>
      </c>
      <c r="B63" s="3" t="s">
        <v>10</v>
      </c>
      <c r="C63" s="25" t="s">
        <v>115</v>
      </c>
      <c r="D63" s="400" t="s">
        <v>116</v>
      </c>
      <c r="E63" s="401">
        <f t="shared" si="3"/>
        <v>76.45110069237677</v>
      </c>
      <c r="F63" s="402">
        <v>30.59</v>
      </c>
      <c r="G63" s="402">
        <v>66.05</v>
      </c>
      <c r="H63" s="402">
        <v>2.25</v>
      </c>
      <c r="I63" s="402">
        <v>3.33</v>
      </c>
      <c r="J63" s="408">
        <v>99.9</v>
      </c>
      <c r="K63" s="405">
        <v>99</v>
      </c>
      <c r="L63" s="405">
        <v>74</v>
      </c>
      <c r="M63" s="402">
        <v>961.13174571069806</v>
      </c>
      <c r="N63" s="407">
        <f t="shared" si="4"/>
        <v>70.612639095191255</v>
      </c>
      <c r="O63" s="405">
        <v>98</v>
      </c>
      <c r="P63" s="405">
        <v>92</v>
      </c>
      <c r="Q63" s="405">
        <v>98</v>
      </c>
      <c r="R63" s="405">
        <v>98</v>
      </c>
      <c r="S63" s="408">
        <v>51.4</v>
      </c>
      <c r="T63" s="407">
        <f t="shared" si="5"/>
        <v>82.289562289562284</v>
      </c>
      <c r="U63" s="399"/>
      <c r="V63" s="121"/>
    </row>
    <row r="64" spans="1:22" s="5" customFormat="1" ht="15.75" customHeight="1" x14ac:dyDescent="0.25">
      <c r="A64" s="2">
        <v>60</v>
      </c>
      <c r="B64" s="6" t="s">
        <v>13</v>
      </c>
      <c r="C64" s="7" t="s">
        <v>14</v>
      </c>
      <c r="D64" s="400" t="s">
        <v>82</v>
      </c>
      <c r="E64" s="401">
        <f t="shared" si="3"/>
        <v>76.260840692893112</v>
      </c>
      <c r="F64" s="402">
        <v>34.9</v>
      </c>
      <c r="G64" s="402">
        <v>70.41</v>
      </c>
      <c r="H64" s="402">
        <v>10.29</v>
      </c>
      <c r="I64" s="402">
        <v>6.99</v>
      </c>
      <c r="J64" s="408">
        <v>99.9</v>
      </c>
      <c r="K64" s="405">
        <v>79</v>
      </c>
      <c r="L64" s="405">
        <v>69</v>
      </c>
      <c r="M64" s="402">
        <v>2657.0592080075999</v>
      </c>
      <c r="N64" s="407">
        <f t="shared" si="4"/>
        <v>78.110906975011801</v>
      </c>
      <c r="O64" s="405">
        <v>81</v>
      </c>
      <c r="P64" s="405">
        <v>74</v>
      </c>
      <c r="Q64" s="405">
        <v>81</v>
      </c>
      <c r="R64" s="405">
        <v>81</v>
      </c>
      <c r="S64" s="408">
        <v>62.5</v>
      </c>
      <c r="T64" s="407">
        <f t="shared" si="5"/>
        <v>74.410774410774422</v>
      </c>
      <c r="U64" s="399"/>
      <c r="V64" s="121"/>
    </row>
    <row r="65" spans="1:22" s="5" customFormat="1" ht="15.75" customHeight="1" x14ac:dyDescent="0.25">
      <c r="A65" s="2">
        <v>61</v>
      </c>
      <c r="B65" s="14" t="s">
        <v>23</v>
      </c>
      <c r="C65" s="16" t="s">
        <v>26</v>
      </c>
      <c r="D65" s="400" t="s">
        <v>48</v>
      </c>
      <c r="E65" s="401">
        <f t="shared" si="3"/>
        <v>76.028226915009952</v>
      </c>
      <c r="F65" s="402">
        <v>24.99</v>
      </c>
      <c r="G65" s="402">
        <v>58.32</v>
      </c>
      <c r="H65" s="402">
        <v>7.85</v>
      </c>
      <c r="I65" s="402">
        <v>3.8</v>
      </c>
      <c r="J65" s="408">
        <v>98.4</v>
      </c>
      <c r="K65" s="405">
        <v>89</v>
      </c>
      <c r="L65" s="405">
        <v>73</v>
      </c>
      <c r="M65" s="402">
        <v>913.61281555328003</v>
      </c>
      <c r="N65" s="407">
        <f t="shared" si="4"/>
        <v>70.036251809817884</v>
      </c>
      <c r="O65" s="405">
        <v>91</v>
      </c>
      <c r="P65" s="405">
        <v>68</v>
      </c>
      <c r="Q65" s="405">
        <v>90</v>
      </c>
      <c r="R65" s="405">
        <v>82</v>
      </c>
      <c r="S65" s="408">
        <v>78.099999999999994</v>
      </c>
      <c r="T65" s="407">
        <f t="shared" si="5"/>
        <v>82.020202020202021</v>
      </c>
      <c r="U65" s="399"/>
      <c r="V65" s="121"/>
    </row>
    <row r="66" spans="1:22" s="5" customFormat="1" ht="15.75" customHeight="1" x14ac:dyDescent="0.25">
      <c r="A66" s="2">
        <v>62</v>
      </c>
      <c r="B66" s="8" t="s">
        <v>16</v>
      </c>
      <c r="C66" s="11" t="s">
        <v>21</v>
      </c>
      <c r="D66" s="400" t="s">
        <v>183</v>
      </c>
      <c r="E66" s="401">
        <f t="shared" si="3"/>
        <v>75.598586090576049</v>
      </c>
      <c r="F66" s="402">
        <v>16.329999999999998</v>
      </c>
      <c r="G66" s="402">
        <v>61.96</v>
      </c>
      <c r="H66" s="402">
        <v>3.07</v>
      </c>
      <c r="I66" s="402">
        <v>7.98</v>
      </c>
      <c r="J66" s="408">
        <v>99.8</v>
      </c>
      <c r="K66" s="405">
        <v>100</v>
      </c>
      <c r="L66" s="406">
        <v>81.5</v>
      </c>
      <c r="M66" s="402">
        <v>984.98985633527798</v>
      </c>
      <c r="N66" s="407">
        <f t="shared" si="4"/>
        <v>70.958081261724089</v>
      </c>
      <c r="O66" s="405">
        <v>94</v>
      </c>
      <c r="P66" s="405">
        <v>88</v>
      </c>
      <c r="Q66" s="405">
        <v>94</v>
      </c>
      <c r="R66" s="405">
        <v>94</v>
      </c>
      <c r="S66" s="404">
        <v>53.310100030701129</v>
      </c>
      <c r="T66" s="407">
        <f t="shared" si="5"/>
        <v>80.239090919427994</v>
      </c>
      <c r="U66" s="399"/>
      <c r="V66" s="121"/>
    </row>
    <row r="67" spans="1:22" s="5" customFormat="1" ht="15.75" customHeight="1" x14ac:dyDescent="0.25">
      <c r="A67" s="2">
        <v>63</v>
      </c>
      <c r="B67" s="6" t="s">
        <v>13</v>
      </c>
      <c r="C67" s="7" t="s">
        <v>14</v>
      </c>
      <c r="D67" s="400" t="s">
        <v>174</v>
      </c>
      <c r="E67" s="401">
        <f t="shared" si="3"/>
        <v>75.26323707126592</v>
      </c>
      <c r="F67" s="402">
        <v>37.119999999999997</v>
      </c>
      <c r="G67" s="402">
        <v>83.34</v>
      </c>
      <c r="H67" s="402">
        <v>11.3</v>
      </c>
      <c r="I67" s="402">
        <v>11.33</v>
      </c>
      <c r="J67" s="408">
        <v>98.4</v>
      </c>
      <c r="K67" s="405">
        <v>74</v>
      </c>
      <c r="L67" s="405">
        <v>89</v>
      </c>
      <c r="M67" s="402">
        <v>1983.15845212051</v>
      </c>
      <c r="N67" s="407">
        <f t="shared" si="4"/>
        <v>80.391794007851701</v>
      </c>
      <c r="O67" s="405">
        <v>79</v>
      </c>
      <c r="P67" s="405">
        <v>62</v>
      </c>
      <c r="Q67" s="405">
        <v>79</v>
      </c>
      <c r="R67" s="405">
        <v>79</v>
      </c>
      <c r="S67" s="408">
        <v>58.8</v>
      </c>
      <c r="T67" s="407">
        <f t="shared" si="5"/>
        <v>70.134680134680139</v>
      </c>
      <c r="U67" s="399"/>
      <c r="V67" s="121"/>
    </row>
    <row r="68" spans="1:22" s="5" customFormat="1" ht="15.75" customHeight="1" x14ac:dyDescent="0.25">
      <c r="A68" s="2">
        <v>64</v>
      </c>
      <c r="B68" s="3" t="s">
        <v>10</v>
      </c>
      <c r="C68" s="22" t="s">
        <v>49</v>
      </c>
      <c r="D68" s="400" t="s">
        <v>50</v>
      </c>
      <c r="E68" s="401">
        <f t="shared" si="3"/>
        <v>75.0010113007082</v>
      </c>
      <c r="F68" s="402">
        <v>21.79</v>
      </c>
      <c r="G68" s="402">
        <v>64.95</v>
      </c>
      <c r="H68" s="402">
        <v>2.87</v>
      </c>
      <c r="I68" s="402">
        <v>2.29</v>
      </c>
      <c r="J68" s="408">
        <v>99.6</v>
      </c>
      <c r="K68" s="405">
        <v>79</v>
      </c>
      <c r="L68" s="406">
        <v>64</v>
      </c>
      <c r="M68" s="402">
        <v>1754.5777957765899</v>
      </c>
      <c r="N68" s="407">
        <f t="shared" si="4"/>
        <v>66.002642431036378</v>
      </c>
      <c r="O68" s="405">
        <v>99</v>
      </c>
      <c r="P68" s="405">
        <v>99</v>
      </c>
      <c r="Q68" s="405">
        <v>99</v>
      </c>
      <c r="R68" s="405">
        <v>99</v>
      </c>
      <c r="S68" s="404">
        <v>51.478159106028713</v>
      </c>
      <c r="T68" s="407">
        <f t="shared" si="5"/>
        <v>83.999380170380036</v>
      </c>
      <c r="U68" s="399"/>
      <c r="V68" s="121"/>
    </row>
    <row r="69" spans="1:22" s="5" customFormat="1" ht="15.75" customHeight="1" x14ac:dyDescent="0.25">
      <c r="A69" s="2">
        <v>65</v>
      </c>
      <c r="B69" s="6" t="s">
        <v>13</v>
      </c>
      <c r="C69" s="7" t="s">
        <v>14</v>
      </c>
      <c r="D69" s="400" t="s">
        <v>575</v>
      </c>
      <c r="E69" s="401">
        <f t="shared" ref="E69:E100" si="6">(N69+T69)/2</f>
        <v>74.485441612718049</v>
      </c>
      <c r="F69" s="402">
        <v>39.25</v>
      </c>
      <c r="G69" s="402">
        <v>63.17</v>
      </c>
      <c r="H69" s="402">
        <v>4.9800000000000004</v>
      </c>
      <c r="I69" s="402">
        <v>6.11</v>
      </c>
      <c r="J69" s="408">
        <v>99.6</v>
      </c>
      <c r="K69" s="405">
        <v>99</v>
      </c>
      <c r="L69" s="405">
        <v>53</v>
      </c>
      <c r="M69" s="402">
        <v>821.76391933801801</v>
      </c>
      <c r="N69" s="407">
        <f t="shared" ref="N69:N100" si="7">((LN(MAX(MIN(F69,75),4))-LN(4))/(LN(75)-LN(4))*100*2+(LN(MAX(MIN(G69,160),16))-LN(16))/(LN(160)-LN(16))*100+(LN(MAX(MIN(H69,12),0.3))-LN(0.3))/(LN(12)-LN(0.3))*100+(LN(MAX(MIN(I69,20),0.3))-LN(0.3))/(LN(20)-LN(0.3))*100*1.5+((MAX(J69,50))-50)/(50)*100*2+((MAX(K69,40))-40)/(60)*100+L69+(LN(MAX(MIN(M69,8000),200))-LN(200))/(LN(8000)-LN(200))*100*1.5)/11</f>
        <v>73.31431756887045</v>
      </c>
      <c r="O69" s="405">
        <v>86</v>
      </c>
      <c r="P69" s="405">
        <v>93</v>
      </c>
      <c r="Q69" s="405">
        <v>88</v>
      </c>
      <c r="R69" s="405">
        <v>89</v>
      </c>
      <c r="S69" s="408">
        <v>46.7</v>
      </c>
      <c r="T69" s="407">
        <f t="shared" ref="T69:T100" si="8">((O69+P69+Q69+R69+S69*2)/6)/99*100</f>
        <v>75.656565656565647</v>
      </c>
      <c r="U69" s="399"/>
      <c r="V69" s="121"/>
    </row>
    <row r="70" spans="1:22" s="5" customFormat="1" ht="15.75" customHeight="1" x14ac:dyDescent="0.25">
      <c r="A70" s="2">
        <v>66</v>
      </c>
      <c r="B70" s="14" t="s">
        <v>23</v>
      </c>
      <c r="C70" s="15" t="s">
        <v>24</v>
      </c>
      <c r="D70" s="400" t="s">
        <v>38</v>
      </c>
      <c r="E70" s="401">
        <f t="shared" si="6"/>
        <v>74.320344837718721</v>
      </c>
      <c r="F70" s="402">
        <v>23.98</v>
      </c>
      <c r="G70" s="402">
        <v>41.37</v>
      </c>
      <c r="H70" s="402">
        <v>3.12</v>
      </c>
      <c r="I70" s="402">
        <v>11.58</v>
      </c>
      <c r="J70" s="408">
        <v>99.3</v>
      </c>
      <c r="K70" s="405">
        <v>100</v>
      </c>
      <c r="L70" s="405">
        <v>60</v>
      </c>
      <c r="M70" s="402">
        <v>480.16802583300603</v>
      </c>
      <c r="N70" s="407">
        <f t="shared" si="7"/>
        <v>68.202979237726993</v>
      </c>
      <c r="O70" s="405">
        <v>94</v>
      </c>
      <c r="P70" s="405">
        <v>76</v>
      </c>
      <c r="Q70" s="405">
        <v>94</v>
      </c>
      <c r="R70" s="405">
        <v>94</v>
      </c>
      <c r="S70" s="408">
        <v>59.9</v>
      </c>
      <c r="T70" s="407">
        <f t="shared" si="8"/>
        <v>80.437710437710436</v>
      </c>
      <c r="U70" s="399"/>
      <c r="V70" s="121"/>
    </row>
    <row r="71" spans="1:22" s="5" customFormat="1" ht="15.75" customHeight="1" x14ac:dyDescent="0.25">
      <c r="A71" s="2">
        <v>67</v>
      </c>
      <c r="B71" s="14" t="s">
        <v>23</v>
      </c>
      <c r="C71" s="15" t="s">
        <v>24</v>
      </c>
      <c r="D71" s="400" t="s">
        <v>195</v>
      </c>
      <c r="E71" s="401">
        <f t="shared" si="6"/>
        <v>74.269006916318148</v>
      </c>
      <c r="F71" s="402">
        <v>42.34</v>
      </c>
      <c r="G71" s="402">
        <v>53.43</v>
      </c>
      <c r="H71" s="402">
        <v>1.76</v>
      </c>
      <c r="I71" s="402">
        <v>4.4800000000000004</v>
      </c>
      <c r="J71" s="408">
        <v>100</v>
      </c>
      <c r="K71" s="405">
        <v>100</v>
      </c>
      <c r="L71" s="406">
        <v>67.5</v>
      </c>
      <c r="M71" s="402">
        <v>619.06201593031994</v>
      </c>
      <c r="N71" s="407">
        <f t="shared" si="7"/>
        <v>70.120505415127866</v>
      </c>
      <c r="O71" s="405">
        <v>99</v>
      </c>
      <c r="P71" s="405">
        <v>67</v>
      </c>
      <c r="Q71" s="405">
        <v>99</v>
      </c>
      <c r="R71" s="405">
        <v>87</v>
      </c>
      <c r="S71" s="408">
        <v>56.9</v>
      </c>
      <c r="T71" s="407">
        <f t="shared" si="8"/>
        <v>78.417508417508415</v>
      </c>
      <c r="U71" s="399"/>
      <c r="V71" s="121"/>
    </row>
    <row r="72" spans="1:22" s="13" customFormat="1" ht="15.75" customHeight="1" x14ac:dyDescent="0.25">
      <c r="A72" s="2">
        <v>68</v>
      </c>
      <c r="B72" s="3" t="s">
        <v>10</v>
      </c>
      <c r="C72" s="19" t="s">
        <v>35</v>
      </c>
      <c r="D72" s="400" t="s">
        <v>210</v>
      </c>
      <c r="E72" s="401">
        <f t="shared" si="6"/>
        <v>74.24369046470305</v>
      </c>
      <c r="F72" s="402">
        <v>23.4</v>
      </c>
      <c r="G72" s="402">
        <v>35.299999999999997</v>
      </c>
      <c r="H72" s="402">
        <v>5.24</v>
      </c>
      <c r="I72" s="402">
        <v>4.6500000000000004</v>
      </c>
      <c r="J72" s="408">
        <v>97</v>
      </c>
      <c r="K72" s="405">
        <v>78</v>
      </c>
      <c r="L72" s="406">
        <v>65</v>
      </c>
      <c r="M72" s="402">
        <v>1343.25856259595</v>
      </c>
      <c r="N72" s="407">
        <f t="shared" si="7"/>
        <v>65.82744826947345</v>
      </c>
      <c r="O72" s="405">
        <v>99</v>
      </c>
      <c r="P72" s="405">
        <v>94</v>
      </c>
      <c r="Q72" s="405">
        <v>99</v>
      </c>
      <c r="R72" s="405">
        <v>99</v>
      </c>
      <c r="S72" s="408">
        <v>50</v>
      </c>
      <c r="T72" s="407">
        <f t="shared" si="8"/>
        <v>82.65993265993265</v>
      </c>
      <c r="U72" s="399"/>
      <c r="V72" s="354"/>
    </row>
    <row r="73" spans="1:22" s="5" customFormat="1" ht="15.75" customHeight="1" x14ac:dyDescent="0.25">
      <c r="A73" s="2">
        <v>69</v>
      </c>
      <c r="B73" s="14" t="s">
        <v>23</v>
      </c>
      <c r="C73" s="16" t="s">
        <v>26</v>
      </c>
      <c r="D73" s="400" t="s">
        <v>168</v>
      </c>
      <c r="E73" s="401">
        <f t="shared" si="6"/>
        <v>74.044190854253102</v>
      </c>
      <c r="F73" s="402">
        <v>38.93</v>
      </c>
      <c r="G73" s="402">
        <v>94.09</v>
      </c>
      <c r="H73" s="402">
        <v>13.41</v>
      </c>
      <c r="I73" s="402">
        <v>6.73</v>
      </c>
      <c r="J73" s="408">
        <v>98.2</v>
      </c>
      <c r="K73" s="405">
        <v>72</v>
      </c>
      <c r="L73" s="405">
        <v>58</v>
      </c>
      <c r="M73" s="402">
        <v>814.36640648411901</v>
      </c>
      <c r="N73" s="407">
        <f t="shared" si="7"/>
        <v>73.138886759011257</v>
      </c>
      <c r="O73" s="405">
        <v>80</v>
      </c>
      <c r="P73" s="405">
        <v>69</v>
      </c>
      <c r="Q73" s="405">
        <v>80</v>
      </c>
      <c r="R73" s="405">
        <v>80</v>
      </c>
      <c r="S73" s="408">
        <v>68.099999999999994</v>
      </c>
      <c r="T73" s="407">
        <f t="shared" si="8"/>
        <v>74.949494949494948</v>
      </c>
      <c r="U73" s="399"/>
      <c r="V73" s="121"/>
    </row>
    <row r="74" spans="1:22" s="5" customFormat="1" ht="15.75" customHeight="1" x14ac:dyDescent="0.25">
      <c r="A74" s="2">
        <v>70</v>
      </c>
      <c r="B74" s="6" t="s">
        <v>13</v>
      </c>
      <c r="C74" s="7" t="s">
        <v>14</v>
      </c>
      <c r="D74" s="400" t="s">
        <v>214</v>
      </c>
      <c r="E74" s="401">
        <f t="shared" si="6"/>
        <v>73.839020594002235</v>
      </c>
      <c r="F74" s="402">
        <v>35.31</v>
      </c>
      <c r="G74" s="402">
        <v>60.79</v>
      </c>
      <c r="H74" s="403">
        <v>6.7374495365746903</v>
      </c>
      <c r="I74" s="403">
        <v>4.8151882720979664</v>
      </c>
      <c r="J74" s="408">
        <v>99.9</v>
      </c>
      <c r="K74" s="405">
        <v>56</v>
      </c>
      <c r="L74" s="406">
        <v>84.5</v>
      </c>
      <c r="M74" s="403">
        <v>1211.8497661858942</v>
      </c>
      <c r="N74" s="407">
        <f t="shared" si="7"/>
        <v>70.37164388160717</v>
      </c>
      <c r="O74" s="405">
        <v>88</v>
      </c>
      <c r="P74" s="405">
        <v>83</v>
      </c>
      <c r="Q74" s="405">
        <v>88</v>
      </c>
      <c r="R74" s="405">
        <v>88</v>
      </c>
      <c r="S74" s="408">
        <v>56.1</v>
      </c>
      <c r="T74" s="407">
        <f t="shared" si="8"/>
        <v>77.306397306397301</v>
      </c>
      <c r="U74" s="399"/>
      <c r="V74" s="121"/>
    </row>
    <row r="75" spans="1:22" s="5" customFormat="1" ht="15.75" customHeight="1" x14ac:dyDescent="0.25">
      <c r="A75" s="2">
        <v>71</v>
      </c>
      <c r="B75" s="14" t="s">
        <v>23</v>
      </c>
      <c r="C75" s="16" t="s">
        <v>26</v>
      </c>
      <c r="D75" s="400" t="s">
        <v>63</v>
      </c>
      <c r="E75" s="401">
        <f t="shared" si="6"/>
        <v>73.653632777612643</v>
      </c>
      <c r="F75" s="402">
        <v>25.37</v>
      </c>
      <c r="G75" s="402">
        <v>15.73</v>
      </c>
      <c r="H75" s="402">
        <v>8.6999999999999993</v>
      </c>
      <c r="I75" s="402">
        <v>1.85</v>
      </c>
      <c r="J75" s="408">
        <v>97.8</v>
      </c>
      <c r="K75" s="405">
        <v>81</v>
      </c>
      <c r="L75" s="405">
        <v>66</v>
      </c>
      <c r="M75" s="402">
        <v>1201.76777281828</v>
      </c>
      <c r="N75" s="407">
        <f t="shared" si="7"/>
        <v>61.886390134349881</v>
      </c>
      <c r="O75" s="405">
        <v>89</v>
      </c>
      <c r="P75" s="405">
        <v>86</v>
      </c>
      <c r="Q75" s="405">
        <v>89</v>
      </c>
      <c r="R75" s="405">
        <v>89</v>
      </c>
      <c r="S75" s="408">
        <v>77.2</v>
      </c>
      <c r="T75" s="407">
        <f t="shared" si="8"/>
        <v>85.420875420875419</v>
      </c>
      <c r="U75" s="399"/>
      <c r="V75" s="121"/>
    </row>
    <row r="76" spans="1:22" s="5" customFormat="1" ht="15.75" customHeight="1" x14ac:dyDescent="0.25">
      <c r="A76" s="2">
        <v>72</v>
      </c>
      <c r="B76" s="14" t="s">
        <v>23</v>
      </c>
      <c r="C76" s="16" t="s">
        <v>26</v>
      </c>
      <c r="D76" s="400" t="s">
        <v>27</v>
      </c>
      <c r="E76" s="401">
        <f t="shared" si="6"/>
        <v>73.621438868797014</v>
      </c>
      <c r="F76" s="402">
        <v>50.88</v>
      </c>
      <c r="G76" s="402">
        <v>64.87</v>
      </c>
      <c r="H76" s="402">
        <v>10.84</v>
      </c>
      <c r="I76" s="402">
        <v>5.78</v>
      </c>
      <c r="J76" s="408">
        <v>99.3</v>
      </c>
      <c r="K76" s="405">
        <v>78</v>
      </c>
      <c r="L76" s="405">
        <v>79</v>
      </c>
      <c r="M76" s="402">
        <v>1860.57202041853</v>
      </c>
      <c r="N76" s="407">
        <f t="shared" si="7"/>
        <v>78.859039353755648</v>
      </c>
      <c r="O76" s="405">
        <v>75</v>
      </c>
      <c r="P76" s="405">
        <v>46</v>
      </c>
      <c r="Q76" s="405">
        <v>75</v>
      </c>
      <c r="R76" s="405">
        <v>74</v>
      </c>
      <c r="S76" s="408">
        <v>68.099999999999994</v>
      </c>
      <c r="T76" s="407">
        <f t="shared" si="8"/>
        <v>68.383838383838395</v>
      </c>
      <c r="U76" s="399"/>
      <c r="V76" s="121"/>
    </row>
    <row r="77" spans="1:22" s="13" customFormat="1" ht="15.75" customHeight="1" x14ac:dyDescent="0.25">
      <c r="A77" s="2">
        <v>73</v>
      </c>
      <c r="B77" s="3" t="s">
        <v>10</v>
      </c>
      <c r="C77" s="19" t="s">
        <v>35</v>
      </c>
      <c r="D77" s="400" t="s">
        <v>107</v>
      </c>
      <c r="E77" s="401">
        <f t="shared" si="6"/>
        <v>73.56502828500453</v>
      </c>
      <c r="F77" s="402">
        <v>18.11</v>
      </c>
      <c r="G77" s="402">
        <v>28.76</v>
      </c>
      <c r="H77" s="402">
        <v>5.26</v>
      </c>
      <c r="I77" s="402">
        <v>3.36</v>
      </c>
      <c r="J77" s="408">
        <v>99</v>
      </c>
      <c r="K77" s="405">
        <v>73</v>
      </c>
      <c r="L77" s="406">
        <v>65</v>
      </c>
      <c r="M77" s="402">
        <v>497.18367897412998</v>
      </c>
      <c r="N77" s="407">
        <f t="shared" si="7"/>
        <v>58.678878118830625</v>
      </c>
      <c r="O77" s="405">
        <v>98</v>
      </c>
      <c r="P77" s="405">
        <v>99</v>
      </c>
      <c r="Q77" s="405">
        <v>98</v>
      </c>
      <c r="R77" s="405">
        <v>99</v>
      </c>
      <c r="S77" s="408">
        <v>65.7</v>
      </c>
      <c r="T77" s="407">
        <f t="shared" si="8"/>
        <v>88.45117845117845</v>
      </c>
      <c r="U77" s="399"/>
      <c r="V77" s="354"/>
    </row>
    <row r="78" spans="1:22" s="5" customFormat="1" ht="15.75" customHeight="1" x14ac:dyDescent="0.25">
      <c r="A78" s="2">
        <v>74</v>
      </c>
      <c r="B78" s="3" t="s">
        <v>10</v>
      </c>
      <c r="C78" s="22" t="s">
        <v>49</v>
      </c>
      <c r="D78" s="400" t="s">
        <v>147</v>
      </c>
      <c r="E78" s="401">
        <f t="shared" si="6"/>
        <v>73.271191143307476</v>
      </c>
      <c r="F78" s="402">
        <v>45.96</v>
      </c>
      <c r="G78" s="402">
        <v>46.96</v>
      </c>
      <c r="H78" s="402">
        <v>6.31</v>
      </c>
      <c r="I78" s="402">
        <v>12.85</v>
      </c>
      <c r="J78" s="408">
        <v>100</v>
      </c>
      <c r="K78" s="405">
        <v>18</v>
      </c>
      <c r="L78" s="405">
        <v>41</v>
      </c>
      <c r="M78" s="402">
        <v>498.55343360629701</v>
      </c>
      <c r="N78" s="407">
        <f t="shared" si="7"/>
        <v>64.387500131732807</v>
      </c>
      <c r="O78" s="405">
        <v>96</v>
      </c>
      <c r="P78" s="405">
        <v>95</v>
      </c>
      <c r="Q78" s="405">
        <v>96</v>
      </c>
      <c r="R78" s="405">
        <v>96</v>
      </c>
      <c r="S78" s="408">
        <v>52.5</v>
      </c>
      <c r="T78" s="407">
        <f t="shared" si="8"/>
        <v>82.154882154882145</v>
      </c>
      <c r="U78" s="399"/>
      <c r="V78" s="121"/>
    </row>
    <row r="79" spans="1:22" s="13" customFormat="1" ht="15.75" customHeight="1" x14ac:dyDescent="0.25">
      <c r="A79" s="2">
        <v>75</v>
      </c>
      <c r="B79" s="3" t="s">
        <v>10</v>
      </c>
      <c r="C79" s="19" t="s">
        <v>35</v>
      </c>
      <c r="D79" s="400" t="s">
        <v>114</v>
      </c>
      <c r="E79" s="401">
        <f t="shared" si="6"/>
        <v>72.984886952911694</v>
      </c>
      <c r="F79" s="402">
        <v>32.619999999999997</v>
      </c>
      <c r="G79" s="402">
        <v>33.42</v>
      </c>
      <c r="H79" s="402">
        <v>8.2799999999999994</v>
      </c>
      <c r="I79" s="402">
        <v>21.1</v>
      </c>
      <c r="J79" s="408">
        <v>99.9</v>
      </c>
      <c r="K79" s="405">
        <v>67</v>
      </c>
      <c r="L79" s="405">
        <v>64</v>
      </c>
      <c r="M79" s="402">
        <v>359.07809987203899</v>
      </c>
      <c r="N79" s="407">
        <f t="shared" si="7"/>
        <v>67.956305892355374</v>
      </c>
      <c r="O79" s="405">
        <v>96</v>
      </c>
      <c r="P79" s="405">
        <v>96</v>
      </c>
      <c r="Q79" s="405">
        <v>96</v>
      </c>
      <c r="R79" s="405">
        <v>94</v>
      </c>
      <c r="S79" s="408">
        <v>40.700000000000003</v>
      </c>
      <c r="T79" s="407">
        <f t="shared" si="8"/>
        <v>78.013468013468014</v>
      </c>
      <c r="U79" s="399"/>
      <c r="V79" s="354"/>
    </row>
    <row r="80" spans="1:22" s="13" customFormat="1" ht="15.75" customHeight="1" x14ac:dyDescent="0.25">
      <c r="A80" s="2">
        <v>76</v>
      </c>
      <c r="B80" s="14" t="s">
        <v>23</v>
      </c>
      <c r="C80" s="15" t="s">
        <v>24</v>
      </c>
      <c r="D80" s="400" t="s">
        <v>208</v>
      </c>
      <c r="E80" s="401">
        <f t="shared" si="6"/>
        <v>71.622937297383785</v>
      </c>
      <c r="F80" s="402">
        <v>41.57</v>
      </c>
      <c r="G80" s="402">
        <v>41.08</v>
      </c>
      <c r="H80" s="402">
        <v>2.99</v>
      </c>
      <c r="I80" s="402">
        <v>6.28</v>
      </c>
      <c r="J80" s="408">
        <v>100</v>
      </c>
      <c r="K80" s="405">
        <v>74</v>
      </c>
      <c r="L80" s="406">
        <v>67.5</v>
      </c>
      <c r="M80" s="402">
        <v>1085.5955696987801</v>
      </c>
      <c r="N80" s="407">
        <f t="shared" si="7"/>
        <v>69.508500857393841</v>
      </c>
      <c r="O80" s="405">
        <v>92</v>
      </c>
      <c r="P80" s="405">
        <v>89</v>
      </c>
      <c r="Q80" s="405">
        <v>92</v>
      </c>
      <c r="R80" s="405">
        <v>92</v>
      </c>
      <c r="S80" s="408">
        <v>36.5</v>
      </c>
      <c r="T80" s="407">
        <f t="shared" si="8"/>
        <v>73.73737373737373</v>
      </c>
      <c r="U80" s="399"/>
      <c r="V80" s="354"/>
    </row>
    <row r="81" spans="1:22" s="13" customFormat="1" ht="15.75" customHeight="1" x14ac:dyDescent="0.25">
      <c r="A81" s="2">
        <v>77</v>
      </c>
      <c r="B81" s="8" t="s">
        <v>16</v>
      </c>
      <c r="C81" s="11" t="s">
        <v>21</v>
      </c>
      <c r="D81" s="400" t="s">
        <v>143</v>
      </c>
      <c r="E81" s="401">
        <f t="shared" si="6"/>
        <v>71.480080250174382</v>
      </c>
      <c r="F81" s="402">
        <v>30.15</v>
      </c>
      <c r="G81" s="402">
        <v>35.01</v>
      </c>
      <c r="H81" s="402">
        <v>3.24</v>
      </c>
      <c r="I81" s="402">
        <v>4.17</v>
      </c>
      <c r="J81" s="408">
        <v>99.8</v>
      </c>
      <c r="K81" s="405">
        <v>65</v>
      </c>
      <c r="L81" s="406">
        <v>81.5</v>
      </c>
      <c r="M81" s="402">
        <v>694.15313986382603</v>
      </c>
      <c r="N81" s="407">
        <f t="shared" si="7"/>
        <v>63.936591476779746</v>
      </c>
      <c r="O81" s="405">
        <v>93</v>
      </c>
      <c r="P81" s="405">
        <v>96</v>
      </c>
      <c r="Q81" s="405">
        <v>93</v>
      </c>
      <c r="R81" s="405">
        <v>95</v>
      </c>
      <c r="S81" s="408">
        <v>46.2</v>
      </c>
      <c r="T81" s="407">
        <f t="shared" si="8"/>
        <v>79.023569023569024</v>
      </c>
      <c r="U81" s="399"/>
      <c r="V81" s="354"/>
    </row>
    <row r="82" spans="1:22" s="13" customFormat="1" ht="15.75" customHeight="1" x14ac:dyDescent="0.25">
      <c r="A82" s="2">
        <v>78</v>
      </c>
      <c r="B82" s="3" t="s">
        <v>10</v>
      </c>
      <c r="C82" s="19" t="s">
        <v>35</v>
      </c>
      <c r="D82" s="400" t="s">
        <v>162</v>
      </c>
      <c r="E82" s="401">
        <f t="shared" si="6"/>
        <v>71.177463156869237</v>
      </c>
      <c r="F82" s="402">
        <v>21.37</v>
      </c>
      <c r="G82" s="402">
        <v>45.88</v>
      </c>
      <c r="H82" s="402">
        <v>3.27</v>
      </c>
      <c r="I82" s="402">
        <v>8.3000000000000007</v>
      </c>
      <c r="J82" s="408">
        <v>99.9</v>
      </c>
      <c r="K82" s="405">
        <v>69</v>
      </c>
      <c r="L82" s="405">
        <v>68</v>
      </c>
      <c r="M82" s="402">
        <v>1232.6357382518599</v>
      </c>
      <c r="N82" s="407">
        <f t="shared" si="7"/>
        <v>66.664690623502779</v>
      </c>
      <c r="O82" s="405">
        <v>99</v>
      </c>
      <c r="P82" s="405">
        <v>99</v>
      </c>
      <c r="Q82" s="405">
        <v>99</v>
      </c>
      <c r="R82" s="405">
        <v>99</v>
      </c>
      <c r="S82" s="408">
        <v>26.8</v>
      </c>
      <c r="T82" s="407">
        <f t="shared" si="8"/>
        <v>75.690235690235696</v>
      </c>
      <c r="U82" s="399"/>
      <c r="V82" s="354"/>
    </row>
    <row r="83" spans="1:22" s="13" customFormat="1" ht="15.75" customHeight="1" x14ac:dyDescent="0.25">
      <c r="A83" s="2">
        <v>79</v>
      </c>
      <c r="B83" s="17" t="s">
        <v>29</v>
      </c>
      <c r="C83" s="26" t="s">
        <v>118</v>
      </c>
      <c r="D83" s="400" t="s">
        <v>164</v>
      </c>
      <c r="E83" s="401">
        <f t="shared" si="6"/>
        <v>70.607009936714263</v>
      </c>
      <c r="F83" s="402">
        <v>18.079999999999998</v>
      </c>
      <c r="G83" s="402">
        <v>66.099999999999994</v>
      </c>
      <c r="H83" s="402">
        <v>3.96</v>
      </c>
      <c r="I83" s="402">
        <v>2.81</v>
      </c>
      <c r="J83" s="408">
        <v>99.5</v>
      </c>
      <c r="K83" s="405">
        <v>100</v>
      </c>
      <c r="L83" s="406">
        <v>35</v>
      </c>
      <c r="M83" s="402">
        <v>1129.9600696164</v>
      </c>
      <c r="N83" s="407">
        <f t="shared" si="7"/>
        <v>65.254423913832568</v>
      </c>
      <c r="O83" s="405">
        <v>97</v>
      </c>
      <c r="P83" s="405">
        <v>88</v>
      </c>
      <c r="Q83" s="405">
        <v>99</v>
      </c>
      <c r="R83" s="405">
        <v>97</v>
      </c>
      <c r="S83" s="408">
        <v>35.1</v>
      </c>
      <c r="T83" s="407">
        <f t="shared" si="8"/>
        <v>75.959595959595958</v>
      </c>
      <c r="U83" s="399"/>
      <c r="V83" s="354"/>
    </row>
    <row r="84" spans="1:22" s="13" customFormat="1" ht="15.75" customHeight="1" x14ac:dyDescent="0.25">
      <c r="A84" s="2">
        <v>80</v>
      </c>
      <c r="B84" s="14" t="s">
        <v>23</v>
      </c>
      <c r="C84" s="15" t="s">
        <v>24</v>
      </c>
      <c r="D84" s="400" t="s">
        <v>34</v>
      </c>
      <c r="E84" s="401">
        <f t="shared" si="6"/>
        <v>70.473578631650014</v>
      </c>
      <c r="F84" s="402">
        <v>18.95</v>
      </c>
      <c r="G84" s="402">
        <v>42.24</v>
      </c>
      <c r="H84" s="402">
        <v>2.54</v>
      </c>
      <c r="I84" s="403">
        <v>3.8985718123806663</v>
      </c>
      <c r="J84" s="408">
        <v>99.7</v>
      </c>
      <c r="K84" s="405">
        <v>77</v>
      </c>
      <c r="L84" s="405">
        <v>74</v>
      </c>
      <c r="M84" s="402">
        <v>1170.7467949347999</v>
      </c>
      <c r="N84" s="407">
        <f t="shared" si="7"/>
        <v>64.011130327273108</v>
      </c>
      <c r="O84" s="405">
        <v>90</v>
      </c>
      <c r="P84" s="405">
        <v>60</v>
      </c>
      <c r="Q84" s="405">
        <v>90</v>
      </c>
      <c r="R84" s="405">
        <v>90</v>
      </c>
      <c r="S84" s="408">
        <v>63.5</v>
      </c>
      <c r="T84" s="407">
        <f t="shared" si="8"/>
        <v>76.936026936026934</v>
      </c>
      <c r="U84" s="399"/>
      <c r="V84" s="354"/>
    </row>
    <row r="85" spans="1:22" s="13" customFormat="1" ht="15.75" customHeight="1" x14ac:dyDescent="0.25">
      <c r="A85" s="2">
        <v>81</v>
      </c>
      <c r="B85" s="14" t="s">
        <v>23</v>
      </c>
      <c r="C85" s="16" t="s">
        <v>26</v>
      </c>
      <c r="D85" s="400" t="s">
        <v>79</v>
      </c>
      <c r="E85" s="401">
        <f t="shared" si="6"/>
        <v>70.38632186372979</v>
      </c>
      <c r="F85" s="402">
        <v>16.16</v>
      </c>
      <c r="G85" s="402">
        <v>21.79</v>
      </c>
      <c r="H85" s="402">
        <v>1.57</v>
      </c>
      <c r="I85" s="402">
        <v>1.59</v>
      </c>
      <c r="J85" s="408">
        <v>98.1</v>
      </c>
      <c r="K85" s="405">
        <v>79</v>
      </c>
      <c r="L85" s="405">
        <v>76</v>
      </c>
      <c r="M85" s="402">
        <v>711.72004059297001</v>
      </c>
      <c r="N85" s="407">
        <f t="shared" si="7"/>
        <v>54.375337330153179</v>
      </c>
      <c r="O85" s="405">
        <v>95</v>
      </c>
      <c r="P85" s="405">
        <v>90</v>
      </c>
      <c r="Q85" s="405">
        <v>95</v>
      </c>
      <c r="R85" s="405">
        <v>95</v>
      </c>
      <c r="S85" s="408">
        <v>69.099999999999994</v>
      </c>
      <c r="T85" s="407">
        <f t="shared" si="8"/>
        <v>86.397306397306409</v>
      </c>
      <c r="U85" s="399"/>
      <c r="V85" s="354"/>
    </row>
    <row r="86" spans="1:22" s="5" customFormat="1" ht="15.75" customHeight="1" x14ac:dyDescent="0.25">
      <c r="A86" s="2">
        <v>82</v>
      </c>
      <c r="B86" s="3" t="s">
        <v>10</v>
      </c>
      <c r="C86" s="22" t="s">
        <v>49</v>
      </c>
      <c r="D86" s="400" t="s">
        <v>137</v>
      </c>
      <c r="E86" s="401">
        <f t="shared" si="6"/>
        <v>70.117884422439204</v>
      </c>
      <c r="F86" s="402">
        <v>22.72</v>
      </c>
      <c r="G86" s="402">
        <v>40.299999999999997</v>
      </c>
      <c r="H86" s="402">
        <v>4.87</v>
      </c>
      <c r="I86" s="402">
        <v>6.43</v>
      </c>
      <c r="J86" s="408">
        <v>99.8</v>
      </c>
      <c r="K86" s="405">
        <v>77</v>
      </c>
      <c r="L86" s="405">
        <v>60</v>
      </c>
      <c r="M86" s="402">
        <v>721.02456312885101</v>
      </c>
      <c r="N86" s="407">
        <f t="shared" si="7"/>
        <v>65.151593760703349</v>
      </c>
      <c r="O86" s="405">
        <v>93</v>
      </c>
      <c r="P86" s="405">
        <v>93</v>
      </c>
      <c r="Q86" s="405">
        <v>93</v>
      </c>
      <c r="R86" s="405">
        <v>93</v>
      </c>
      <c r="S86" s="408">
        <v>37</v>
      </c>
      <c r="T86" s="407">
        <f t="shared" si="8"/>
        <v>75.084175084175072</v>
      </c>
      <c r="U86" s="399"/>
      <c r="V86" s="121"/>
    </row>
    <row r="87" spans="1:22" s="13" customFormat="1" ht="15.75" customHeight="1" x14ac:dyDescent="0.25">
      <c r="A87" s="2">
        <v>83</v>
      </c>
      <c r="B87" s="17" t="s">
        <v>29</v>
      </c>
      <c r="C87" s="26" t="s">
        <v>118</v>
      </c>
      <c r="D87" s="400" t="s">
        <v>332</v>
      </c>
      <c r="E87" s="401">
        <f t="shared" si="6"/>
        <v>69.888061931279509</v>
      </c>
      <c r="F87" s="403">
        <v>12.850861049917071</v>
      </c>
      <c r="G87" s="402">
        <v>73.040000000000006</v>
      </c>
      <c r="H87" s="402">
        <v>3.45</v>
      </c>
      <c r="I87" s="403">
        <v>1.5940627081063528</v>
      </c>
      <c r="J87" s="408">
        <v>98</v>
      </c>
      <c r="K87" s="405">
        <v>100</v>
      </c>
      <c r="L87" s="406">
        <v>35</v>
      </c>
      <c r="M87" s="402">
        <v>2069.5945722827601</v>
      </c>
      <c r="N87" s="407">
        <f t="shared" si="7"/>
        <v>63.042117128552285</v>
      </c>
      <c r="O87" s="405">
        <v>99</v>
      </c>
      <c r="P87" s="405">
        <v>99</v>
      </c>
      <c r="Q87" s="405">
        <v>97</v>
      </c>
      <c r="R87" s="405">
        <v>97</v>
      </c>
      <c r="S87" s="408">
        <v>31.9</v>
      </c>
      <c r="T87" s="407">
        <f t="shared" si="8"/>
        <v>76.734006734006726</v>
      </c>
      <c r="U87" s="399"/>
      <c r="V87" s="354"/>
    </row>
    <row r="88" spans="1:22" s="13" customFormat="1" ht="15.75" customHeight="1" x14ac:dyDescent="0.25">
      <c r="A88" s="2">
        <v>84</v>
      </c>
      <c r="B88" s="14" t="s">
        <v>23</v>
      </c>
      <c r="C88" s="15" t="s">
        <v>24</v>
      </c>
      <c r="D88" s="400" t="s">
        <v>75</v>
      </c>
      <c r="E88" s="401">
        <f t="shared" si="6"/>
        <v>69.83088880152539</v>
      </c>
      <c r="F88" s="402">
        <v>11.58</v>
      </c>
      <c r="G88" s="402">
        <v>67.599999999999994</v>
      </c>
      <c r="H88" s="402">
        <v>1.17</v>
      </c>
      <c r="I88" s="403">
        <v>3.2875564358052305</v>
      </c>
      <c r="J88" s="408">
        <v>100</v>
      </c>
      <c r="K88" s="405">
        <v>100</v>
      </c>
      <c r="L88" s="406">
        <v>67.5</v>
      </c>
      <c r="M88" s="402">
        <v>650.04470051636804</v>
      </c>
      <c r="N88" s="407">
        <f t="shared" si="7"/>
        <v>61.176929118202288</v>
      </c>
      <c r="O88" s="405">
        <v>90</v>
      </c>
      <c r="P88" s="405">
        <v>75</v>
      </c>
      <c r="Q88" s="405">
        <v>90</v>
      </c>
      <c r="R88" s="405">
        <v>90</v>
      </c>
      <c r="S88" s="408">
        <v>60.6</v>
      </c>
      <c r="T88" s="407">
        <f t="shared" si="8"/>
        <v>78.484848484848484</v>
      </c>
      <c r="U88" s="399"/>
      <c r="V88" s="354"/>
    </row>
    <row r="89" spans="1:22" s="13" customFormat="1" ht="15.75" customHeight="1" x14ac:dyDescent="0.25">
      <c r="A89" s="2">
        <v>85</v>
      </c>
      <c r="B89" s="14" t="s">
        <v>23</v>
      </c>
      <c r="C89" s="15" t="s">
        <v>24</v>
      </c>
      <c r="D89" s="400" t="s">
        <v>95</v>
      </c>
      <c r="E89" s="401">
        <f t="shared" si="6"/>
        <v>69.73969971371838</v>
      </c>
      <c r="F89" s="402">
        <v>13.83</v>
      </c>
      <c r="G89" s="402">
        <v>45.77</v>
      </c>
      <c r="H89" s="402">
        <v>1.9</v>
      </c>
      <c r="I89" s="402">
        <v>6.52</v>
      </c>
      <c r="J89" s="408">
        <v>100</v>
      </c>
      <c r="K89" s="405">
        <v>100</v>
      </c>
      <c r="L89" s="406">
        <v>67.5</v>
      </c>
      <c r="M89" s="402">
        <v>397.79232821304703</v>
      </c>
      <c r="N89" s="407">
        <f t="shared" si="7"/>
        <v>62.341352289389619</v>
      </c>
      <c r="O89" s="405">
        <v>93</v>
      </c>
      <c r="P89" s="405">
        <v>67</v>
      </c>
      <c r="Q89" s="405">
        <v>86</v>
      </c>
      <c r="R89" s="405">
        <v>93</v>
      </c>
      <c r="S89" s="408">
        <v>59.6</v>
      </c>
      <c r="T89" s="407">
        <f t="shared" si="8"/>
        <v>77.138047138047128</v>
      </c>
      <c r="U89" s="399"/>
      <c r="V89" s="354"/>
    </row>
    <row r="90" spans="1:22" s="5" customFormat="1" ht="15.75" customHeight="1" x14ac:dyDescent="0.25">
      <c r="A90" s="2">
        <v>86</v>
      </c>
      <c r="B90" s="6" t="s">
        <v>13</v>
      </c>
      <c r="C90" s="7" t="s">
        <v>14</v>
      </c>
      <c r="D90" s="400" t="s">
        <v>15</v>
      </c>
      <c r="E90" s="401">
        <f t="shared" si="6"/>
        <v>69.737680376856801</v>
      </c>
      <c r="F90" s="402">
        <v>18.79</v>
      </c>
      <c r="G90" s="402">
        <v>58.21</v>
      </c>
      <c r="H90" s="402">
        <v>10.27</v>
      </c>
      <c r="I90" s="402">
        <v>10.8</v>
      </c>
      <c r="J90" s="408">
        <v>100</v>
      </c>
      <c r="K90" s="405">
        <v>57</v>
      </c>
      <c r="L90" s="405">
        <v>61</v>
      </c>
      <c r="M90" s="402">
        <v>726.34249213640101</v>
      </c>
      <c r="N90" s="407">
        <f t="shared" si="7"/>
        <v>66.108357386710239</v>
      </c>
      <c r="O90" s="405">
        <v>97</v>
      </c>
      <c r="P90" s="405">
        <v>92</v>
      </c>
      <c r="Q90" s="405">
        <v>97</v>
      </c>
      <c r="R90" s="405">
        <v>97</v>
      </c>
      <c r="S90" s="408">
        <v>26.4</v>
      </c>
      <c r="T90" s="407">
        <f t="shared" si="8"/>
        <v>73.367003367003363</v>
      </c>
      <c r="U90" s="399"/>
      <c r="V90" s="121"/>
    </row>
    <row r="91" spans="1:22" s="5" customFormat="1" ht="15.75" customHeight="1" x14ac:dyDescent="0.25">
      <c r="A91" s="2">
        <v>87</v>
      </c>
      <c r="B91" s="6" t="s">
        <v>13</v>
      </c>
      <c r="C91" s="7" t="s">
        <v>14</v>
      </c>
      <c r="D91" s="400" t="s">
        <v>122</v>
      </c>
      <c r="E91" s="401">
        <f t="shared" si="6"/>
        <v>69.735115842366625</v>
      </c>
      <c r="F91" s="403">
        <v>34.904291015837622</v>
      </c>
      <c r="G91" s="403">
        <v>51.988252638745763</v>
      </c>
      <c r="H91" s="403">
        <v>7.4229287047420387</v>
      </c>
      <c r="I91" s="403">
        <v>6.3379909627823414</v>
      </c>
      <c r="J91" s="404">
        <v>99.062789512881693</v>
      </c>
      <c r="K91" s="406">
        <v>78.952881476399128</v>
      </c>
      <c r="L91" s="406">
        <v>84.5</v>
      </c>
      <c r="M91" s="403">
        <v>1857.8549538305997</v>
      </c>
      <c r="N91" s="407">
        <f t="shared" si="7"/>
        <v>75.566191280692848</v>
      </c>
      <c r="O91" s="405">
        <v>89.79</v>
      </c>
      <c r="P91" s="405">
        <v>94.16</v>
      </c>
      <c r="Q91" s="405">
        <v>79.510000000000005</v>
      </c>
      <c r="R91" s="405">
        <v>80.33</v>
      </c>
      <c r="S91" s="408">
        <v>17.899999999999999</v>
      </c>
      <c r="T91" s="407">
        <f t="shared" si="8"/>
        <v>63.904040404040394</v>
      </c>
      <c r="U91" s="399"/>
      <c r="V91" s="121"/>
    </row>
    <row r="92" spans="1:22" s="5" customFormat="1" ht="15.75" customHeight="1" x14ac:dyDescent="0.25">
      <c r="A92" s="2">
        <v>88</v>
      </c>
      <c r="B92" s="6" t="s">
        <v>13</v>
      </c>
      <c r="C92" s="7" t="s">
        <v>14</v>
      </c>
      <c r="D92" s="400" t="s">
        <v>182</v>
      </c>
      <c r="E92" s="401">
        <f t="shared" si="6"/>
        <v>69.693370887013685</v>
      </c>
      <c r="F92" s="402">
        <v>32.15</v>
      </c>
      <c r="G92" s="402">
        <v>70.150000000000006</v>
      </c>
      <c r="H92" s="402">
        <v>2.56</v>
      </c>
      <c r="I92" s="402">
        <v>1.55</v>
      </c>
      <c r="J92" s="408">
        <v>99.8</v>
      </c>
      <c r="K92" s="405">
        <v>76</v>
      </c>
      <c r="L92" s="405">
        <v>65</v>
      </c>
      <c r="M92" s="402">
        <v>1509.2616085043301</v>
      </c>
      <c r="N92" s="407">
        <f t="shared" si="7"/>
        <v>66.322768710054319</v>
      </c>
      <c r="O92" s="405">
        <v>95</v>
      </c>
      <c r="P92" s="405">
        <v>91</v>
      </c>
      <c r="Q92" s="405">
        <v>93</v>
      </c>
      <c r="R92" s="405">
        <v>95</v>
      </c>
      <c r="S92" s="408">
        <v>30</v>
      </c>
      <c r="T92" s="407">
        <f t="shared" si="8"/>
        <v>73.063973063973066</v>
      </c>
      <c r="U92" s="399"/>
      <c r="V92" s="121"/>
    </row>
    <row r="93" spans="1:22" s="5" customFormat="1" ht="15.75" customHeight="1" x14ac:dyDescent="0.25">
      <c r="A93" s="2">
        <v>89</v>
      </c>
      <c r="B93" s="3" t="s">
        <v>10</v>
      </c>
      <c r="C93" s="22" t="s">
        <v>49</v>
      </c>
      <c r="D93" s="400" t="s">
        <v>204</v>
      </c>
      <c r="E93" s="401">
        <f t="shared" si="6"/>
        <v>69.279658294145719</v>
      </c>
      <c r="F93" s="402">
        <v>5.91</v>
      </c>
      <c r="G93" s="402">
        <v>35.72</v>
      </c>
      <c r="H93" s="402">
        <v>1.1299999999999999</v>
      </c>
      <c r="I93" s="402">
        <v>2.2999999999999998</v>
      </c>
      <c r="J93" s="408">
        <v>99.6</v>
      </c>
      <c r="K93" s="405">
        <v>78</v>
      </c>
      <c r="L93" s="405">
        <v>88</v>
      </c>
      <c r="M93" s="402">
        <v>830.81629817976398</v>
      </c>
      <c r="N93" s="407">
        <f t="shared" si="7"/>
        <v>52.532380561355396</v>
      </c>
      <c r="O93" s="405">
        <v>92</v>
      </c>
      <c r="P93" s="405">
        <v>87</v>
      </c>
      <c r="Q93" s="405">
        <v>92</v>
      </c>
      <c r="R93" s="405">
        <v>93</v>
      </c>
      <c r="S93" s="408">
        <v>73.5</v>
      </c>
      <c r="T93" s="407">
        <f t="shared" si="8"/>
        <v>86.026936026936028</v>
      </c>
      <c r="U93" s="399"/>
      <c r="V93" s="121"/>
    </row>
    <row r="94" spans="1:22" s="5" customFormat="1" ht="15.75" customHeight="1" x14ac:dyDescent="0.25">
      <c r="A94" s="2">
        <v>90</v>
      </c>
      <c r="B94" s="8" t="s">
        <v>16</v>
      </c>
      <c r="C94" s="9" t="s">
        <v>17</v>
      </c>
      <c r="D94" s="400" t="s">
        <v>78</v>
      </c>
      <c r="E94" s="401">
        <f t="shared" si="6"/>
        <v>69.167089958060203</v>
      </c>
      <c r="F94" s="402">
        <v>11.8</v>
      </c>
      <c r="G94" s="402">
        <v>19.5</v>
      </c>
      <c r="H94" s="402">
        <v>3.09</v>
      </c>
      <c r="I94" s="402">
        <v>5.26</v>
      </c>
      <c r="J94" s="408">
        <v>97.1</v>
      </c>
      <c r="K94" s="405">
        <v>91</v>
      </c>
      <c r="L94" s="405">
        <v>45</v>
      </c>
      <c r="M94" s="402">
        <v>291.75185449572399</v>
      </c>
      <c r="N94" s="407">
        <f t="shared" si="7"/>
        <v>52.879634461574931</v>
      </c>
      <c r="O94" s="405">
        <v>97</v>
      </c>
      <c r="P94" s="405">
        <v>96</v>
      </c>
      <c r="Q94" s="405">
        <v>97</v>
      </c>
      <c r="R94" s="405">
        <v>97</v>
      </c>
      <c r="S94" s="408">
        <v>60.3</v>
      </c>
      <c r="T94" s="407">
        <f t="shared" si="8"/>
        <v>85.454545454545467</v>
      </c>
      <c r="U94" s="399"/>
      <c r="V94" s="121"/>
    </row>
    <row r="95" spans="1:22" s="5" customFormat="1" ht="15.75" customHeight="1" x14ac:dyDescent="0.25">
      <c r="A95" s="2">
        <v>91</v>
      </c>
      <c r="B95" s="3" t="s">
        <v>10</v>
      </c>
      <c r="C95" s="22" t="s">
        <v>49</v>
      </c>
      <c r="D95" s="400" t="s">
        <v>120</v>
      </c>
      <c r="E95" s="401">
        <f t="shared" si="6"/>
        <v>68.974921811230928</v>
      </c>
      <c r="F95" s="402">
        <v>30.99</v>
      </c>
      <c r="G95" s="402">
        <v>44.46</v>
      </c>
      <c r="H95" s="402">
        <v>3</v>
      </c>
      <c r="I95" s="402">
        <v>5.4</v>
      </c>
      <c r="J95" s="408">
        <v>99.5</v>
      </c>
      <c r="K95" s="406">
        <v>67.919189913318263</v>
      </c>
      <c r="L95" s="406">
        <v>64</v>
      </c>
      <c r="M95" s="403">
        <v>584.75431249132373</v>
      </c>
      <c r="N95" s="407">
        <f t="shared" si="7"/>
        <v>63.808429481047718</v>
      </c>
      <c r="O95" s="405">
        <v>99</v>
      </c>
      <c r="P95" s="405">
        <v>99</v>
      </c>
      <c r="Q95" s="405">
        <v>99</v>
      </c>
      <c r="R95" s="405">
        <v>0</v>
      </c>
      <c r="S95" s="408">
        <v>71.7</v>
      </c>
      <c r="T95" s="407">
        <f t="shared" si="8"/>
        <v>74.141414141414131</v>
      </c>
      <c r="U95" s="399"/>
      <c r="V95" s="121"/>
    </row>
    <row r="96" spans="1:22" s="5" customFormat="1" ht="15.75" customHeight="1" x14ac:dyDescent="0.25">
      <c r="A96" s="2">
        <v>92</v>
      </c>
      <c r="B96" s="3" t="s">
        <v>10</v>
      </c>
      <c r="C96" s="4" t="s">
        <v>11</v>
      </c>
      <c r="D96" s="400" t="s">
        <v>138</v>
      </c>
      <c r="E96" s="401">
        <f t="shared" si="6"/>
        <v>68.283727524501614</v>
      </c>
      <c r="F96" s="402">
        <v>23</v>
      </c>
      <c r="G96" s="402">
        <v>59.63</v>
      </c>
      <c r="H96" s="402">
        <v>1.02</v>
      </c>
      <c r="I96" s="402">
        <v>7.01</v>
      </c>
      <c r="J96" s="408">
        <v>99.9</v>
      </c>
      <c r="K96" s="405">
        <v>62</v>
      </c>
      <c r="L96" s="405">
        <v>48</v>
      </c>
      <c r="M96" s="402">
        <v>1805.2864282158801</v>
      </c>
      <c r="N96" s="407">
        <f t="shared" si="7"/>
        <v>63.267791749339949</v>
      </c>
      <c r="O96" s="405">
        <v>99</v>
      </c>
      <c r="P96" s="405">
        <v>99</v>
      </c>
      <c r="Q96" s="405">
        <v>99</v>
      </c>
      <c r="R96" s="405">
        <v>99</v>
      </c>
      <c r="S96" s="408">
        <v>19.7</v>
      </c>
      <c r="T96" s="407">
        <f t="shared" si="8"/>
        <v>73.299663299663294</v>
      </c>
      <c r="U96" s="399"/>
      <c r="V96" s="121"/>
    </row>
    <row r="97" spans="1:22" s="5" customFormat="1" ht="15.75" customHeight="1" x14ac:dyDescent="0.25">
      <c r="A97" s="2">
        <v>93</v>
      </c>
      <c r="B97" s="14" t="s">
        <v>23</v>
      </c>
      <c r="C97" s="16" t="s">
        <v>26</v>
      </c>
      <c r="D97" s="400" t="s">
        <v>157</v>
      </c>
      <c r="E97" s="401">
        <f t="shared" si="6"/>
        <v>68.278679164145757</v>
      </c>
      <c r="F97" s="402">
        <v>9.08</v>
      </c>
      <c r="G97" s="402">
        <v>16.97</v>
      </c>
      <c r="H97" s="402">
        <v>0.36</v>
      </c>
      <c r="I97" s="403">
        <v>5.1200613813034348</v>
      </c>
      <c r="J97" s="408">
        <v>96.6</v>
      </c>
      <c r="K97" s="405">
        <v>70</v>
      </c>
      <c r="L97" s="406">
        <v>67.5</v>
      </c>
      <c r="M97" s="402">
        <v>395.47986855575402</v>
      </c>
      <c r="N97" s="407">
        <f t="shared" si="7"/>
        <v>45.126381897315099</v>
      </c>
      <c r="O97" s="405">
        <v>95.5</v>
      </c>
      <c r="P97" s="405">
        <v>98.3</v>
      </c>
      <c r="Q97" s="405">
        <v>95.28</v>
      </c>
      <c r="R97" s="405">
        <v>95.42</v>
      </c>
      <c r="S97" s="408">
        <v>79.3</v>
      </c>
      <c r="T97" s="407">
        <f t="shared" si="8"/>
        <v>91.430976430976429</v>
      </c>
      <c r="U97" s="399"/>
      <c r="V97" s="121"/>
    </row>
    <row r="98" spans="1:22" s="5" customFormat="1" ht="15.75" customHeight="1" x14ac:dyDescent="0.25">
      <c r="A98" s="2">
        <v>94</v>
      </c>
      <c r="B98" s="6" t="s">
        <v>13</v>
      </c>
      <c r="C98" s="7" t="s">
        <v>14</v>
      </c>
      <c r="D98" s="400" t="s">
        <v>160</v>
      </c>
      <c r="E98" s="401">
        <f t="shared" si="6"/>
        <v>68.159284137430916</v>
      </c>
      <c r="F98" s="402">
        <v>29.44</v>
      </c>
      <c r="G98" s="402">
        <v>55.15</v>
      </c>
      <c r="H98" s="402">
        <v>9.24</v>
      </c>
      <c r="I98" s="402">
        <v>5.95</v>
      </c>
      <c r="J98" s="408">
        <v>100</v>
      </c>
      <c r="K98" s="405">
        <v>75</v>
      </c>
      <c r="L98" s="405">
        <v>59</v>
      </c>
      <c r="M98" s="402">
        <v>1040.6553303058199</v>
      </c>
      <c r="N98" s="407">
        <f t="shared" si="7"/>
        <v>70.358972315265888</v>
      </c>
      <c r="O98" s="405">
        <v>89</v>
      </c>
      <c r="P98" s="405">
        <v>79</v>
      </c>
      <c r="Q98" s="405">
        <v>91</v>
      </c>
      <c r="R98" s="405">
        <v>89</v>
      </c>
      <c r="S98" s="408">
        <v>21.9</v>
      </c>
      <c r="T98" s="407">
        <f t="shared" si="8"/>
        <v>65.959595959595958</v>
      </c>
      <c r="U98" s="399"/>
      <c r="V98" s="121"/>
    </row>
    <row r="99" spans="1:22" s="5" customFormat="1" ht="15.75" customHeight="1" x14ac:dyDescent="0.25">
      <c r="A99" s="2">
        <v>95</v>
      </c>
      <c r="B99" s="3" t="s">
        <v>10</v>
      </c>
      <c r="C99" s="4" t="s">
        <v>11</v>
      </c>
      <c r="D99" s="400" t="s">
        <v>105</v>
      </c>
      <c r="E99" s="401">
        <f t="shared" si="6"/>
        <v>68.014386537871189</v>
      </c>
      <c r="F99" s="402">
        <v>9.5500000000000007</v>
      </c>
      <c r="G99" s="402">
        <v>27.15</v>
      </c>
      <c r="H99" s="402">
        <v>2.4300000000000002</v>
      </c>
      <c r="I99" s="402">
        <v>12.12</v>
      </c>
      <c r="J99" s="408">
        <v>89.4</v>
      </c>
      <c r="K99" s="405">
        <v>92</v>
      </c>
      <c r="L99" s="405">
        <v>72</v>
      </c>
      <c r="M99" s="402">
        <v>135.12053013581999</v>
      </c>
      <c r="N99" s="407">
        <f t="shared" si="7"/>
        <v>53.402510449479749</v>
      </c>
      <c r="O99" s="405">
        <v>94</v>
      </c>
      <c r="P99" s="405">
        <v>92</v>
      </c>
      <c r="Q99" s="405">
        <v>94</v>
      </c>
      <c r="R99" s="405">
        <v>93</v>
      </c>
      <c r="S99" s="408">
        <v>58.9</v>
      </c>
      <c r="T99" s="407">
        <f t="shared" si="8"/>
        <v>82.62626262626263</v>
      </c>
      <c r="U99" s="399"/>
      <c r="V99" s="121"/>
    </row>
    <row r="100" spans="1:22" s="5" customFormat="1" ht="15.75" customHeight="1" x14ac:dyDescent="0.25">
      <c r="A100" s="2">
        <v>96</v>
      </c>
      <c r="B100" s="6" t="s">
        <v>13</v>
      </c>
      <c r="C100" s="7" t="s">
        <v>14</v>
      </c>
      <c r="D100" s="400" t="s">
        <v>91</v>
      </c>
      <c r="E100" s="401">
        <f t="shared" si="6"/>
        <v>67.924509835167498</v>
      </c>
      <c r="F100" s="402">
        <v>56.42</v>
      </c>
      <c r="G100" s="402">
        <v>56.87</v>
      </c>
      <c r="H100" s="402">
        <v>8.08</v>
      </c>
      <c r="I100" s="402">
        <v>0.92</v>
      </c>
      <c r="J100" s="408">
        <v>99.8</v>
      </c>
      <c r="K100" s="405">
        <v>70</v>
      </c>
      <c r="L100" s="405">
        <v>72</v>
      </c>
      <c r="M100" s="402">
        <v>565.40793457730103</v>
      </c>
      <c r="N100" s="407">
        <f t="shared" si="7"/>
        <v>66.219390040705363</v>
      </c>
      <c r="O100" s="405">
        <v>86</v>
      </c>
      <c r="P100" s="405">
        <v>81</v>
      </c>
      <c r="Q100" s="405">
        <v>90</v>
      </c>
      <c r="R100" s="405">
        <v>86</v>
      </c>
      <c r="S100" s="408">
        <v>35.299999999999997</v>
      </c>
      <c r="T100" s="407">
        <f t="shared" si="8"/>
        <v>69.629629629629633</v>
      </c>
      <c r="U100" s="399"/>
      <c r="V100" s="121"/>
    </row>
    <row r="101" spans="1:22" s="5" customFormat="1" ht="15.75" customHeight="1" x14ac:dyDescent="0.25">
      <c r="A101" s="2">
        <v>97</v>
      </c>
      <c r="B101" s="3" t="s">
        <v>10</v>
      </c>
      <c r="C101" s="25" t="s">
        <v>115</v>
      </c>
      <c r="D101" s="400" t="s">
        <v>211</v>
      </c>
      <c r="E101" s="401">
        <f t="shared" ref="E101:E132" si="9">(N101+T101)/2</f>
        <v>67.322405877476825</v>
      </c>
      <c r="F101" s="402">
        <v>18.98</v>
      </c>
      <c r="G101" s="402">
        <v>34.72</v>
      </c>
      <c r="H101" s="402">
        <v>1.23</v>
      </c>
      <c r="I101" s="402">
        <v>1.37</v>
      </c>
      <c r="J101" s="408">
        <v>99.7</v>
      </c>
      <c r="K101" s="405">
        <v>76</v>
      </c>
      <c r="L101" s="406">
        <v>70</v>
      </c>
      <c r="M101" s="402">
        <v>216.59682442968699</v>
      </c>
      <c r="N101" s="407">
        <f t="shared" ref="N101:N132" si="10">((LN(MAX(MIN(F101,75),4))-LN(4))/(LN(75)-LN(4))*100*2+(LN(MAX(MIN(G101,160),16))-LN(16))/(LN(160)-LN(16))*100+(LN(MAX(MIN(H101,12),0.3))-LN(0.3))/(LN(12)-LN(0.3))*100+(LN(MAX(MIN(I101,20),0.3))-LN(0.3))/(LN(20)-LN(0.3))*100*1.5+((MAX(J101,50))-50)/(50)*100*2+((MAX(K101,40))-40)/(60)*100+L101+(LN(MAX(MIN(M101,8000),200))-LN(200))/(LN(8000)-LN(200))*100*1.5)/11</f>
        <v>51.311478421620315</v>
      </c>
      <c r="O101" s="405">
        <v>98</v>
      </c>
      <c r="P101" s="405">
        <v>99</v>
      </c>
      <c r="Q101" s="405">
        <v>99</v>
      </c>
      <c r="R101" s="405">
        <v>98</v>
      </c>
      <c r="S101" s="408">
        <v>50.5</v>
      </c>
      <c r="T101" s="407">
        <f t="shared" ref="T101:T132" si="11">((O101+P101+Q101+R101+S101*2)/6)/99*100</f>
        <v>83.333333333333343</v>
      </c>
      <c r="U101" s="399"/>
      <c r="V101" s="121"/>
    </row>
    <row r="102" spans="1:22" s="5" customFormat="1" ht="15.75" customHeight="1" x14ac:dyDescent="0.25">
      <c r="A102" s="2">
        <v>98</v>
      </c>
      <c r="B102" s="3" t="s">
        <v>10</v>
      </c>
      <c r="C102" s="25" t="s">
        <v>115</v>
      </c>
      <c r="D102" s="400" t="s">
        <v>219</v>
      </c>
      <c r="E102" s="401">
        <f t="shared" si="9"/>
        <v>67.101795647943533</v>
      </c>
      <c r="F102" s="402">
        <v>23.23</v>
      </c>
      <c r="G102" s="402">
        <v>107.02</v>
      </c>
      <c r="H102" s="402">
        <v>1.3</v>
      </c>
      <c r="I102" s="402">
        <v>0.34</v>
      </c>
      <c r="J102" s="408">
        <v>99</v>
      </c>
      <c r="K102" s="405">
        <v>75</v>
      </c>
      <c r="L102" s="406">
        <v>70</v>
      </c>
      <c r="M102" s="402">
        <v>264.83535258480703</v>
      </c>
      <c r="N102" s="407">
        <f t="shared" si="10"/>
        <v>52.957800050095827</v>
      </c>
      <c r="O102" s="405">
        <v>90</v>
      </c>
      <c r="P102" s="405">
        <v>99</v>
      </c>
      <c r="Q102" s="405">
        <v>88</v>
      </c>
      <c r="R102" s="405">
        <v>87</v>
      </c>
      <c r="S102" s="408">
        <v>59.3</v>
      </c>
      <c r="T102" s="407">
        <f t="shared" si="11"/>
        <v>81.245791245791253</v>
      </c>
      <c r="U102" s="399"/>
      <c r="V102" s="121"/>
    </row>
    <row r="103" spans="1:22" s="5" customFormat="1" ht="15.75" customHeight="1" x14ac:dyDescent="0.25">
      <c r="A103" s="2">
        <v>99</v>
      </c>
      <c r="B103" s="8" t="s">
        <v>16</v>
      </c>
      <c r="C103" s="9" t="s">
        <v>17</v>
      </c>
      <c r="D103" s="400" t="s">
        <v>18</v>
      </c>
      <c r="E103" s="401">
        <f t="shared" si="9"/>
        <v>67.099938145412338</v>
      </c>
      <c r="F103" s="402">
        <v>16.600000000000001</v>
      </c>
      <c r="G103" s="402">
        <v>25.08</v>
      </c>
      <c r="H103" s="402">
        <v>3.57</v>
      </c>
      <c r="I103" s="402">
        <v>3</v>
      </c>
      <c r="J103" s="408">
        <v>98.8</v>
      </c>
      <c r="K103" s="405">
        <v>74</v>
      </c>
      <c r="L103" s="405">
        <v>68</v>
      </c>
      <c r="M103" s="402">
        <v>388.51580382971002</v>
      </c>
      <c r="N103" s="407">
        <f t="shared" si="10"/>
        <v>55.715027805976199</v>
      </c>
      <c r="O103" s="405">
        <v>92</v>
      </c>
      <c r="P103" s="405">
        <v>90</v>
      </c>
      <c r="Q103" s="405">
        <v>92</v>
      </c>
      <c r="R103" s="405">
        <v>89</v>
      </c>
      <c r="S103" s="408">
        <v>51.6</v>
      </c>
      <c r="T103" s="407">
        <f t="shared" si="11"/>
        <v>78.484848484848484</v>
      </c>
      <c r="U103" s="399"/>
      <c r="V103" s="121"/>
    </row>
    <row r="104" spans="1:22" s="5" customFormat="1" ht="15.75" customHeight="1" x14ac:dyDescent="0.25">
      <c r="A104" s="2">
        <v>100</v>
      </c>
      <c r="B104" s="17" t="s">
        <v>29</v>
      </c>
      <c r="C104" s="26" t="s">
        <v>118</v>
      </c>
      <c r="D104" s="400" t="s">
        <v>212</v>
      </c>
      <c r="E104" s="401">
        <f t="shared" si="9"/>
        <v>66.591285496344923</v>
      </c>
      <c r="F104" s="402">
        <v>17.71</v>
      </c>
      <c r="G104" s="402">
        <v>41.67</v>
      </c>
      <c r="H104" s="402">
        <v>2.08</v>
      </c>
      <c r="I104" s="402">
        <v>3.13</v>
      </c>
      <c r="J104" s="408">
        <v>99.5</v>
      </c>
      <c r="K104" s="405">
        <v>100</v>
      </c>
      <c r="L104" s="406">
        <v>35</v>
      </c>
      <c r="M104" s="402">
        <v>1216.5225946806299</v>
      </c>
      <c r="N104" s="407">
        <f t="shared" si="10"/>
        <v>62.340820150939003</v>
      </c>
      <c r="O104" s="405">
        <v>94</v>
      </c>
      <c r="P104" s="405">
        <v>91</v>
      </c>
      <c r="Q104" s="405">
        <v>94</v>
      </c>
      <c r="R104" s="405">
        <v>94</v>
      </c>
      <c r="S104" s="408">
        <v>23.9</v>
      </c>
      <c r="T104" s="407">
        <f t="shared" si="11"/>
        <v>70.841750841750851</v>
      </c>
      <c r="U104" s="399"/>
      <c r="V104" s="121"/>
    </row>
    <row r="105" spans="1:22" s="5" customFormat="1" ht="15.75" customHeight="1" x14ac:dyDescent="0.25">
      <c r="A105" s="2">
        <v>101</v>
      </c>
      <c r="B105" s="3" t="s">
        <v>10</v>
      </c>
      <c r="C105" s="22" t="s">
        <v>49</v>
      </c>
      <c r="D105" s="400" t="s">
        <v>222</v>
      </c>
      <c r="E105" s="401">
        <f t="shared" si="9"/>
        <v>65.866537109914319</v>
      </c>
      <c r="F105" s="402">
        <v>11.07</v>
      </c>
      <c r="G105" s="402">
        <v>14.38</v>
      </c>
      <c r="H105" s="403">
        <v>3.3144813932044266</v>
      </c>
      <c r="I105" s="402">
        <v>3.34</v>
      </c>
      <c r="J105" s="408">
        <v>98</v>
      </c>
      <c r="K105" s="405">
        <v>58</v>
      </c>
      <c r="L105" s="405">
        <v>74</v>
      </c>
      <c r="M105" s="402">
        <v>305.49323685460303</v>
      </c>
      <c r="N105" s="407">
        <f t="shared" si="10"/>
        <v>48.53442102117544</v>
      </c>
      <c r="O105" s="405">
        <v>97</v>
      </c>
      <c r="P105" s="405">
        <v>95</v>
      </c>
      <c r="Q105" s="405">
        <v>97</v>
      </c>
      <c r="R105" s="405">
        <v>73</v>
      </c>
      <c r="S105" s="408">
        <v>66.099999999999994</v>
      </c>
      <c r="T105" s="407">
        <f t="shared" si="11"/>
        <v>83.19865319865319</v>
      </c>
      <c r="U105" s="399"/>
      <c r="V105" s="121"/>
    </row>
    <row r="106" spans="1:22" s="5" customFormat="1" ht="15.75" customHeight="1" x14ac:dyDescent="0.25">
      <c r="A106" s="2">
        <v>102</v>
      </c>
      <c r="B106" s="14" t="s">
        <v>23</v>
      </c>
      <c r="C106" s="16" t="s">
        <v>26</v>
      </c>
      <c r="D106" s="400" t="s">
        <v>77</v>
      </c>
      <c r="E106" s="401">
        <f t="shared" si="9"/>
        <v>65.858163485432243</v>
      </c>
      <c r="F106" s="402">
        <v>23.13</v>
      </c>
      <c r="G106" s="402">
        <v>26.3</v>
      </c>
      <c r="H106" s="402">
        <v>2.97</v>
      </c>
      <c r="I106" s="403">
        <v>5.8759762317020572</v>
      </c>
      <c r="J106" s="408">
        <v>97.2</v>
      </c>
      <c r="K106" s="405">
        <v>78</v>
      </c>
      <c r="L106" s="405">
        <v>82</v>
      </c>
      <c r="M106" s="402">
        <v>767.00605489911698</v>
      </c>
      <c r="N106" s="407">
        <f t="shared" si="10"/>
        <v>63.500838755376257</v>
      </c>
      <c r="O106" s="405">
        <v>70</v>
      </c>
      <c r="P106" s="405">
        <v>60</v>
      </c>
      <c r="Q106" s="405">
        <v>70</v>
      </c>
      <c r="R106" s="405">
        <v>59</v>
      </c>
      <c r="S106" s="408">
        <v>73.099999999999994</v>
      </c>
      <c r="T106" s="407">
        <f t="shared" si="11"/>
        <v>68.215488215488222</v>
      </c>
      <c r="U106" s="399"/>
      <c r="V106" s="121"/>
    </row>
    <row r="107" spans="1:22" s="5" customFormat="1" ht="15.75" customHeight="1" x14ac:dyDescent="0.25">
      <c r="A107" s="2">
        <v>103</v>
      </c>
      <c r="B107" s="14" t="s">
        <v>23</v>
      </c>
      <c r="C107" s="16" t="s">
        <v>26</v>
      </c>
      <c r="D107" s="400" t="s">
        <v>76</v>
      </c>
      <c r="E107" s="401">
        <f t="shared" si="9"/>
        <v>65.79667451060196</v>
      </c>
      <c r="F107" s="402">
        <v>21.22</v>
      </c>
      <c r="G107" s="402">
        <v>17.579999999999998</v>
      </c>
      <c r="H107" s="402">
        <v>2.83</v>
      </c>
      <c r="I107" s="402">
        <v>0.24</v>
      </c>
      <c r="J107" s="408">
        <v>99.9</v>
      </c>
      <c r="K107" s="405">
        <v>77</v>
      </c>
      <c r="L107" s="405">
        <v>66</v>
      </c>
      <c r="M107" s="402">
        <v>749.14110319745396</v>
      </c>
      <c r="N107" s="407">
        <f t="shared" si="10"/>
        <v>50.886278314133229</v>
      </c>
      <c r="O107" s="405">
        <v>87</v>
      </c>
      <c r="P107" s="405">
        <v>78</v>
      </c>
      <c r="Q107" s="405">
        <v>86</v>
      </c>
      <c r="R107" s="405">
        <v>88</v>
      </c>
      <c r="S107" s="408">
        <v>70.2</v>
      </c>
      <c r="T107" s="407">
        <f t="shared" si="11"/>
        <v>80.707070707070699</v>
      </c>
      <c r="U107" s="399"/>
      <c r="V107" s="121"/>
    </row>
    <row r="108" spans="1:22" s="5" customFormat="1" ht="15.75" customHeight="1" x14ac:dyDescent="0.25">
      <c r="A108" s="2">
        <v>104</v>
      </c>
      <c r="B108" s="14" t="s">
        <v>23</v>
      </c>
      <c r="C108" s="15" t="s">
        <v>24</v>
      </c>
      <c r="D108" s="400" t="s">
        <v>112</v>
      </c>
      <c r="E108" s="401">
        <f t="shared" si="9"/>
        <v>65.542587231563417</v>
      </c>
      <c r="F108" s="402">
        <v>10.23</v>
      </c>
      <c r="G108" s="402">
        <v>20.95</v>
      </c>
      <c r="H108" s="402">
        <v>0.97</v>
      </c>
      <c r="I108" s="402">
        <v>1.01</v>
      </c>
      <c r="J108" s="408">
        <v>98.8</v>
      </c>
      <c r="K108" s="405">
        <v>74</v>
      </c>
      <c r="L108" s="405">
        <v>54</v>
      </c>
      <c r="M108" s="402">
        <v>558.92946962692804</v>
      </c>
      <c r="N108" s="407">
        <f t="shared" si="10"/>
        <v>45.32759870555109</v>
      </c>
      <c r="O108" s="405">
        <v>99</v>
      </c>
      <c r="P108" s="405">
        <v>93</v>
      </c>
      <c r="Q108" s="405">
        <v>99</v>
      </c>
      <c r="R108" s="405">
        <v>98</v>
      </c>
      <c r="S108" s="408">
        <v>60.2</v>
      </c>
      <c r="T108" s="407">
        <f t="shared" si="11"/>
        <v>85.757575757575751</v>
      </c>
      <c r="U108" s="399"/>
      <c r="V108" s="121"/>
    </row>
    <row r="109" spans="1:22" s="5" customFormat="1" ht="15.75" customHeight="1" x14ac:dyDescent="0.25">
      <c r="A109" s="2">
        <v>105</v>
      </c>
      <c r="B109" s="8" t="s">
        <v>16</v>
      </c>
      <c r="C109" s="9" t="s">
        <v>17</v>
      </c>
      <c r="D109" s="400" t="s">
        <v>209</v>
      </c>
      <c r="E109" s="401">
        <f t="shared" si="9"/>
        <v>65.441360640698235</v>
      </c>
      <c r="F109" s="402">
        <v>12.38</v>
      </c>
      <c r="G109" s="402">
        <v>19.16</v>
      </c>
      <c r="H109" s="402">
        <v>3.68</v>
      </c>
      <c r="I109" s="402">
        <v>2.42</v>
      </c>
      <c r="J109" s="408">
        <v>98</v>
      </c>
      <c r="K109" s="405">
        <v>67</v>
      </c>
      <c r="L109" s="405">
        <v>29</v>
      </c>
      <c r="M109" s="402">
        <v>601.71069870902897</v>
      </c>
      <c r="N109" s="407">
        <f t="shared" si="10"/>
        <v>48.929859328534526</v>
      </c>
      <c r="O109" s="405">
        <v>97</v>
      </c>
      <c r="P109" s="405">
        <v>97</v>
      </c>
      <c r="Q109" s="405">
        <v>97</v>
      </c>
      <c r="R109" s="405">
        <v>96</v>
      </c>
      <c r="S109" s="408">
        <v>49.9</v>
      </c>
      <c r="T109" s="407">
        <f t="shared" si="11"/>
        <v>81.952861952861952</v>
      </c>
      <c r="U109" s="399"/>
      <c r="V109" s="121"/>
    </row>
    <row r="110" spans="1:22" s="5" customFormat="1" ht="15.75" customHeight="1" x14ac:dyDescent="0.25">
      <c r="A110" s="2">
        <v>106</v>
      </c>
      <c r="B110" s="14" t="s">
        <v>23</v>
      </c>
      <c r="C110" s="16" t="s">
        <v>26</v>
      </c>
      <c r="D110" s="400" t="s">
        <v>144</v>
      </c>
      <c r="E110" s="401">
        <f t="shared" si="9"/>
        <v>65.435091460192638</v>
      </c>
      <c r="F110" s="402">
        <v>27.52</v>
      </c>
      <c r="G110" s="402">
        <v>30.48</v>
      </c>
      <c r="H110" s="402">
        <v>1.39</v>
      </c>
      <c r="I110" s="403">
        <v>4.6736893164790168</v>
      </c>
      <c r="J110" s="408">
        <v>87.5</v>
      </c>
      <c r="K110" s="405">
        <v>75</v>
      </c>
      <c r="L110" s="405">
        <v>65</v>
      </c>
      <c r="M110" s="402">
        <v>665.21115515385395</v>
      </c>
      <c r="N110" s="407">
        <f t="shared" si="10"/>
        <v>56.493078543280873</v>
      </c>
      <c r="O110" s="405">
        <v>78</v>
      </c>
      <c r="P110" s="405">
        <v>69</v>
      </c>
      <c r="Q110" s="405">
        <v>78</v>
      </c>
      <c r="R110" s="405">
        <v>78</v>
      </c>
      <c r="S110" s="408">
        <v>69.400000000000006</v>
      </c>
      <c r="T110" s="407">
        <f t="shared" si="11"/>
        <v>74.377104377104388</v>
      </c>
      <c r="U110" s="399"/>
      <c r="V110" s="121"/>
    </row>
    <row r="111" spans="1:22" s="5" customFormat="1" ht="15.75" customHeight="1" x14ac:dyDescent="0.25">
      <c r="A111" s="2">
        <v>107</v>
      </c>
      <c r="B111" s="3" t="s">
        <v>10</v>
      </c>
      <c r="C111" s="19" t="s">
        <v>35</v>
      </c>
      <c r="D111" s="400" t="s">
        <v>36</v>
      </c>
      <c r="E111" s="401">
        <f t="shared" si="9"/>
        <v>65.027387516540827</v>
      </c>
      <c r="F111" s="402">
        <v>7.41</v>
      </c>
      <c r="G111" s="402">
        <v>26.48</v>
      </c>
      <c r="H111" s="402">
        <v>0.8</v>
      </c>
      <c r="I111" s="402">
        <v>1.65</v>
      </c>
      <c r="J111" s="408">
        <v>99.4</v>
      </c>
      <c r="K111" s="405">
        <v>75</v>
      </c>
      <c r="L111" s="405">
        <v>55</v>
      </c>
      <c r="M111" s="402">
        <v>1514.37300233565</v>
      </c>
      <c r="N111" s="407">
        <f t="shared" si="10"/>
        <v>49.516054494361121</v>
      </c>
      <c r="O111" s="405">
        <v>96</v>
      </c>
      <c r="P111" s="405">
        <v>99</v>
      </c>
      <c r="Q111" s="405">
        <v>96</v>
      </c>
      <c r="R111" s="405">
        <v>98</v>
      </c>
      <c r="S111" s="408">
        <v>44.7</v>
      </c>
      <c r="T111" s="407">
        <f t="shared" si="11"/>
        <v>80.53872053872054</v>
      </c>
      <c r="U111" s="399"/>
      <c r="V111" s="121"/>
    </row>
    <row r="112" spans="1:22" s="5" customFormat="1" ht="15.75" customHeight="1" x14ac:dyDescent="0.25">
      <c r="A112" s="2">
        <v>108</v>
      </c>
      <c r="B112" s="14" t="s">
        <v>23</v>
      </c>
      <c r="C112" s="16" t="s">
        <v>26</v>
      </c>
      <c r="D112" s="400" t="s">
        <v>96</v>
      </c>
      <c r="E112" s="401">
        <f t="shared" si="9"/>
        <v>64.919729153046447</v>
      </c>
      <c r="F112" s="402">
        <v>16.27</v>
      </c>
      <c r="G112" s="402">
        <v>22.73</v>
      </c>
      <c r="H112" s="402">
        <v>2.73</v>
      </c>
      <c r="I112" s="402">
        <v>4.33</v>
      </c>
      <c r="J112" s="408">
        <v>96</v>
      </c>
      <c r="K112" s="405">
        <v>89</v>
      </c>
      <c r="L112" s="405">
        <v>78</v>
      </c>
      <c r="M112" s="402">
        <v>334.969829292155</v>
      </c>
      <c r="N112" s="407">
        <f t="shared" si="10"/>
        <v>57.347875814510409</v>
      </c>
      <c r="O112" s="405">
        <v>81</v>
      </c>
      <c r="P112" s="405">
        <v>78</v>
      </c>
      <c r="Q112" s="405">
        <v>81</v>
      </c>
      <c r="R112" s="405">
        <v>81</v>
      </c>
      <c r="S112" s="408">
        <v>54.8</v>
      </c>
      <c r="T112" s="407">
        <f t="shared" si="11"/>
        <v>72.491582491582491</v>
      </c>
      <c r="U112" s="399"/>
      <c r="V112" s="121"/>
    </row>
    <row r="113" spans="1:22" s="5" customFormat="1" ht="15.75" customHeight="1" x14ac:dyDescent="0.25">
      <c r="A113" s="2">
        <v>109</v>
      </c>
      <c r="B113" s="14" t="s">
        <v>23</v>
      </c>
      <c r="C113" s="15" t="s">
        <v>24</v>
      </c>
      <c r="D113" s="400" t="s">
        <v>99</v>
      </c>
      <c r="E113" s="401">
        <f t="shared" si="9"/>
        <v>64.688103291170734</v>
      </c>
      <c r="F113" s="402">
        <v>12.49</v>
      </c>
      <c r="G113" s="402">
        <v>48.43</v>
      </c>
      <c r="H113" s="402">
        <v>0.68</v>
      </c>
      <c r="I113" s="402">
        <v>0.57999999999999996</v>
      </c>
      <c r="J113" s="408">
        <v>98</v>
      </c>
      <c r="K113" s="405">
        <v>77</v>
      </c>
      <c r="L113" s="405">
        <v>69</v>
      </c>
      <c r="M113" s="402">
        <v>933.72389998641302</v>
      </c>
      <c r="N113" s="407">
        <f t="shared" si="10"/>
        <v>50.621997828132727</v>
      </c>
      <c r="O113" s="405">
        <v>98</v>
      </c>
      <c r="P113" s="405">
        <v>97</v>
      </c>
      <c r="Q113" s="405">
        <v>98</v>
      </c>
      <c r="R113" s="405">
        <v>99</v>
      </c>
      <c r="S113" s="408">
        <v>37.9</v>
      </c>
      <c r="T113" s="407">
        <f t="shared" si="11"/>
        <v>78.754208754208747</v>
      </c>
      <c r="U113" s="399"/>
      <c r="V113" s="121"/>
    </row>
    <row r="114" spans="1:22" s="5" customFormat="1" ht="15.75" customHeight="1" x14ac:dyDescent="0.25">
      <c r="A114" s="2">
        <v>110</v>
      </c>
      <c r="B114" s="14" t="s">
        <v>23</v>
      </c>
      <c r="C114" s="16" t="s">
        <v>26</v>
      </c>
      <c r="D114" s="400" t="s">
        <v>166</v>
      </c>
      <c r="E114" s="401">
        <f t="shared" si="9"/>
        <v>64.551370739386044</v>
      </c>
      <c r="F114" s="402">
        <v>16.25</v>
      </c>
      <c r="G114" s="402">
        <v>33.450000000000003</v>
      </c>
      <c r="H114" s="402">
        <v>2.8</v>
      </c>
      <c r="I114" s="402">
        <v>2.1800000000000002</v>
      </c>
      <c r="J114" s="408">
        <v>95.7</v>
      </c>
      <c r="K114" s="405">
        <v>77</v>
      </c>
      <c r="L114" s="405">
        <v>67</v>
      </c>
      <c r="M114" s="402">
        <v>1699.5394805732301</v>
      </c>
      <c r="N114" s="407">
        <f t="shared" si="10"/>
        <v>59.776142152172753</v>
      </c>
      <c r="O114" s="405">
        <v>72</v>
      </c>
      <c r="P114" s="405">
        <v>82</v>
      </c>
      <c r="Q114" s="405">
        <v>72</v>
      </c>
      <c r="R114" s="405">
        <v>72</v>
      </c>
      <c r="S114" s="408">
        <v>56.9</v>
      </c>
      <c r="T114" s="407">
        <f t="shared" si="11"/>
        <v>69.326599326599336</v>
      </c>
      <c r="U114" s="399"/>
      <c r="V114" s="121"/>
    </row>
    <row r="115" spans="1:22" s="5" customFormat="1" ht="15.75" customHeight="1" x14ac:dyDescent="0.25">
      <c r="A115" s="2">
        <v>111</v>
      </c>
      <c r="B115" s="3" t="s">
        <v>10</v>
      </c>
      <c r="C115" s="25" t="s">
        <v>115</v>
      </c>
      <c r="D115" s="400" t="s">
        <v>203</v>
      </c>
      <c r="E115" s="401">
        <f t="shared" si="9"/>
        <v>64.511377674452419</v>
      </c>
      <c r="F115" s="402">
        <v>18.7</v>
      </c>
      <c r="G115" s="402">
        <v>64.53</v>
      </c>
      <c r="H115" s="402">
        <v>1.5</v>
      </c>
      <c r="I115" s="402">
        <v>2.56</v>
      </c>
      <c r="J115" s="408">
        <v>97.6</v>
      </c>
      <c r="K115" s="405">
        <v>56</v>
      </c>
      <c r="L115" s="405">
        <v>81</v>
      </c>
      <c r="M115" s="402">
        <v>93.244009753571007</v>
      </c>
      <c r="N115" s="407">
        <f t="shared" si="10"/>
        <v>53.096829422978914</v>
      </c>
      <c r="O115" s="405">
        <v>97</v>
      </c>
      <c r="P115" s="405">
        <v>97</v>
      </c>
      <c r="Q115" s="405">
        <v>97</v>
      </c>
      <c r="R115" s="405">
        <v>97</v>
      </c>
      <c r="S115" s="408">
        <v>31.5</v>
      </c>
      <c r="T115" s="407">
        <f t="shared" si="11"/>
        <v>75.925925925925924</v>
      </c>
      <c r="U115" s="399"/>
      <c r="V115" s="121"/>
    </row>
    <row r="116" spans="1:22" s="5" customFormat="1" ht="15.75" customHeight="1" x14ac:dyDescent="0.25">
      <c r="A116" s="2">
        <v>112</v>
      </c>
      <c r="B116" s="3" t="s">
        <v>10</v>
      </c>
      <c r="C116" s="19" t="s">
        <v>35</v>
      </c>
      <c r="D116" s="400" t="s">
        <v>108</v>
      </c>
      <c r="E116" s="401">
        <f t="shared" si="9"/>
        <v>64.14465949631736</v>
      </c>
      <c r="F116" s="402">
        <v>10.64</v>
      </c>
      <c r="G116" s="402">
        <v>25.71</v>
      </c>
      <c r="H116" s="402">
        <v>6.8</v>
      </c>
      <c r="I116" s="402">
        <v>7.18</v>
      </c>
      <c r="J116" s="408">
        <v>96</v>
      </c>
      <c r="K116" s="405">
        <v>66</v>
      </c>
      <c r="L116" s="405">
        <v>66</v>
      </c>
      <c r="M116" s="402">
        <v>387.83404478837701</v>
      </c>
      <c r="N116" s="407">
        <f t="shared" si="10"/>
        <v>55.056995760311494</v>
      </c>
      <c r="O116" s="405">
        <v>90</v>
      </c>
      <c r="P116" s="405">
        <v>82</v>
      </c>
      <c r="Q116" s="405">
        <v>90</v>
      </c>
      <c r="R116" s="405">
        <v>91</v>
      </c>
      <c r="S116" s="408">
        <v>41</v>
      </c>
      <c r="T116" s="407">
        <f t="shared" si="11"/>
        <v>73.232323232323239</v>
      </c>
      <c r="U116" s="399"/>
      <c r="V116" s="121"/>
    </row>
    <row r="117" spans="1:22" s="5" customFormat="1" ht="15.75" customHeight="1" x14ac:dyDescent="0.25">
      <c r="A117" s="2">
        <v>113</v>
      </c>
      <c r="B117" s="6" t="s">
        <v>13</v>
      </c>
      <c r="C117" s="7" t="s">
        <v>14</v>
      </c>
      <c r="D117" s="400" t="s">
        <v>28</v>
      </c>
      <c r="E117" s="401">
        <f t="shared" si="9"/>
        <v>64.068740424186316</v>
      </c>
      <c r="F117" s="402">
        <v>33.6</v>
      </c>
      <c r="G117" s="402">
        <v>47.47</v>
      </c>
      <c r="H117" s="402">
        <v>3.59</v>
      </c>
      <c r="I117" s="402">
        <v>0.39</v>
      </c>
      <c r="J117" s="408">
        <v>99.8</v>
      </c>
      <c r="K117" s="405">
        <v>69</v>
      </c>
      <c r="L117" s="405">
        <v>52</v>
      </c>
      <c r="M117" s="402">
        <v>319.33498313994198</v>
      </c>
      <c r="N117" s="407">
        <f t="shared" si="10"/>
        <v>53.42367613456792</v>
      </c>
      <c r="O117" s="405">
        <v>94</v>
      </c>
      <c r="P117" s="405">
        <v>95</v>
      </c>
      <c r="Q117" s="405">
        <v>94</v>
      </c>
      <c r="R117" s="405">
        <v>94</v>
      </c>
      <c r="S117" s="408">
        <v>33.4</v>
      </c>
      <c r="T117" s="407">
        <f t="shared" si="11"/>
        <v>74.71380471380472</v>
      </c>
      <c r="U117" s="399"/>
      <c r="V117" s="121"/>
    </row>
    <row r="118" spans="1:22" s="5" customFormat="1" ht="15.75" customHeight="1" x14ac:dyDescent="0.25">
      <c r="A118" s="2">
        <v>114</v>
      </c>
      <c r="B118" s="8" t="s">
        <v>16</v>
      </c>
      <c r="C118" s="9" t="s">
        <v>17</v>
      </c>
      <c r="D118" s="400" t="s">
        <v>130</v>
      </c>
      <c r="E118" s="401">
        <f t="shared" si="9"/>
        <v>64.051523320285327</v>
      </c>
      <c r="F118" s="402">
        <v>20.420000000000002</v>
      </c>
      <c r="G118" s="402">
        <v>63.77</v>
      </c>
      <c r="H118" s="402">
        <v>5.8</v>
      </c>
      <c r="I118" s="402">
        <v>4.0999999999999996</v>
      </c>
      <c r="J118" s="408">
        <v>99.9</v>
      </c>
      <c r="K118" s="405">
        <v>58</v>
      </c>
      <c r="L118" s="405">
        <v>50</v>
      </c>
      <c r="M118" s="402">
        <v>845.84884265185303</v>
      </c>
      <c r="N118" s="407">
        <f t="shared" si="10"/>
        <v>62.10978064730466</v>
      </c>
      <c r="O118" s="405">
        <v>86</v>
      </c>
      <c r="P118" s="405">
        <v>80</v>
      </c>
      <c r="Q118" s="405">
        <v>86</v>
      </c>
      <c r="R118" s="405">
        <v>86</v>
      </c>
      <c r="S118" s="408">
        <v>27</v>
      </c>
      <c r="T118" s="407">
        <f t="shared" si="11"/>
        <v>65.993265993265993</v>
      </c>
      <c r="U118" s="399"/>
      <c r="V118" s="121"/>
    </row>
    <row r="119" spans="1:22" s="5" customFormat="1" ht="15.75" customHeight="1" x14ac:dyDescent="0.25">
      <c r="A119" s="2">
        <v>115</v>
      </c>
      <c r="B119" s="3" t="s">
        <v>10</v>
      </c>
      <c r="C119" s="19" t="s">
        <v>35</v>
      </c>
      <c r="D119" s="400" t="s">
        <v>165</v>
      </c>
      <c r="E119" s="401">
        <f t="shared" si="9"/>
        <v>63.885956483661417</v>
      </c>
      <c r="F119" s="403">
        <v>16.711199710881424</v>
      </c>
      <c r="G119" s="403">
        <v>21.287512222659036</v>
      </c>
      <c r="H119" s="403">
        <v>4.7843841992754834</v>
      </c>
      <c r="I119" s="403">
        <v>4.7106068737766202</v>
      </c>
      <c r="J119" s="404">
        <v>90.971369412966212</v>
      </c>
      <c r="K119" s="405">
        <v>70</v>
      </c>
      <c r="L119" s="406">
        <v>65</v>
      </c>
      <c r="M119" s="402">
        <v>250.44278368566901</v>
      </c>
      <c r="N119" s="407">
        <f t="shared" si="10"/>
        <v>51.946997142407007</v>
      </c>
      <c r="O119" s="405">
        <v>88</v>
      </c>
      <c r="P119" s="405">
        <v>89</v>
      </c>
      <c r="Q119" s="405">
        <v>91</v>
      </c>
      <c r="R119" s="405">
        <v>89</v>
      </c>
      <c r="S119" s="408">
        <v>46.7</v>
      </c>
      <c r="T119" s="407">
        <f t="shared" si="11"/>
        <v>75.82491582491582</v>
      </c>
      <c r="U119" s="399"/>
      <c r="V119" s="121"/>
    </row>
    <row r="120" spans="1:22" s="5" customFormat="1" ht="15.75" customHeight="1" x14ac:dyDescent="0.25">
      <c r="A120" s="2">
        <v>116</v>
      </c>
      <c r="B120" s="3" t="s">
        <v>10</v>
      </c>
      <c r="C120" s="4" t="s">
        <v>11</v>
      </c>
      <c r="D120" s="400" t="s">
        <v>193</v>
      </c>
      <c r="E120" s="401">
        <f t="shared" si="9"/>
        <v>63.830618183358055</v>
      </c>
      <c r="F120" s="402">
        <v>11.36</v>
      </c>
      <c r="G120" s="402">
        <v>22.58</v>
      </c>
      <c r="H120" s="402">
        <v>0.96</v>
      </c>
      <c r="I120" s="402">
        <v>1.0900000000000001</v>
      </c>
      <c r="J120" s="408">
        <v>99.5</v>
      </c>
      <c r="K120" s="405">
        <v>66</v>
      </c>
      <c r="L120" s="405">
        <v>71</v>
      </c>
      <c r="M120" s="402">
        <v>170.23741846787999</v>
      </c>
      <c r="N120" s="407">
        <f t="shared" si="10"/>
        <v>43.28413198961173</v>
      </c>
      <c r="O120" s="405">
        <v>97</v>
      </c>
      <c r="P120" s="405">
        <v>98</v>
      </c>
      <c r="Q120" s="405">
        <v>97</v>
      </c>
      <c r="R120" s="405">
        <v>97</v>
      </c>
      <c r="S120" s="408">
        <v>56.1</v>
      </c>
      <c r="T120" s="407">
        <f t="shared" si="11"/>
        <v>84.377104377104374</v>
      </c>
      <c r="U120" s="399"/>
      <c r="V120" s="121"/>
    </row>
    <row r="121" spans="1:22" s="5" customFormat="1" ht="15.75" customHeight="1" x14ac:dyDescent="0.25">
      <c r="A121" s="2">
        <v>117</v>
      </c>
      <c r="B121" s="14" t="s">
        <v>23</v>
      </c>
      <c r="C121" s="16" t="s">
        <v>26</v>
      </c>
      <c r="D121" s="400" t="s">
        <v>101</v>
      </c>
      <c r="E121" s="401">
        <f t="shared" si="9"/>
        <v>63.435851779331458</v>
      </c>
      <c r="F121" s="402">
        <v>19.02</v>
      </c>
      <c r="G121" s="402">
        <v>7.35</v>
      </c>
      <c r="H121" s="402">
        <v>7.1</v>
      </c>
      <c r="I121" s="402">
        <v>5.51</v>
      </c>
      <c r="J121" s="408">
        <v>94.1</v>
      </c>
      <c r="K121" s="405">
        <v>65</v>
      </c>
      <c r="L121" s="405">
        <v>74</v>
      </c>
      <c r="M121" s="402">
        <v>176.690313388573</v>
      </c>
      <c r="N121" s="407">
        <f t="shared" si="10"/>
        <v>53.471030157989503</v>
      </c>
      <c r="O121" s="405">
        <v>75</v>
      </c>
      <c r="P121" s="405">
        <v>77</v>
      </c>
      <c r="Q121" s="405">
        <v>75</v>
      </c>
      <c r="R121" s="405">
        <v>75</v>
      </c>
      <c r="S121" s="408">
        <v>67</v>
      </c>
      <c r="T121" s="407">
        <f t="shared" si="11"/>
        <v>73.400673400673412</v>
      </c>
      <c r="U121" s="399"/>
      <c r="V121" s="121"/>
    </row>
    <row r="122" spans="1:22" s="5" customFormat="1" ht="15.75" customHeight="1" x14ac:dyDescent="0.25">
      <c r="A122" s="2">
        <v>118</v>
      </c>
      <c r="B122" s="8" t="s">
        <v>16</v>
      </c>
      <c r="C122" s="11" t="s">
        <v>21</v>
      </c>
      <c r="D122" s="400" t="s">
        <v>47</v>
      </c>
      <c r="E122" s="401">
        <f t="shared" si="9"/>
        <v>63.220015919020454</v>
      </c>
      <c r="F122" s="402">
        <v>4.28</v>
      </c>
      <c r="G122" s="402">
        <v>30.23</v>
      </c>
      <c r="H122" s="402">
        <v>0.35</v>
      </c>
      <c r="I122" s="402">
        <v>0.54</v>
      </c>
      <c r="J122" s="408">
        <v>99.8</v>
      </c>
      <c r="K122" s="405">
        <v>67</v>
      </c>
      <c r="L122" s="405">
        <v>95</v>
      </c>
      <c r="M122" s="402">
        <v>988.16751731482805</v>
      </c>
      <c r="N122" s="407">
        <f t="shared" si="10"/>
        <v>41.961917359926417</v>
      </c>
      <c r="O122" s="405">
        <v>95</v>
      </c>
      <c r="P122" s="405">
        <v>77</v>
      </c>
      <c r="Q122" s="405">
        <v>95</v>
      </c>
      <c r="R122" s="405">
        <v>96</v>
      </c>
      <c r="S122" s="408">
        <v>69.400000000000006</v>
      </c>
      <c r="T122" s="407">
        <f t="shared" si="11"/>
        <v>84.478114478114492</v>
      </c>
      <c r="U122" s="399"/>
      <c r="V122" s="121"/>
    </row>
    <row r="123" spans="1:22" s="5" customFormat="1" ht="15.75" customHeight="1" x14ac:dyDescent="0.25">
      <c r="A123" s="2">
        <v>119</v>
      </c>
      <c r="B123" s="14" t="s">
        <v>23</v>
      </c>
      <c r="C123" s="16" t="s">
        <v>26</v>
      </c>
      <c r="D123" s="400" t="s">
        <v>169</v>
      </c>
      <c r="E123" s="401">
        <f t="shared" si="9"/>
        <v>62.9178809583873</v>
      </c>
      <c r="F123" s="402">
        <v>16.88</v>
      </c>
      <c r="G123" s="402">
        <v>27.38</v>
      </c>
      <c r="H123" s="402">
        <v>2.15</v>
      </c>
      <c r="I123" s="402">
        <v>1.65</v>
      </c>
      <c r="J123" s="408">
        <v>94.3</v>
      </c>
      <c r="K123" s="405">
        <v>64</v>
      </c>
      <c r="L123" s="405">
        <v>80</v>
      </c>
      <c r="M123" s="402">
        <v>608.08913556194398</v>
      </c>
      <c r="N123" s="407">
        <f t="shared" si="10"/>
        <v>52.569768650781334</v>
      </c>
      <c r="O123" s="405">
        <v>80</v>
      </c>
      <c r="P123" s="405">
        <v>76</v>
      </c>
      <c r="Q123" s="405">
        <v>80</v>
      </c>
      <c r="R123" s="405">
        <v>80</v>
      </c>
      <c r="S123" s="408">
        <v>59.6</v>
      </c>
      <c r="T123" s="407">
        <f t="shared" si="11"/>
        <v>73.265993265993274</v>
      </c>
      <c r="U123" s="399"/>
      <c r="V123" s="121"/>
    </row>
    <row r="124" spans="1:22" s="5" customFormat="1" ht="15.75" customHeight="1" x14ac:dyDescent="0.25">
      <c r="A124" s="2">
        <v>120</v>
      </c>
      <c r="B124" s="6" t="s">
        <v>13</v>
      </c>
      <c r="C124" s="7" t="s">
        <v>14</v>
      </c>
      <c r="D124" s="400" t="s">
        <v>46</v>
      </c>
      <c r="E124" s="401">
        <f t="shared" si="9"/>
        <v>62.534215716764827</v>
      </c>
      <c r="F124" s="402">
        <v>25.84</v>
      </c>
      <c r="G124" s="402">
        <v>67.27</v>
      </c>
      <c r="H124" s="402">
        <v>2.58</v>
      </c>
      <c r="I124" s="402">
        <v>1.38</v>
      </c>
      <c r="J124" s="408">
        <v>99.9</v>
      </c>
      <c r="K124" s="405">
        <v>70</v>
      </c>
      <c r="L124" s="406">
        <v>84.5</v>
      </c>
      <c r="M124" s="402">
        <v>1338.4875807677099</v>
      </c>
      <c r="N124" s="407">
        <f t="shared" si="10"/>
        <v>64.900081265179494</v>
      </c>
      <c r="O124" s="405">
        <v>79</v>
      </c>
      <c r="P124" s="405">
        <v>71</v>
      </c>
      <c r="Q124" s="405">
        <v>82</v>
      </c>
      <c r="R124" s="405">
        <v>79</v>
      </c>
      <c r="S124" s="408">
        <v>23.2</v>
      </c>
      <c r="T124" s="407">
        <f t="shared" si="11"/>
        <v>60.168350168350159</v>
      </c>
      <c r="U124" s="399"/>
      <c r="V124" s="121"/>
    </row>
    <row r="125" spans="1:22" s="5" customFormat="1" ht="15.75" customHeight="1" x14ac:dyDescent="0.25">
      <c r="A125" s="2">
        <v>121</v>
      </c>
      <c r="B125" s="14" t="s">
        <v>23</v>
      </c>
      <c r="C125" s="15" t="s">
        <v>24</v>
      </c>
      <c r="D125" s="400" t="s">
        <v>41</v>
      </c>
      <c r="E125" s="401">
        <f t="shared" si="9"/>
        <v>62.500386081731349</v>
      </c>
      <c r="F125" s="402">
        <v>13.36</v>
      </c>
      <c r="G125" s="402">
        <v>20.6</v>
      </c>
      <c r="H125" s="402">
        <v>1.71</v>
      </c>
      <c r="I125" s="402">
        <v>7.7</v>
      </c>
      <c r="J125" s="408">
        <v>94.9</v>
      </c>
      <c r="K125" s="405">
        <v>52</v>
      </c>
      <c r="L125" s="405">
        <v>50</v>
      </c>
      <c r="M125" s="402">
        <v>373.10942500071599</v>
      </c>
      <c r="N125" s="407">
        <f t="shared" si="10"/>
        <v>48.300435463125993</v>
      </c>
      <c r="O125" s="405">
        <v>88</v>
      </c>
      <c r="P125" s="405">
        <v>83</v>
      </c>
      <c r="Q125" s="405">
        <v>88</v>
      </c>
      <c r="R125" s="405">
        <v>88</v>
      </c>
      <c r="S125" s="408">
        <v>54.3</v>
      </c>
      <c r="T125" s="407">
        <f t="shared" si="11"/>
        <v>76.700336700336706</v>
      </c>
      <c r="U125" s="399"/>
      <c r="V125" s="121"/>
    </row>
    <row r="126" spans="1:22" s="5" customFormat="1" ht="15.75" customHeight="1" x14ac:dyDescent="0.25">
      <c r="A126" s="2">
        <v>122</v>
      </c>
      <c r="B126" s="3" t="s">
        <v>10</v>
      </c>
      <c r="C126" s="4" t="s">
        <v>11</v>
      </c>
      <c r="D126" s="400" t="s">
        <v>44</v>
      </c>
      <c r="E126" s="401">
        <f t="shared" si="9"/>
        <v>62.30192111547737</v>
      </c>
      <c r="F126" s="402">
        <v>5.53</v>
      </c>
      <c r="G126" s="402">
        <v>20.52</v>
      </c>
      <c r="H126" s="402">
        <v>0.97</v>
      </c>
      <c r="I126" s="402">
        <v>0.68</v>
      </c>
      <c r="J126" s="408">
        <v>98.5</v>
      </c>
      <c r="K126" s="405">
        <v>60</v>
      </c>
      <c r="L126" s="405">
        <v>70</v>
      </c>
      <c r="M126" s="402">
        <v>451.02881049424798</v>
      </c>
      <c r="N126" s="407">
        <f t="shared" si="10"/>
        <v>38.576906204018712</v>
      </c>
      <c r="O126" s="405">
        <v>98</v>
      </c>
      <c r="P126" s="405">
        <v>96</v>
      </c>
      <c r="Q126" s="405">
        <v>98</v>
      </c>
      <c r="R126" s="405">
        <v>99</v>
      </c>
      <c r="S126" s="408">
        <v>60</v>
      </c>
      <c r="T126" s="407">
        <f t="shared" si="11"/>
        <v>86.026936026936028</v>
      </c>
      <c r="U126" s="399"/>
      <c r="V126" s="121"/>
    </row>
    <row r="127" spans="1:22" s="5" customFormat="1" ht="15.75" customHeight="1" x14ac:dyDescent="0.25">
      <c r="A127" s="2">
        <v>123</v>
      </c>
      <c r="B127" s="8" t="s">
        <v>16</v>
      </c>
      <c r="C127" s="11" t="s">
        <v>21</v>
      </c>
      <c r="D127" s="400" t="s">
        <v>190</v>
      </c>
      <c r="E127" s="401">
        <f t="shared" si="9"/>
        <v>62.002138511029891</v>
      </c>
      <c r="F127" s="402">
        <v>7.66</v>
      </c>
      <c r="G127" s="402">
        <v>41.54</v>
      </c>
      <c r="H127" s="402">
        <v>1.07</v>
      </c>
      <c r="I127" s="402">
        <v>2.86</v>
      </c>
      <c r="J127" s="408">
        <v>96.7</v>
      </c>
      <c r="K127" s="405">
        <v>74</v>
      </c>
      <c r="L127" s="405">
        <v>81</v>
      </c>
      <c r="M127" s="402">
        <v>834.095843304543</v>
      </c>
      <c r="N127" s="407">
        <f t="shared" si="10"/>
        <v>53.027846045628806</v>
      </c>
      <c r="O127" s="405">
        <v>74</v>
      </c>
      <c r="P127" s="405">
        <v>82</v>
      </c>
      <c r="Q127" s="405">
        <v>74</v>
      </c>
      <c r="R127" s="405">
        <v>74</v>
      </c>
      <c r="S127" s="408">
        <v>58.8</v>
      </c>
      <c r="T127" s="407">
        <f t="shared" si="11"/>
        <v>70.976430976430976</v>
      </c>
      <c r="U127" s="399"/>
      <c r="V127" s="121"/>
    </row>
    <row r="128" spans="1:22" s="5" customFormat="1" ht="15.75" customHeight="1" x14ac:dyDescent="0.25">
      <c r="A128" s="2">
        <v>124</v>
      </c>
      <c r="B128" s="17" t="s">
        <v>29</v>
      </c>
      <c r="C128" s="26" t="s">
        <v>118</v>
      </c>
      <c r="D128" s="400" t="s">
        <v>207</v>
      </c>
      <c r="E128" s="401">
        <f t="shared" si="9"/>
        <v>61.661187443582129</v>
      </c>
      <c r="F128" s="402">
        <v>10.14</v>
      </c>
      <c r="G128" s="402">
        <v>41.99</v>
      </c>
      <c r="H128" s="402">
        <v>1.42</v>
      </c>
      <c r="I128" s="402">
        <v>0.76</v>
      </c>
      <c r="J128" s="408">
        <v>98.3</v>
      </c>
      <c r="K128" s="405">
        <v>100</v>
      </c>
      <c r="L128" s="406">
        <v>35</v>
      </c>
      <c r="M128" s="402">
        <v>236.931642407005</v>
      </c>
      <c r="N128" s="407">
        <f t="shared" si="10"/>
        <v>46.891398456187815</v>
      </c>
      <c r="O128" s="405">
        <v>99</v>
      </c>
      <c r="P128" s="405">
        <v>99</v>
      </c>
      <c r="Q128" s="405">
        <v>99</v>
      </c>
      <c r="R128" s="405">
        <v>99</v>
      </c>
      <c r="S128" s="408">
        <v>29</v>
      </c>
      <c r="T128" s="407">
        <f t="shared" si="11"/>
        <v>76.430976430976443</v>
      </c>
      <c r="U128" s="399"/>
      <c r="V128" s="121"/>
    </row>
    <row r="129" spans="1:22" s="5" customFormat="1" ht="15.75" customHeight="1" x14ac:dyDescent="0.25">
      <c r="A129" s="2">
        <v>125</v>
      </c>
      <c r="B129" s="3" t="s">
        <v>10</v>
      </c>
      <c r="C129" s="4" t="s">
        <v>11</v>
      </c>
      <c r="D129" s="400" t="s">
        <v>154</v>
      </c>
      <c r="E129" s="401">
        <f t="shared" si="9"/>
        <v>61.303339167297096</v>
      </c>
      <c r="F129" s="402">
        <v>10.88</v>
      </c>
      <c r="G129" s="402">
        <v>41.62</v>
      </c>
      <c r="H129" s="402">
        <v>1.8</v>
      </c>
      <c r="I129" s="402">
        <v>2.5099999999999998</v>
      </c>
      <c r="J129" s="408">
        <v>80.099999999999994</v>
      </c>
      <c r="K129" s="405">
        <v>60</v>
      </c>
      <c r="L129" s="405">
        <v>77</v>
      </c>
      <c r="M129" s="402">
        <v>103.98564484091899</v>
      </c>
      <c r="N129" s="407">
        <f t="shared" si="10"/>
        <v>42.269977997893839</v>
      </c>
      <c r="O129" s="405">
        <v>97</v>
      </c>
      <c r="P129" s="405">
        <v>93</v>
      </c>
      <c r="Q129" s="405">
        <v>97</v>
      </c>
      <c r="R129" s="405">
        <v>97</v>
      </c>
      <c r="S129" s="408">
        <v>46.6</v>
      </c>
      <c r="T129" s="407">
        <f t="shared" si="11"/>
        <v>80.336700336700346</v>
      </c>
      <c r="U129" s="399"/>
      <c r="V129" s="121"/>
    </row>
    <row r="130" spans="1:22" s="5" customFormat="1" ht="15.75" customHeight="1" x14ac:dyDescent="0.25">
      <c r="A130" s="2">
        <v>126</v>
      </c>
      <c r="B130" s="8" t="s">
        <v>16</v>
      </c>
      <c r="C130" s="21" t="s">
        <v>42</v>
      </c>
      <c r="D130" s="400" t="s">
        <v>54</v>
      </c>
      <c r="E130" s="401">
        <f t="shared" si="9"/>
        <v>61.071328177290596</v>
      </c>
      <c r="F130" s="402">
        <v>7.3</v>
      </c>
      <c r="G130" s="402">
        <v>17.98</v>
      </c>
      <c r="H130" s="402">
        <v>2.33</v>
      </c>
      <c r="I130" s="402">
        <v>0.12</v>
      </c>
      <c r="J130" s="408">
        <v>98.4</v>
      </c>
      <c r="K130" s="405">
        <v>71</v>
      </c>
      <c r="L130" s="405">
        <v>80</v>
      </c>
      <c r="M130" s="402">
        <v>361.12688620023101</v>
      </c>
      <c r="N130" s="407">
        <f t="shared" si="10"/>
        <v>40.997875209800043</v>
      </c>
      <c r="O130" s="405">
        <v>93</v>
      </c>
      <c r="P130" s="405">
        <v>86</v>
      </c>
      <c r="Q130" s="405">
        <v>93</v>
      </c>
      <c r="R130" s="405">
        <v>94</v>
      </c>
      <c r="S130" s="408">
        <v>58</v>
      </c>
      <c r="T130" s="407">
        <f t="shared" si="11"/>
        <v>81.144781144781149</v>
      </c>
      <c r="U130" s="399"/>
      <c r="V130" s="121"/>
    </row>
    <row r="131" spans="1:22" s="5" customFormat="1" ht="15.75" customHeight="1" x14ac:dyDescent="0.25">
      <c r="A131" s="2">
        <v>127</v>
      </c>
      <c r="B131" s="8" t="s">
        <v>16</v>
      </c>
      <c r="C131" s="9" t="s">
        <v>17</v>
      </c>
      <c r="D131" s="400" t="s">
        <v>149</v>
      </c>
      <c r="E131" s="401">
        <f t="shared" si="9"/>
        <v>59.817419650451541</v>
      </c>
      <c r="F131" s="402">
        <v>7.93</v>
      </c>
      <c r="G131" s="402">
        <v>7.2</v>
      </c>
      <c r="H131" s="402">
        <v>0.13</v>
      </c>
      <c r="I131" s="402">
        <v>0.14000000000000001</v>
      </c>
      <c r="J131" s="408">
        <v>86.6</v>
      </c>
      <c r="K131" s="405">
        <v>89</v>
      </c>
      <c r="L131" s="405">
        <v>76</v>
      </c>
      <c r="M131" s="402">
        <v>342.61500002448298</v>
      </c>
      <c r="N131" s="407">
        <f t="shared" si="10"/>
        <v>33.877263543327324</v>
      </c>
      <c r="O131" s="405">
        <v>96</v>
      </c>
      <c r="P131" s="405">
        <v>98</v>
      </c>
      <c r="Q131" s="405">
        <v>96</v>
      </c>
      <c r="R131" s="405">
        <v>96</v>
      </c>
      <c r="S131" s="408">
        <v>61.7</v>
      </c>
      <c r="T131" s="407">
        <f t="shared" si="11"/>
        <v>85.757575757575751</v>
      </c>
      <c r="U131" s="399"/>
      <c r="V131" s="121"/>
    </row>
    <row r="132" spans="1:22" s="5" customFormat="1" ht="15.75" customHeight="1" x14ac:dyDescent="0.25">
      <c r="A132" s="2">
        <v>128</v>
      </c>
      <c r="B132" s="8" t="s">
        <v>16</v>
      </c>
      <c r="C132" s="11" t="s">
        <v>21</v>
      </c>
      <c r="D132" s="400" t="s">
        <v>176</v>
      </c>
      <c r="E132" s="401">
        <f t="shared" si="9"/>
        <v>59.571717171717168</v>
      </c>
      <c r="F132" s="402">
        <v>1.77</v>
      </c>
      <c r="G132" s="402">
        <v>12.78</v>
      </c>
      <c r="H132" s="402">
        <v>0.09</v>
      </c>
      <c r="I132" s="402">
        <v>0.04</v>
      </c>
      <c r="J132" s="408">
        <v>94.2</v>
      </c>
      <c r="K132" s="405">
        <v>96</v>
      </c>
      <c r="L132" s="405">
        <v>96</v>
      </c>
      <c r="M132" s="402">
        <v>83.247043083512096</v>
      </c>
      <c r="N132" s="407">
        <f t="shared" si="10"/>
        <v>33.284848484848482</v>
      </c>
      <c r="O132" s="405">
        <v>98</v>
      </c>
      <c r="P132" s="405">
        <v>93</v>
      </c>
      <c r="Q132" s="405">
        <v>98</v>
      </c>
      <c r="R132" s="405">
        <v>98</v>
      </c>
      <c r="S132" s="408">
        <v>61.5</v>
      </c>
      <c r="T132" s="407">
        <f t="shared" si="11"/>
        <v>85.858585858585855</v>
      </c>
      <c r="U132" s="399"/>
      <c r="V132" s="121"/>
    </row>
    <row r="133" spans="1:22" s="5" customFormat="1" ht="15.75" customHeight="1" x14ac:dyDescent="0.25">
      <c r="A133" s="2">
        <v>129</v>
      </c>
      <c r="B133" s="8" t="s">
        <v>16</v>
      </c>
      <c r="C133" s="11" t="s">
        <v>21</v>
      </c>
      <c r="D133" s="400" t="s">
        <v>152</v>
      </c>
      <c r="E133" s="401">
        <f t="shared" ref="E133:E164" si="12">(N133+T133)/2</f>
        <v>59.411724821761553</v>
      </c>
      <c r="F133" s="402">
        <v>5.58</v>
      </c>
      <c r="G133" s="402">
        <v>37.99</v>
      </c>
      <c r="H133" s="402">
        <v>1.1399999999999999</v>
      </c>
      <c r="I133" s="402">
        <v>2.73</v>
      </c>
      <c r="J133" s="408">
        <v>96.3</v>
      </c>
      <c r="K133" s="405">
        <v>66</v>
      </c>
      <c r="L133" s="405">
        <v>95</v>
      </c>
      <c r="M133" s="402">
        <v>625.13860708199798</v>
      </c>
      <c r="N133" s="407">
        <f t="shared" ref="N133:N164" si="13">((LN(MAX(MIN(F133,75),4))-LN(4))/(LN(75)-LN(4))*100*2+(LN(MAX(MIN(G133,160),16))-LN(16))/(LN(160)-LN(16))*100+(LN(MAX(MIN(H133,12),0.3))-LN(0.3))/(LN(12)-LN(0.3))*100+(LN(MAX(MIN(I133,20),0.3))-LN(0.3))/(LN(20)-LN(0.3))*100*1.5+((MAX(J133,50))-50)/(50)*100*2+((MAX(K133,40))-40)/(60)*100+L133+(LN(MAX(MIN(M133,8000),200))-LN(200))/(LN(8000)-LN(200))*100*1.5)/11</f>
        <v>49.56419038426386</v>
      </c>
      <c r="O133" s="405">
        <v>74</v>
      </c>
      <c r="P133" s="405">
        <v>66</v>
      </c>
      <c r="Q133" s="405">
        <v>74</v>
      </c>
      <c r="R133" s="405">
        <v>75</v>
      </c>
      <c r="S133" s="408">
        <v>61.2</v>
      </c>
      <c r="T133" s="407">
        <f t="shared" ref="T133:T164" si="14">((O133+P133+Q133+R133+S133*2)/6)/99*100</f>
        <v>69.259259259259252</v>
      </c>
      <c r="U133" s="399"/>
      <c r="V133" s="121"/>
    </row>
    <row r="134" spans="1:22" s="5" customFormat="1" ht="15.75" customHeight="1" x14ac:dyDescent="0.25">
      <c r="A134" s="2">
        <v>130</v>
      </c>
      <c r="B134" s="14" t="s">
        <v>23</v>
      </c>
      <c r="C134" s="16" t="s">
        <v>26</v>
      </c>
      <c r="D134" s="400" t="s">
        <v>221</v>
      </c>
      <c r="E134" s="401">
        <f t="shared" si="12"/>
        <v>57.643875558173008</v>
      </c>
      <c r="F134" s="402">
        <v>16.64</v>
      </c>
      <c r="G134" s="402">
        <v>20.03</v>
      </c>
      <c r="H134" s="402">
        <v>1.35</v>
      </c>
      <c r="I134" s="403">
        <v>4.1844612086563293</v>
      </c>
      <c r="J134" s="408">
        <v>98.7</v>
      </c>
      <c r="K134" s="405">
        <v>82</v>
      </c>
      <c r="L134" s="405">
        <v>57</v>
      </c>
      <c r="M134" s="402">
        <v>35.668241379167398</v>
      </c>
      <c r="N134" s="407">
        <f t="shared" si="13"/>
        <v>51.247347075941981</v>
      </c>
      <c r="O134" s="405">
        <v>62</v>
      </c>
      <c r="P134" s="405">
        <v>51</v>
      </c>
      <c r="Q134" s="405">
        <v>62</v>
      </c>
      <c r="R134" s="405">
        <v>62</v>
      </c>
      <c r="S134" s="408">
        <v>71.7</v>
      </c>
      <c r="T134" s="407">
        <f t="shared" si="14"/>
        <v>64.040404040404042</v>
      </c>
      <c r="U134" s="399"/>
      <c r="V134" s="121"/>
    </row>
    <row r="135" spans="1:22" ht="15.75" customHeight="1" x14ac:dyDescent="0.25">
      <c r="A135" s="2">
        <v>131</v>
      </c>
      <c r="B135" s="6" t="s">
        <v>13</v>
      </c>
      <c r="C135" s="7" t="s">
        <v>14</v>
      </c>
      <c r="D135" s="400" t="s">
        <v>148</v>
      </c>
      <c r="E135" s="401">
        <f t="shared" si="12"/>
        <v>57.327021683543677</v>
      </c>
      <c r="F135" s="402">
        <v>27.85</v>
      </c>
      <c r="G135" s="402">
        <v>59.67</v>
      </c>
      <c r="H135" s="402">
        <v>0.49</v>
      </c>
      <c r="I135" s="402">
        <v>2.79</v>
      </c>
      <c r="J135" s="408">
        <v>98.8</v>
      </c>
      <c r="K135" s="405">
        <v>56</v>
      </c>
      <c r="L135" s="405">
        <v>61</v>
      </c>
      <c r="M135" s="402">
        <v>2016.1907795366899</v>
      </c>
      <c r="N135" s="407">
        <f t="shared" si="13"/>
        <v>59.940238653282648</v>
      </c>
      <c r="O135" s="405">
        <v>81</v>
      </c>
      <c r="P135" s="405">
        <v>68</v>
      </c>
      <c r="Q135" s="405">
        <v>61</v>
      </c>
      <c r="R135" s="405">
        <v>81</v>
      </c>
      <c r="S135" s="408">
        <v>17</v>
      </c>
      <c r="T135" s="407">
        <f t="shared" si="14"/>
        <v>54.713804713804713</v>
      </c>
      <c r="U135" s="399"/>
    </row>
    <row r="136" spans="1:22" ht="15.75" customHeight="1" x14ac:dyDescent="0.25">
      <c r="A136" s="2">
        <v>132</v>
      </c>
      <c r="B136" s="3" t="s">
        <v>10</v>
      </c>
      <c r="C136" s="22" t="s">
        <v>49</v>
      </c>
      <c r="D136" s="400" t="s">
        <v>106</v>
      </c>
      <c r="E136" s="401">
        <f t="shared" si="12"/>
        <v>57.284592571952651</v>
      </c>
      <c r="F136" s="402">
        <v>5.59</v>
      </c>
      <c r="G136" s="402">
        <v>33</v>
      </c>
      <c r="H136" s="402">
        <v>1.23</v>
      </c>
      <c r="I136" s="402">
        <v>2.44</v>
      </c>
      <c r="J136" s="408">
        <v>96.8</v>
      </c>
      <c r="K136" s="405">
        <v>77</v>
      </c>
      <c r="L136" s="405">
        <v>41</v>
      </c>
      <c r="M136" s="402">
        <v>223.34548949302399</v>
      </c>
      <c r="N136" s="407">
        <f t="shared" si="13"/>
        <v>41.97659255131272</v>
      </c>
      <c r="O136" s="405">
        <v>78</v>
      </c>
      <c r="P136" s="405">
        <v>82</v>
      </c>
      <c r="Q136" s="405">
        <v>78</v>
      </c>
      <c r="R136" s="405">
        <v>87</v>
      </c>
      <c r="S136" s="408">
        <v>53.1</v>
      </c>
      <c r="T136" s="407">
        <f t="shared" si="14"/>
        <v>72.592592592592581</v>
      </c>
      <c r="U136" s="399"/>
    </row>
    <row r="137" spans="1:22" ht="15.75" customHeight="1" x14ac:dyDescent="0.25">
      <c r="A137" s="2">
        <v>133</v>
      </c>
      <c r="B137" s="3" t="s">
        <v>10</v>
      </c>
      <c r="C137" s="19" t="s">
        <v>35</v>
      </c>
      <c r="D137" s="400" t="s">
        <v>127</v>
      </c>
      <c r="E137" s="401">
        <f t="shared" si="12"/>
        <v>57.216477319740363</v>
      </c>
      <c r="F137" s="402">
        <v>26.8</v>
      </c>
      <c r="G137" s="402">
        <v>19.18</v>
      </c>
      <c r="H137" s="402">
        <v>12.5</v>
      </c>
      <c r="I137" s="402">
        <v>16.3</v>
      </c>
      <c r="J137" s="408">
        <v>98.2</v>
      </c>
      <c r="K137" s="405">
        <v>72</v>
      </c>
      <c r="L137" s="405">
        <v>79</v>
      </c>
      <c r="M137" s="402">
        <v>244.04780475665501</v>
      </c>
      <c r="N137" s="407">
        <f t="shared" si="13"/>
        <v>64.870665077191163</v>
      </c>
      <c r="O137" s="405">
        <v>49</v>
      </c>
      <c r="P137" s="405">
        <v>59</v>
      </c>
      <c r="Q137" s="405">
        <v>46</v>
      </c>
      <c r="R137" s="405">
        <v>47</v>
      </c>
      <c r="S137" s="408">
        <v>46.7</v>
      </c>
      <c r="T137" s="407">
        <f t="shared" si="14"/>
        <v>49.562289562289557</v>
      </c>
      <c r="U137" s="399"/>
    </row>
    <row r="138" spans="1:22" ht="15.75" customHeight="1" x14ac:dyDescent="0.25">
      <c r="A138" s="2">
        <v>134</v>
      </c>
      <c r="B138" s="17" t="s">
        <v>29</v>
      </c>
      <c r="C138" s="26" t="s">
        <v>118</v>
      </c>
      <c r="D138" s="400" t="s">
        <v>141</v>
      </c>
      <c r="E138" s="401">
        <f t="shared" si="12"/>
        <v>57.043996970677128</v>
      </c>
      <c r="F138" s="402">
        <v>11.35</v>
      </c>
      <c r="G138" s="402">
        <v>48.07</v>
      </c>
      <c r="H138" s="402">
        <v>1.45</v>
      </c>
      <c r="I138" s="403">
        <v>1.0982058169363793</v>
      </c>
      <c r="J138" s="408">
        <v>92.4</v>
      </c>
      <c r="K138" s="405">
        <v>60</v>
      </c>
      <c r="L138" s="406">
        <v>35</v>
      </c>
      <c r="M138" s="402">
        <v>655.98052000022903</v>
      </c>
      <c r="N138" s="407">
        <f t="shared" si="13"/>
        <v>44.929744783105086</v>
      </c>
      <c r="O138" s="405">
        <v>85</v>
      </c>
      <c r="P138" s="405">
        <v>61</v>
      </c>
      <c r="Q138" s="405">
        <v>89</v>
      </c>
      <c r="R138" s="405">
        <v>84</v>
      </c>
      <c r="S138" s="408">
        <v>45.9</v>
      </c>
      <c r="T138" s="407">
        <f t="shared" si="14"/>
        <v>69.158249158249163</v>
      </c>
      <c r="U138" s="399"/>
    </row>
    <row r="139" spans="1:22" s="28" customFormat="1" ht="15.75" customHeight="1" x14ac:dyDescent="0.25">
      <c r="A139" s="2">
        <v>135</v>
      </c>
      <c r="B139" s="3" t="s">
        <v>10</v>
      </c>
      <c r="C139" s="22" t="s">
        <v>49</v>
      </c>
      <c r="D139" s="400" t="s">
        <v>170</v>
      </c>
      <c r="E139" s="401">
        <f t="shared" si="12"/>
        <v>56.924634211288762</v>
      </c>
      <c r="F139" s="402">
        <v>8.69</v>
      </c>
      <c r="G139" s="402">
        <v>52.87</v>
      </c>
      <c r="H139" s="402">
        <v>2.86</v>
      </c>
      <c r="I139" s="402">
        <v>5.31</v>
      </c>
      <c r="J139" s="408">
        <v>89.6</v>
      </c>
      <c r="K139" s="405">
        <v>75</v>
      </c>
      <c r="L139" s="405">
        <v>40</v>
      </c>
      <c r="M139" s="402">
        <v>237.58025464933601</v>
      </c>
      <c r="N139" s="407">
        <f t="shared" si="13"/>
        <v>48.394722968032063</v>
      </c>
      <c r="O139" s="405">
        <v>71</v>
      </c>
      <c r="P139" s="405">
        <v>71</v>
      </c>
      <c r="Q139" s="405">
        <v>71</v>
      </c>
      <c r="R139" s="405">
        <v>88</v>
      </c>
      <c r="S139" s="408">
        <v>43.9</v>
      </c>
      <c r="T139" s="407">
        <f t="shared" si="14"/>
        <v>65.454545454545453</v>
      </c>
      <c r="U139" s="399"/>
      <c r="V139" s="358"/>
    </row>
    <row r="140" spans="1:22" ht="15.75" customHeight="1" x14ac:dyDescent="0.25">
      <c r="A140" s="2">
        <v>136</v>
      </c>
      <c r="B140" s="3" t="s">
        <v>10</v>
      </c>
      <c r="C140" s="25" t="s">
        <v>115</v>
      </c>
      <c r="D140" s="400" t="s">
        <v>124</v>
      </c>
      <c r="E140" s="401">
        <f t="shared" si="12"/>
        <v>56.294609106625131</v>
      </c>
      <c r="F140" s="402">
        <v>15.45</v>
      </c>
      <c r="G140" s="402">
        <v>40.26</v>
      </c>
      <c r="H140" s="402">
        <v>1.49</v>
      </c>
      <c r="I140" s="402">
        <v>0.26</v>
      </c>
      <c r="J140" s="408">
        <v>99.8</v>
      </c>
      <c r="K140" s="405">
        <v>43</v>
      </c>
      <c r="L140" s="405">
        <v>53</v>
      </c>
      <c r="M140" s="402">
        <v>185.933659500619</v>
      </c>
      <c r="N140" s="407">
        <f t="shared" si="13"/>
        <v>39.356894980927017</v>
      </c>
      <c r="O140" s="405">
        <v>85</v>
      </c>
      <c r="P140" s="405">
        <v>93</v>
      </c>
      <c r="Q140" s="405">
        <v>84</v>
      </c>
      <c r="R140" s="405">
        <v>92</v>
      </c>
      <c r="S140" s="408">
        <v>40.5</v>
      </c>
      <c r="T140" s="407">
        <f t="shared" si="14"/>
        <v>73.232323232323239</v>
      </c>
      <c r="U140" s="399"/>
    </row>
    <row r="141" spans="1:22" ht="15.75" customHeight="1" x14ac:dyDescent="0.25">
      <c r="A141" s="2">
        <v>137</v>
      </c>
      <c r="B141" s="3" t="s">
        <v>10</v>
      </c>
      <c r="C141" s="19" t="s">
        <v>35</v>
      </c>
      <c r="D141" s="400" t="s">
        <v>201</v>
      </c>
      <c r="E141" s="401">
        <f t="shared" si="12"/>
        <v>56.060201902021518</v>
      </c>
      <c r="F141" s="402">
        <v>16.27</v>
      </c>
      <c r="G141" s="402">
        <v>14.35</v>
      </c>
      <c r="H141" s="402">
        <v>11.16</v>
      </c>
      <c r="I141" s="402">
        <v>16.59</v>
      </c>
      <c r="J141" s="404">
        <v>70.772332437687695</v>
      </c>
      <c r="K141" s="405">
        <v>62</v>
      </c>
      <c r="L141" s="405">
        <v>55</v>
      </c>
      <c r="M141" s="402">
        <v>18.2930573785593</v>
      </c>
      <c r="N141" s="407">
        <f t="shared" si="13"/>
        <v>46.531178214817437</v>
      </c>
      <c r="O141" s="405">
        <v>73</v>
      </c>
      <c r="P141" s="405">
        <v>75</v>
      </c>
      <c r="Q141" s="405">
        <v>73</v>
      </c>
      <c r="R141" s="405">
        <v>75</v>
      </c>
      <c r="S141" s="408">
        <v>46.8</v>
      </c>
      <c r="T141" s="407">
        <f t="shared" si="14"/>
        <v>65.589225589225592</v>
      </c>
      <c r="U141" s="399"/>
    </row>
    <row r="142" spans="1:22" s="28" customFormat="1" ht="15.75" customHeight="1" x14ac:dyDescent="0.25">
      <c r="A142" s="2">
        <v>138</v>
      </c>
      <c r="B142" s="8" t="s">
        <v>16</v>
      </c>
      <c r="C142" s="11" t="s">
        <v>21</v>
      </c>
      <c r="D142" s="400" t="s">
        <v>83</v>
      </c>
      <c r="E142" s="401">
        <f t="shared" si="12"/>
        <v>55.850286227741002</v>
      </c>
      <c r="F142" s="402">
        <v>5.57</v>
      </c>
      <c r="G142" s="402">
        <v>42.6</v>
      </c>
      <c r="H142" s="402">
        <v>0.17</v>
      </c>
      <c r="I142" s="402">
        <v>0.37</v>
      </c>
      <c r="J142" s="408">
        <v>93.4</v>
      </c>
      <c r="K142" s="405">
        <v>61</v>
      </c>
      <c r="L142" s="405">
        <v>94</v>
      </c>
      <c r="M142" s="402">
        <v>393.98670025881802</v>
      </c>
      <c r="N142" s="407">
        <f t="shared" si="13"/>
        <v>36.616397371306931</v>
      </c>
      <c r="O142" s="405">
        <v>84</v>
      </c>
      <c r="P142" s="405">
        <v>86</v>
      </c>
      <c r="Q142" s="405">
        <v>84</v>
      </c>
      <c r="R142" s="405">
        <v>70</v>
      </c>
      <c r="S142" s="408">
        <v>61</v>
      </c>
      <c r="T142" s="407">
        <f t="shared" si="14"/>
        <v>75.084175084175072</v>
      </c>
      <c r="U142" s="399"/>
      <c r="V142" s="358"/>
    </row>
    <row r="143" spans="1:22" s="28" customFormat="1" ht="15.75" customHeight="1" x14ac:dyDescent="0.25">
      <c r="A143" s="2">
        <v>139</v>
      </c>
      <c r="B143" s="8" t="s">
        <v>16</v>
      </c>
      <c r="C143" s="11" t="s">
        <v>21</v>
      </c>
      <c r="D143" s="400" t="s">
        <v>225</v>
      </c>
      <c r="E143" s="401">
        <f t="shared" si="12"/>
        <v>55.623889599424189</v>
      </c>
      <c r="F143" s="402">
        <v>1.86</v>
      </c>
      <c r="G143" s="402">
        <v>14.65</v>
      </c>
      <c r="H143" s="402">
        <v>0.3</v>
      </c>
      <c r="I143" s="402">
        <v>1.32</v>
      </c>
      <c r="J143" s="408">
        <v>84.6</v>
      </c>
      <c r="K143" s="405">
        <v>60</v>
      </c>
      <c r="L143" s="405">
        <v>95</v>
      </c>
      <c r="M143" s="402">
        <v>33.357814960504797</v>
      </c>
      <c r="N143" s="407">
        <f t="shared" si="13"/>
        <v>29.059227010296205</v>
      </c>
      <c r="O143" s="405">
        <v>91</v>
      </c>
      <c r="P143" s="405">
        <v>78</v>
      </c>
      <c r="Q143" s="405">
        <v>91</v>
      </c>
      <c r="R143" s="405">
        <v>91</v>
      </c>
      <c r="S143" s="408">
        <v>68.599999999999994</v>
      </c>
      <c r="T143" s="407">
        <f t="shared" si="14"/>
        <v>82.18855218855218</v>
      </c>
      <c r="U143" s="399"/>
      <c r="V143" s="358"/>
    </row>
    <row r="144" spans="1:22" ht="15.75" customHeight="1" x14ac:dyDescent="0.25">
      <c r="A144" s="2">
        <v>140</v>
      </c>
      <c r="B144" s="3" t="s">
        <v>10</v>
      </c>
      <c r="C144" s="4" t="s">
        <v>11</v>
      </c>
      <c r="D144" s="400" t="s">
        <v>37</v>
      </c>
      <c r="E144" s="401">
        <f t="shared" si="12"/>
        <v>55.498122548964375</v>
      </c>
      <c r="F144" s="402">
        <v>7.22</v>
      </c>
      <c r="G144" s="402">
        <v>6.64</v>
      </c>
      <c r="H144" s="402">
        <v>0.76</v>
      </c>
      <c r="I144" s="402">
        <v>1.1000000000000001</v>
      </c>
      <c r="J144" s="408">
        <v>69.7</v>
      </c>
      <c r="K144" s="405">
        <v>82</v>
      </c>
      <c r="L144" s="405">
        <v>41</v>
      </c>
      <c r="M144" s="402">
        <v>28.7520442995915</v>
      </c>
      <c r="N144" s="407">
        <f t="shared" si="13"/>
        <v>27.427221528905182</v>
      </c>
      <c r="O144" s="405">
        <v>97</v>
      </c>
      <c r="P144" s="405">
        <v>93</v>
      </c>
      <c r="Q144" s="405">
        <v>97</v>
      </c>
      <c r="R144" s="405">
        <v>97</v>
      </c>
      <c r="S144" s="408">
        <v>56.2</v>
      </c>
      <c r="T144" s="407">
        <f t="shared" si="14"/>
        <v>83.569023569023571</v>
      </c>
      <c r="U144" s="399"/>
    </row>
    <row r="145" spans="1:22" ht="15.75" customHeight="1" x14ac:dyDescent="0.25">
      <c r="A145" s="2">
        <v>141</v>
      </c>
      <c r="B145" s="8" t="s">
        <v>16</v>
      </c>
      <c r="C145" s="21" t="s">
        <v>42</v>
      </c>
      <c r="D145" s="400" t="s">
        <v>179</v>
      </c>
      <c r="E145" s="401">
        <f t="shared" si="12"/>
        <v>54.942856694027562</v>
      </c>
      <c r="F145" s="402">
        <v>4.6399999999999997</v>
      </c>
      <c r="G145" s="402">
        <v>21.65</v>
      </c>
      <c r="H145" s="402">
        <v>0.27</v>
      </c>
      <c r="I145" s="402">
        <v>1.64</v>
      </c>
      <c r="J145" s="408">
        <v>96.8</v>
      </c>
      <c r="K145" s="405">
        <v>63</v>
      </c>
      <c r="L145" s="406">
        <v>81.5</v>
      </c>
      <c r="M145" s="402">
        <v>131.23783916844701</v>
      </c>
      <c r="N145" s="407">
        <f t="shared" si="13"/>
        <v>35.54227904462077</v>
      </c>
      <c r="O145" s="405">
        <v>87</v>
      </c>
      <c r="P145" s="405">
        <v>87</v>
      </c>
      <c r="Q145" s="405">
        <v>87</v>
      </c>
      <c r="R145" s="405">
        <v>85</v>
      </c>
      <c r="S145" s="408">
        <v>47.8</v>
      </c>
      <c r="T145" s="407">
        <f t="shared" si="14"/>
        <v>74.343434343434353</v>
      </c>
      <c r="U145" s="399"/>
    </row>
    <row r="146" spans="1:22" s="28" customFormat="1" ht="15.75" customHeight="1" x14ac:dyDescent="0.25">
      <c r="A146" s="2">
        <v>142</v>
      </c>
      <c r="B146" s="8" t="s">
        <v>16</v>
      </c>
      <c r="C146" s="11" t="s">
        <v>21</v>
      </c>
      <c r="D146" s="400" t="s">
        <v>136</v>
      </c>
      <c r="E146" s="401">
        <f t="shared" si="12"/>
        <v>54.865993265993261</v>
      </c>
      <c r="F146" s="402">
        <v>0.84</v>
      </c>
      <c r="G146" s="402">
        <v>5.78</v>
      </c>
      <c r="H146" s="402">
        <v>7.0000000000000007E-2</v>
      </c>
      <c r="I146" s="402">
        <v>0.08</v>
      </c>
      <c r="J146" s="408">
        <v>96.3</v>
      </c>
      <c r="K146" s="405">
        <v>74</v>
      </c>
      <c r="L146" s="405">
        <v>90</v>
      </c>
      <c r="M146" s="402">
        <v>16.0664612537159</v>
      </c>
      <c r="N146" s="407">
        <f t="shared" si="13"/>
        <v>30.169696969696972</v>
      </c>
      <c r="O146" s="405">
        <v>91</v>
      </c>
      <c r="P146" s="405">
        <v>69</v>
      </c>
      <c r="Q146" s="405">
        <v>91</v>
      </c>
      <c r="R146" s="405">
        <v>90</v>
      </c>
      <c r="S146" s="408">
        <v>65.8</v>
      </c>
      <c r="T146" s="407">
        <f t="shared" si="14"/>
        <v>79.56228956228955</v>
      </c>
      <c r="U146" s="399"/>
      <c r="V146" s="358"/>
    </row>
    <row r="147" spans="1:22" ht="15.75" customHeight="1" x14ac:dyDescent="0.25">
      <c r="A147" s="2">
        <v>143</v>
      </c>
      <c r="B147" s="8" t="s">
        <v>16</v>
      </c>
      <c r="C147" s="11" t="s">
        <v>21</v>
      </c>
      <c r="D147" s="400" t="s">
        <v>224</v>
      </c>
      <c r="E147" s="401">
        <f t="shared" si="12"/>
        <v>54.391852978362209</v>
      </c>
      <c r="F147" s="402">
        <v>1.63</v>
      </c>
      <c r="G147" s="402">
        <v>16.72</v>
      </c>
      <c r="H147" s="402">
        <v>0.11</v>
      </c>
      <c r="I147" s="402">
        <v>0.47</v>
      </c>
      <c r="J147" s="408">
        <v>93.9</v>
      </c>
      <c r="K147" s="405">
        <v>81</v>
      </c>
      <c r="L147" s="405">
        <v>94</v>
      </c>
      <c r="M147" s="402">
        <v>99.239468466093399</v>
      </c>
      <c r="N147" s="407">
        <f t="shared" si="13"/>
        <v>32.352729525747968</v>
      </c>
      <c r="O147" s="405">
        <v>91</v>
      </c>
      <c r="P147" s="405">
        <v>77</v>
      </c>
      <c r="Q147" s="405">
        <v>91</v>
      </c>
      <c r="R147" s="405">
        <v>90</v>
      </c>
      <c r="S147" s="408">
        <v>52.5</v>
      </c>
      <c r="T147" s="407">
        <f t="shared" si="14"/>
        <v>76.430976430976443</v>
      </c>
      <c r="U147" s="399"/>
    </row>
    <row r="148" spans="1:22" ht="15.75" customHeight="1" x14ac:dyDescent="0.25">
      <c r="A148" s="2">
        <v>144</v>
      </c>
      <c r="B148" s="8" t="s">
        <v>16</v>
      </c>
      <c r="C148" s="11" t="s">
        <v>21</v>
      </c>
      <c r="D148" s="400" t="s">
        <v>128</v>
      </c>
      <c r="E148" s="401">
        <f t="shared" si="12"/>
        <v>54.204878436287757</v>
      </c>
      <c r="F148" s="402">
        <v>1.84</v>
      </c>
      <c r="G148" s="402">
        <v>33.99</v>
      </c>
      <c r="H148" s="402">
        <v>0.12</v>
      </c>
      <c r="I148" s="402">
        <v>0.71</v>
      </c>
      <c r="J148" s="408">
        <v>88.8</v>
      </c>
      <c r="K148" s="405">
        <v>51</v>
      </c>
      <c r="L148" s="405">
        <v>94</v>
      </c>
      <c r="M148" s="402">
        <v>178.687098121823</v>
      </c>
      <c r="N148" s="407">
        <f t="shared" si="13"/>
        <v>30.093258556077206</v>
      </c>
      <c r="O148" s="405">
        <v>86</v>
      </c>
      <c r="P148" s="405">
        <v>74</v>
      </c>
      <c r="Q148" s="405">
        <v>86</v>
      </c>
      <c r="R148" s="405">
        <v>86</v>
      </c>
      <c r="S148" s="408">
        <v>66.599999999999994</v>
      </c>
      <c r="T148" s="407">
        <f t="shared" si="14"/>
        <v>78.316498316498311</v>
      </c>
      <c r="U148" s="399"/>
    </row>
    <row r="149" spans="1:22" ht="15.75" customHeight="1" x14ac:dyDescent="0.25">
      <c r="A149" s="2">
        <v>145</v>
      </c>
      <c r="B149" s="8" t="s">
        <v>16</v>
      </c>
      <c r="C149" s="11" t="s">
        <v>21</v>
      </c>
      <c r="D149" s="400" t="s">
        <v>117</v>
      </c>
      <c r="E149" s="401">
        <f t="shared" si="12"/>
        <v>54.076656384987572</v>
      </c>
      <c r="F149" s="402">
        <v>2.6</v>
      </c>
      <c r="G149" s="402">
        <v>12.12</v>
      </c>
      <c r="H149" s="402">
        <v>0.05</v>
      </c>
      <c r="I149" s="402">
        <v>0.49</v>
      </c>
      <c r="J149" s="408">
        <v>89.3</v>
      </c>
      <c r="K149" s="405">
        <v>81</v>
      </c>
      <c r="L149" s="405">
        <v>87</v>
      </c>
      <c r="M149" s="402">
        <v>123.262919003889</v>
      </c>
      <c r="N149" s="407">
        <f t="shared" si="13"/>
        <v>30.00516462182701</v>
      </c>
      <c r="O149" s="405">
        <v>91</v>
      </c>
      <c r="P149" s="405">
        <v>76</v>
      </c>
      <c r="Q149" s="405">
        <v>91</v>
      </c>
      <c r="R149" s="405">
        <v>85</v>
      </c>
      <c r="S149" s="408">
        <v>60.6</v>
      </c>
      <c r="T149" s="407">
        <f t="shared" si="14"/>
        <v>78.148148148148138</v>
      </c>
      <c r="U149" s="399"/>
    </row>
    <row r="150" spans="1:22" ht="15.75" customHeight="1" x14ac:dyDescent="0.25">
      <c r="A150" s="2">
        <v>146</v>
      </c>
      <c r="B150" s="6" t="s">
        <v>13</v>
      </c>
      <c r="C150" s="7" t="s">
        <v>14</v>
      </c>
      <c r="D150" s="400" t="s">
        <v>33</v>
      </c>
      <c r="E150" s="401">
        <f t="shared" si="12"/>
        <v>53.971510256384562</v>
      </c>
      <c r="F150" s="402">
        <v>31.85</v>
      </c>
      <c r="G150" s="402">
        <v>55.78</v>
      </c>
      <c r="H150" s="402">
        <v>3.38</v>
      </c>
      <c r="I150" s="402">
        <v>0.62</v>
      </c>
      <c r="J150" s="408">
        <v>99.8</v>
      </c>
      <c r="K150" s="405">
        <v>56</v>
      </c>
      <c r="L150" s="405">
        <v>86</v>
      </c>
      <c r="M150" s="402">
        <v>323.93286620305003</v>
      </c>
      <c r="N150" s="407">
        <f t="shared" si="13"/>
        <v>56.259518829267442</v>
      </c>
      <c r="O150" s="405">
        <v>51</v>
      </c>
      <c r="P150" s="405">
        <v>88</v>
      </c>
      <c r="Q150" s="405">
        <v>51</v>
      </c>
      <c r="R150" s="405">
        <v>67</v>
      </c>
      <c r="S150" s="408">
        <v>25</v>
      </c>
      <c r="T150" s="407">
        <f t="shared" si="14"/>
        <v>51.683501683501675</v>
      </c>
      <c r="U150" s="399"/>
    </row>
    <row r="151" spans="1:22" ht="15.75" customHeight="1" x14ac:dyDescent="0.25">
      <c r="A151" s="2">
        <v>147</v>
      </c>
      <c r="B151" s="14" t="s">
        <v>23</v>
      </c>
      <c r="C151" s="16" t="s">
        <v>26</v>
      </c>
      <c r="D151" s="400" t="s">
        <v>45</v>
      </c>
      <c r="E151" s="401">
        <f t="shared" si="12"/>
        <v>53.194738977522647</v>
      </c>
      <c r="F151" s="402">
        <v>12.84</v>
      </c>
      <c r="G151" s="402">
        <v>16.239999999999998</v>
      </c>
      <c r="H151" s="402">
        <v>2.29</v>
      </c>
      <c r="I151" s="402">
        <v>2.41</v>
      </c>
      <c r="J151" s="408">
        <v>97.5</v>
      </c>
      <c r="K151" s="405">
        <v>66</v>
      </c>
      <c r="L151" s="405">
        <v>60</v>
      </c>
      <c r="M151" s="402">
        <v>508.57487518474301</v>
      </c>
      <c r="N151" s="407">
        <f t="shared" si="13"/>
        <v>49.184090749658097</v>
      </c>
      <c r="O151" s="405">
        <v>59</v>
      </c>
      <c r="P151" s="405">
        <v>61</v>
      </c>
      <c r="Q151" s="405">
        <v>59</v>
      </c>
      <c r="R151" s="405">
        <v>59</v>
      </c>
      <c r="S151" s="408">
        <v>50.9</v>
      </c>
      <c r="T151" s="407">
        <f t="shared" si="14"/>
        <v>57.205387205387204</v>
      </c>
      <c r="U151" s="399"/>
    </row>
    <row r="152" spans="1:22" ht="15.75" customHeight="1" x14ac:dyDescent="0.25">
      <c r="A152" s="2">
        <v>148</v>
      </c>
      <c r="B152" s="17" t="s">
        <v>29</v>
      </c>
      <c r="C152" s="24" t="s">
        <v>85</v>
      </c>
      <c r="D152" s="400" t="s">
        <v>86</v>
      </c>
      <c r="E152" s="401">
        <f t="shared" si="12"/>
        <v>52.199252184767161</v>
      </c>
      <c r="F152" s="402">
        <v>7.54</v>
      </c>
      <c r="G152" s="402">
        <v>21.3</v>
      </c>
      <c r="H152" s="402">
        <v>0.83</v>
      </c>
      <c r="I152" s="402">
        <v>0.17</v>
      </c>
      <c r="J152" s="408">
        <v>99.8</v>
      </c>
      <c r="K152" s="405">
        <v>59</v>
      </c>
      <c r="L152" s="405">
        <v>24</v>
      </c>
      <c r="M152" s="402">
        <v>409.49394147489801</v>
      </c>
      <c r="N152" s="407">
        <f t="shared" si="13"/>
        <v>33.388403359433305</v>
      </c>
      <c r="O152" s="405">
        <v>94</v>
      </c>
      <c r="P152" s="405">
        <v>75</v>
      </c>
      <c r="Q152" s="405">
        <v>93</v>
      </c>
      <c r="R152" s="405">
        <v>93</v>
      </c>
      <c r="S152" s="408">
        <v>33.4</v>
      </c>
      <c r="T152" s="407">
        <f t="shared" si="14"/>
        <v>71.01010101010101</v>
      </c>
      <c r="U152" s="399"/>
    </row>
    <row r="153" spans="1:22" ht="15.75" customHeight="1" x14ac:dyDescent="0.25">
      <c r="A153" s="2">
        <v>149</v>
      </c>
      <c r="B153" s="14" t="s">
        <v>23</v>
      </c>
      <c r="C153" s="15" t="s">
        <v>24</v>
      </c>
      <c r="D153" s="400" t="s">
        <v>198</v>
      </c>
      <c r="E153" s="401">
        <f t="shared" si="12"/>
        <v>52.01998764136264</v>
      </c>
      <c r="F153" s="402">
        <v>13.07</v>
      </c>
      <c r="G153" s="402">
        <v>18.399999999999999</v>
      </c>
      <c r="H153" s="402">
        <v>0.7</v>
      </c>
      <c r="I153" s="402">
        <v>0.81</v>
      </c>
      <c r="J153" s="408">
        <v>100</v>
      </c>
      <c r="K153" s="405">
        <v>61</v>
      </c>
      <c r="L153" s="405">
        <v>49</v>
      </c>
      <c r="M153" s="402">
        <v>708.53481520523803</v>
      </c>
      <c r="N153" s="407">
        <f t="shared" si="13"/>
        <v>43.703274946024948</v>
      </c>
      <c r="O153" s="405">
        <v>69</v>
      </c>
      <c r="P153" s="405">
        <v>52</v>
      </c>
      <c r="Q153" s="405">
        <v>69</v>
      </c>
      <c r="R153" s="405">
        <v>72</v>
      </c>
      <c r="S153" s="408">
        <v>48.2</v>
      </c>
      <c r="T153" s="407">
        <f t="shared" si="14"/>
        <v>60.336700336700332</v>
      </c>
      <c r="U153" s="399"/>
    </row>
    <row r="154" spans="1:22" ht="15.75" customHeight="1" x14ac:dyDescent="0.25">
      <c r="A154" s="2">
        <v>150</v>
      </c>
      <c r="B154" s="8" t="s">
        <v>16</v>
      </c>
      <c r="C154" s="11" t="s">
        <v>21</v>
      </c>
      <c r="D154" s="400" t="s">
        <v>213</v>
      </c>
      <c r="E154" s="401">
        <f t="shared" si="12"/>
        <v>50.51725370454119</v>
      </c>
      <c r="F154" s="402">
        <v>2.06</v>
      </c>
      <c r="G154" s="402">
        <v>23.27</v>
      </c>
      <c r="H154" s="402">
        <v>0.11</v>
      </c>
      <c r="I154" s="402">
        <v>0.36</v>
      </c>
      <c r="J154" s="408">
        <v>88.4</v>
      </c>
      <c r="K154" s="405">
        <v>90</v>
      </c>
      <c r="L154" s="405">
        <v>85</v>
      </c>
      <c r="M154" s="402">
        <v>30.245766785232</v>
      </c>
      <c r="N154" s="407">
        <f t="shared" si="13"/>
        <v>31.337537712112681</v>
      </c>
      <c r="O154" s="405">
        <v>91</v>
      </c>
      <c r="P154" s="405">
        <v>50</v>
      </c>
      <c r="Q154" s="405">
        <v>91</v>
      </c>
      <c r="R154" s="405">
        <v>89</v>
      </c>
      <c r="S154" s="408">
        <v>46.5</v>
      </c>
      <c r="T154" s="407">
        <f t="shared" si="14"/>
        <v>69.696969696969703</v>
      </c>
      <c r="U154" s="399"/>
    </row>
    <row r="155" spans="1:22" ht="15.75" customHeight="1" x14ac:dyDescent="0.25">
      <c r="A155" s="2">
        <v>151</v>
      </c>
      <c r="B155" s="3" t="s">
        <v>10</v>
      </c>
      <c r="C155" s="22" t="s">
        <v>49</v>
      </c>
      <c r="D155" s="400" t="s">
        <v>55</v>
      </c>
      <c r="E155" s="401">
        <f t="shared" si="12"/>
        <v>50.336375325745813</v>
      </c>
      <c r="F155" s="402">
        <v>2.11</v>
      </c>
      <c r="G155" s="402">
        <v>10.08</v>
      </c>
      <c r="H155" s="402">
        <v>0.31</v>
      </c>
      <c r="I155" s="402">
        <v>0.46</v>
      </c>
      <c r="J155" s="408">
        <v>98.7</v>
      </c>
      <c r="K155" s="405">
        <v>70</v>
      </c>
      <c r="L155" s="405">
        <v>92</v>
      </c>
      <c r="M155" s="402">
        <v>94.128165905523701</v>
      </c>
      <c r="N155" s="407">
        <f t="shared" si="13"/>
        <v>32.086892065633052</v>
      </c>
      <c r="O155" s="405">
        <v>83</v>
      </c>
      <c r="P155" s="405">
        <v>64</v>
      </c>
      <c r="Q155" s="405">
        <v>83</v>
      </c>
      <c r="R155" s="405">
        <v>84</v>
      </c>
      <c r="S155" s="408">
        <v>46.7</v>
      </c>
      <c r="T155" s="407">
        <f t="shared" si="14"/>
        <v>68.585858585858574</v>
      </c>
      <c r="U155" s="399"/>
    </row>
    <row r="156" spans="1:22" ht="15.75" customHeight="1" x14ac:dyDescent="0.25">
      <c r="A156" s="2">
        <v>152</v>
      </c>
      <c r="B156" s="8" t="s">
        <v>16</v>
      </c>
      <c r="C156" s="21" t="s">
        <v>42</v>
      </c>
      <c r="D156" s="400" t="s">
        <v>93</v>
      </c>
      <c r="E156" s="401">
        <f t="shared" si="12"/>
        <v>49.859048747502683</v>
      </c>
      <c r="F156" s="402">
        <v>2.89</v>
      </c>
      <c r="G156" s="402">
        <v>41.72</v>
      </c>
      <c r="H156" s="402">
        <v>0.2</v>
      </c>
      <c r="I156" s="402">
        <v>2.0699999999999998</v>
      </c>
      <c r="J156" s="408">
        <v>87.6</v>
      </c>
      <c r="K156" s="405">
        <v>46</v>
      </c>
      <c r="L156" s="405">
        <v>47</v>
      </c>
      <c r="M156" s="402">
        <v>148.24050855055501</v>
      </c>
      <c r="N156" s="407">
        <f t="shared" si="13"/>
        <v>28.910016686924553</v>
      </c>
      <c r="O156" s="405">
        <v>95</v>
      </c>
      <c r="P156" s="405">
        <v>79</v>
      </c>
      <c r="Q156" s="405">
        <v>95</v>
      </c>
      <c r="R156" s="405">
        <v>91</v>
      </c>
      <c r="S156" s="408">
        <v>30.3</v>
      </c>
      <c r="T156" s="407">
        <f t="shared" si="14"/>
        <v>70.808080808080817</v>
      </c>
      <c r="U156" s="399"/>
    </row>
    <row r="157" spans="1:22" ht="15.75" customHeight="1" x14ac:dyDescent="0.25">
      <c r="A157" s="2">
        <v>153</v>
      </c>
      <c r="B157" s="3" t="s">
        <v>10</v>
      </c>
      <c r="C157" s="4" t="s">
        <v>11</v>
      </c>
      <c r="D157" s="400" t="s">
        <v>163</v>
      </c>
      <c r="E157" s="401">
        <f t="shared" si="12"/>
        <v>49.792900073551294</v>
      </c>
      <c r="F157" s="402">
        <v>12.84</v>
      </c>
      <c r="G157" s="402">
        <v>5.23</v>
      </c>
      <c r="H157" s="402">
        <v>1.61</v>
      </c>
      <c r="I157" s="402">
        <v>2.3199999999999998</v>
      </c>
      <c r="J157" s="408">
        <v>68</v>
      </c>
      <c r="K157" s="405">
        <v>74</v>
      </c>
      <c r="L157" s="405">
        <v>16</v>
      </c>
      <c r="M157" s="402">
        <v>54.330818328382797</v>
      </c>
      <c r="N157" s="407">
        <f t="shared" si="13"/>
        <v>31.16829172959417</v>
      </c>
      <c r="O157" s="405">
        <v>87</v>
      </c>
      <c r="P157" s="405">
        <v>82</v>
      </c>
      <c r="Q157" s="405">
        <v>87</v>
      </c>
      <c r="R157" s="405">
        <v>87</v>
      </c>
      <c r="S157" s="408">
        <v>31.7</v>
      </c>
      <c r="T157" s="407">
        <f t="shared" si="14"/>
        <v>68.417508417508415</v>
      </c>
      <c r="U157" s="399"/>
    </row>
    <row r="158" spans="1:22" ht="15.75" customHeight="1" x14ac:dyDescent="0.25">
      <c r="A158" s="2">
        <v>154</v>
      </c>
      <c r="B158" s="3" t="s">
        <v>10</v>
      </c>
      <c r="C158" s="22" t="s">
        <v>49</v>
      </c>
      <c r="D158" s="400" t="s">
        <v>125</v>
      </c>
      <c r="E158" s="401">
        <f t="shared" si="12"/>
        <v>49.177485664954943</v>
      </c>
      <c r="F158" s="402">
        <v>3.77</v>
      </c>
      <c r="G158" s="402">
        <v>13.64</v>
      </c>
      <c r="H158" s="402">
        <v>0.82</v>
      </c>
      <c r="I158" s="402">
        <v>2.98</v>
      </c>
      <c r="J158" s="408">
        <v>79.8</v>
      </c>
      <c r="K158" s="405">
        <v>91</v>
      </c>
      <c r="L158" s="405">
        <v>64</v>
      </c>
      <c r="M158" s="402">
        <v>49.050379970397998</v>
      </c>
      <c r="N158" s="407">
        <f t="shared" si="13"/>
        <v>34.314567289505845</v>
      </c>
      <c r="O158" s="405">
        <v>67</v>
      </c>
      <c r="P158" s="405">
        <v>66</v>
      </c>
      <c r="Q158" s="405">
        <v>67</v>
      </c>
      <c r="R158" s="405">
        <v>70</v>
      </c>
      <c r="S158" s="408">
        <v>55.2</v>
      </c>
      <c r="T158" s="407">
        <f t="shared" si="14"/>
        <v>64.040404040404042</v>
      </c>
      <c r="U158" s="399"/>
    </row>
    <row r="159" spans="1:22" ht="15.75" customHeight="1" x14ac:dyDescent="0.25">
      <c r="A159" s="2">
        <v>155</v>
      </c>
      <c r="B159" s="8" t="s">
        <v>16</v>
      </c>
      <c r="C159" s="21" t="s">
        <v>42</v>
      </c>
      <c r="D159" s="400" t="s">
        <v>52</v>
      </c>
      <c r="E159" s="401">
        <f t="shared" si="12"/>
        <v>48.620202020202015</v>
      </c>
      <c r="F159" s="402">
        <v>1.07</v>
      </c>
      <c r="G159" s="402">
        <v>8.24</v>
      </c>
      <c r="H159" s="402">
        <v>0.06</v>
      </c>
      <c r="I159" s="402">
        <v>0.16</v>
      </c>
      <c r="J159" s="408">
        <v>95.8</v>
      </c>
      <c r="K159" s="405">
        <v>70</v>
      </c>
      <c r="L159" s="405">
        <v>82</v>
      </c>
      <c r="M159" s="402">
        <v>70.395164575898207</v>
      </c>
      <c r="N159" s="407">
        <f t="shared" si="13"/>
        <v>28.654545454545453</v>
      </c>
      <c r="O159" s="405">
        <v>91</v>
      </c>
      <c r="P159" s="405">
        <v>65</v>
      </c>
      <c r="Q159" s="405">
        <v>91</v>
      </c>
      <c r="R159" s="405">
        <v>91</v>
      </c>
      <c r="S159" s="408">
        <v>34.700000000000003</v>
      </c>
      <c r="T159" s="407">
        <f t="shared" si="14"/>
        <v>68.585858585858574</v>
      </c>
      <c r="U159" s="399"/>
    </row>
    <row r="160" spans="1:22" ht="15.75" customHeight="1" x14ac:dyDescent="0.25">
      <c r="A160" s="2">
        <v>156</v>
      </c>
      <c r="B160" s="17" t="s">
        <v>29</v>
      </c>
      <c r="C160" s="26" t="s">
        <v>118</v>
      </c>
      <c r="D160" s="400" t="s">
        <v>145</v>
      </c>
      <c r="E160" s="401">
        <f t="shared" si="12"/>
        <v>48.122254980695118</v>
      </c>
      <c r="F160" s="402">
        <v>9.74</v>
      </c>
      <c r="G160" s="402">
        <v>22.21</v>
      </c>
      <c r="H160" s="403">
        <v>0.95802511183149397</v>
      </c>
      <c r="I160" s="403">
        <v>0.90205126004255431</v>
      </c>
      <c r="J160" s="408">
        <v>100</v>
      </c>
      <c r="K160" s="405">
        <v>47</v>
      </c>
      <c r="L160" s="406">
        <v>35</v>
      </c>
      <c r="M160" s="402">
        <v>68.566192754671505</v>
      </c>
      <c r="N160" s="407">
        <f t="shared" si="13"/>
        <v>35.675243368514963</v>
      </c>
      <c r="O160" s="405">
        <v>76</v>
      </c>
      <c r="P160" s="405">
        <v>60</v>
      </c>
      <c r="Q160" s="405">
        <v>85</v>
      </c>
      <c r="R160" s="405">
        <v>76</v>
      </c>
      <c r="S160" s="404">
        <v>31.390721780839577</v>
      </c>
      <c r="T160" s="407">
        <f t="shared" si="14"/>
        <v>60.56926659287528</v>
      </c>
      <c r="U160" s="399"/>
    </row>
    <row r="161" spans="1:23" x14ac:dyDescent="0.25">
      <c r="A161" s="2">
        <v>157</v>
      </c>
      <c r="B161" s="8" t="s">
        <v>16</v>
      </c>
      <c r="C161" s="21" t="s">
        <v>42</v>
      </c>
      <c r="D161" s="400" t="s">
        <v>181</v>
      </c>
      <c r="E161" s="401">
        <f t="shared" si="12"/>
        <v>47.88047138047137</v>
      </c>
      <c r="F161" s="402">
        <v>1.24</v>
      </c>
      <c r="G161" s="402">
        <v>4.32</v>
      </c>
      <c r="H161" s="402">
        <v>0.11</v>
      </c>
      <c r="I161" s="402">
        <v>0.21</v>
      </c>
      <c r="J161" s="408">
        <v>93.5</v>
      </c>
      <c r="K161" s="405">
        <v>68</v>
      </c>
      <c r="L161" s="405">
        <v>79</v>
      </c>
      <c r="M161" s="402">
        <v>56.694412271169597</v>
      </c>
      <c r="N161" s="407">
        <f t="shared" si="13"/>
        <v>27.242424242424239</v>
      </c>
      <c r="O161" s="405">
        <v>91</v>
      </c>
      <c r="P161" s="405">
        <v>79</v>
      </c>
      <c r="Q161" s="405">
        <v>91</v>
      </c>
      <c r="R161" s="405">
        <v>91</v>
      </c>
      <c r="S161" s="408">
        <v>27.5</v>
      </c>
      <c r="T161" s="407">
        <f t="shared" si="14"/>
        <v>68.518518518518505</v>
      </c>
      <c r="U161" s="399"/>
    </row>
    <row r="162" spans="1:23" s="30" customFormat="1" x14ac:dyDescent="0.2">
      <c r="A162" s="2">
        <v>158</v>
      </c>
      <c r="B162" s="17" t="s">
        <v>29</v>
      </c>
      <c r="C162" s="26" t="s">
        <v>118</v>
      </c>
      <c r="D162" s="400" t="s">
        <v>177</v>
      </c>
      <c r="E162" s="401">
        <f t="shared" si="12"/>
        <v>47.75743587929221</v>
      </c>
      <c r="F162" s="402">
        <v>5.61</v>
      </c>
      <c r="G162" s="402">
        <v>30.58</v>
      </c>
      <c r="H162" s="402">
        <v>0.9</v>
      </c>
      <c r="I162" s="402">
        <v>0.24</v>
      </c>
      <c r="J162" s="408">
        <v>88.9</v>
      </c>
      <c r="K162" s="405">
        <v>100</v>
      </c>
      <c r="L162" s="406">
        <v>35</v>
      </c>
      <c r="M162" s="402">
        <v>328.530679696844</v>
      </c>
      <c r="N162" s="407">
        <f t="shared" si="13"/>
        <v>35.615881859594509</v>
      </c>
      <c r="O162" s="405">
        <v>85</v>
      </c>
      <c r="P162" s="405">
        <v>60</v>
      </c>
      <c r="Q162" s="405">
        <v>85</v>
      </c>
      <c r="R162" s="405">
        <v>85</v>
      </c>
      <c r="S162" s="408">
        <v>20.399999999999999</v>
      </c>
      <c r="T162" s="407">
        <f t="shared" si="14"/>
        <v>59.89898989898991</v>
      </c>
      <c r="U162" s="399"/>
      <c r="V162" s="359"/>
      <c r="W162" s="360"/>
    </row>
    <row r="163" spans="1:23" s="30" customFormat="1" x14ac:dyDescent="0.2">
      <c r="A163" s="2">
        <v>159</v>
      </c>
      <c r="B163" s="3" t="s">
        <v>10</v>
      </c>
      <c r="C163" s="22" t="s">
        <v>49</v>
      </c>
      <c r="D163" s="400" t="s">
        <v>205</v>
      </c>
      <c r="E163" s="401">
        <f t="shared" si="12"/>
        <v>46.912969396734354</v>
      </c>
      <c r="F163" s="402">
        <v>7.68</v>
      </c>
      <c r="G163" s="402">
        <v>15.17</v>
      </c>
      <c r="H163" s="402">
        <v>0.02</v>
      </c>
      <c r="I163" s="402">
        <v>2</v>
      </c>
      <c r="J163" s="408">
        <v>68.5</v>
      </c>
      <c r="K163" s="405">
        <v>68</v>
      </c>
      <c r="L163" s="405">
        <v>61</v>
      </c>
      <c r="M163" s="402">
        <v>358.27743048329199</v>
      </c>
      <c r="N163" s="407">
        <f t="shared" si="13"/>
        <v>28.876443843973757</v>
      </c>
      <c r="O163" s="405">
        <v>83</v>
      </c>
      <c r="P163" s="405">
        <v>72</v>
      </c>
      <c r="Q163" s="405">
        <v>83</v>
      </c>
      <c r="R163" s="405">
        <v>83</v>
      </c>
      <c r="S163" s="408">
        <v>32.4</v>
      </c>
      <c r="T163" s="407">
        <f t="shared" si="14"/>
        <v>64.949494949494948</v>
      </c>
      <c r="U163" s="399"/>
      <c r="V163" s="120"/>
    </row>
    <row r="164" spans="1:23" s="30" customFormat="1" x14ac:dyDescent="0.2">
      <c r="A164" s="2">
        <v>160</v>
      </c>
      <c r="B164" s="8" t="s">
        <v>16</v>
      </c>
      <c r="C164" s="21" t="s">
        <v>42</v>
      </c>
      <c r="D164" s="400" t="s">
        <v>184</v>
      </c>
      <c r="E164" s="401">
        <f t="shared" si="12"/>
        <v>46.678787878787873</v>
      </c>
      <c r="F164" s="402">
        <v>1.34</v>
      </c>
      <c r="G164" s="402">
        <v>11.63</v>
      </c>
      <c r="H164" s="402">
        <v>0.02</v>
      </c>
      <c r="I164" s="402">
        <v>0.11</v>
      </c>
      <c r="J164" s="408">
        <v>86.9</v>
      </c>
      <c r="K164" s="405">
        <v>70</v>
      </c>
      <c r="L164" s="405">
        <v>86</v>
      </c>
      <c r="M164" s="402">
        <v>26.567101801623402</v>
      </c>
      <c r="N164" s="407">
        <f t="shared" si="13"/>
        <v>25.781818181818185</v>
      </c>
      <c r="O164" s="405">
        <v>91</v>
      </c>
      <c r="P164" s="405">
        <v>73</v>
      </c>
      <c r="Q164" s="405">
        <v>91</v>
      </c>
      <c r="R164" s="405">
        <v>91</v>
      </c>
      <c r="S164" s="408">
        <v>27.7</v>
      </c>
      <c r="T164" s="407">
        <f t="shared" si="14"/>
        <v>67.575757575757564</v>
      </c>
      <c r="U164" s="399"/>
      <c r="V164" s="120"/>
    </row>
    <row r="165" spans="1:23" s="30" customFormat="1" x14ac:dyDescent="0.2">
      <c r="A165" s="2">
        <v>161</v>
      </c>
      <c r="B165" s="17" t="s">
        <v>29</v>
      </c>
      <c r="C165" s="26" t="s">
        <v>118</v>
      </c>
      <c r="D165" s="400" t="s">
        <v>119</v>
      </c>
      <c r="E165" s="401">
        <f t="shared" ref="E165:E196" si="15">(N165+T165)/2</f>
        <v>46.451738737293056</v>
      </c>
      <c r="F165" s="402">
        <v>4.68</v>
      </c>
      <c r="G165" s="402">
        <v>39.020000000000003</v>
      </c>
      <c r="H165" s="402">
        <v>0.53</v>
      </c>
      <c r="I165" s="402">
        <v>0.53</v>
      </c>
      <c r="J165" s="408">
        <v>91.9</v>
      </c>
      <c r="K165" s="405">
        <v>47</v>
      </c>
      <c r="L165" s="406">
        <v>35</v>
      </c>
      <c r="M165" s="402">
        <v>314.561572798371</v>
      </c>
      <c r="N165" s="407">
        <f t="shared" ref="N165:N196" si="16">((LN(MAX(MIN(F165,75),4))-LN(4))/(LN(75)-LN(4))*100*2+(LN(MAX(MIN(G165,160),16))-LN(16))/(LN(160)-LN(16))*100+(LN(MAX(MIN(H165,12),0.3))-LN(0.3))/(LN(12)-LN(0.3))*100+(LN(MAX(MIN(I165,20),0.3))-LN(0.3))/(LN(20)-LN(0.3))*100*1.5+((MAX(J165,50))-50)/(50)*100*2+((MAX(K165,40))-40)/(60)*100+L165+(LN(MAX(MIN(M165,8000),200))-LN(200))/(LN(8000)-LN(200))*100*1.5)/11</f>
        <v>28.896743467852101</v>
      </c>
      <c r="O165" s="405">
        <v>94</v>
      </c>
      <c r="P165" s="405">
        <v>47</v>
      </c>
      <c r="Q165" s="405">
        <v>94</v>
      </c>
      <c r="R165" s="405">
        <v>91</v>
      </c>
      <c r="S165" s="408">
        <v>27.1</v>
      </c>
      <c r="T165" s="407">
        <f t="shared" ref="T165:T196" si="17">((O165+P165+Q165+R165+S165*2)/6)/99*100</f>
        <v>64.006734006734007</v>
      </c>
      <c r="U165" s="399"/>
      <c r="V165" s="120"/>
    </row>
    <row r="166" spans="1:23" s="30" customFormat="1" x14ac:dyDescent="0.2">
      <c r="A166" s="2">
        <v>162</v>
      </c>
      <c r="B166" s="8" t="s">
        <v>16</v>
      </c>
      <c r="C166" s="11" t="s">
        <v>21</v>
      </c>
      <c r="D166" s="400" t="s">
        <v>684</v>
      </c>
      <c r="E166" s="401">
        <f t="shared" si="15"/>
        <v>45.826439981941363</v>
      </c>
      <c r="F166" s="402">
        <v>1.75</v>
      </c>
      <c r="G166" s="402">
        <v>2.6</v>
      </c>
      <c r="H166" s="402">
        <v>0.06</v>
      </c>
      <c r="I166" s="402">
        <v>0.56000000000000005</v>
      </c>
      <c r="J166" s="408">
        <v>85</v>
      </c>
      <c r="K166" s="405">
        <v>64</v>
      </c>
      <c r="L166" s="405">
        <v>87</v>
      </c>
      <c r="M166" s="402">
        <v>37.7000670774339</v>
      </c>
      <c r="N166" s="407">
        <f t="shared" si="16"/>
        <v>26.299344610347376</v>
      </c>
      <c r="O166" s="405">
        <v>83</v>
      </c>
      <c r="P166" s="405">
        <v>74</v>
      </c>
      <c r="Q166" s="405">
        <v>83</v>
      </c>
      <c r="R166" s="405">
        <v>80</v>
      </c>
      <c r="S166" s="408">
        <v>34.1</v>
      </c>
      <c r="T166" s="407">
        <f t="shared" si="17"/>
        <v>65.353535353535349</v>
      </c>
      <c r="U166" s="399"/>
      <c r="V166" s="120"/>
    </row>
    <row r="167" spans="1:23" s="30" customFormat="1" x14ac:dyDescent="0.2">
      <c r="A167" s="2">
        <v>163</v>
      </c>
      <c r="B167" s="8" t="s">
        <v>16</v>
      </c>
      <c r="C167" s="21" t="s">
        <v>42</v>
      </c>
      <c r="D167" s="400" t="s">
        <v>53</v>
      </c>
      <c r="E167" s="401">
        <f t="shared" si="15"/>
        <v>45.501010101010102</v>
      </c>
      <c r="F167" s="402">
        <v>0.83</v>
      </c>
      <c r="G167" s="402">
        <v>7.94</v>
      </c>
      <c r="H167" s="402">
        <v>4.0000000000000001E-3</v>
      </c>
      <c r="I167" s="402">
        <v>0.09</v>
      </c>
      <c r="J167" s="408">
        <v>75.2</v>
      </c>
      <c r="K167" s="405">
        <v>69</v>
      </c>
      <c r="L167" s="405">
        <v>93</v>
      </c>
      <c r="M167" s="402">
        <v>14.7470396003459</v>
      </c>
      <c r="N167" s="407">
        <f t="shared" si="16"/>
        <v>22.012121212121212</v>
      </c>
      <c r="O167" s="405">
        <v>89</v>
      </c>
      <c r="P167" s="405">
        <v>80</v>
      </c>
      <c r="Q167" s="405">
        <v>89</v>
      </c>
      <c r="R167" s="405">
        <v>89</v>
      </c>
      <c r="S167" s="408">
        <v>31.4</v>
      </c>
      <c r="T167" s="407">
        <f t="shared" si="17"/>
        <v>68.98989898989899</v>
      </c>
      <c r="U167" s="399"/>
      <c r="V167" s="120"/>
    </row>
    <row r="168" spans="1:23" s="30" customFormat="1" x14ac:dyDescent="0.2">
      <c r="A168" s="2">
        <v>164</v>
      </c>
      <c r="B168" s="3" t="s">
        <v>10</v>
      </c>
      <c r="C168" s="22" t="s">
        <v>49</v>
      </c>
      <c r="D168" s="400" t="s">
        <v>151</v>
      </c>
      <c r="E168" s="401">
        <f t="shared" si="15"/>
        <v>43.600030678372654</v>
      </c>
      <c r="F168" s="402">
        <v>7.57</v>
      </c>
      <c r="G168" s="402">
        <v>2.0499999999999998</v>
      </c>
      <c r="H168" s="402">
        <v>0.72</v>
      </c>
      <c r="I168" s="402">
        <v>0.8</v>
      </c>
      <c r="J168" s="408">
        <v>60.2</v>
      </c>
      <c r="K168" s="405">
        <v>44</v>
      </c>
      <c r="L168" s="405">
        <v>75</v>
      </c>
      <c r="M168" s="402">
        <v>31.4638101500334</v>
      </c>
      <c r="N168" s="407">
        <f t="shared" si="16"/>
        <v>20.432384589068537</v>
      </c>
      <c r="O168" s="405">
        <v>71</v>
      </c>
      <c r="P168" s="405">
        <v>68</v>
      </c>
      <c r="Q168" s="405">
        <v>71</v>
      </c>
      <c r="R168" s="405">
        <v>71</v>
      </c>
      <c r="S168" s="408">
        <v>57.8</v>
      </c>
      <c r="T168" s="407">
        <f t="shared" si="17"/>
        <v>66.767676767676775</v>
      </c>
      <c r="U168" s="399"/>
      <c r="V168" s="120"/>
    </row>
    <row r="169" spans="1:23" s="30" customFormat="1" x14ac:dyDescent="0.2">
      <c r="A169" s="2">
        <v>165</v>
      </c>
      <c r="B169" s="17" t="s">
        <v>29</v>
      </c>
      <c r="C169" s="24" t="s">
        <v>85</v>
      </c>
      <c r="D169" s="400" t="s">
        <v>188</v>
      </c>
      <c r="E169" s="401">
        <f t="shared" si="15"/>
        <v>42.910719666802962</v>
      </c>
      <c r="F169" s="402">
        <v>2.87</v>
      </c>
      <c r="G169" s="402">
        <v>21.3</v>
      </c>
      <c r="H169" s="402">
        <v>0.45</v>
      </c>
      <c r="I169" s="402">
        <v>0.7</v>
      </c>
      <c r="J169" s="408">
        <v>86.2</v>
      </c>
      <c r="K169" s="405">
        <v>45</v>
      </c>
      <c r="L169" s="406">
        <v>35</v>
      </c>
      <c r="M169" s="402">
        <v>96.503412537346193</v>
      </c>
      <c r="N169" s="407">
        <f t="shared" si="16"/>
        <v>21.983055495222075</v>
      </c>
      <c r="O169" s="405">
        <v>87</v>
      </c>
      <c r="P169" s="405">
        <v>66</v>
      </c>
      <c r="Q169" s="405">
        <v>87</v>
      </c>
      <c r="R169" s="405">
        <v>85</v>
      </c>
      <c r="S169" s="408">
        <v>27.1</v>
      </c>
      <c r="T169" s="407">
        <f t="shared" si="17"/>
        <v>63.838383838383841</v>
      </c>
      <c r="U169" s="399"/>
      <c r="V169" s="120"/>
    </row>
    <row r="170" spans="1:23" s="30" customFormat="1" x14ac:dyDescent="0.2">
      <c r="A170" s="2">
        <v>166</v>
      </c>
      <c r="B170" s="8" t="s">
        <v>16</v>
      </c>
      <c r="C170" s="21" t="s">
        <v>42</v>
      </c>
      <c r="D170" s="400" t="s">
        <v>206</v>
      </c>
      <c r="E170" s="401">
        <f t="shared" si="15"/>
        <v>42.835353535353534</v>
      </c>
      <c r="F170" s="402">
        <v>0.59</v>
      </c>
      <c r="G170" s="402">
        <v>4.08</v>
      </c>
      <c r="H170" s="402">
        <v>0.02</v>
      </c>
      <c r="I170" s="402">
        <v>0.28000000000000003</v>
      </c>
      <c r="J170" s="408">
        <v>69.400000000000006</v>
      </c>
      <c r="K170" s="405">
        <v>69</v>
      </c>
      <c r="L170" s="405">
        <v>92</v>
      </c>
      <c r="M170" s="402">
        <v>20.6939266061847</v>
      </c>
      <c r="N170" s="407">
        <f t="shared" si="16"/>
        <v>19.812121212121216</v>
      </c>
      <c r="O170" s="405">
        <v>90</v>
      </c>
      <c r="P170" s="405">
        <v>69</v>
      </c>
      <c r="Q170" s="405">
        <v>90</v>
      </c>
      <c r="R170" s="405">
        <v>89</v>
      </c>
      <c r="S170" s="408">
        <v>26.6</v>
      </c>
      <c r="T170" s="407">
        <f t="shared" si="17"/>
        <v>65.858585858585855</v>
      </c>
      <c r="U170" s="399"/>
      <c r="V170" s="120"/>
    </row>
    <row r="171" spans="1:23" s="30" customFormat="1" x14ac:dyDescent="0.2">
      <c r="A171" s="2">
        <v>167</v>
      </c>
      <c r="B171" s="8" t="s">
        <v>16</v>
      </c>
      <c r="C171" s="21" t="s">
        <v>42</v>
      </c>
      <c r="D171" s="400" t="s">
        <v>89</v>
      </c>
      <c r="E171" s="401">
        <f t="shared" si="15"/>
        <v>42.462676826847215</v>
      </c>
      <c r="F171" s="402">
        <v>5.21</v>
      </c>
      <c r="G171" s="402">
        <v>23.7</v>
      </c>
      <c r="H171" s="402">
        <v>0.18</v>
      </c>
      <c r="I171" s="402">
        <v>0.77</v>
      </c>
      <c r="J171" s="408">
        <v>95.2</v>
      </c>
      <c r="K171" s="405">
        <v>68</v>
      </c>
      <c r="L171" s="405">
        <v>64</v>
      </c>
      <c r="M171" s="402">
        <v>442.04950661957997</v>
      </c>
      <c r="N171" s="407">
        <f t="shared" si="16"/>
        <v>35.679897527346739</v>
      </c>
      <c r="O171" s="405">
        <v>61</v>
      </c>
      <c r="P171" s="406">
        <v>71.718009390505273</v>
      </c>
      <c r="Q171" s="405">
        <v>61</v>
      </c>
      <c r="R171" s="405">
        <v>60</v>
      </c>
      <c r="S171" s="408">
        <v>19.399999999999999</v>
      </c>
      <c r="T171" s="407">
        <f t="shared" si="17"/>
        <v>49.245456126347683</v>
      </c>
      <c r="U171" s="399"/>
      <c r="V171" s="120"/>
    </row>
    <row r="172" spans="1:23" s="30" customFormat="1" x14ac:dyDescent="0.2">
      <c r="A172" s="2">
        <v>168</v>
      </c>
      <c r="B172" s="8" t="s">
        <v>16</v>
      </c>
      <c r="C172" s="21" t="s">
        <v>42</v>
      </c>
      <c r="D172" s="400" t="s">
        <v>129</v>
      </c>
      <c r="E172" s="401">
        <f t="shared" si="15"/>
        <v>42.225925925925935</v>
      </c>
      <c r="F172" s="402">
        <v>1.78</v>
      </c>
      <c r="G172" s="402">
        <v>8.35</v>
      </c>
      <c r="H172" s="402">
        <v>0.02</v>
      </c>
      <c r="I172" s="402">
        <v>0.27</v>
      </c>
      <c r="J172" s="408">
        <v>84.4</v>
      </c>
      <c r="K172" s="405">
        <v>69</v>
      </c>
      <c r="L172" s="405">
        <v>86</v>
      </c>
      <c r="M172" s="402">
        <v>23.3115462756077</v>
      </c>
      <c r="N172" s="407">
        <f t="shared" si="16"/>
        <v>24.721212121212126</v>
      </c>
      <c r="O172" s="405">
        <v>83</v>
      </c>
      <c r="P172" s="405">
        <v>60</v>
      </c>
      <c r="Q172" s="405">
        <v>83</v>
      </c>
      <c r="R172" s="405">
        <v>72</v>
      </c>
      <c r="S172" s="408">
        <v>28.4</v>
      </c>
      <c r="T172" s="407">
        <f t="shared" si="17"/>
        <v>59.730639730639737</v>
      </c>
      <c r="U172" s="399"/>
      <c r="V172" s="120"/>
    </row>
    <row r="173" spans="1:23" s="30" customFormat="1" x14ac:dyDescent="0.2">
      <c r="A173" s="2">
        <v>169</v>
      </c>
      <c r="B173" s="8" t="s">
        <v>16</v>
      </c>
      <c r="C173" s="11" t="s">
        <v>21</v>
      </c>
      <c r="D173" s="400" t="s">
        <v>64</v>
      </c>
      <c r="E173" s="401">
        <f t="shared" si="15"/>
        <v>41.803075009601073</v>
      </c>
      <c r="F173" s="402">
        <v>4.24</v>
      </c>
      <c r="G173" s="402">
        <v>16.440000000000001</v>
      </c>
      <c r="H173" s="402">
        <v>0.38</v>
      </c>
      <c r="I173" s="402">
        <v>0.48</v>
      </c>
      <c r="J173" s="408">
        <v>97.2</v>
      </c>
      <c r="K173" s="405">
        <v>68</v>
      </c>
      <c r="L173" s="405">
        <v>84</v>
      </c>
      <c r="M173" s="402">
        <v>32.245735071974799</v>
      </c>
      <c r="N173" s="407">
        <f t="shared" si="16"/>
        <v>31.619618032670157</v>
      </c>
      <c r="O173" s="405">
        <v>75</v>
      </c>
      <c r="P173" s="405">
        <v>70</v>
      </c>
      <c r="Q173" s="405">
        <v>75</v>
      </c>
      <c r="R173" s="405">
        <v>62</v>
      </c>
      <c r="S173" s="408">
        <v>13.4</v>
      </c>
      <c r="T173" s="407">
        <f t="shared" si="17"/>
        <v>51.986531986531993</v>
      </c>
      <c r="U173" s="399"/>
      <c r="V173" s="120"/>
    </row>
    <row r="174" spans="1:23" s="30" customFormat="1" x14ac:dyDescent="0.2">
      <c r="A174" s="2">
        <v>170</v>
      </c>
      <c r="B174" s="8" t="s">
        <v>16</v>
      </c>
      <c r="C174" s="21" t="s">
        <v>42</v>
      </c>
      <c r="D174" s="400" t="s">
        <v>90</v>
      </c>
      <c r="E174" s="401">
        <f t="shared" si="15"/>
        <v>41.268350168350167</v>
      </c>
      <c r="F174" s="402">
        <v>0.9</v>
      </c>
      <c r="G174" s="402">
        <v>6.58</v>
      </c>
      <c r="H174" s="402">
        <v>0.03</v>
      </c>
      <c r="I174" s="402">
        <v>0.04</v>
      </c>
      <c r="J174" s="408">
        <v>83.8</v>
      </c>
      <c r="K174" s="405">
        <v>73</v>
      </c>
      <c r="L174" s="405">
        <v>44</v>
      </c>
      <c r="M174" s="402">
        <v>42.292142004270801</v>
      </c>
      <c r="N174" s="407">
        <f t="shared" si="16"/>
        <v>21.290909090909089</v>
      </c>
      <c r="O174" s="405">
        <v>80</v>
      </c>
      <c r="P174" s="405">
        <v>83</v>
      </c>
      <c r="Q174" s="405">
        <v>80</v>
      </c>
      <c r="R174" s="405">
        <v>80</v>
      </c>
      <c r="S174" s="408">
        <v>20.399999999999999</v>
      </c>
      <c r="T174" s="407">
        <f t="shared" si="17"/>
        <v>61.245791245791246</v>
      </c>
      <c r="U174" s="399"/>
      <c r="V174" s="120"/>
    </row>
    <row r="175" spans="1:23" s="30" customFormat="1" x14ac:dyDescent="0.2">
      <c r="A175" s="2">
        <v>171</v>
      </c>
      <c r="B175" s="8" t="s">
        <v>16</v>
      </c>
      <c r="C175" s="21" t="s">
        <v>42</v>
      </c>
      <c r="D175" s="400" t="s">
        <v>66</v>
      </c>
      <c r="E175" s="401">
        <f t="shared" si="15"/>
        <v>41.072227358946193</v>
      </c>
      <c r="F175" s="402">
        <v>4.9800000000000004</v>
      </c>
      <c r="G175" s="402">
        <v>13.35</v>
      </c>
      <c r="H175" s="402">
        <v>0.02</v>
      </c>
      <c r="I175" s="402">
        <v>0.06</v>
      </c>
      <c r="J175" s="408">
        <v>94.4</v>
      </c>
      <c r="K175" s="405">
        <v>70</v>
      </c>
      <c r="L175" s="405">
        <v>34</v>
      </c>
      <c r="M175" s="402">
        <v>71.002526469721602</v>
      </c>
      <c r="N175" s="407">
        <f t="shared" si="16"/>
        <v>25.141087714525373</v>
      </c>
      <c r="O175" s="405">
        <v>78</v>
      </c>
      <c r="P175" s="405">
        <v>47</v>
      </c>
      <c r="Q175" s="405">
        <v>78</v>
      </c>
      <c r="R175" s="405">
        <v>76</v>
      </c>
      <c r="S175" s="408">
        <v>29.8</v>
      </c>
      <c r="T175" s="407">
        <f t="shared" si="17"/>
        <v>57.003367003367011</v>
      </c>
      <c r="U175" s="399"/>
      <c r="V175" s="120"/>
    </row>
    <row r="176" spans="1:23" s="30" customFormat="1" x14ac:dyDescent="0.2">
      <c r="A176" s="2">
        <v>172</v>
      </c>
      <c r="B176" s="17" t="s">
        <v>29</v>
      </c>
      <c r="C176" s="24" t="s">
        <v>85</v>
      </c>
      <c r="D176" s="400" t="s">
        <v>220</v>
      </c>
      <c r="E176" s="401">
        <f t="shared" si="15"/>
        <v>40.781889327644919</v>
      </c>
      <c r="F176" s="402">
        <v>1.64</v>
      </c>
      <c r="G176" s="402">
        <v>14.59</v>
      </c>
      <c r="H176" s="402">
        <v>0.31</v>
      </c>
      <c r="I176" s="403">
        <v>0.62853350829960797</v>
      </c>
      <c r="J176" s="408">
        <v>90.9</v>
      </c>
      <c r="K176" s="405">
        <v>61</v>
      </c>
      <c r="L176" s="406">
        <v>35</v>
      </c>
      <c r="M176" s="402">
        <v>79.904267171005301</v>
      </c>
      <c r="N176" s="407">
        <f t="shared" si="16"/>
        <v>23.718660810171979</v>
      </c>
      <c r="O176" s="405">
        <v>71</v>
      </c>
      <c r="P176" s="405">
        <v>53</v>
      </c>
      <c r="Q176" s="405">
        <v>71</v>
      </c>
      <c r="R176" s="405">
        <v>65</v>
      </c>
      <c r="S176" s="408">
        <v>41.8</v>
      </c>
      <c r="T176" s="407">
        <f t="shared" si="17"/>
        <v>57.845117845117855</v>
      </c>
      <c r="U176" s="399"/>
      <c r="V176" s="120"/>
    </row>
    <row r="177" spans="1:22" s="30" customFormat="1" x14ac:dyDescent="0.2">
      <c r="A177" s="2">
        <v>173</v>
      </c>
      <c r="B177" s="8" t="s">
        <v>16</v>
      </c>
      <c r="C177" s="21" t="s">
        <v>42</v>
      </c>
      <c r="D177" s="400" t="s">
        <v>68</v>
      </c>
      <c r="E177" s="401">
        <f t="shared" si="15"/>
        <v>39.758942556474651</v>
      </c>
      <c r="F177" s="402">
        <v>2.5499999999999998</v>
      </c>
      <c r="G177" s="402">
        <v>9.93</v>
      </c>
      <c r="H177" s="402">
        <v>0.15</v>
      </c>
      <c r="I177" s="402">
        <v>0.39</v>
      </c>
      <c r="J177" s="408">
        <v>84.1</v>
      </c>
      <c r="K177" s="405">
        <v>69</v>
      </c>
      <c r="L177" s="405">
        <v>78</v>
      </c>
      <c r="M177" s="402">
        <v>101.806301767254</v>
      </c>
      <c r="N177" s="407">
        <f t="shared" si="16"/>
        <v>24.736740331804526</v>
      </c>
      <c r="O177" s="405">
        <v>77</v>
      </c>
      <c r="P177" s="405">
        <v>48</v>
      </c>
      <c r="Q177" s="405">
        <v>77</v>
      </c>
      <c r="R177" s="405">
        <v>74</v>
      </c>
      <c r="S177" s="408">
        <v>24.7</v>
      </c>
      <c r="T177" s="407">
        <f t="shared" si="17"/>
        <v>54.781144781144775</v>
      </c>
      <c r="U177" s="399"/>
      <c r="V177" s="120"/>
    </row>
    <row r="178" spans="1:22" s="30" customFormat="1" x14ac:dyDescent="0.2">
      <c r="A178" s="2">
        <v>174</v>
      </c>
      <c r="B178" s="8" t="s">
        <v>16</v>
      </c>
      <c r="C178" s="11" t="s">
        <v>21</v>
      </c>
      <c r="D178" s="400" t="s">
        <v>84</v>
      </c>
      <c r="E178" s="401">
        <f t="shared" si="15"/>
        <v>39.692398344262614</v>
      </c>
      <c r="F178" s="402">
        <v>1.56</v>
      </c>
      <c r="G178" s="402">
        <v>10.85</v>
      </c>
      <c r="H178" s="402">
        <v>0.28000000000000003</v>
      </c>
      <c r="I178" s="402">
        <v>1.62</v>
      </c>
      <c r="J178" s="408">
        <v>49.8</v>
      </c>
      <c r="K178" s="405">
        <v>81</v>
      </c>
      <c r="L178" s="405">
        <v>88</v>
      </c>
      <c r="M178" s="402">
        <v>18.786141113464002</v>
      </c>
      <c r="N178" s="407">
        <f t="shared" si="16"/>
        <v>19.687826991555525</v>
      </c>
      <c r="O178" s="405">
        <v>73</v>
      </c>
      <c r="P178" s="405">
        <v>59</v>
      </c>
      <c r="Q178" s="405">
        <v>73</v>
      </c>
      <c r="R178" s="405">
        <v>73</v>
      </c>
      <c r="S178" s="408">
        <v>38.299999999999997</v>
      </c>
      <c r="T178" s="407">
        <f t="shared" si="17"/>
        <v>59.696969696969703</v>
      </c>
      <c r="U178" s="399"/>
      <c r="V178" s="120"/>
    </row>
    <row r="179" spans="1:22" s="30" customFormat="1" x14ac:dyDescent="0.2">
      <c r="A179" s="2">
        <v>175</v>
      </c>
      <c r="B179" s="8" t="s">
        <v>16</v>
      </c>
      <c r="C179" s="11" t="s">
        <v>21</v>
      </c>
      <c r="D179" s="400" t="s">
        <v>74</v>
      </c>
      <c r="E179" s="401">
        <f t="shared" si="15"/>
        <v>39.387528919005867</v>
      </c>
      <c r="F179" s="402">
        <v>2.11</v>
      </c>
      <c r="G179" s="402">
        <v>1.94</v>
      </c>
      <c r="H179" s="403">
        <v>0.52883883659893216</v>
      </c>
      <c r="I179" s="403">
        <v>1.01147723286458</v>
      </c>
      <c r="J179" s="408">
        <v>87.4</v>
      </c>
      <c r="K179" s="405">
        <v>41</v>
      </c>
      <c r="L179" s="405">
        <v>25</v>
      </c>
      <c r="M179" s="402">
        <v>71.445553025652998</v>
      </c>
      <c r="N179" s="407">
        <f t="shared" si="16"/>
        <v>21.367650430604332</v>
      </c>
      <c r="O179" s="405">
        <v>77</v>
      </c>
      <c r="P179" s="405">
        <v>48</v>
      </c>
      <c r="Q179" s="405">
        <v>77</v>
      </c>
      <c r="R179" s="405">
        <v>77</v>
      </c>
      <c r="S179" s="408">
        <v>31</v>
      </c>
      <c r="T179" s="407">
        <f t="shared" si="17"/>
        <v>57.407407407407405</v>
      </c>
      <c r="U179" s="399"/>
      <c r="V179" s="120"/>
    </row>
    <row r="180" spans="1:22" s="30" customFormat="1" x14ac:dyDescent="0.2">
      <c r="A180" s="2">
        <v>176</v>
      </c>
      <c r="B180" s="8" t="s">
        <v>16</v>
      </c>
      <c r="C180" s="21" t="s">
        <v>42</v>
      </c>
      <c r="D180" s="400" t="s">
        <v>142</v>
      </c>
      <c r="E180" s="401">
        <f t="shared" si="15"/>
        <v>38.679759608142504</v>
      </c>
      <c r="F180" s="402">
        <v>2.61</v>
      </c>
      <c r="G180" s="402">
        <v>16.09</v>
      </c>
      <c r="H180" s="402">
        <v>0.31</v>
      </c>
      <c r="I180" s="402">
        <v>0.2</v>
      </c>
      <c r="J180" s="408">
        <v>70.400000000000006</v>
      </c>
      <c r="K180" s="405">
        <v>70</v>
      </c>
      <c r="L180" s="405">
        <v>76</v>
      </c>
      <c r="M180" s="402">
        <v>103.05495626916399</v>
      </c>
      <c r="N180" s="407">
        <f t="shared" si="16"/>
        <v>18.97568083244661</v>
      </c>
      <c r="O180" s="405">
        <v>86</v>
      </c>
      <c r="P180" s="405">
        <v>59</v>
      </c>
      <c r="Q180" s="405">
        <v>86</v>
      </c>
      <c r="R180" s="405">
        <v>85</v>
      </c>
      <c r="S180" s="408">
        <v>15.4</v>
      </c>
      <c r="T180" s="407">
        <f t="shared" si="17"/>
        <v>58.383838383838395</v>
      </c>
      <c r="U180" s="399"/>
      <c r="V180" s="120"/>
    </row>
    <row r="181" spans="1:22" s="30" customFormat="1" x14ac:dyDescent="0.2">
      <c r="A181" s="2">
        <v>177</v>
      </c>
      <c r="B181" s="8" t="s">
        <v>16</v>
      </c>
      <c r="C181" s="11" t="s">
        <v>21</v>
      </c>
      <c r="D181" s="400" t="s">
        <v>81</v>
      </c>
      <c r="E181" s="401">
        <f t="shared" si="15"/>
        <v>38.339820520364732</v>
      </c>
      <c r="F181" s="402">
        <v>0.89</v>
      </c>
      <c r="G181" s="402">
        <v>15.16</v>
      </c>
      <c r="H181" s="402">
        <v>0.2</v>
      </c>
      <c r="I181" s="402">
        <v>0.67</v>
      </c>
      <c r="J181" s="408">
        <v>34.1</v>
      </c>
      <c r="K181" s="405">
        <v>43</v>
      </c>
      <c r="L181" s="405">
        <v>72</v>
      </c>
      <c r="M181" s="402">
        <v>19.960223714212599</v>
      </c>
      <c r="N181" s="407">
        <f t="shared" si="16"/>
        <v>9.6089339700224006</v>
      </c>
      <c r="O181" s="405">
        <v>95</v>
      </c>
      <c r="P181" s="405">
        <v>85</v>
      </c>
      <c r="Q181" s="405">
        <v>95</v>
      </c>
      <c r="R181" s="405">
        <v>95</v>
      </c>
      <c r="S181" s="408">
        <v>14.2</v>
      </c>
      <c r="T181" s="407">
        <f t="shared" si="17"/>
        <v>67.070707070707059</v>
      </c>
      <c r="U181" s="399"/>
      <c r="V181" s="120"/>
    </row>
    <row r="182" spans="1:22" s="30" customFormat="1" x14ac:dyDescent="0.2">
      <c r="A182" s="2">
        <v>178</v>
      </c>
      <c r="B182" s="8" t="s">
        <v>16</v>
      </c>
      <c r="C182" s="21" t="s">
        <v>42</v>
      </c>
      <c r="D182" s="400" t="s">
        <v>139</v>
      </c>
      <c r="E182" s="401">
        <f t="shared" si="15"/>
        <v>37.318467797379256</v>
      </c>
      <c r="F182" s="402">
        <v>3.17</v>
      </c>
      <c r="G182" s="402">
        <v>3.45</v>
      </c>
      <c r="H182" s="402">
        <v>0.06</v>
      </c>
      <c r="I182" s="402">
        <v>0.43</v>
      </c>
      <c r="J182" s="408">
        <v>65.5</v>
      </c>
      <c r="K182" s="405">
        <v>70</v>
      </c>
      <c r="L182" s="405">
        <v>68</v>
      </c>
      <c r="M182" s="402">
        <v>36.7642604089313</v>
      </c>
      <c r="N182" s="407">
        <f t="shared" si="16"/>
        <v>17.532558490381408</v>
      </c>
      <c r="O182" s="405">
        <v>82</v>
      </c>
      <c r="P182" s="405">
        <v>60</v>
      </c>
      <c r="Q182" s="405">
        <v>82</v>
      </c>
      <c r="R182" s="405">
        <v>72</v>
      </c>
      <c r="S182" s="408">
        <v>21.6</v>
      </c>
      <c r="T182" s="407">
        <f t="shared" si="17"/>
        <v>57.1043771043771</v>
      </c>
      <c r="U182" s="399"/>
      <c r="V182" s="120"/>
    </row>
    <row r="183" spans="1:22" s="30" customFormat="1" x14ac:dyDescent="0.2">
      <c r="A183" s="2">
        <v>179</v>
      </c>
      <c r="B183" s="8" t="s">
        <v>16</v>
      </c>
      <c r="C183" s="11" t="s">
        <v>21</v>
      </c>
      <c r="D183" s="400" t="s">
        <v>150</v>
      </c>
      <c r="E183" s="401">
        <f t="shared" si="15"/>
        <v>37.119528619528616</v>
      </c>
      <c r="F183" s="402">
        <v>0.91</v>
      </c>
      <c r="G183" s="402">
        <v>7.62</v>
      </c>
      <c r="H183" s="402">
        <v>0.13</v>
      </c>
      <c r="I183" s="402">
        <v>0.16</v>
      </c>
      <c r="J183" s="408">
        <v>67.5</v>
      </c>
      <c r="K183" s="405">
        <v>85</v>
      </c>
      <c r="L183" s="405">
        <v>82</v>
      </c>
      <c r="M183" s="402">
        <v>37.7342731423524</v>
      </c>
      <c r="N183" s="407">
        <f t="shared" si="16"/>
        <v>20.636363636363637</v>
      </c>
      <c r="O183" s="405">
        <v>70</v>
      </c>
      <c r="P183" s="405">
        <v>44</v>
      </c>
      <c r="Q183" s="405">
        <v>70</v>
      </c>
      <c r="R183" s="405">
        <v>78</v>
      </c>
      <c r="S183" s="408">
        <v>28.2</v>
      </c>
      <c r="T183" s="407">
        <f t="shared" si="17"/>
        <v>53.602693602693599</v>
      </c>
      <c r="U183" s="399"/>
      <c r="V183" s="120"/>
    </row>
    <row r="184" spans="1:22" s="30" customFormat="1" x14ac:dyDescent="0.2">
      <c r="A184" s="2">
        <v>180</v>
      </c>
      <c r="B184" s="8" t="s">
        <v>16</v>
      </c>
      <c r="C184" s="21" t="s">
        <v>42</v>
      </c>
      <c r="D184" s="400" t="s">
        <v>56</v>
      </c>
      <c r="E184" s="401">
        <f t="shared" si="15"/>
        <v>36.402356902356907</v>
      </c>
      <c r="F184" s="402">
        <v>0.88</v>
      </c>
      <c r="G184" s="402">
        <v>6.59</v>
      </c>
      <c r="H184" s="402">
        <v>0.12</v>
      </c>
      <c r="I184" s="402">
        <v>0.22</v>
      </c>
      <c r="J184" s="408">
        <v>69</v>
      </c>
      <c r="K184" s="405">
        <v>69</v>
      </c>
      <c r="L184" s="405">
        <v>88</v>
      </c>
      <c r="M184" s="402">
        <v>36.173077389577301</v>
      </c>
      <c r="N184" s="407">
        <f t="shared" si="16"/>
        <v>19.303030303030305</v>
      </c>
      <c r="O184" s="405">
        <v>77</v>
      </c>
      <c r="P184" s="405">
        <v>49</v>
      </c>
      <c r="Q184" s="405">
        <v>77</v>
      </c>
      <c r="R184" s="405">
        <v>76</v>
      </c>
      <c r="S184" s="408">
        <v>19.399999999999999</v>
      </c>
      <c r="T184" s="407">
        <f t="shared" si="17"/>
        <v>53.501683501683509</v>
      </c>
      <c r="U184" s="399"/>
      <c r="V184" s="120"/>
    </row>
    <row r="185" spans="1:22" s="30" customFormat="1" x14ac:dyDescent="0.2">
      <c r="A185" s="2">
        <v>182</v>
      </c>
      <c r="B185" s="8" t="s">
        <v>16</v>
      </c>
      <c r="C185" s="21" t="s">
        <v>42</v>
      </c>
      <c r="D185" s="400" t="s">
        <v>158</v>
      </c>
      <c r="E185" s="401">
        <f t="shared" si="15"/>
        <v>35.95454545454546</v>
      </c>
      <c r="F185" s="402">
        <v>0.38</v>
      </c>
      <c r="G185" s="402">
        <v>4.21</v>
      </c>
      <c r="H185" s="402">
        <v>0.01</v>
      </c>
      <c r="I185" s="402">
        <v>0.02</v>
      </c>
      <c r="J185" s="408">
        <v>43.7</v>
      </c>
      <c r="K185" s="405">
        <v>71</v>
      </c>
      <c r="L185" s="405">
        <v>66</v>
      </c>
      <c r="M185" s="402">
        <v>18.3614004986037</v>
      </c>
      <c r="N185" s="407">
        <f t="shared" si="16"/>
        <v>10.696969696969697</v>
      </c>
      <c r="O185" s="405">
        <v>86</v>
      </c>
      <c r="P185" s="405">
        <v>77</v>
      </c>
      <c r="Q185" s="405">
        <v>86</v>
      </c>
      <c r="R185" s="405">
        <v>86</v>
      </c>
      <c r="S185" s="408">
        <v>14.3</v>
      </c>
      <c r="T185" s="407">
        <f t="shared" si="17"/>
        <v>61.212121212121218</v>
      </c>
      <c r="U185" s="399"/>
      <c r="V185" s="120"/>
    </row>
    <row r="186" spans="1:22" s="30" customFormat="1" x14ac:dyDescent="0.2">
      <c r="A186" s="2">
        <v>181</v>
      </c>
      <c r="B186" s="8" t="s">
        <v>16</v>
      </c>
      <c r="C186" s="21" t="s">
        <v>42</v>
      </c>
      <c r="D186" s="400" t="s">
        <v>65</v>
      </c>
      <c r="E186" s="401">
        <f t="shared" si="15"/>
        <v>35.550505050505052</v>
      </c>
      <c r="F186" s="402">
        <v>2.08</v>
      </c>
      <c r="G186" s="402">
        <v>11.68</v>
      </c>
      <c r="H186" s="402">
        <v>0.04</v>
      </c>
      <c r="I186" s="402">
        <v>0.09</v>
      </c>
      <c r="J186" s="408">
        <v>85</v>
      </c>
      <c r="K186" s="405">
        <v>70</v>
      </c>
      <c r="L186" s="405">
        <v>71</v>
      </c>
      <c r="M186" s="402">
        <v>10.8144077785745</v>
      </c>
      <c r="N186" s="407">
        <f t="shared" si="16"/>
        <v>23.727272727272727</v>
      </c>
      <c r="O186" s="405">
        <v>65</v>
      </c>
      <c r="P186" s="405">
        <v>51</v>
      </c>
      <c r="Q186" s="405">
        <v>65</v>
      </c>
      <c r="R186" s="405">
        <v>65</v>
      </c>
      <c r="S186" s="408">
        <v>17.7</v>
      </c>
      <c r="T186" s="407">
        <f t="shared" si="17"/>
        <v>47.37373737373737</v>
      </c>
      <c r="U186" s="399"/>
      <c r="V186" s="120"/>
    </row>
    <row r="187" spans="1:22" s="30" customFormat="1" x14ac:dyDescent="0.2">
      <c r="A187" s="2">
        <v>183</v>
      </c>
      <c r="B187" s="14" t="s">
        <v>23</v>
      </c>
      <c r="C187" s="16" t="s">
        <v>26</v>
      </c>
      <c r="D187" s="400" t="s">
        <v>100</v>
      </c>
      <c r="E187" s="401">
        <f t="shared" si="15"/>
        <v>34.537745754432827</v>
      </c>
      <c r="F187" s="402">
        <v>2.92</v>
      </c>
      <c r="G187" s="402">
        <v>7.32</v>
      </c>
      <c r="H187" s="402">
        <v>0.22</v>
      </c>
      <c r="I187" s="402">
        <v>0.31</v>
      </c>
      <c r="J187" s="408">
        <v>75.599999999999994</v>
      </c>
      <c r="K187" s="405">
        <v>54</v>
      </c>
      <c r="L187" s="405">
        <v>87</v>
      </c>
      <c r="M187" s="402">
        <v>9.7810700581340697</v>
      </c>
      <c r="N187" s="407">
        <f t="shared" si="16"/>
        <v>19.445861879236027</v>
      </c>
      <c r="O187" s="405">
        <v>60</v>
      </c>
      <c r="P187" s="405">
        <v>54</v>
      </c>
      <c r="Q187" s="405">
        <v>60</v>
      </c>
      <c r="R187" s="405">
        <v>47</v>
      </c>
      <c r="S187" s="408">
        <v>36.9</v>
      </c>
      <c r="T187" s="407">
        <f t="shared" si="17"/>
        <v>49.629629629629626</v>
      </c>
      <c r="U187" s="399"/>
      <c r="V187" s="120"/>
    </row>
    <row r="188" spans="1:22" s="30" customFormat="1" x14ac:dyDescent="0.2">
      <c r="A188" s="2">
        <v>184</v>
      </c>
      <c r="B188" s="8" t="s">
        <v>16</v>
      </c>
      <c r="C188" s="21" t="s">
        <v>42</v>
      </c>
      <c r="D188" s="400" t="s">
        <v>43</v>
      </c>
      <c r="E188" s="401">
        <f t="shared" si="15"/>
        <v>33.780697115906769</v>
      </c>
      <c r="F188" s="402">
        <v>2.14</v>
      </c>
      <c r="G188" s="402">
        <v>6.12</v>
      </c>
      <c r="H188" s="402">
        <v>0.05</v>
      </c>
      <c r="I188" s="402">
        <v>0.54</v>
      </c>
      <c r="J188" s="408">
        <v>80.8</v>
      </c>
      <c r="K188" s="405">
        <v>70</v>
      </c>
      <c r="L188" s="405">
        <v>87</v>
      </c>
      <c r="M188" s="402">
        <v>20.215802605514298</v>
      </c>
      <c r="N188" s="407">
        <f t="shared" si="16"/>
        <v>25.563077733497039</v>
      </c>
      <c r="O188" s="405">
        <v>63</v>
      </c>
      <c r="P188" s="405">
        <v>23.07</v>
      </c>
      <c r="Q188" s="405">
        <v>63</v>
      </c>
      <c r="R188" s="405">
        <v>63</v>
      </c>
      <c r="S188" s="408">
        <v>18.7</v>
      </c>
      <c r="T188" s="407">
        <f t="shared" si="17"/>
        <v>41.998316498316498</v>
      </c>
      <c r="U188" s="399"/>
      <c r="V188" s="120"/>
    </row>
    <row r="189" spans="1:22" s="30" customFormat="1" x14ac:dyDescent="0.2">
      <c r="A189" s="2">
        <v>185</v>
      </c>
      <c r="B189" s="8" t="s">
        <v>16</v>
      </c>
      <c r="C189" s="21" t="s">
        <v>42</v>
      </c>
      <c r="D189" s="400" t="s">
        <v>80</v>
      </c>
      <c r="E189" s="401">
        <f t="shared" si="15"/>
        <v>33.169212065169788</v>
      </c>
      <c r="F189" s="402">
        <v>1.53</v>
      </c>
      <c r="G189" s="402">
        <v>13.75</v>
      </c>
      <c r="H189" s="403">
        <v>1.0552891591756335</v>
      </c>
      <c r="I189" s="402">
        <v>0.08</v>
      </c>
      <c r="J189" s="408">
        <v>68.3</v>
      </c>
      <c r="K189" s="405">
        <v>69</v>
      </c>
      <c r="L189" s="406">
        <v>81.5</v>
      </c>
      <c r="M189" s="402">
        <v>196.508212162809</v>
      </c>
      <c r="N189" s="407">
        <f t="shared" si="16"/>
        <v>21.557279349194797</v>
      </c>
      <c r="O189" s="405">
        <v>68</v>
      </c>
      <c r="P189" s="405">
        <v>31</v>
      </c>
      <c r="Q189" s="405">
        <v>68</v>
      </c>
      <c r="R189" s="405">
        <v>67</v>
      </c>
      <c r="S189" s="408">
        <v>16</v>
      </c>
      <c r="T189" s="407">
        <f t="shared" si="17"/>
        <v>44.781144781144782</v>
      </c>
      <c r="U189" s="399"/>
      <c r="V189" s="120"/>
    </row>
    <row r="190" spans="1:22" s="30" customFormat="1" x14ac:dyDescent="0.2">
      <c r="A190" s="2">
        <v>186</v>
      </c>
      <c r="B190" s="8" t="s">
        <v>16</v>
      </c>
      <c r="C190" s="21" t="s">
        <v>42</v>
      </c>
      <c r="D190" s="400" t="s">
        <v>159</v>
      </c>
      <c r="E190" s="401">
        <f t="shared" si="15"/>
        <v>32.605809403870211</v>
      </c>
      <c r="F190" s="402">
        <v>4.1399999999999997</v>
      </c>
      <c r="G190" s="402">
        <v>11.52</v>
      </c>
      <c r="H190" s="402">
        <v>0.25</v>
      </c>
      <c r="I190" s="402">
        <v>1.51</v>
      </c>
      <c r="J190" s="408">
        <v>45.7</v>
      </c>
      <c r="K190" s="405">
        <v>79</v>
      </c>
      <c r="L190" s="405">
        <v>83</v>
      </c>
      <c r="M190" s="402">
        <v>37.302454392310402</v>
      </c>
      <c r="N190" s="407">
        <f t="shared" si="16"/>
        <v>18.915322511444117</v>
      </c>
      <c r="O190" s="405">
        <v>67</v>
      </c>
      <c r="P190" s="405">
        <v>35</v>
      </c>
      <c r="Q190" s="405">
        <v>67</v>
      </c>
      <c r="R190" s="405">
        <v>69</v>
      </c>
      <c r="S190" s="408">
        <v>18.5</v>
      </c>
      <c r="T190" s="407">
        <f t="shared" si="17"/>
        <v>46.296296296296298</v>
      </c>
      <c r="U190" s="399"/>
      <c r="V190" s="120"/>
    </row>
    <row r="191" spans="1:22" s="30" customFormat="1" x14ac:dyDescent="0.2">
      <c r="A191" s="2">
        <v>187</v>
      </c>
      <c r="B191" s="8" t="s">
        <v>16</v>
      </c>
      <c r="C191" s="21" t="s">
        <v>42</v>
      </c>
      <c r="D191" s="400" t="s">
        <v>98</v>
      </c>
      <c r="E191" s="401">
        <f t="shared" si="15"/>
        <v>31.62188552188552</v>
      </c>
      <c r="F191" s="402">
        <v>2.4900000000000002</v>
      </c>
      <c r="G191" s="402">
        <v>9.26</v>
      </c>
      <c r="H191" s="402">
        <v>0.01</v>
      </c>
      <c r="I191" s="402">
        <v>0.01</v>
      </c>
      <c r="J191" s="408">
        <v>53.8</v>
      </c>
      <c r="K191" s="405">
        <v>70</v>
      </c>
      <c r="L191" s="405">
        <v>79</v>
      </c>
      <c r="M191" s="402">
        <v>26.285790231801901</v>
      </c>
      <c r="N191" s="407">
        <f t="shared" si="16"/>
        <v>13.109090909090908</v>
      </c>
      <c r="O191" s="405">
        <v>68</v>
      </c>
      <c r="P191" s="405">
        <v>45</v>
      </c>
      <c r="Q191" s="405">
        <v>68</v>
      </c>
      <c r="R191" s="405">
        <v>68</v>
      </c>
      <c r="S191" s="408">
        <v>24.4</v>
      </c>
      <c r="T191" s="407">
        <f t="shared" si="17"/>
        <v>50.134680134680131</v>
      </c>
      <c r="U191" s="399"/>
      <c r="V191" s="120"/>
    </row>
    <row r="192" spans="1:22" s="30" customFormat="1" x14ac:dyDescent="0.2">
      <c r="A192" s="2">
        <v>188</v>
      </c>
      <c r="B192" s="8" t="s">
        <v>16</v>
      </c>
      <c r="C192" s="11" t="s">
        <v>21</v>
      </c>
      <c r="D192" s="400" t="s">
        <v>135</v>
      </c>
      <c r="E192" s="401">
        <f t="shared" si="15"/>
        <v>30.653198653198654</v>
      </c>
      <c r="F192" s="402">
        <v>1.03</v>
      </c>
      <c r="G192" s="402">
        <v>2.68</v>
      </c>
      <c r="H192" s="402">
        <v>7.0000000000000007E-2</v>
      </c>
      <c r="I192" s="402">
        <v>0.01</v>
      </c>
      <c r="J192" s="408">
        <v>45.8</v>
      </c>
      <c r="K192" s="405">
        <v>71</v>
      </c>
      <c r="L192" s="405">
        <v>29</v>
      </c>
      <c r="M192" s="402">
        <v>18.1099564817318</v>
      </c>
      <c r="N192" s="407">
        <f t="shared" si="16"/>
        <v>7.3333333333333339</v>
      </c>
      <c r="O192" s="405">
        <v>60</v>
      </c>
      <c r="P192" s="405">
        <v>46</v>
      </c>
      <c r="Q192" s="405">
        <v>60</v>
      </c>
      <c r="R192" s="405">
        <v>62</v>
      </c>
      <c r="S192" s="408">
        <v>46.3</v>
      </c>
      <c r="T192" s="407">
        <f t="shared" si="17"/>
        <v>53.973063973063972</v>
      </c>
      <c r="U192" s="399"/>
      <c r="V192" s="120"/>
    </row>
    <row r="193" spans="1:22" s="30" customFormat="1" x14ac:dyDescent="0.2">
      <c r="A193" s="2">
        <v>189</v>
      </c>
      <c r="B193" s="8" t="s">
        <v>16</v>
      </c>
      <c r="C193" s="11" t="s">
        <v>21</v>
      </c>
      <c r="D193" s="400" t="s">
        <v>191</v>
      </c>
      <c r="E193" s="401">
        <f t="shared" si="15"/>
        <v>30.102394644434831</v>
      </c>
      <c r="F193" s="402">
        <v>1.49</v>
      </c>
      <c r="G193" s="402">
        <v>7.06</v>
      </c>
      <c r="H193" s="402">
        <v>0.05</v>
      </c>
      <c r="I193" s="402">
        <v>0.36</v>
      </c>
      <c r="J193" s="408">
        <v>39.700000000000003</v>
      </c>
      <c r="K193" s="405">
        <v>71</v>
      </c>
      <c r="L193" s="405">
        <v>50</v>
      </c>
      <c r="M193" s="402">
        <v>6.8225269638348296</v>
      </c>
      <c r="N193" s="407">
        <f t="shared" si="16"/>
        <v>9.8344189184992974</v>
      </c>
      <c r="O193" s="405">
        <v>73</v>
      </c>
      <c r="P193" s="405">
        <v>65</v>
      </c>
      <c r="Q193" s="405">
        <v>73</v>
      </c>
      <c r="R193" s="405">
        <v>72</v>
      </c>
      <c r="S193" s="408">
        <v>8.1</v>
      </c>
      <c r="T193" s="407">
        <f t="shared" si="17"/>
        <v>50.370370370370367</v>
      </c>
      <c r="U193" s="399"/>
      <c r="V193" s="120"/>
    </row>
    <row r="194" spans="1:22" s="30" customFormat="1" x14ac:dyDescent="0.2">
      <c r="A194" s="2">
        <v>190</v>
      </c>
      <c r="B194" s="3" t="s">
        <v>10</v>
      </c>
      <c r="C194" s="4" t="s">
        <v>11</v>
      </c>
      <c r="D194" s="400" t="s">
        <v>12</v>
      </c>
      <c r="E194" s="401">
        <f t="shared" si="15"/>
        <v>28.25629283547925</v>
      </c>
      <c r="F194" s="402">
        <v>3.17</v>
      </c>
      <c r="G194" s="402">
        <v>5.49</v>
      </c>
      <c r="H194" s="402">
        <v>0.06</v>
      </c>
      <c r="I194" s="402">
        <v>0.32</v>
      </c>
      <c r="J194" s="408">
        <v>67.5</v>
      </c>
      <c r="K194" s="405">
        <v>59</v>
      </c>
      <c r="L194" s="405">
        <v>11</v>
      </c>
      <c r="M194" s="402">
        <v>5.45274455584065</v>
      </c>
      <c r="N194" s="407">
        <f t="shared" si="16"/>
        <v>10.451979610352442</v>
      </c>
      <c r="O194" s="405">
        <v>59</v>
      </c>
      <c r="P194" s="405">
        <v>44</v>
      </c>
      <c r="Q194" s="405">
        <v>59</v>
      </c>
      <c r="R194" s="405">
        <v>59</v>
      </c>
      <c r="S194" s="408">
        <v>26.3</v>
      </c>
      <c r="T194" s="407">
        <f t="shared" si="17"/>
        <v>46.060606060606062</v>
      </c>
      <c r="U194" s="399"/>
      <c r="V194" s="120"/>
    </row>
    <row r="195" spans="1:22" s="30" customFormat="1" x14ac:dyDescent="0.2">
      <c r="A195" s="2">
        <v>191</v>
      </c>
      <c r="B195" s="8" t="s">
        <v>16</v>
      </c>
      <c r="C195" s="21" t="s">
        <v>42</v>
      </c>
      <c r="D195" s="400" t="s">
        <v>97</v>
      </c>
      <c r="E195" s="401">
        <f t="shared" si="15"/>
        <v>28.047811447811448</v>
      </c>
      <c r="F195" s="402">
        <v>1.1499999999999999</v>
      </c>
      <c r="G195" s="402">
        <v>1.99</v>
      </c>
      <c r="H195" s="402">
        <v>0.02</v>
      </c>
      <c r="I195" s="402">
        <v>0.15</v>
      </c>
      <c r="J195" s="408">
        <v>55.3</v>
      </c>
      <c r="K195" s="405">
        <v>70</v>
      </c>
      <c r="L195" s="405">
        <v>74</v>
      </c>
      <c r="M195" s="402">
        <v>36.847174332757298</v>
      </c>
      <c r="N195" s="407">
        <f t="shared" si="16"/>
        <v>13.2</v>
      </c>
      <c r="O195" s="405">
        <v>63</v>
      </c>
      <c r="P195" s="405">
        <v>45</v>
      </c>
      <c r="Q195" s="405">
        <v>63</v>
      </c>
      <c r="R195" s="405">
        <v>55</v>
      </c>
      <c r="S195" s="408">
        <v>14.4</v>
      </c>
      <c r="T195" s="407">
        <f t="shared" si="17"/>
        <v>42.8956228956229</v>
      </c>
      <c r="U195" s="399"/>
      <c r="V195" s="120"/>
    </row>
    <row r="196" spans="1:22" s="30" customFormat="1" x14ac:dyDescent="0.2">
      <c r="A196" s="2">
        <v>192</v>
      </c>
      <c r="B196" s="8" t="s">
        <v>16</v>
      </c>
      <c r="C196" s="21" t="s">
        <v>42</v>
      </c>
      <c r="D196" s="400" t="s">
        <v>60</v>
      </c>
      <c r="E196" s="401">
        <f t="shared" si="15"/>
        <v>27.626262626262623</v>
      </c>
      <c r="F196" s="402">
        <v>0.8</v>
      </c>
      <c r="G196" s="402">
        <v>3.62</v>
      </c>
      <c r="H196" s="402">
        <v>0.01</v>
      </c>
      <c r="I196" s="402">
        <v>0.08</v>
      </c>
      <c r="J196" s="408">
        <v>47.2</v>
      </c>
      <c r="K196" s="405">
        <v>71</v>
      </c>
      <c r="L196" s="405">
        <v>65</v>
      </c>
      <c r="M196" s="402">
        <v>32.801080816629401</v>
      </c>
      <c r="N196" s="407">
        <f t="shared" si="16"/>
        <v>10.606060606060607</v>
      </c>
      <c r="O196" s="405">
        <v>68</v>
      </c>
      <c r="P196" s="405">
        <v>46</v>
      </c>
      <c r="Q196" s="405">
        <v>68</v>
      </c>
      <c r="R196" s="405">
        <v>67</v>
      </c>
      <c r="S196" s="408">
        <v>8.1</v>
      </c>
      <c r="T196" s="407">
        <f t="shared" si="17"/>
        <v>44.646464646464636</v>
      </c>
      <c r="U196" s="399"/>
      <c r="V196" s="120"/>
    </row>
    <row r="197" spans="1:22" s="30" customFormat="1" x14ac:dyDescent="0.2">
      <c r="A197" s="2">
        <v>193</v>
      </c>
      <c r="B197" s="3" t="s">
        <v>10</v>
      </c>
      <c r="C197" s="19" t="s">
        <v>35</v>
      </c>
      <c r="D197" s="400" t="s">
        <v>223</v>
      </c>
      <c r="E197" s="401">
        <f t="shared" ref="E197:E202" si="18">(N197+T197)/2</f>
        <v>26.715502128367469</v>
      </c>
      <c r="F197" s="402">
        <v>1.65</v>
      </c>
      <c r="G197" s="402">
        <v>5.41</v>
      </c>
      <c r="H197" s="402">
        <v>0.19</v>
      </c>
      <c r="I197" s="402">
        <v>0.53</v>
      </c>
      <c r="J197" s="408">
        <v>60.9</v>
      </c>
      <c r="K197" s="405">
        <v>74</v>
      </c>
      <c r="L197" s="405">
        <v>29</v>
      </c>
      <c r="M197" s="402">
        <v>14.254756099665499</v>
      </c>
      <c r="N197" s="407">
        <f t="shared" ref="N197:N202" si="19">((LN(MAX(MIN(F197,75),4))-LN(4))/(LN(75)-LN(4))*100*2+(LN(MAX(MIN(G197,160),16))-LN(16))/(LN(160)-LN(16))*100+(LN(MAX(MIN(H197,12),0.3))-LN(0.3))/(LN(12)-LN(0.3))*100+(LN(MAX(MIN(I197,20),0.3))-LN(0.3))/(LN(20)-LN(0.3))*100*1.5+((MAX(J197,50))-50)/(50)*100*2+((MAX(K197,40))-40)/(60)*100+L197+(LN(MAX(MIN(M197,8000),200))-LN(200))/(LN(8000)-LN(200))*100*1.5)/11</f>
        <v>13.599354425085112</v>
      </c>
      <c r="O197" s="405">
        <v>42</v>
      </c>
      <c r="P197" s="405">
        <v>40</v>
      </c>
      <c r="Q197" s="405">
        <v>42</v>
      </c>
      <c r="R197" s="405">
        <v>42</v>
      </c>
      <c r="S197" s="408">
        <v>35.299999999999997</v>
      </c>
      <c r="T197" s="407">
        <f t="shared" ref="T197:T202" si="20">((O197+P197+Q197+R197+S197*2)/6)/99*100</f>
        <v>39.831649831649827</v>
      </c>
      <c r="U197" s="399"/>
      <c r="V197" s="120"/>
    </row>
    <row r="198" spans="1:22" s="30" customFormat="1" x14ac:dyDescent="0.2">
      <c r="A198" s="2">
        <v>194</v>
      </c>
      <c r="B198" s="8" t="s">
        <v>16</v>
      </c>
      <c r="C198" s="11" t="s">
        <v>21</v>
      </c>
      <c r="D198" s="400" t="s">
        <v>197</v>
      </c>
      <c r="E198" s="401">
        <f t="shared" si="18"/>
        <v>25.872868022834542</v>
      </c>
      <c r="F198" s="402">
        <v>2.5</v>
      </c>
      <c r="G198" s="402">
        <v>10.83</v>
      </c>
      <c r="H198" s="402">
        <v>2.5</v>
      </c>
      <c r="I198" s="402">
        <v>0.24</v>
      </c>
      <c r="J198" s="408">
        <v>77.7</v>
      </c>
      <c r="K198" s="405">
        <v>61</v>
      </c>
      <c r="L198" s="405">
        <v>20</v>
      </c>
      <c r="M198" s="402">
        <v>5.8626341682684204</v>
      </c>
      <c r="N198" s="407">
        <f t="shared" si="19"/>
        <v>20.29792459785763</v>
      </c>
      <c r="O198" s="405">
        <v>39</v>
      </c>
      <c r="P198" s="405">
        <v>36</v>
      </c>
      <c r="Q198" s="405">
        <v>39</v>
      </c>
      <c r="R198" s="405">
        <v>40</v>
      </c>
      <c r="S198" s="408">
        <v>16.399999999999999</v>
      </c>
      <c r="T198" s="407">
        <f t="shared" si="20"/>
        <v>31.447811447811453</v>
      </c>
      <c r="U198" s="399"/>
      <c r="V198" s="120"/>
    </row>
    <row r="199" spans="1:22" s="30" customFormat="1" x14ac:dyDescent="0.2">
      <c r="A199" s="2">
        <v>195</v>
      </c>
      <c r="B199" s="8" t="s">
        <v>16</v>
      </c>
      <c r="C199" s="11" t="s">
        <v>21</v>
      </c>
      <c r="D199" s="400" t="s">
        <v>189</v>
      </c>
      <c r="E199" s="401">
        <f t="shared" si="18"/>
        <v>25.511784511784516</v>
      </c>
      <c r="F199" s="402">
        <v>0.65</v>
      </c>
      <c r="G199" s="402">
        <v>3.16</v>
      </c>
      <c r="H199" s="402">
        <v>0.02</v>
      </c>
      <c r="I199" s="402">
        <v>0.22</v>
      </c>
      <c r="J199" s="408">
        <v>31.9</v>
      </c>
      <c r="K199" s="405">
        <v>64</v>
      </c>
      <c r="L199" s="405">
        <v>62</v>
      </c>
      <c r="M199" s="402">
        <v>7.3752989415793397</v>
      </c>
      <c r="N199" s="407">
        <f t="shared" si="19"/>
        <v>9.2727272727272734</v>
      </c>
      <c r="O199" s="405">
        <v>70</v>
      </c>
      <c r="P199" s="405">
        <v>32</v>
      </c>
      <c r="Q199" s="405">
        <v>70</v>
      </c>
      <c r="R199" s="405">
        <v>71</v>
      </c>
      <c r="S199" s="408">
        <v>2.5</v>
      </c>
      <c r="T199" s="407">
        <f t="shared" si="20"/>
        <v>41.750841750841758</v>
      </c>
      <c r="U199" s="399"/>
      <c r="V199" s="120"/>
    </row>
    <row r="200" spans="1:22" s="30" customFormat="1" x14ac:dyDescent="0.2">
      <c r="A200" s="2">
        <v>196</v>
      </c>
      <c r="B200" s="8" t="s">
        <v>16</v>
      </c>
      <c r="C200" s="11" t="s">
        <v>21</v>
      </c>
      <c r="D200" s="400" t="s">
        <v>22</v>
      </c>
      <c r="E200" s="401">
        <f t="shared" si="18"/>
        <v>24.749158249158249</v>
      </c>
      <c r="F200" s="402">
        <v>2.02</v>
      </c>
      <c r="G200" s="402">
        <v>13.9</v>
      </c>
      <c r="H200" s="402">
        <v>0.1</v>
      </c>
      <c r="I200" s="402">
        <v>0.11</v>
      </c>
      <c r="J200" s="408">
        <v>49.6</v>
      </c>
      <c r="K200" s="405">
        <v>61</v>
      </c>
      <c r="L200" s="405">
        <v>48</v>
      </c>
      <c r="M200" s="402">
        <v>110.595607190232</v>
      </c>
      <c r="N200" s="407">
        <f t="shared" si="19"/>
        <v>7.5454545454545459</v>
      </c>
      <c r="O200" s="405">
        <v>64</v>
      </c>
      <c r="P200" s="405">
        <v>31</v>
      </c>
      <c r="Q200" s="405">
        <v>64</v>
      </c>
      <c r="R200" s="405">
        <v>56</v>
      </c>
      <c r="S200" s="408">
        <v>17.100000000000001</v>
      </c>
      <c r="T200" s="407">
        <f t="shared" si="20"/>
        <v>41.952861952861952</v>
      </c>
      <c r="U200" s="399"/>
      <c r="V200" s="120"/>
    </row>
    <row r="201" spans="1:22" s="30" customFormat="1" x14ac:dyDescent="0.2">
      <c r="A201" s="2">
        <v>197</v>
      </c>
      <c r="B201" s="8" t="s">
        <v>16</v>
      </c>
      <c r="C201" s="21" t="s">
        <v>42</v>
      </c>
      <c r="D201" s="400" t="s">
        <v>59</v>
      </c>
      <c r="E201" s="401">
        <f t="shared" si="18"/>
        <v>23.729557562841347</v>
      </c>
      <c r="F201" s="402">
        <v>1</v>
      </c>
      <c r="G201" s="402">
        <v>4.37</v>
      </c>
      <c r="H201" s="402">
        <v>0.01</v>
      </c>
      <c r="I201" s="402">
        <v>0.02</v>
      </c>
      <c r="J201" s="408">
        <v>40.299999999999997</v>
      </c>
      <c r="K201" s="405">
        <v>71</v>
      </c>
      <c r="L201" s="405">
        <v>66</v>
      </c>
      <c r="M201" s="402">
        <v>19.631015544122999</v>
      </c>
      <c r="N201" s="407">
        <f t="shared" si="19"/>
        <v>10.696969696969697</v>
      </c>
      <c r="O201" s="405">
        <v>42</v>
      </c>
      <c r="P201" s="406">
        <v>47.767143846555214</v>
      </c>
      <c r="Q201" s="405">
        <v>42</v>
      </c>
      <c r="R201" s="405">
        <v>48</v>
      </c>
      <c r="S201" s="408">
        <v>19.3</v>
      </c>
      <c r="T201" s="407">
        <f t="shared" si="20"/>
        <v>36.762145428712998</v>
      </c>
      <c r="U201" s="399"/>
      <c r="V201" s="120"/>
    </row>
    <row r="202" spans="1:22" s="30" customFormat="1" x14ac:dyDescent="0.2">
      <c r="A202" s="2">
        <v>198</v>
      </c>
      <c r="B202" s="17" t="s">
        <v>29</v>
      </c>
      <c r="C202" s="24" t="s">
        <v>85</v>
      </c>
      <c r="D202" s="400" t="s">
        <v>167</v>
      </c>
      <c r="E202" s="401">
        <f t="shared" si="18"/>
        <v>23.389225589225589</v>
      </c>
      <c r="F202" s="402">
        <v>0.46</v>
      </c>
      <c r="G202" s="402">
        <v>8.1199999999999992</v>
      </c>
      <c r="H202" s="402">
        <v>0.06</v>
      </c>
      <c r="I202" s="402">
        <v>0.08</v>
      </c>
      <c r="J202" s="408">
        <v>56.4</v>
      </c>
      <c r="K202" s="405">
        <v>64</v>
      </c>
      <c r="L202" s="405">
        <v>46</v>
      </c>
      <c r="M202" s="402">
        <v>97.427663920080107</v>
      </c>
      <c r="N202" s="407">
        <f t="shared" si="19"/>
        <v>10.145454545454545</v>
      </c>
      <c r="O202" s="405">
        <v>42</v>
      </c>
      <c r="P202" s="405">
        <v>26</v>
      </c>
      <c r="Q202" s="405">
        <v>42</v>
      </c>
      <c r="R202" s="405">
        <v>42</v>
      </c>
      <c r="S202" s="408">
        <v>32.799999999999997</v>
      </c>
      <c r="T202" s="407">
        <f t="shared" si="20"/>
        <v>36.632996632996637</v>
      </c>
      <c r="U202" s="32"/>
      <c r="V202" s="120"/>
    </row>
    <row r="203" spans="1:22" ht="4.5" customHeight="1" x14ac:dyDescent="0.25">
      <c r="A203" s="318"/>
      <c r="B203" s="319"/>
      <c r="C203" s="319"/>
      <c r="D203" s="320"/>
      <c r="E203" s="321"/>
      <c r="F203" s="1"/>
      <c r="G203" s="1"/>
      <c r="H203" s="1"/>
      <c r="I203" s="1"/>
      <c r="J203" s="1"/>
      <c r="K203" s="410"/>
      <c r="L203" s="1"/>
      <c r="M203" s="1"/>
      <c r="N203" s="1"/>
      <c r="O203" s="1"/>
      <c r="P203" s="1"/>
      <c r="Q203" s="1"/>
      <c r="R203" s="1"/>
      <c r="S203" s="1"/>
      <c r="T203" s="1"/>
      <c r="U203" s="1"/>
      <c r="V203"/>
    </row>
    <row r="204" spans="1:22" x14ac:dyDescent="0.25">
      <c r="U204" s="365"/>
    </row>
    <row r="205" spans="1:22" ht="15" customHeight="1" x14ac:dyDescent="0.25">
      <c r="B205" s="50"/>
      <c r="C205" s="50"/>
      <c r="D205" s="50"/>
      <c r="E205" s="50"/>
      <c r="F205" s="376" t="s">
        <v>980</v>
      </c>
      <c r="G205" s="376" t="s">
        <v>980</v>
      </c>
      <c r="H205" s="376" t="s">
        <v>980</v>
      </c>
      <c r="I205" s="376" t="s">
        <v>980</v>
      </c>
      <c r="J205" s="376" t="s">
        <v>981</v>
      </c>
      <c r="K205" s="378" t="s">
        <v>982</v>
      </c>
      <c r="L205" s="376" t="s">
        <v>983</v>
      </c>
      <c r="M205" s="376" t="s">
        <v>984</v>
      </c>
      <c r="N205" s="50"/>
      <c r="O205" s="380" t="s">
        <v>985</v>
      </c>
      <c r="P205" s="380" t="s">
        <v>985</v>
      </c>
      <c r="Q205" s="380" t="s">
        <v>985</v>
      </c>
      <c r="R205" s="380" t="s">
        <v>985</v>
      </c>
      <c r="S205" s="380" t="s">
        <v>986</v>
      </c>
      <c r="T205" s="50"/>
      <c r="U205" s="50"/>
    </row>
    <row r="206" spans="1:22" s="43" customFormat="1" ht="14.25" customHeight="1" x14ac:dyDescent="0.25">
      <c r="A206" s="372"/>
      <c r="B206" s="370"/>
      <c r="C206" s="370"/>
      <c r="D206" s="370"/>
      <c r="E206" s="370"/>
      <c r="F206" s="370">
        <v>2024</v>
      </c>
      <c r="G206" s="370">
        <v>2024</v>
      </c>
      <c r="H206" s="370">
        <v>2024</v>
      </c>
      <c r="I206" s="370">
        <v>2024</v>
      </c>
      <c r="J206" s="412" t="s">
        <v>987</v>
      </c>
      <c r="K206" s="370">
        <v>2024</v>
      </c>
      <c r="L206" s="370" t="s">
        <v>988</v>
      </c>
      <c r="M206" s="370">
        <v>2023</v>
      </c>
      <c r="N206" s="370"/>
      <c r="O206" s="370">
        <v>2024</v>
      </c>
      <c r="P206" s="370">
        <v>2024</v>
      </c>
      <c r="Q206" s="370">
        <v>2024</v>
      </c>
      <c r="R206" s="370">
        <v>2024</v>
      </c>
      <c r="S206" s="370">
        <v>2025</v>
      </c>
      <c r="T206" s="370"/>
      <c r="U206" s="370"/>
      <c r="V206" s="375"/>
    </row>
    <row r="207" spans="1:22" ht="26.25" customHeight="1" x14ac:dyDescent="0.25">
      <c r="A207" s="597" t="s">
        <v>1068</v>
      </c>
      <c r="B207" s="597"/>
      <c r="C207" s="597"/>
      <c r="D207" s="597"/>
      <c r="E207" s="50"/>
      <c r="F207" s="379"/>
      <c r="G207" s="379"/>
      <c r="H207" s="379"/>
      <c r="I207" s="379"/>
      <c r="J207" s="413" t="s">
        <v>989</v>
      </c>
      <c r="K207" s="414"/>
      <c r="L207" s="413" t="s">
        <v>990</v>
      </c>
      <c r="M207" s="379"/>
      <c r="N207" s="50"/>
      <c r="O207" s="413" t="s">
        <v>991</v>
      </c>
      <c r="P207" s="413" t="s">
        <v>992</v>
      </c>
      <c r="Q207" s="413" t="s">
        <v>991</v>
      </c>
      <c r="R207" s="413" t="s">
        <v>991</v>
      </c>
      <c r="S207" s="377"/>
      <c r="T207" s="50"/>
      <c r="U207" s="50"/>
    </row>
    <row r="208" spans="1:22" x14ac:dyDescent="0.25">
      <c r="B208" s="50"/>
      <c r="C208" s="50"/>
      <c r="D208" s="50"/>
      <c r="E208" s="50"/>
      <c r="F208" s="50"/>
      <c r="G208" s="50"/>
      <c r="H208" s="50"/>
      <c r="I208" s="50"/>
      <c r="J208" s="50"/>
      <c r="K208" s="370"/>
      <c r="L208" s="50"/>
      <c r="M208" s="50"/>
      <c r="N208" s="50"/>
      <c r="O208" s="50"/>
      <c r="P208" s="50"/>
      <c r="Q208" s="369"/>
      <c r="R208" s="369"/>
      <c r="S208" s="369"/>
      <c r="T208" s="50"/>
      <c r="U208" s="50"/>
    </row>
    <row r="209" spans="1:25" ht="15" customHeight="1" x14ac:dyDescent="0.25">
      <c r="A209"/>
      <c r="B209" s="383"/>
      <c r="C209" s="383"/>
      <c r="D209" s="383"/>
      <c r="E209" s="383"/>
      <c r="F209" s="50"/>
      <c r="G209" s="50"/>
      <c r="H209" s="50"/>
      <c r="I209" s="50"/>
      <c r="J209" s="50"/>
      <c r="K209" s="370"/>
      <c r="L209" s="50"/>
      <c r="M209" s="50"/>
      <c r="N209" s="370"/>
      <c r="O209" s="50"/>
      <c r="P209" s="370"/>
      <c r="Q209" s="50"/>
      <c r="R209" s="50"/>
      <c r="S209" s="50"/>
      <c r="T209" s="50"/>
      <c r="U209" s="50"/>
    </row>
    <row r="210" spans="1:25" x14ac:dyDescent="0.25">
      <c r="A210"/>
      <c r="B210" s="383"/>
      <c r="C210" s="383"/>
      <c r="D210" s="383"/>
      <c r="E210" s="383"/>
      <c r="F210" s="50"/>
      <c r="G210" s="50"/>
      <c r="H210" s="50"/>
      <c r="I210" s="50"/>
      <c r="J210" s="50"/>
      <c r="K210" s="370"/>
      <c r="L210" s="50"/>
      <c r="M210" s="50"/>
      <c r="N210" s="370"/>
      <c r="O210" s="370"/>
      <c r="P210" s="50"/>
      <c r="Q210" s="50"/>
      <c r="R210" s="50"/>
      <c r="S210" s="50"/>
      <c r="T210" s="50"/>
      <c r="U210" s="50"/>
      <c r="W210" s="385"/>
      <c r="X210" s="385"/>
      <c r="Y210" s="385"/>
    </row>
    <row r="211" spans="1:25" x14ac:dyDescent="0.25">
      <c r="A211"/>
      <c r="B211" s="383"/>
      <c r="C211" s="383"/>
      <c r="D211" s="383"/>
      <c r="E211" s="383"/>
      <c r="F211" s="50"/>
      <c r="G211" s="50"/>
      <c r="H211" s="50"/>
      <c r="I211" s="50"/>
      <c r="J211" s="50"/>
      <c r="K211" s="370"/>
      <c r="L211" s="50"/>
      <c r="M211" s="50"/>
      <c r="N211" s="50"/>
      <c r="O211" s="50"/>
      <c r="P211" s="370"/>
      <c r="Q211" s="50"/>
      <c r="R211" s="50"/>
      <c r="S211" s="50"/>
      <c r="T211" s="50"/>
      <c r="U211" s="50"/>
    </row>
    <row r="212" spans="1:25" x14ac:dyDescent="0.25">
      <c r="A212"/>
      <c r="B212" s="383"/>
      <c r="C212" s="383"/>
      <c r="D212" s="383"/>
      <c r="E212" s="383"/>
      <c r="F212" s="50"/>
      <c r="G212" s="50"/>
      <c r="H212" s="50"/>
      <c r="I212" s="50"/>
      <c r="J212" s="50"/>
      <c r="K212" s="370"/>
      <c r="L212" s="50"/>
      <c r="M212" s="50"/>
      <c r="N212" s="50"/>
      <c r="O212" s="50"/>
      <c r="P212" s="370"/>
      <c r="Q212" s="50"/>
      <c r="R212" s="50"/>
      <c r="S212" s="50"/>
      <c r="T212" s="50"/>
      <c r="U212" s="50"/>
    </row>
    <row r="213" spans="1:25" x14ac:dyDescent="0.25">
      <c r="A213"/>
      <c r="B213" s="383"/>
      <c r="C213" s="383"/>
      <c r="D213" s="383"/>
      <c r="E213" s="383"/>
      <c r="F213" s="50"/>
      <c r="G213" s="50"/>
      <c r="H213" s="50"/>
      <c r="I213" s="50"/>
      <c r="J213" s="50"/>
      <c r="K213" s="370"/>
      <c r="L213" s="50"/>
      <c r="M213" s="50"/>
      <c r="N213" s="50"/>
      <c r="O213" s="50"/>
      <c r="P213" s="50"/>
      <c r="Q213" s="50"/>
      <c r="R213" s="50"/>
      <c r="S213" s="50"/>
      <c r="T213" s="50"/>
      <c r="U213" s="50"/>
    </row>
    <row r="214" spans="1:25" x14ac:dyDescent="0.25">
      <c r="A214"/>
      <c r="B214" s="383"/>
      <c r="C214" s="383"/>
      <c r="D214" s="383"/>
      <c r="E214" s="383"/>
      <c r="F214" s="50"/>
      <c r="G214" s="50"/>
      <c r="H214" s="50"/>
      <c r="I214" s="50"/>
      <c r="J214" s="50"/>
      <c r="K214" s="370"/>
      <c r="L214" s="50"/>
      <c r="M214" s="50"/>
      <c r="N214" s="50"/>
      <c r="O214" s="50"/>
      <c r="P214" s="50"/>
      <c r="Q214" s="50"/>
      <c r="R214" s="50"/>
      <c r="S214" s="50"/>
      <c r="T214" s="50"/>
      <c r="U214" s="50"/>
    </row>
    <row r="215" spans="1:25" x14ac:dyDescent="0.25">
      <c r="A215"/>
      <c r="B215" s="383"/>
      <c r="C215" s="383"/>
      <c r="D215" s="383"/>
      <c r="E215" s="383"/>
      <c r="F215" s="50"/>
      <c r="G215" s="50"/>
      <c r="H215" s="50"/>
      <c r="I215" s="50"/>
      <c r="J215" s="50"/>
      <c r="K215" s="370"/>
      <c r="L215" s="50"/>
      <c r="M215" s="50"/>
      <c r="N215" s="50"/>
      <c r="O215" s="50"/>
      <c r="P215" s="50"/>
      <c r="Q215" s="50"/>
      <c r="R215" s="50"/>
      <c r="S215" s="50"/>
      <c r="T215" s="50"/>
      <c r="U215" s="50"/>
    </row>
    <row r="216" spans="1:25" x14ac:dyDescent="0.25">
      <c r="A216"/>
      <c r="B216" s="383"/>
      <c r="C216" s="383"/>
      <c r="D216" s="383"/>
      <c r="E216" s="383"/>
      <c r="F216" s="50"/>
      <c r="G216" s="50"/>
      <c r="H216" s="50"/>
      <c r="I216" s="50"/>
      <c r="J216" s="50"/>
      <c r="K216" s="370"/>
      <c r="L216" s="50"/>
      <c r="M216" s="50"/>
      <c r="N216" s="50"/>
      <c r="O216" s="50"/>
      <c r="P216" s="50"/>
      <c r="Q216" s="50"/>
      <c r="R216" s="50"/>
      <c r="S216" s="50"/>
      <c r="T216" s="50"/>
      <c r="U216" s="50"/>
    </row>
    <row r="217" spans="1:25" x14ac:dyDescent="0.25">
      <c r="A217"/>
      <c r="B217" s="383"/>
      <c r="C217" s="383"/>
      <c r="D217" s="383"/>
      <c r="E217" s="383"/>
      <c r="F217" s="50"/>
      <c r="G217" s="50"/>
      <c r="H217" s="50"/>
      <c r="I217" s="50"/>
      <c r="J217" s="50"/>
      <c r="K217" s="370"/>
      <c r="L217" s="50"/>
      <c r="M217" s="50"/>
      <c r="N217" s="50"/>
      <c r="O217" s="50"/>
      <c r="P217" s="50"/>
      <c r="Q217" s="50"/>
      <c r="R217" s="50"/>
      <c r="S217" s="50"/>
      <c r="T217" s="50"/>
      <c r="U217" s="50"/>
    </row>
    <row r="218" spans="1:25" x14ac:dyDescent="0.25">
      <c r="A218"/>
      <c r="B218" s="383"/>
      <c r="C218" s="383"/>
      <c r="D218" s="383"/>
      <c r="E218" s="383"/>
      <c r="F218" s="50"/>
      <c r="G218" s="50"/>
      <c r="H218" s="50"/>
      <c r="I218" s="50"/>
      <c r="J218" s="50"/>
      <c r="K218" s="370"/>
      <c r="L218" s="50"/>
      <c r="M218" s="50"/>
      <c r="N218" s="50"/>
      <c r="O218" s="50"/>
      <c r="P218" s="50"/>
      <c r="Q218" s="50"/>
      <c r="R218" s="50"/>
      <c r="S218" s="50"/>
      <c r="T218" s="50"/>
      <c r="U218" s="50"/>
    </row>
    <row r="219" spans="1:25" x14ac:dyDescent="0.25">
      <c r="A219"/>
      <c r="B219" s="383"/>
      <c r="C219" s="383"/>
      <c r="D219" s="383"/>
      <c r="E219" s="383"/>
      <c r="F219" s="50"/>
      <c r="G219" s="50"/>
      <c r="H219" s="50"/>
      <c r="I219" s="50"/>
      <c r="J219" s="50"/>
      <c r="K219" s="370"/>
      <c r="L219" s="50"/>
      <c r="M219" s="50"/>
      <c r="N219" s="50"/>
      <c r="O219" s="50"/>
      <c r="P219" s="50"/>
      <c r="Q219" s="50"/>
      <c r="R219" s="50"/>
      <c r="S219" s="50"/>
      <c r="T219" s="50"/>
      <c r="U219" s="50"/>
    </row>
    <row r="220" spans="1:25" x14ac:dyDescent="0.25">
      <c r="A220"/>
      <c r="B220" s="383"/>
      <c r="C220" s="383"/>
      <c r="D220" s="383"/>
      <c r="E220" s="383"/>
      <c r="F220" s="50"/>
      <c r="G220" s="50"/>
      <c r="H220" s="50"/>
      <c r="I220" s="50"/>
      <c r="J220" s="50"/>
      <c r="K220" s="370"/>
      <c r="L220" s="50"/>
      <c r="M220" s="50"/>
      <c r="N220" s="50"/>
      <c r="O220" s="50"/>
      <c r="P220" s="50"/>
      <c r="Q220" s="50"/>
      <c r="R220" s="50"/>
      <c r="S220" s="50"/>
      <c r="T220" s="50"/>
      <c r="U220" s="50"/>
    </row>
    <row r="221" spans="1:25" x14ac:dyDescent="0.25">
      <c r="A221"/>
      <c r="B221" s="383"/>
      <c r="C221" s="383"/>
      <c r="D221" s="383"/>
      <c r="E221" s="383"/>
      <c r="F221" s="50"/>
      <c r="G221" s="50"/>
      <c r="H221" s="50"/>
      <c r="I221" s="50"/>
      <c r="J221" s="50"/>
      <c r="K221" s="370"/>
      <c r="L221" s="50"/>
      <c r="M221" s="50"/>
      <c r="N221" s="50"/>
      <c r="O221" s="50"/>
      <c r="P221" s="50"/>
      <c r="Q221" s="50"/>
      <c r="R221" s="50"/>
      <c r="S221" s="50"/>
      <c r="T221" s="50"/>
      <c r="U221" s="50"/>
    </row>
    <row r="222" spans="1:25" ht="17.25" customHeight="1" x14ac:dyDescent="0.25">
      <c r="A222"/>
      <c r="B222" s="383"/>
      <c r="C222" s="383"/>
      <c r="D222" s="383"/>
      <c r="E222" s="383"/>
      <c r="F222" s="50"/>
      <c r="G222" s="50"/>
      <c r="H222" s="50"/>
      <c r="I222" s="50"/>
      <c r="J222" s="50"/>
      <c r="K222" s="370"/>
      <c r="L222" s="50"/>
      <c r="M222" s="50"/>
      <c r="N222" s="50"/>
      <c r="O222" s="50"/>
      <c r="P222" s="50"/>
      <c r="Q222" s="50"/>
      <c r="R222" s="50"/>
      <c r="S222" s="50"/>
      <c r="T222" s="50"/>
      <c r="U222" s="50"/>
    </row>
    <row r="223" spans="1:25" ht="15" customHeight="1" x14ac:dyDescent="0.25">
      <c r="A223"/>
      <c r="B223" s="383"/>
      <c r="C223" s="383"/>
      <c r="D223" s="383"/>
      <c r="E223" s="383"/>
      <c r="F223" s="50"/>
      <c r="G223" s="50"/>
      <c r="H223" s="50"/>
      <c r="I223" s="50"/>
      <c r="J223" s="50"/>
      <c r="K223" s="370"/>
      <c r="L223" s="50"/>
      <c r="M223" s="50"/>
      <c r="N223" s="50"/>
      <c r="O223" s="50"/>
      <c r="P223" s="50"/>
      <c r="Q223" s="50"/>
      <c r="R223" s="50"/>
      <c r="S223" s="50"/>
      <c r="T223" s="50"/>
      <c r="U223" s="50"/>
    </row>
    <row r="224" spans="1:25" ht="15" customHeight="1" x14ac:dyDescent="0.25">
      <c r="A224"/>
      <c r="B224" s="383"/>
      <c r="C224" s="383"/>
      <c r="D224" s="383"/>
      <c r="E224" s="383"/>
      <c r="F224" s="50"/>
      <c r="G224" s="50"/>
      <c r="H224" s="50"/>
      <c r="I224" s="50"/>
      <c r="J224" s="50"/>
      <c r="K224" s="370"/>
      <c r="L224" s="50"/>
      <c r="M224" s="50"/>
      <c r="N224" s="50"/>
      <c r="O224" s="50"/>
      <c r="P224" s="50"/>
      <c r="Q224" s="50"/>
      <c r="R224" s="50"/>
      <c r="S224" s="50"/>
      <c r="T224" s="50"/>
      <c r="U224" s="50"/>
    </row>
    <row r="225" spans="1:22" x14ac:dyDescent="0.25">
      <c r="A225"/>
      <c r="B225" s="109"/>
      <c r="C225" s="109"/>
      <c r="D225" s="386"/>
      <c r="E225" s="387"/>
      <c r="F225" s="50"/>
      <c r="G225" s="50"/>
      <c r="H225" s="50"/>
      <c r="I225" s="50"/>
      <c r="J225" s="50"/>
      <c r="K225" s="370"/>
      <c r="L225" s="50"/>
      <c r="M225" s="50"/>
      <c r="N225" s="50"/>
      <c r="O225" s="50"/>
      <c r="P225" s="50"/>
      <c r="Q225" s="50"/>
      <c r="R225" s="50"/>
      <c r="S225" s="50"/>
      <c r="T225" s="50"/>
      <c r="U225" s="50"/>
      <c r="V225"/>
    </row>
    <row r="226" spans="1:22" x14ac:dyDescent="0.25">
      <c r="A226"/>
      <c r="B226" s="109"/>
      <c r="C226" s="109"/>
      <c r="D226" s="386"/>
      <c r="E226" s="387"/>
      <c r="F226" s="50"/>
      <c r="G226" s="50"/>
      <c r="H226" s="50"/>
      <c r="I226" s="50"/>
      <c r="J226" s="50"/>
      <c r="K226" s="370"/>
      <c r="L226" s="50"/>
      <c r="M226" s="50"/>
      <c r="N226" s="50"/>
      <c r="O226" s="50"/>
      <c r="P226" s="50"/>
      <c r="Q226" s="50"/>
      <c r="R226" s="50"/>
      <c r="S226" s="50"/>
      <c r="T226" s="50"/>
      <c r="U226" s="50"/>
      <c r="V226"/>
    </row>
    <row r="227" spans="1:22" x14ac:dyDescent="0.25">
      <c r="A227"/>
      <c r="B227" s="109"/>
      <c r="C227" s="109"/>
      <c r="D227" s="386"/>
      <c r="E227" s="387"/>
      <c r="F227" s="50"/>
      <c r="G227" s="50"/>
      <c r="H227" s="50"/>
      <c r="I227" s="50"/>
      <c r="J227" s="50"/>
      <c r="K227" s="370"/>
      <c r="L227" s="50"/>
      <c r="M227" s="50"/>
      <c r="N227" s="50"/>
      <c r="O227" s="50"/>
      <c r="P227" s="50"/>
      <c r="Q227" s="50"/>
      <c r="R227" s="50"/>
      <c r="S227" s="50"/>
      <c r="T227" s="50"/>
      <c r="U227" s="50"/>
      <c r="V227"/>
    </row>
    <row r="228" spans="1:22" x14ac:dyDescent="0.25">
      <c r="A228"/>
      <c r="F228" s="50"/>
      <c r="G228" s="50"/>
      <c r="H228" s="50"/>
      <c r="I228" s="50"/>
      <c r="J228" s="50"/>
      <c r="K228" s="370"/>
      <c r="L228" s="50"/>
      <c r="M228" s="50"/>
      <c r="N228" s="50"/>
      <c r="O228" s="50"/>
      <c r="P228" s="50"/>
      <c r="Q228" s="50"/>
      <c r="R228" s="50"/>
      <c r="S228" s="50"/>
      <c r="T228" s="50"/>
      <c r="U228" s="50"/>
      <c r="V228"/>
    </row>
    <row r="229" spans="1:22" x14ac:dyDescent="0.25">
      <c r="A229"/>
      <c r="F229" s="50"/>
      <c r="G229" s="50"/>
      <c r="H229" s="50"/>
      <c r="I229" s="50"/>
      <c r="J229" s="50"/>
      <c r="K229" s="370"/>
      <c r="L229" s="50"/>
      <c r="M229" s="50"/>
      <c r="N229" s="50"/>
      <c r="O229" s="50"/>
      <c r="P229" s="50"/>
      <c r="Q229" s="50"/>
      <c r="R229" s="50"/>
      <c r="S229" s="50"/>
      <c r="T229" s="50"/>
      <c r="U229" s="50"/>
      <c r="V229"/>
    </row>
    <row r="230" spans="1:22" x14ac:dyDescent="0.25">
      <c r="A230"/>
      <c r="F230" s="50"/>
      <c r="G230" s="50"/>
      <c r="H230" s="50"/>
      <c r="I230" s="50"/>
      <c r="J230" s="50"/>
      <c r="K230" s="370"/>
      <c r="L230" s="50"/>
      <c r="M230" s="50"/>
      <c r="N230" s="50"/>
      <c r="O230" s="50"/>
      <c r="P230" s="50"/>
      <c r="Q230" s="50"/>
      <c r="R230" s="50"/>
      <c r="S230" s="50"/>
      <c r="T230" s="50"/>
      <c r="U230" s="50"/>
      <c r="V230"/>
    </row>
    <row r="231" spans="1:22" x14ac:dyDescent="0.25">
      <c r="A231"/>
      <c r="F231" s="50"/>
      <c r="G231" s="50"/>
      <c r="H231" s="50"/>
      <c r="I231" s="50"/>
      <c r="J231" s="50"/>
      <c r="K231" s="370"/>
      <c r="L231" s="50"/>
      <c r="M231" s="50"/>
      <c r="N231" s="50"/>
      <c r="O231" s="50"/>
      <c r="P231" s="50"/>
      <c r="Q231" s="50"/>
      <c r="R231" s="50"/>
      <c r="S231" s="50"/>
      <c r="T231" s="50"/>
      <c r="U231" s="50"/>
      <c r="V231"/>
    </row>
    <row r="232" spans="1:22" x14ac:dyDescent="0.25">
      <c r="A232"/>
      <c r="F232" s="50"/>
      <c r="G232" s="50"/>
      <c r="H232" s="50"/>
      <c r="I232" s="50"/>
      <c r="J232" s="50"/>
      <c r="K232" s="370"/>
      <c r="L232" s="50"/>
      <c r="M232" s="50"/>
      <c r="N232" s="50"/>
      <c r="O232" s="50"/>
      <c r="P232" s="50"/>
      <c r="Q232" s="50"/>
      <c r="R232" s="50"/>
      <c r="S232" s="50"/>
      <c r="T232" s="50"/>
      <c r="U232" s="50"/>
      <c r="V232"/>
    </row>
    <row r="233" spans="1:22" x14ac:dyDescent="0.25">
      <c r="A233"/>
      <c r="F233" s="50"/>
      <c r="G233" s="50"/>
      <c r="H233" s="50"/>
      <c r="I233" s="50"/>
      <c r="J233" s="50"/>
      <c r="K233" s="370"/>
      <c r="L233" s="50"/>
      <c r="M233" s="50"/>
      <c r="N233" s="50"/>
      <c r="O233" s="50"/>
      <c r="P233" s="50"/>
      <c r="Q233" s="50"/>
      <c r="R233" s="50"/>
      <c r="S233" s="50"/>
      <c r="T233" s="50"/>
      <c r="U233" s="50"/>
      <c r="V233"/>
    </row>
    <row r="234" spans="1:22" x14ac:dyDescent="0.25">
      <c r="A234"/>
      <c r="F234" s="50"/>
      <c r="G234" s="50"/>
      <c r="H234" s="50"/>
      <c r="I234" s="50"/>
      <c r="J234" s="50"/>
      <c r="K234" s="370"/>
      <c r="L234" s="50"/>
      <c r="M234" s="50"/>
      <c r="N234" s="50"/>
      <c r="O234" s="50"/>
      <c r="P234" s="50"/>
      <c r="Q234" s="50"/>
      <c r="R234" s="50"/>
      <c r="S234" s="50"/>
      <c r="T234" s="50"/>
      <c r="U234" s="50"/>
      <c r="V234"/>
    </row>
    <row r="235" spans="1:22" x14ac:dyDescent="0.25">
      <c r="A235"/>
      <c r="F235" s="50"/>
      <c r="G235" s="50"/>
      <c r="H235" s="50"/>
      <c r="I235" s="50"/>
      <c r="J235" s="50"/>
      <c r="K235" s="370"/>
      <c r="L235" s="50"/>
      <c r="M235" s="50"/>
      <c r="N235" s="50"/>
      <c r="O235" s="50"/>
      <c r="P235" s="50"/>
      <c r="Q235" s="50"/>
      <c r="R235" s="50"/>
      <c r="S235" s="50"/>
      <c r="T235" s="50"/>
      <c r="U235" s="50"/>
      <c r="V235"/>
    </row>
    <row r="236" spans="1:22" x14ac:dyDescent="0.25">
      <c r="A236"/>
      <c r="F236" s="50"/>
      <c r="G236" s="50"/>
      <c r="H236" s="50"/>
      <c r="I236" s="50"/>
      <c r="J236" s="50"/>
      <c r="K236" s="370"/>
      <c r="L236" s="50"/>
      <c r="M236" s="50"/>
      <c r="N236" s="50"/>
      <c r="O236" s="50"/>
      <c r="P236" s="50"/>
      <c r="Q236" s="50"/>
      <c r="R236" s="50"/>
      <c r="S236" s="50"/>
      <c r="T236" s="50"/>
      <c r="U236" s="50"/>
      <c r="V236"/>
    </row>
    <row r="237" spans="1:22" x14ac:dyDescent="0.25">
      <c r="A237"/>
      <c r="F237" s="50"/>
      <c r="G237" s="50"/>
      <c r="H237" s="50"/>
      <c r="I237" s="50"/>
      <c r="J237" s="50"/>
      <c r="K237" s="370"/>
      <c r="L237" s="50"/>
      <c r="M237" s="50"/>
      <c r="N237" s="50"/>
      <c r="O237" s="50"/>
      <c r="P237" s="50"/>
      <c r="Q237" s="50"/>
      <c r="R237" s="50"/>
      <c r="S237" s="50"/>
      <c r="T237" s="50"/>
      <c r="U237" s="50"/>
      <c r="V237"/>
    </row>
    <row r="238" spans="1:22" x14ac:dyDescent="0.25">
      <c r="A238"/>
      <c r="F238" s="50"/>
      <c r="G238" s="50"/>
      <c r="H238" s="50"/>
      <c r="I238" s="50"/>
      <c r="J238" s="50"/>
      <c r="K238" s="370"/>
      <c r="L238" s="50"/>
      <c r="M238" s="50"/>
      <c r="N238" s="50"/>
      <c r="O238" s="50"/>
      <c r="P238" s="50"/>
      <c r="Q238" s="50"/>
      <c r="R238" s="50"/>
      <c r="S238" s="50"/>
      <c r="T238" s="50"/>
      <c r="U238" s="50"/>
      <c r="V238"/>
    </row>
    <row r="239" spans="1:22" x14ac:dyDescent="0.25">
      <c r="A239"/>
      <c r="F239" s="50"/>
      <c r="G239" s="50"/>
      <c r="H239" s="50"/>
      <c r="I239" s="50"/>
      <c r="J239" s="50"/>
      <c r="K239" s="370"/>
      <c r="L239" s="50"/>
      <c r="M239" s="50"/>
      <c r="N239" s="50"/>
      <c r="O239" s="50"/>
      <c r="P239" s="50"/>
      <c r="Q239" s="50"/>
      <c r="R239" s="50"/>
      <c r="S239" s="50"/>
      <c r="T239" s="50"/>
      <c r="U239" s="50"/>
      <c r="V239"/>
    </row>
    <row r="240" spans="1:22" x14ac:dyDescent="0.25">
      <c r="A240"/>
      <c r="F240" s="50"/>
      <c r="G240" s="50"/>
      <c r="H240" s="50"/>
      <c r="I240" s="50"/>
      <c r="J240" s="50"/>
      <c r="K240" s="370"/>
      <c r="L240" s="50"/>
      <c r="M240" s="50"/>
      <c r="N240" s="50"/>
      <c r="O240" s="50"/>
      <c r="P240" s="50"/>
      <c r="Q240" s="50"/>
      <c r="R240" s="50"/>
      <c r="S240" s="50"/>
      <c r="T240" s="50"/>
      <c r="U240" s="50"/>
      <c r="V240"/>
    </row>
    <row r="241" spans="1:22" x14ac:dyDescent="0.25">
      <c r="A241"/>
      <c r="B241"/>
      <c r="C241"/>
      <c r="D241"/>
      <c r="E241"/>
      <c r="F241" s="50"/>
      <c r="G241" s="50"/>
      <c r="H241" s="50"/>
      <c r="I241" s="50"/>
      <c r="J241" s="50"/>
      <c r="K241" s="370"/>
      <c r="L241" s="50"/>
      <c r="M241" s="50"/>
      <c r="N241" s="50"/>
      <c r="O241" s="50"/>
      <c r="P241" s="50"/>
      <c r="Q241" s="50"/>
      <c r="R241" s="50"/>
      <c r="S241" s="50"/>
      <c r="T241" s="50"/>
      <c r="U241" s="50"/>
      <c r="V241"/>
    </row>
    <row r="242" spans="1:22" x14ac:dyDescent="0.25">
      <c r="A242"/>
      <c r="B242"/>
      <c r="C242"/>
      <c r="D242"/>
      <c r="E242"/>
      <c r="F242" s="50"/>
      <c r="G242" s="50"/>
      <c r="H242" s="50"/>
      <c r="I242" s="50"/>
      <c r="J242" s="50"/>
      <c r="K242" s="370"/>
      <c r="L242" s="50"/>
      <c r="M242" s="50"/>
      <c r="N242" s="50"/>
      <c r="O242" s="50"/>
      <c r="P242" s="50"/>
      <c r="Q242" s="50"/>
      <c r="R242" s="50"/>
      <c r="S242" s="50"/>
      <c r="T242" s="50"/>
      <c r="U242" s="50"/>
      <c r="V242"/>
    </row>
    <row r="243" spans="1:22" x14ac:dyDescent="0.25">
      <c r="A243"/>
      <c r="B243"/>
      <c r="C243"/>
      <c r="D243"/>
      <c r="E243"/>
      <c r="F243" s="50"/>
      <c r="G243" s="50"/>
      <c r="H243" s="50"/>
      <c r="I243" s="50"/>
      <c r="J243" s="50"/>
      <c r="K243" s="370"/>
      <c r="L243" s="50"/>
      <c r="M243" s="50"/>
      <c r="N243" s="50"/>
      <c r="O243" s="50"/>
      <c r="P243" s="50"/>
      <c r="Q243" s="50"/>
      <c r="R243" s="50"/>
      <c r="S243" s="50"/>
      <c r="T243" s="50"/>
      <c r="U243" s="50"/>
      <c r="V243"/>
    </row>
    <row r="244" spans="1:22" x14ac:dyDescent="0.25">
      <c r="A244"/>
      <c r="B244"/>
      <c r="C244"/>
      <c r="D244"/>
      <c r="E244"/>
      <c r="F244" s="50"/>
      <c r="G244" s="50"/>
      <c r="H244" s="50"/>
      <c r="I244" s="50"/>
      <c r="J244" s="50"/>
      <c r="K244" s="370"/>
      <c r="L244" s="50"/>
      <c r="M244" s="50"/>
      <c r="N244" s="50"/>
      <c r="O244" s="50"/>
      <c r="P244" s="50"/>
      <c r="Q244" s="50"/>
      <c r="R244" s="50"/>
      <c r="S244" s="50"/>
      <c r="T244" s="50"/>
      <c r="U244" s="50"/>
      <c r="V244"/>
    </row>
    <row r="245" spans="1:22" x14ac:dyDescent="0.25">
      <c r="A245"/>
      <c r="B245"/>
      <c r="C245"/>
      <c r="D245"/>
      <c r="E245"/>
      <c r="F245" s="50"/>
      <c r="G245" s="50"/>
      <c r="H245" s="50"/>
      <c r="I245" s="50"/>
      <c r="J245" s="50"/>
      <c r="K245" s="370"/>
      <c r="L245" s="50"/>
      <c r="M245" s="50"/>
      <c r="N245" s="50"/>
      <c r="O245" s="50"/>
      <c r="P245" s="50"/>
      <c r="Q245" s="50"/>
      <c r="R245" s="50"/>
      <c r="S245" s="50"/>
      <c r="T245" s="50"/>
      <c r="U245" s="50"/>
      <c r="V245"/>
    </row>
    <row r="246" spans="1:22" x14ac:dyDescent="0.25">
      <c r="A246"/>
      <c r="B246"/>
      <c r="C246"/>
      <c r="D246"/>
      <c r="E246"/>
      <c r="F246" s="50"/>
      <c r="G246" s="50"/>
      <c r="H246" s="50"/>
      <c r="I246" s="50"/>
      <c r="J246" s="50"/>
      <c r="K246" s="370"/>
      <c r="L246" s="50"/>
      <c r="M246" s="50"/>
      <c r="N246" s="50"/>
      <c r="O246" s="50"/>
      <c r="P246" s="50"/>
      <c r="Q246" s="50"/>
      <c r="R246" s="50"/>
      <c r="S246" s="50"/>
      <c r="T246" s="50"/>
      <c r="U246" s="50"/>
      <c r="V246"/>
    </row>
    <row r="247" spans="1:22" x14ac:dyDescent="0.25">
      <c r="A247"/>
      <c r="B247"/>
      <c r="C247"/>
      <c r="D247"/>
      <c r="E247"/>
      <c r="F247" s="50"/>
      <c r="G247" s="50"/>
      <c r="H247" s="50"/>
      <c r="I247" s="50"/>
      <c r="J247" s="50"/>
      <c r="K247" s="370"/>
      <c r="L247" s="50"/>
      <c r="M247" s="50"/>
      <c r="N247" s="50"/>
      <c r="O247" s="50"/>
      <c r="P247" s="50"/>
      <c r="Q247" s="50"/>
      <c r="R247" s="50"/>
      <c r="S247" s="50"/>
      <c r="T247" s="50"/>
      <c r="U247" s="50"/>
      <c r="V247"/>
    </row>
    <row r="248" spans="1:22" x14ac:dyDescent="0.25">
      <c r="A248"/>
      <c r="B248"/>
      <c r="C248"/>
      <c r="D248"/>
      <c r="E248"/>
      <c r="F248" s="50"/>
      <c r="G248" s="50"/>
      <c r="H248" s="50"/>
      <c r="I248" s="50"/>
      <c r="J248" s="50"/>
      <c r="K248" s="370"/>
      <c r="L248" s="50"/>
      <c r="M248" s="50"/>
      <c r="N248" s="50"/>
      <c r="O248" s="50"/>
      <c r="P248" s="50"/>
      <c r="Q248" s="50"/>
      <c r="R248" s="50"/>
      <c r="S248" s="50"/>
      <c r="T248" s="50"/>
      <c r="U248" s="50"/>
      <c r="V248"/>
    </row>
    <row r="249" spans="1:22" x14ac:dyDescent="0.25">
      <c r="A249"/>
      <c r="B249"/>
      <c r="C249"/>
      <c r="D249"/>
      <c r="E249"/>
      <c r="F249" s="50"/>
      <c r="G249" s="50"/>
      <c r="H249" s="50"/>
      <c r="I249" s="50"/>
      <c r="J249" s="50"/>
      <c r="K249" s="370"/>
      <c r="L249" s="50"/>
      <c r="M249" s="50"/>
      <c r="N249" s="50"/>
      <c r="O249" s="50"/>
      <c r="P249" s="50"/>
      <c r="Q249" s="50"/>
      <c r="R249" s="50"/>
      <c r="S249" s="50"/>
      <c r="T249" s="50"/>
      <c r="U249" s="50"/>
      <c r="V249"/>
    </row>
    <row r="250" spans="1:22" x14ac:dyDescent="0.25">
      <c r="A250"/>
      <c r="B250"/>
      <c r="C250"/>
      <c r="D250"/>
      <c r="E250"/>
      <c r="F250" s="50"/>
      <c r="G250" s="50"/>
      <c r="H250" s="50"/>
      <c r="I250" s="50"/>
      <c r="J250" s="50"/>
      <c r="K250" s="370"/>
      <c r="L250" s="50"/>
      <c r="M250" s="50"/>
      <c r="N250" s="50"/>
      <c r="O250" s="50"/>
      <c r="P250" s="50"/>
      <c r="Q250" s="50"/>
      <c r="R250" s="50"/>
      <c r="S250" s="50"/>
      <c r="T250" s="50"/>
      <c r="U250" s="50"/>
      <c r="V250"/>
    </row>
    <row r="251" spans="1:22" x14ac:dyDescent="0.25">
      <c r="A251"/>
      <c r="B251"/>
      <c r="C251"/>
      <c r="D251"/>
      <c r="E251"/>
      <c r="F251" s="50"/>
      <c r="G251" s="50"/>
      <c r="H251" s="50"/>
      <c r="I251" s="50"/>
      <c r="J251" s="50"/>
      <c r="K251" s="370"/>
      <c r="L251" s="50"/>
      <c r="M251" s="50"/>
      <c r="N251" s="50"/>
      <c r="O251" s="50"/>
      <c r="P251" s="50"/>
      <c r="Q251" s="50"/>
      <c r="R251" s="50"/>
      <c r="S251" s="50"/>
      <c r="T251" s="50"/>
      <c r="U251" s="50"/>
      <c r="V251"/>
    </row>
    <row r="252" spans="1:22" x14ac:dyDescent="0.25">
      <c r="A252"/>
      <c r="B252"/>
      <c r="C252"/>
      <c r="D252"/>
      <c r="E252"/>
      <c r="F252" s="50"/>
      <c r="G252" s="50"/>
      <c r="H252" s="50"/>
      <c r="I252" s="50"/>
      <c r="J252" s="50"/>
      <c r="K252" s="370"/>
      <c r="L252" s="50"/>
      <c r="M252" s="50"/>
      <c r="N252" s="50"/>
      <c r="O252" s="50"/>
      <c r="P252" s="50"/>
      <c r="Q252" s="50"/>
      <c r="R252" s="50"/>
      <c r="S252" s="50"/>
      <c r="T252" s="50"/>
      <c r="U252" s="50"/>
      <c r="V252"/>
    </row>
    <row r="253" spans="1:22" x14ac:dyDescent="0.25">
      <c r="A253"/>
      <c r="B253"/>
      <c r="C253"/>
      <c r="D253"/>
      <c r="E253"/>
      <c r="F253" s="50"/>
      <c r="G253" s="50"/>
      <c r="H253" s="50"/>
      <c r="I253" s="50"/>
      <c r="J253" s="50"/>
      <c r="K253" s="370"/>
      <c r="L253" s="50"/>
      <c r="M253" s="50"/>
      <c r="N253" s="50"/>
      <c r="O253" s="50"/>
      <c r="P253" s="50"/>
      <c r="Q253" s="50"/>
      <c r="R253" s="50"/>
      <c r="S253" s="50"/>
      <c r="T253" s="50"/>
      <c r="U253" s="50"/>
      <c r="V253"/>
    </row>
    <row r="254" spans="1:22" x14ac:dyDescent="0.25">
      <c r="A254"/>
      <c r="B254"/>
      <c r="C254"/>
      <c r="D254"/>
      <c r="E254"/>
      <c r="F254" s="50"/>
      <c r="G254" s="50"/>
      <c r="H254" s="50"/>
      <c r="I254" s="50"/>
      <c r="J254" s="50"/>
      <c r="K254" s="370"/>
      <c r="L254" s="50"/>
      <c r="M254" s="50"/>
      <c r="N254" s="50"/>
      <c r="O254" s="50"/>
      <c r="P254" s="50"/>
      <c r="Q254" s="50"/>
      <c r="R254" s="50"/>
      <c r="S254" s="50"/>
      <c r="T254" s="50"/>
      <c r="U254" s="50"/>
      <c r="V254"/>
    </row>
    <row r="255" spans="1:22" x14ac:dyDescent="0.25">
      <c r="A255"/>
      <c r="B255"/>
      <c r="C255"/>
      <c r="D255"/>
      <c r="E255"/>
      <c r="F255" s="50"/>
      <c r="G255" s="50"/>
      <c r="H255" s="50"/>
      <c r="I255" s="50"/>
      <c r="J255" s="50"/>
      <c r="K255" s="370"/>
      <c r="L255" s="50"/>
      <c r="M255" s="50"/>
      <c r="N255" s="50"/>
      <c r="O255" s="50"/>
      <c r="P255" s="50"/>
      <c r="Q255" s="50"/>
      <c r="R255" s="50"/>
      <c r="S255" s="50"/>
      <c r="T255" s="50"/>
      <c r="U255" s="50"/>
      <c r="V255"/>
    </row>
    <row r="256" spans="1:22" x14ac:dyDescent="0.25">
      <c r="A256"/>
      <c r="B256"/>
      <c r="C256"/>
      <c r="D256"/>
      <c r="E256"/>
      <c r="F256" s="50"/>
      <c r="G256" s="50"/>
      <c r="H256" s="50"/>
      <c r="I256" s="50"/>
      <c r="J256" s="50"/>
      <c r="K256" s="370"/>
      <c r="L256" s="50"/>
      <c r="M256" s="50"/>
      <c r="N256" s="50"/>
      <c r="O256" s="50"/>
      <c r="P256" s="50"/>
      <c r="Q256" s="50"/>
      <c r="R256" s="50"/>
      <c r="S256" s="50"/>
      <c r="T256" s="50"/>
      <c r="U256" s="50"/>
      <c r="V256"/>
    </row>
    <row r="257" spans="1:22" x14ac:dyDescent="0.25">
      <c r="A257"/>
      <c r="B257"/>
      <c r="C257"/>
      <c r="D257"/>
      <c r="E257"/>
      <c r="F257" s="50"/>
      <c r="G257" s="50"/>
      <c r="H257" s="50"/>
      <c r="I257" s="50"/>
      <c r="J257" s="50"/>
      <c r="K257" s="370"/>
      <c r="L257" s="50"/>
      <c r="M257" s="50"/>
      <c r="N257" s="50"/>
      <c r="O257" s="50"/>
      <c r="P257" s="50"/>
      <c r="Q257" s="50"/>
      <c r="R257" s="50"/>
      <c r="S257" s="50"/>
      <c r="T257" s="50"/>
      <c r="U257" s="50"/>
      <c r="V257"/>
    </row>
    <row r="258" spans="1:22" x14ac:dyDescent="0.25">
      <c r="A258"/>
      <c r="B258"/>
      <c r="C258"/>
      <c r="D258"/>
      <c r="E258"/>
      <c r="F258" s="50"/>
      <c r="G258" s="50"/>
      <c r="H258" s="50"/>
      <c r="I258" s="50"/>
      <c r="J258" s="50"/>
      <c r="K258" s="370"/>
      <c r="L258" s="50"/>
      <c r="M258" s="50"/>
      <c r="N258" s="50"/>
      <c r="O258" s="50"/>
      <c r="P258" s="50"/>
      <c r="Q258" s="50"/>
      <c r="R258" s="50"/>
      <c r="S258" s="50"/>
      <c r="T258" s="50"/>
      <c r="U258" s="50"/>
      <c r="V258"/>
    </row>
    <row r="259" spans="1:22" x14ac:dyDescent="0.25">
      <c r="A259"/>
      <c r="B259"/>
      <c r="C259"/>
      <c r="D259"/>
      <c r="E259"/>
      <c r="F259" s="50"/>
      <c r="G259" s="50"/>
      <c r="H259" s="50"/>
      <c r="I259" s="50"/>
      <c r="J259" s="50"/>
      <c r="K259" s="370"/>
      <c r="L259" s="50"/>
      <c r="M259" s="50"/>
      <c r="N259" s="50"/>
      <c r="O259" s="50"/>
      <c r="P259" s="50"/>
      <c r="Q259" s="50"/>
      <c r="R259" s="50"/>
      <c r="S259" s="50"/>
      <c r="T259" s="50"/>
      <c r="U259" s="50"/>
      <c r="V259"/>
    </row>
    <row r="260" spans="1:22" x14ac:dyDescent="0.25">
      <c r="A260"/>
      <c r="B260"/>
      <c r="C260"/>
      <c r="D260"/>
      <c r="E260"/>
      <c r="F260" s="50"/>
      <c r="G260" s="50"/>
      <c r="H260" s="50"/>
      <c r="I260" s="50"/>
      <c r="J260" s="50"/>
      <c r="K260" s="370"/>
      <c r="L260" s="50"/>
      <c r="M260" s="50"/>
      <c r="N260" s="50"/>
      <c r="O260" s="50"/>
      <c r="P260" s="50"/>
      <c r="Q260" s="50"/>
      <c r="R260" s="50"/>
      <c r="S260" s="50"/>
      <c r="T260" s="50"/>
      <c r="U260" s="50"/>
      <c r="V260"/>
    </row>
    <row r="261" spans="1:22" x14ac:dyDescent="0.25">
      <c r="A261"/>
      <c r="B261"/>
      <c r="C261"/>
      <c r="D261"/>
      <c r="E261"/>
      <c r="F261" s="50"/>
      <c r="G261" s="50"/>
      <c r="H261" s="50"/>
      <c r="I261" s="50"/>
      <c r="J261" s="50"/>
      <c r="K261" s="370"/>
      <c r="L261" s="50"/>
      <c r="M261" s="50"/>
      <c r="N261" s="50"/>
      <c r="O261" s="50"/>
      <c r="P261" s="50"/>
      <c r="Q261" s="50"/>
      <c r="R261" s="50"/>
      <c r="S261" s="50"/>
      <c r="T261" s="50"/>
      <c r="U261" s="50"/>
      <c r="V261"/>
    </row>
    <row r="262" spans="1:22" x14ac:dyDescent="0.25">
      <c r="A262"/>
      <c r="B262"/>
      <c r="C262"/>
      <c r="D262"/>
      <c r="E262"/>
      <c r="F262" s="50"/>
      <c r="G262" s="50"/>
      <c r="H262" s="50"/>
      <c r="I262" s="50"/>
      <c r="J262" s="50"/>
      <c r="K262" s="370"/>
      <c r="L262" s="50"/>
      <c r="M262" s="50"/>
      <c r="N262" s="50"/>
      <c r="O262" s="50"/>
      <c r="P262" s="50"/>
      <c r="Q262" s="50"/>
      <c r="R262" s="50"/>
      <c r="S262" s="50"/>
      <c r="T262" s="50"/>
      <c r="U262" s="50"/>
      <c r="V262"/>
    </row>
    <row r="263" spans="1:22" x14ac:dyDescent="0.25">
      <c r="A263"/>
      <c r="B263"/>
      <c r="C263"/>
      <c r="D263"/>
      <c r="E263"/>
      <c r="F263" s="50"/>
      <c r="G263" s="50"/>
      <c r="H263" s="50"/>
      <c r="I263" s="50"/>
      <c r="J263" s="50"/>
      <c r="K263" s="370"/>
      <c r="L263" s="50"/>
      <c r="M263" s="50"/>
      <c r="N263" s="50"/>
      <c r="O263" s="50"/>
      <c r="P263" s="50"/>
      <c r="Q263" s="50"/>
      <c r="R263" s="50"/>
      <c r="S263" s="50"/>
      <c r="T263" s="50"/>
      <c r="U263" s="50"/>
      <c r="V263"/>
    </row>
    <row r="264" spans="1:22" x14ac:dyDescent="0.25">
      <c r="A264"/>
      <c r="B264"/>
      <c r="C264"/>
      <c r="D264"/>
      <c r="E264"/>
      <c r="F264" s="50"/>
      <c r="G264" s="50"/>
      <c r="H264" s="50"/>
      <c r="I264" s="50"/>
      <c r="J264" s="50"/>
      <c r="K264" s="370"/>
      <c r="L264" s="50"/>
      <c r="M264" s="50"/>
      <c r="N264" s="50"/>
      <c r="O264" s="50"/>
      <c r="P264" s="50"/>
      <c r="Q264" s="50"/>
      <c r="R264" s="50"/>
      <c r="S264" s="50"/>
      <c r="T264" s="50"/>
      <c r="U264" s="50"/>
      <c r="V264"/>
    </row>
    <row r="265" spans="1:22" x14ac:dyDescent="0.25">
      <c r="A265"/>
      <c r="B265"/>
      <c r="C265"/>
      <c r="D265"/>
      <c r="E265"/>
      <c r="F265" s="50"/>
      <c r="G265" s="50"/>
      <c r="H265" s="50"/>
      <c r="I265" s="50"/>
      <c r="J265" s="50"/>
      <c r="K265" s="370"/>
      <c r="L265" s="50"/>
      <c r="M265" s="50"/>
      <c r="N265" s="50"/>
      <c r="O265" s="50"/>
      <c r="P265" s="50"/>
      <c r="Q265" s="50"/>
      <c r="R265" s="50"/>
      <c r="S265" s="50"/>
      <c r="T265" s="50"/>
      <c r="U265" s="50"/>
      <c r="V265"/>
    </row>
    <row r="266" spans="1:22" x14ac:dyDescent="0.25">
      <c r="A266"/>
      <c r="B266"/>
      <c r="C266"/>
      <c r="D266"/>
      <c r="E266"/>
      <c r="F266" s="50"/>
      <c r="G266" s="50"/>
      <c r="H266" s="50"/>
      <c r="I266" s="50"/>
      <c r="J266" s="50"/>
      <c r="K266" s="370"/>
      <c r="L266" s="50"/>
      <c r="M266" s="50"/>
      <c r="N266" s="50"/>
      <c r="O266" s="50"/>
      <c r="P266" s="50"/>
      <c r="Q266" s="50"/>
      <c r="R266" s="50"/>
      <c r="S266" s="50"/>
      <c r="T266" s="50"/>
      <c r="U266" s="50"/>
      <c r="V266"/>
    </row>
    <row r="267" spans="1:22" x14ac:dyDescent="0.25">
      <c r="A267"/>
      <c r="B267"/>
      <c r="C267"/>
      <c r="D267"/>
      <c r="E267"/>
      <c r="F267" s="50"/>
      <c r="G267" s="50"/>
      <c r="H267" s="50"/>
      <c r="I267" s="50"/>
      <c r="J267" s="50"/>
      <c r="K267" s="370"/>
      <c r="L267" s="50"/>
      <c r="M267" s="50"/>
      <c r="N267" s="50"/>
      <c r="O267" s="50"/>
      <c r="P267" s="50"/>
      <c r="Q267" s="50"/>
      <c r="R267" s="50"/>
      <c r="S267" s="50"/>
      <c r="T267" s="50"/>
      <c r="U267" s="50"/>
      <c r="V267"/>
    </row>
    <row r="268" spans="1:22" x14ac:dyDescent="0.25">
      <c r="A268"/>
      <c r="B268"/>
      <c r="C268"/>
      <c r="D268"/>
      <c r="E268"/>
      <c r="F268" s="50"/>
      <c r="G268" s="50"/>
      <c r="H268" s="50"/>
      <c r="I268" s="50"/>
      <c r="J268" s="50"/>
      <c r="K268" s="370"/>
      <c r="L268" s="50"/>
      <c r="M268" s="50"/>
      <c r="N268" s="50"/>
      <c r="O268" s="50"/>
      <c r="P268" s="50"/>
      <c r="Q268" s="50"/>
      <c r="R268" s="50"/>
      <c r="S268" s="50"/>
      <c r="T268" s="50"/>
      <c r="U268" s="50"/>
      <c r="V268"/>
    </row>
    <row r="269" spans="1:22" x14ac:dyDescent="0.25">
      <c r="A269"/>
      <c r="B269"/>
      <c r="C269"/>
      <c r="D269"/>
      <c r="E269"/>
      <c r="F269" s="50"/>
      <c r="G269" s="50"/>
      <c r="H269" s="50"/>
      <c r="I269" s="50"/>
      <c r="J269" s="50"/>
      <c r="K269" s="370"/>
      <c r="L269" s="50"/>
      <c r="M269" s="50"/>
      <c r="N269" s="50"/>
      <c r="O269" s="50"/>
      <c r="P269" s="50"/>
      <c r="Q269" s="50"/>
      <c r="R269" s="50"/>
      <c r="S269" s="50"/>
      <c r="T269" s="50"/>
      <c r="U269" s="50"/>
      <c r="V269"/>
    </row>
    <row r="270" spans="1:22" x14ac:dyDescent="0.25">
      <c r="A270"/>
      <c r="B270"/>
      <c r="C270"/>
      <c r="D270"/>
      <c r="E270"/>
      <c r="F270" s="50"/>
      <c r="G270" s="50"/>
      <c r="H270" s="50"/>
      <c r="I270" s="50"/>
      <c r="J270" s="50"/>
      <c r="K270" s="370"/>
      <c r="L270" s="50"/>
      <c r="M270" s="50"/>
      <c r="N270" s="50"/>
      <c r="O270" s="50"/>
      <c r="P270" s="50"/>
      <c r="Q270" s="50"/>
      <c r="R270" s="50"/>
      <c r="S270" s="50"/>
      <c r="T270" s="50"/>
      <c r="U270" s="50"/>
      <c r="V270"/>
    </row>
    <row r="271" spans="1:22" x14ac:dyDescent="0.25">
      <c r="A271"/>
      <c r="B271"/>
      <c r="C271"/>
      <c r="D271"/>
      <c r="E271"/>
      <c r="F271" s="50"/>
      <c r="G271" s="50"/>
      <c r="H271" s="50"/>
      <c r="I271" s="50"/>
      <c r="J271" s="50"/>
      <c r="K271" s="370"/>
      <c r="L271" s="50"/>
      <c r="M271" s="50"/>
      <c r="N271" s="50"/>
      <c r="O271" s="50"/>
      <c r="P271" s="50"/>
      <c r="Q271" s="50"/>
      <c r="R271" s="50"/>
      <c r="S271" s="50"/>
      <c r="T271" s="50"/>
      <c r="U271" s="50"/>
      <c r="V271"/>
    </row>
    <row r="272" spans="1:22" x14ac:dyDescent="0.25">
      <c r="A272"/>
      <c r="B272"/>
      <c r="C272"/>
      <c r="D272"/>
      <c r="E272"/>
      <c r="F272" s="50"/>
      <c r="G272" s="50"/>
      <c r="H272" s="50"/>
      <c r="I272" s="50"/>
      <c r="J272" s="50"/>
      <c r="K272" s="370"/>
      <c r="L272" s="50"/>
      <c r="M272" s="50"/>
      <c r="N272" s="50"/>
      <c r="O272" s="50"/>
      <c r="P272" s="50"/>
      <c r="Q272" s="50"/>
      <c r="R272" s="50"/>
      <c r="S272" s="50"/>
      <c r="T272" s="50"/>
      <c r="U272" s="50"/>
      <c r="V272"/>
    </row>
    <row r="273" spans="1:22" x14ac:dyDescent="0.25">
      <c r="A273"/>
      <c r="B273"/>
      <c r="C273"/>
      <c r="D273"/>
      <c r="E273"/>
      <c r="F273" s="50"/>
      <c r="G273" s="50"/>
      <c r="H273" s="50"/>
      <c r="I273" s="50"/>
      <c r="J273" s="50"/>
      <c r="K273" s="370"/>
      <c r="L273" s="50"/>
      <c r="M273" s="50"/>
      <c r="N273" s="50"/>
      <c r="O273" s="50"/>
      <c r="P273" s="50"/>
      <c r="Q273" s="50"/>
      <c r="R273" s="50"/>
      <c r="S273" s="50"/>
      <c r="T273" s="50"/>
      <c r="U273" s="50"/>
      <c r="V273"/>
    </row>
    <row r="274" spans="1:22" x14ac:dyDescent="0.25">
      <c r="A274"/>
      <c r="B274"/>
      <c r="C274"/>
      <c r="D274"/>
      <c r="E274"/>
      <c r="F274" s="50"/>
      <c r="G274" s="50"/>
      <c r="H274" s="50"/>
      <c r="I274" s="50"/>
      <c r="J274" s="50"/>
      <c r="K274" s="370"/>
      <c r="L274" s="50"/>
      <c r="M274" s="50"/>
      <c r="N274" s="50"/>
      <c r="O274" s="50"/>
      <c r="P274" s="50"/>
      <c r="Q274" s="50"/>
      <c r="R274" s="50"/>
      <c r="S274" s="50"/>
      <c r="T274" s="50"/>
      <c r="U274" s="50"/>
      <c r="V274"/>
    </row>
    <row r="275" spans="1:22" x14ac:dyDescent="0.25">
      <c r="A275"/>
      <c r="B275"/>
      <c r="C275"/>
      <c r="D275"/>
      <c r="E275"/>
      <c r="F275" s="50"/>
      <c r="G275" s="50"/>
      <c r="H275" s="50"/>
      <c r="I275" s="50"/>
      <c r="J275" s="50"/>
      <c r="K275" s="370"/>
      <c r="L275" s="50"/>
      <c r="M275" s="50"/>
      <c r="N275" s="50"/>
      <c r="O275" s="50"/>
      <c r="P275" s="50"/>
      <c r="Q275" s="50"/>
      <c r="R275" s="50"/>
      <c r="S275" s="50"/>
      <c r="T275" s="50"/>
      <c r="U275" s="50"/>
      <c r="V275"/>
    </row>
    <row r="276" spans="1:22" x14ac:dyDescent="0.25">
      <c r="A276"/>
      <c r="B276"/>
      <c r="C276"/>
      <c r="D276"/>
      <c r="E276"/>
      <c r="F276" s="50"/>
      <c r="G276" s="50"/>
      <c r="H276" s="50"/>
      <c r="I276" s="50"/>
      <c r="J276" s="50"/>
      <c r="K276" s="370"/>
      <c r="L276" s="50"/>
      <c r="M276" s="50"/>
      <c r="N276" s="50"/>
      <c r="O276" s="50"/>
      <c r="P276" s="50"/>
      <c r="Q276" s="50"/>
      <c r="R276" s="50"/>
      <c r="S276" s="50"/>
      <c r="T276" s="50"/>
      <c r="U276" s="50"/>
      <c r="V276"/>
    </row>
    <row r="277" spans="1:22" x14ac:dyDescent="0.25">
      <c r="A277"/>
      <c r="B277"/>
      <c r="C277"/>
      <c r="D277"/>
      <c r="E277"/>
      <c r="F277" s="50"/>
      <c r="G277" s="50"/>
      <c r="H277" s="50"/>
      <c r="I277" s="50"/>
      <c r="J277" s="50"/>
      <c r="K277" s="370"/>
      <c r="L277" s="50"/>
      <c r="M277" s="50"/>
      <c r="N277" s="50"/>
      <c r="O277" s="50"/>
      <c r="P277" s="50"/>
      <c r="Q277" s="50"/>
      <c r="R277" s="50"/>
      <c r="S277" s="50"/>
      <c r="T277" s="50"/>
      <c r="U277" s="50"/>
      <c r="V277"/>
    </row>
    <row r="278" spans="1:22" x14ac:dyDescent="0.25">
      <c r="A278"/>
      <c r="B278"/>
      <c r="C278"/>
      <c r="D278"/>
      <c r="E278"/>
      <c r="F278" s="50"/>
      <c r="G278" s="50"/>
      <c r="H278" s="50"/>
      <c r="I278" s="50"/>
      <c r="J278" s="50"/>
      <c r="K278" s="370"/>
      <c r="L278" s="50"/>
      <c r="M278" s="50"/>
      <c r="N278" s="50"/>
      <c r="O278" s="50"/>
      <c r="P278" s="50"/>
      <c r="Q278" s="50"/>
      <c r="R278" s="50"/>
      <c r="S278" s="50"/>
      <c r="T278" s="50"/>
      <c r="U278" s="50"/>
      <c r="V278"/>
    </row>
    <row r="279" spans="1:22" x14ac:dyDescent="0.25">
      <c r="A279"/>
      <c r="B279"/>
      <c r="C279"/>
      <c r="D279"/>
      <c r="E279"/>
      <c r="F279" s="50"/>
      <c r="G279" s="50"/>
      <c r="H279" s="50"/>
      <c r="I279" s="50"/>
      <c r="J279" s="50"/>
      <c r="K279" s="370"/>
      <c r="L279" s="50"/>
      <c r="M279" s="50"/>
      <c r="N279" s="50"/>
      <c r="O279" s="50"/>
      <c r="P279" s="50"/>
      <c r="Q279" s="50"/>
      <c r="R279" s="50"/>
      <c r="S279" s="50"/>
      <c r="T279" s="50"/>
      <c r="U279" s="50"/>
      <c r="V279"/>
    </row>
    <row r="280" spans="1:22" x14ac:dyDescent="0.25">
      <c r="A280"/>
      <c r="B280"/>
      <c r="C280"/>
      <c r="D280"/>
      <c r="E280"/>
      <c r="F280" s="50"/>
      <c r="G280" s="50"/>
      <c r="H280" s="50"/>
      <c r="I280" s="50"/>
      <c r="J280" s="50"/>
      <c r="K280" s="370"/>
      <c r="L280" s="50"/>
      <c r="M280" s="50"/>
      <c r="N280" s="50"/>
      <c r="O280" s="50"/>
      <c r="P280" s="50"/>
      <c r="Q280" s="50"/>
      <c r="R280" s="50"/>
      <c r="S280" s="50"/>
      <c r="T280" s="50"/>
      <c r="U280" s="50"/>
      <c r="V280"/>
    </row>
    <row r="281" spans="1:22" x14ac:dyDescent="0.25">
      <c r="A281"/>
      <c r="B281"/>
      <c r="C281"/>
      <c r="D281"/>
      <c r="E281"/>
      <c r="F281" s="50"/>
      <c r="G281" s="50"/>
      <c r="H281" s="50"/>
      <c r="I281" s="50"/>
      <c r="J281" s="50"/>
      <c r="K281" s="370"/>
      <c r="L281" s="50"/>
      <c r="M281" s="50"/>
      <c r="N281" s="50"/>
      <c r="O281" s="50"/>
      <c r="P281" s="50"/>
      <c r="Q281" s="50"/>
      <c r="R281" s="50"/>
      <c r="S281" s="50"/>
      <c r="T281" s="50"/>
      <c r="U281" s="50"/>
      <c r="V281"/>
    </row>
    <row r="282" spans="1:22" x14ac:dyDescent="0.25">
      <c r="A282"/>
      <c r="B282"/>
      <c r="C282"/>
      <c r="D282"/>
      <c r="E282"/>
      <c r="F282" s="50"/>
      <c r="G282" s="50"/>
      <c r="H282" s="50"/>
      <c r="I282" s="50"/>
      <c r="J282" s="50"/>
      <c r="K282" s="370"/>
      <c r="L282" s="50"/>
      <c r="M282" s="50"/>
      <c r="N282" s="50"/>
      <c r="O282" s="50"/>
      <c r="P282" s="50"/>
      <c r="Q282" s="50"/>
      <c r="R282" s="50"/>
      <c r="S282" s="50"/>
      <c r="T282" s="50"/>
      <c r="U282" s="50"/>
      <c r="V282"/>
    </row>
    <row r="283" spans="1:22" x14ac:dyDescent="0.25">
      <c r="A283"/>
      <c r="B283"/>
      <c r="C283"/>
      <c r="D283"/>
      <c r="E283"/>
      <c r="F283" s="50"/>
      <c r="G283" s="50"/>
      <c r="H283" s="50"/>
      <c r="I283" s="50"/>
      <c r="J283" s="50"/>
      <c r="K283" s="370"/>
      <c r="L283" s="50"/>
      <c r="M283" s="50"/>
      <c r="N283" s="50"/>
      <c r="O283" s="50"/>
      <c r="P283" s="50"/>
      <c r="Q283" s="50"/>
      <c r="R283" s="50"/>
      <c r="S283" s="50"/>
      <c r="T283" s="50"/>
      <c r="U283" s="50"/>
      <c r="V283"/>
    </row>
    <row r="284" spans="1:22" x14ac:dyDescent="0.25">
      <c r="A284"/>
      <c r="B284"/>
      <c r="C284"/>
      <c r="D284"/>
      <c r="E284"/>
      <c r="F284" s="50"/>
      <c r="G284" s="50"/>
      <c r="H284" s="50"/>
      <c r="I284" s="50"/>
      <c r="J284" s="50"/>
      <c r="K284" s="370"/>
      <c r="L284" s="50"/>
      <c r="M284" s="50"/>
      <c r="N284" s="50"/>
      <c r="O284" s="50"/>
      <c r="P284" s="50"/>
      <c r="Q284" s="50"/>
      <c r="R284" s="50"/>
      <c r="S284" s="50"/>
      <c r="T284" s="50"/>
      <c r="U284" s="50"/>
      <c r="V284"/>
    </row>
    <row r="285" spans="1:22" x14ac:dyDescent="0.25">
      <c r="A285"/>
      <c r="B285"/>
      <c r="C285"/>
      <c r="D285"/>
      <c r="E285"/>
      <c r="F285" s="50"/>
      <c r="G285" s="50"/>
      <c r="H285" s="50"/>
      <c r="I285" s="50"/>
      <c r="J285" s="50"/>
      <c r="K285" s="370"/>
      <c r="L285" s="50"/>
      <c r="M285" s="50"/>
      <c r="N285" s="50"/>
      <c r="O285" s="50"/>
      <c r="P285" s="50"/>
      <c r="Q285" s="50"/>
      <c r="R285" s="50"/>
      <c r="S285" s="50"/>
      <c r="T285" s="50"/>
      <c r="U285" s="50"/>
      <c r="V285"/>
    </row>
    <row r="286" spans="1:22" x14ac:dyDescent="0.25">
      <c r="A286"/>
      <c r="B286"/>
      <c r="C286"/>
      <c r="D286"/>
      <c r="E286"/>
      <c r="F286" s="50"/>
      <c r="G286" s="50"/>
      <c r="H286" s="50"/>
      <c r="I286" s="50"/>
      <c r="J286" s="50"/>
      <c r="K286" s="370"/>
      <c r="L286" s="50"/>
      <c r="M286" s="50"/>
      <c r="N286" s="50"/>
      <c r="O286" s="50"/>
      <c r="P286" s="50"/>
      <c r="Q286" s="50"/>
      <c r="R286" s="50"/>
      <c r="S286" s="50"/>
      <c r="T286" s="50"/>
      <c r="U286" s="50"/>
      <c r="V286"/>
    </row>
    <row r="287" spans="1:22" x14ac:dyDescent="0.25">
      <c r="A287"/>
      <c r="B287"/>
      <c r="C287"/>
      <c r="D287"/>
      <c r="E287"/>
      <c r="F287" s="50"/>
      <c r="G287" s="50"/>
      <c r="H287" s="50"/>
      <c r="I287" s="50"/>
      <c r="J287" s="50"/>
      <c r="K287" s="370"/>
      <c r="L287" s="50"/>
      <c r="M287" s="50"/>
      <c r="N287" s="50"/>
      <c r="O287" s="50"/>
      <c r="P287" s="50"/>
      <c r="Q287" s="50"/>
      <c r="R287" s="50"/>
      <c r="S287" s="50"/>
      <c r="T287" s="50"/>
      <c r="U287" s="50"/>
      <c r="V287"/>
    </row>
    <row r="288" spans="1:22" x14ac:dyDescent="0.25">
      <c r="A288"/>
      <c r="B288"/>
      <c r="C288"/>
      <c r="D288"/>
      <c r="E288"/>
      <c r="F288" s="50"/>
      <c r="G288" s="50"/>
      <c r="H288" s="50"/>
      <c r="I288" s="50"/>
      <c r="J288" s="50"/>
      <c r="K288" s="370"/>
      <c r="L288" s="50"/>
      <c r="M288" s="50"/>
      <c r="N288" s="50"/>
      <c r="O288" s="50"/>
      <c r="P288" s="50"/>
      <c r="Q288" s="50"/>
      <c r="R288" s="50"/>
      <c r="S288" s="50"/>
      <c r="T288" s="50"/>
      <c r="U288" s="50"/>
      <c r="V288"/>
    </row>
    <row r="289" spans="1:22" x14ac:dyDescent="0.25">
      <c r="A289"/>
      <c r="B289"/>
      <c r="C289"/>
      <c r="D289"/>
      <c r="E289"/>
      <c r="F289" s="50"/>
      <c r="G289" s="50"/>
      <c r="H289" s="50"/>
      <c r="I289" s="50"/>
      <c r="J289" s="50"/>
      <c r="K289" s="370"/>
      <c r="L289" s="50"/>
      <c r="M289" s="50"/>
      <c r="N289" s="50"/>
      <c r="O289" s="50"/>
      <c r="P289" s="50"/>
      <c r="Q289" s="50"/>
      <c r="R289" s="50"/>
      <c r="S289" s="50"/>
      <c r="T289" s="50"/>
      <c r="U289" s="50"/>
      <c r="V289"/>
    </row>
    <row r="290" spans="1:22" x14ac:dyDescent="0.25">
      <c r="A290"/>
      <c r="B290"/>
      <c r="C290"/>
      <c r="D290"/>
      <c r="E290"/>
      <c r="F290" s="50"/>
      <c r="G290" s="50"/>
      <c r="H290" s="50"/>
      <c r="I290" s="50"/>
      <c r="J290" s="50"/>
      <c r="K290" s="370"/>
      <c r="L290" s="50"/>
      <c r="M290" s="50"/>
      <c r="N290" s="50"/>
      <c r="O290" s="50"/>
      <c r="P290" s="50"/>
      <c r="Q290" s="50"/>
      <c r="R290" s="50"/>
      <c r="S290" s="50"/>
      <c r="T290" s="50"/>
      <c r="U290" s="50"/>
      <c r="V290"/>
    </row>
    <row r="291" spans="1:22" x14ac:dyDescent="0.25">
      <c r="A291"/>
      <c r="B291"/>
      <c r="C291"/>
      <c r="D291"/>
      <c r="E291"/>
      <c r="F291" s="50"/>
      <c r="G291" s="50"/>
      <c r="H291" s="50"/>
      <c r="I291" s="50"/>
      <c r="J291" s="50"/>
      <c r="K291" s="370"/>
      <c r="L291" s="50"/>
      <c r="M291" s="50"/>
      <c r="N291" s="50"/>
      <c r="O291" s="50"/>
      <c r="P291" s="50"/>
      <c r="Q291" s="50"/>
      <c r="R291" s="50"/>
      <c r="S291" s="50"/>
      <c r="T291" s="50"/>
      <c r="U291" s="50"/>
      <c r="V291"/>
    </row>
    <row r="292" spans="1:22" x14ac:dyDescent="0.25">
      <c r="A292"/>
      <c r="B292"/>
      <c r="C292"/>
      <c r="D292"/>
      <c r="E292"/>
      <c r="F292" s="50"/>
      <c r="G292" s="50"/>
      <c r="H292" s="50"/>
      <c r="I292" s="50"/>
      <c r="J292" s="50"/>
      <c r="K292" s="370"/>
      <c r="L292" s="50"/>
      <c r="M292" s="50"/>
      <c r="N292" s="50"/>
      <c r="O292" s="50"/>
      <c r="P292" s="50"/>
      <c r="Q292" s="50"/>
      <c r="R292" s="50"/>
      <c r="S292" s="50"/>
      <c r="T292" s="50"/>
      <c r="U292" s="50"/>
      <c r="V292"/>
    </row>
    <row r="293" spans="1:22" x14ac:dyDescent="0.25">
      <c r="A293"/>
      <c r="B293"/>
      <c r="C293"/>
      <c r="D293"/>
      <c r="E293"/>
      <c r="F293" s="50"/>
      <c r="G293" s="50"/>
      <c r="H293" s="50"/>
      <c r="I293" s="50"/>
      <c r="J293" s="50"/>
      <c r="K293" s="370"/>
      <c r="L293" s="50"/>
      <c r="M293" s="50"/>
      <c r="N293" s="50"/>
      <c r="O293" s="50"/>
      <c r="P293" s="50"/>
      <c r="Q293" s="50"/>
      <c r="R293" s="50"/>
      <c r="S293" s="50"/>
      <c r="T293" s="50"/>
      <c r="U293" s="50"/>
      <c r="V293"/>
    </row>
    <row r="294" spans="1:22" x14ac:dyDescent="0.25">
      <c r="A294"/>
      <c r="B294"/>
      <c r="C294"/>
      <c r="D294"/>
      <c r="E294"/>
      <c r="F294" s="50"/>
      <c r="G294" s="50"/>
      <c r="H294" s="50"/>
      <c r="I294" s="50"/>
      <c r="J294" s="50"/>
      <c r="K294" s="370"/>
      <c r="L294" s="50"/>
      <c r="M294" s="50"/>
      <c r="N294" s="50"/>
      <c r="O294" s="50"/>
      <c r="P294" s="50"/>
      <c r="Q294" s="50"/>
      <c r="R294" s="50"/>
      <c r="S294" s="50"/>
      <c r="T294" s="50"/>
      <c r="U294" s="50"/>
      <c r="V294"/>
    </row>
    <row r="295" spans="1:22" x14ac:dyDescent="0.25">
      <c r="A295"/>
      <c r="B295"/>
      <c r="C295"/>
      <c r="D295"/>
      <c r="E295"/>
      <c r="F295" s="50"/>
      <c r="G295" s="50"/>
      <c r="H295" s="50"/>
      <c r="I295" s="50"/>
      <c r="J295" s="50"/>
      <c r="K295" s="370"/>
      <c r="L295" s="50"/>
      <c r="M295" s="50"/>
      <c r="N295" s="50"/>
      <c r="O295" s="50"/>
      <c r="P295" s="50"/>
      <c r="Q295" s="50"/>
      <c r="R295" s="50"/>
      <c r="S295" s="50"/>
      <c r="T295" s="50"/>
      <c r="U295" s="50"/>
      <c r="V295"/>
    </row>
    <row r="296" spans="1:22" x14ac:dyDescent="0.25">
      <c r="A296"/>
      <c r="B296"/>
      <c r="C296"/>
      <c r="D296"/>
      <c r="E296"/>
      <c r="F296" s="50"/>
      <c r="G296" s="50"/>
      <c r="H296" s="50"/>
      <c r="I296" s="50"/>
      <c r="J296" s="50"/>
      <c r="K296" s="370"/>
      <c r="L296" s="50"/>
      <c r="M296" s="50"/>
      <c r="N296" s="50"/>
      <c r="O296" s="50"/>
      <c r="P296" s="50"/>
      <c r="Q296" s="50"/>
      <c r="R296" s="50"/>
      <c r="S296" s="50"/>
      <c r="T296" s="50"/>
      <c r="U296" s="50"/>
      <c r="V296"/>
    </row>
    <row r="297" spans="1:22" x14ac:dyDescent="0.25">
      <c r="A297"/>
      <c r="B297"/>
      <c r="C297"/>
      <c r="D297"/>
      <c r="E297"/>
      <c r="F297" s="50"/>
      <c r="G297" s="50"/>
      <c r="H297" s="50"/>
      <c r="I297" s="50"/>
      <c r="J297" s="50"/>
      <c r="K297" s="370"/>
      <c r="L297" s="50"/>
      <c r="M297" s="50"/>
      <c r="N297" s="50"/>
      <c r="O297" s="50"/>
      <c r="P297" s="50"/>
      <c r="Q297" s="50"/>
      <c r="R297" s="50"/>
      <c r="S297" s="50"/>
      <c r="T297" s="50"/>
      <c r="U297" s="50"/>
      <c r="V297"/>
    </row>
    <row r="298" spans="1:22" x14ac:dyDescent="0.25">
      <c r="A298"/>
      <c r="B298"/>
      <c r="C298"/>
      <c r="D298"/>
      <c r="E298"/>
      <c r="F298" s="50"/>
      <c r="G298" s="50"/>
      <c r="H298" s="50"/>
      <c r="I298" s="50"/>
      <c r="J298" s="50"/>
      <c r="K298" s="370"/>
      <c r="L298" s="50"/>
      <c r="M298" s="50"/>
      <c r="N298" s="50"/>
      <c r="O298" s="50"/>
      <c r="P298" s="50"/>
      <c r="Q298" s="50"/>
      <c r="R298" s="50"/>
      <c r="S298" s="50"/>
      <c r="T298" s="50"/>
      <c r="U298" s="50"/>
      <c r="V298"/>
    </row>
    <row r="299" spans="1:22" x14ac:dyDescent="0.25">
      <c r="A299"/>
      <c r="B299"/>
      <c r="C299"/>
      <c r="D299"/>
      <c r="E299"/>
      <c r="F299" s="50"/>
      <c r="G299" s="50"/>
      <c r="H299" s="50"/>
      <c r="I299" s="50"/>
      <c r="J299" s="50"/>
      <c r="K299" s="370"/>
      <c r="L299" s="50"/>
      <c r="M299" s="50"/>
      <c r="N299" s="50"/>
      <c r="O299" s="50"/>
      <c r="P299" s="50"/>
      <c r="Q299" s="50"/>
      <c r="R299" s="50"/>
      <c r="S299" s="50"/>
      <c r="T299" s="50"/>
      <c r="U299" s="50"/>
      <c r="V299"/>
    </row>
    <row r="300" spans="1:22" x14ac:dyDescent="0.25">
      <c r="A300"/>
      <c r="B300"/>
      <c r="C300"/>
      <c r="D300"/>
      <c r="E300"/>
      <c r="F300" s="50"/>
      <c r="G300" s="50"/>
      <c r="H300" s="50"/>
      <c r="I300" s="50"/>
      <c r="J300" s="50"/>
      <c r="K300" s="370"/>
      <c r="L300" s="50"/>
      <c r="M300" s="50"/>
      <c r="N300" s="50"/>
      <c r="O300" s="50"/>
      <c r="P300" s="50"/>
      <c r="Q300" s="50"/>
      <c r="R300" s="50"/>
      <c r="S300" s="50"/>
      <c r="T300" s="50"/>
      <c r="U300" s="50"/>
      <c r="V300"/>
    </row>
    <row r="301" spans="1:22" x14ac:dyDescent="0.25">
      <c r="A301"/>
      <c r="B301"/>
      <c r="C301"/>
      <c r="D301"/>
      <c r="E301"/>
      <c r="F301" s="50"/>
      <c r="G301" s="50"/>
      <c r="H301" s="50"/>
      <c r="I301" s="50"/>
      <c r="J301" s="50"/>
      <c r="K301" s="370"/>
      <c r="L301" s="50"/>
      <c r="M301" s="50"/>
      <c r="N301" s="50"/>
      <c r="O301" s="50"/>
      <c r="P301" s="50"/>
      <c r="Q301" s="50"/>
      <c r="R301" s="50"/>
      <c r="S301" s="50"/>
      <c r="T301" s="50"/>
      <c r="U301" s="50"/>
      <c r="V301"/>
    </row>
    <row r="302" spans="1:22" x14ac:dyDescent="0.25">
      <c r="A302"/>
      <c r="B302"/>
      <c r="C302"/>
      <c r="D302"/>
      <c r="E302"/>
      <c r="F302" s="50"/>
      <c r="G302" s="50"/>
      <c r="H302" s="50"/>
      <c r="I302" s="50"/>
      <c r="J302" s="50"/>
      <c r="K302" s="370"/>
      <c r="L302" s="50"/>
      <c r="M302" s="50"/>
      <c r="N302" s="50"/>
      <c r="O302" s="50"/>
      <c r="P302" s="50"/>
      <c r="Q302" s="50"/>
      <c r="R302" s="50"/>
      <c r="S302" s="50"/>
      <c r="T302" s="50"/>
      <c r="U302" s="50"/>
      <c r="V302"/>
    </row>
    <row r="303" spans="1:22" x14ac:dyDescent="0.25">
      <c r="A303"/>
      <c r="B303"/>
      <c r="C303"/>
      <c r="D303"/>
      <c r="E303"/>
      <c r="F303" s="50"/>
      <c r="G303" s="50"/>
      <c r="H303" s="50"/>
      <c r="I303" s="50"/>
      <c r="J303" s="50"/>
      <c r="K303" s="370"/>
      <c r="L303" s="50"/>
      <c r="M303" s="50"/>
      <c r="N303" s="50"/>
      <c r="O303" s="50"/>
      <c r="P303" s="50"/>
      <c r="Q303" s="50"/>
      <c r="R303" s="50"/>
      <c r="S303" s="50"/>
      <c r="T303" s="50"/>
      <c r="U303" s="50"/>
      <c r="V303"/>
    </row>
    <row r="304" spans="1:22" x14ac:dyDescent="0.25">
      <c r="A304"/>
      <c r="B304"/>
      <c r="C304"/>
      <c r="D304"/>
      <c r="E304"/>
      <c r="F304" s="50"/>
      <c r="G304" s="50"/>
      <c r="H304" s="50"/>
      <c r="I304" s="50"/>
      <c r="J304" s="50"/>
      <c r="K304" s="370"/>
      <c r="L304" s="50"/>
      <c r="M304" s="50"/>
      <c r="N304" s="50"/>
      <c r="O304" s="50"/>
      <c r="P304" s="50"/>
      <c r="Q304" s="50"/>
      <c r="R304" s="50"/>
      <c r="S304" s="50"/>
      <c r="T304" s="50"/>
      <c r="U304" s="50"/>
      <c r="V304"/>
    </row>
    <row r="305" spans="1:22" x14ac:dyDescent="0.25">
      <c r="A305"/>
      <c r="B305"/>
      <c r="C305"/>
      <c r="D305"/>
      <c r="E305"/>
      <c r="F305" s="50"/>
      <c r="G305" s="50"/>
      <c r="H305" s="50"/>
      <c r="I305" s="50"/>
      <c r="J305" s="50"/>
      <c r="K305" s="370"/>
      <c r="L305" s="50"/>
      <c r="M305" s="50"/>
      <c r="N305" s="50"/>
      <c r="O305" s="50"/>
      <c r="P305" s="50"/>
      <c r="Q305" s="50"/>
      <c r="R305" s="50"/>
      <c r="S305" s="50"/>
      <c r="T305" s="50"/>
      <c r="U305" s="50"/>
      <c r="V305"/>
    </row>
    <row r="306" spans="1:22" x14ac:dyDescent="0.25">
      <c r="A306"/>
      <c r="B306"/>
      <c r="C306"/>
      <c r="D306"/>
      <c r="E306"/>
      <c r="F306" s="50"/>
      <c r="G306" s="50"/>
      <c r="H306" s="50"/>
      <c r="I306" s="50"/>
      <c r="J306" s="50"/>
      <c r="K306" s="370"/>
      <c r="L306" s="50"/>
      <c r="M306" s="50"/>
      <c r="N306" s="50"/>
      <c r="O306" s="50"/>
      <c r="P306" s="50"/>
      <c r="Q306" s="50"/>
      <c r="R306" s="50"/>
      <c r="S306" s="50"/>
      <c r="T306" s="50"/>
      <c r="U306" s="50"/>
      <c r="V306"/>
    </row>
    <row r="307" spans="1:22" x14ac:dyDescent="0.25">
      <c r="A307"/>
      <c r="B307"/>
      <c r="C307"/>
      <c r="D307"/>
      <c r="E307"/>
      <c r="F307" s="50"/>
      <c r="G307" s="50"/>
      <c r="H307" s="50"/>
      <c r="I307" s="50"/>
      <c r="J307" s="50"/>
      <c r="K307" s="370"/>
      <c r="L307" s="50"/>
      <c r="M307" s="50"/>
      <c r="N307" s="50"/>
      <c r="O307" s="50"/>
      <c r="P307" s="50"/>
      <c r="Q307" s="50"/>
      <c r="R307" s="50"/>
      <c r="S307" s="50"/>
      <c r="T307" s="50"/>
      <c r="U307" s="50"/>
      <c r="V307"/>
    </row>
    <row r="308" spans="1:22" x14ac:dyDescent="0.25">
      <c r="A308"/>
      <c r="B308"/>
      <c r="C308"/>
      <c r="D308"/>
      <c r="E308"/>
      <c r="F308" s="50"/>
      <c r="G308" s="50"/>
      <c r="H308" s="50"/>
      <c r="I308" s="50"/>
      <c r="J308" s="50"/>
      <c r="K308" s="370"/>
      <c r="L308" s="50"/>
      <c r="M308" s="50"/>
      <c r="N308" s="50"/>
      <c r="O308" s="50"/>
      <c r="P308" s="50"/>
      <c r="Q308" s="50"/>
      <c r="R308" s="50"/>
      <c r="S308" s="50"/>
      <c r="T308" s="50"/>
      <c r="U308" s="50"/>
      <c r="V308"/>
    </row>
    <row r="309" spans="1:22" x14ac:dyDescent="0.25">
      <c r="A309"/>
      <c r="B309"/>
      <c r="C309"/>
      <c r="D309"/>
      <c r="E309"/>
      <c r="F309" s="50"/>
      <c r="G309" s="50"/>
      <c r="H309" s="50"/>
      <c r="I309" s="50"/>
      <c r="J309" s="50"/>
      <c r="K309" s="370"/>
      <c r="L309" s="50"/>
      <c r="M309" s="50"/>
      <c r="N309" s="50"/>
      <c r="O309" s="50"/>
      <c r="P309" s="50"/>
      <c r="Q309" s="50"/>
      <c r="R309" s="50"/>
      <c r="S309" s="50"/>
      <c r="T309" s="50"/>
      <c r="U309" s="50"/>
      <c r="V309"/>
    </row>
    <row r="310" spans="1:22" x14ac:dyDescent="0.25">
      <c r="A310"/>
      <c r="B310"/>
      <c r="C310"/>
      <c r="D310"/>
      <c r="E310"/>
      <c r="F310" s="50"/>
      <c r="G310" s="50"/>
      <c r="H310" s="50"/>
      <c r="I310" s="50"/>
      <c r="J310" s="50"/>
      <c r="K310" s="370"/>
      <c r="L310" s="50"/>
      <c r="M310" s="50"/>
      <c r="N310" s="50"/>
      <c r="O310" s="50"/>
      <c r="P310" s="50"/>
      <c r="Q310" s="50"/>
      <c r="R310" s="50"/>
      <c r="S310" s="50"/>
      <c r="T310" s="50"/>
      <c r="U310" s="50"/>
      <c r="V310"/>
    </row>
    <row r="311" spans="1:22" x14ac:dyDescent="0.25">
      <c r="A311"/>
      <c r="B311"/>
      <c r="C311"/>
      <c r="D311"/>
      <c r="E311"/>
      <c r="F311" s="50"/>
      <c r="G311" s="50"/>
      <c r="H311" s="50"/>
      <c r="I311" s="50"/>
      <c r="J311" s="50"/>
      <c r="K311" s="370"/>
      <c r="L311" s="50"/>
      <c r="M311" s="50"/>
      <c r="N311" s="50"/>
      <c r="O311" s="50"/>
      <c r="P311" s="50"/>
      <c r="Q311" s="50"/>
      <c r="R311" s="50"/>
      <c r="S311" s="50"/>
      <c r="T311" s="50"/>
      <c r="U311" s="50"/>
      <c r="V311"/>
    </row>
    <row r="312" spans="1:22" x14ac:dyDescent="0.25">
      <c r="A312"/>
      <c r="B312"/>
      <c r="C312"/>
      <c r="D312"/>
      <c r="E312"/>
      <c r="F312" s="50"/>
      <c r="G312" s="50"/>
      <c r="H312" s="50"/>
      <c r="I312" s="50"/>
      <c r="J312" s="50"/>
      <c r="K312" s="370"/>
      <c r="L312" s="50"/>
      <c r="M312" s="50"/>
      <c r="N312" s="50"/>
      <c r="O312" s="50"/>
      <c r="P312" s="50"/>
      <c r="Q312" s="50"/>
      <c r="R312" s="50"/>
      <c r="S312" s="50"/>
      <c r="T312" s="50"/>
      <c r="U312" s="50"/>
      <c r="V312"/>
    </row>
    <row r="313" spans="1:22" x14ac:dyDescent="0.25">
      <c r="A313"/>
      <c r="B313"/>
      <c r="C313"/>
      <c r="D313"/>
      <c r="E313"/>
      <c r="F313" s="50"/>
      <c r="G313" s="50"/>
      <c r="H313" s="50"/>
      <c r="I313" s="50"/>
      <c r="J313" s="50"/>
      <c r="K313" s="370"/>
      <c r="L313" s="50"/>
      <c r="M313" s="50"/>
      <c r="N313" s="50"/>
      <c r="O313" s="50"/>
      <c r="P313" s="50"/>
      <c r="Q313" s="50"/>
      <c r="R313" s="50"/>
      <c r="S313" s="50"/>
      <c r="T313" s="50"/>
      <c r="U313" s="50"/>
      <c r="V313"/>
    </row>
    <row r="314" spans="1:22" x14ac:dyDescent="0.25">
      <c r="A314"/>
      <c r="B314"/>
      <c r="C314"/>
      <c r="D314"/>
      <c r="E314"/>
      <c r="F314" s="50"/>
      <c r="G314" s="50"/>
      <c r="H314" s="50"/>
      <c r="I314" s="50"/>
      <c r="J314" s="50"/>
      <c r="K314" s="370"/>
      <c r="L314" s="50"/>
      <c r="M314" s="50"/>
      <c r="N314" s="50"/>
      <c r="O314" s="50"/>
      <c r="P314" s="50"/>
      <c r="Q314" s="50"/>
      <c r="R314" s="50"/>
      <c r="S314" s="50"/>
      <c r="T314" s="50"/>
      <c r="U314" s="50"/>
      <c r="V314"/>
    </row>
  </sheetData>
  <autoFilter ref="B4:T4" xr:uid="{60A66BDB-1397-4F27-9092-02DE3CC88A83}">
    <sortState ref="B8:T202">
      <sortCondition descending="1" ref="E4"/>
    </sortState>
  </autoFilter>
  <mergeCells count="10">
    <mergeCell ref="A207:D207"/>
    <mergeCell ref="A1:A4"/>
    <mergeCell ref="B1:B4"/>
    <mergeCell ref="C1:C4"/>
    <mergeCell ref="D1:T1"/>
    <mergeCell ref="E2:E4"/>
    <mergeCell ref="F2:N2"/>
    <mergeCell ref="O2:T2"/>
    <mergeCell ref="N3:N4"/>
    <mergeCell ref="T3:T4"/>
  </mergeCells>
  <conditionalFormatting sqref="O208:P1048576 O207 O4:P4">
    <cfRule type="colorScale" priority="29">
      <colorScale>
        <cfvo type="min"/>
        <cfvo type="percentile" val="50"/>
        <cfvo type="max"/>
        <color rgb="FF63BE7B"/>
        <color rgb="FFFFEB84"/>
        <color rgb="FFF8696B"/>
      </colorScale>
    </cfRule>
  </conditionalFormatting>
  <conditionalFormatting sqref="T207:T208 T315:T1048576">
    <cfRule type="colorScale" priority="28">
      <colorScale>
        <cfvo type="min"/>
        <cfvo type="percentile" val="50"/>
        <cfvo type="max"/>
        <color rgb="FFF8696B"/>
        <color rgb="FFFFEB84"/>
        <color rgb="FF63BE7B"/>
      </colorScale>
    </cfRule>
  </conditionalFormatting>
  <conditionalFormatting sqref="U202">
    <cfRule type="colorScale" priority="27">
      <colorScale>
        <cfvo type="min"/>
        <cfvo type="percentile" val="50"/>
        <cfvo type="max"/>
        <color rgb="FFF8696B"/>
        <color rgb="FFFFEB84"/>
        <color rgb="FF63BE7B"/>
      </colorScale>
    </cfRule>
  </conditionalFormatting>
  <conditionalFormatting sqref="U284:U1048576">
    <cfRule type="colorScale" priority="26">
      <colorScale>
        <cfvo type="min"/>
        <cfvo type="percentile" val="50"/>
        <cfvo type="max"/>
        <color rgb="FFF8696B"/>
        <color rgb="FFFFEB84"/>
        <color rgb="FF63BE7B"/>
      </colorScale>
    </cfRule>
  </conditionalFormatting>
  <conditionalFormatting sqref="U4:U201">
    <cfRule type="colorScale" priority="25">
      <colorScale>
        <cfvo type="min"/>
        <cfvo type="percentile" val="50"/>
        <cfvo type="max"/>
        <color rgb="FFF8696B"/>
        <color rgb="FFFFEB84"/>
        <color rgb="FF63BE7B"/>
      </colorScale>
    </cfRule>
  </conditionalFormatting>
  <conditionalFormatting sqref="Q315:S1048576 Q4:R4 Q208:S208 S207">
    <cfRule type="colorScale" priority="30">
      <colorScale>
        <cfvo type="min"/>
        <cfvo type="percentile" val="50"/>
        <cfvo type="max"/>
        <color rgb="FFF8696B"/>
        <color rgb="FFFFEB84"/>
        <color rgb="FF63BE7B"/>
      </colorScale>
    </cfRule>
  </conditionalFormatting>
  <conditionalFormatting sqref="E203">
    <cfRule type="colorScale" priority="24">
      <colorScale>
        <cfvo type="min"/>
        <cfvo type="percentile" val="50"/>
        <cfvo type="max"/>
        <color rgb="FFF8696B"/>
        <color rgb="FFFFEB84"/>
        <color rgb="FF63BE7B"/>
      </colorScale>
    </cfRule>
  </conditionalFormatting>
  <conditionalFormatting sqref="K207:N208 F207:F208 F315:N1048576 F4:M4">
    <cfRule type="colorScale" priority="31">
      <colorScale>
        <cfvo type="min"/>
        <cfvo type="percentile" val="50"/>
        <cfvo type="max"/>
        <color rgb="FFF8696B"/>
        <color rgb="FFFFEB84"/>
        <color rgb="FF63BE7B"/>
      </colorScale>
    </cfRule>
  </conditionalFormatting>
  <conditionalFormatting sqref="E5:E202">
    <cfRule type="colorScale" priority="32">
      <colorScale>
        <cfvo type="min"/>
        <cfvo type="percentile" val="50"/>
        <cfvo type="max"/>
        <color rgb="FFF8696B"/>
        <color rgb="FFFFEB84"/>
        <color rgb="FF63BE7B"/>
      </colorScale>
    </cfRule>
  </conditionalFormatting>
  <conditionalFormatting sqref="S4">
    <cfRule type="colorScale" priority="23">
      <colorScale>
        <cfvo type="min"/>
        <cfvo type="percentile" val="50"/>
        <cfvo type="max"/>
        <color rgb="FFF8696B"/>
        <color rgb="FFFFEB84"/>
        <color rgb="FF63BE7B"/>
      </colorScale>
    </cfRule>
  </conditionalFormatting>
  <conditionalFormatting sqref="G207:J208">
    <cfRule type="colorScale" priority="22">
      <colorScale>
        <cfvo type="min"/>
        <cfvo type="percentile" val="50"/>
        <cfvo type="max"/>
        <color rgb="FFF8696B"/>
        <color rgb="FFFFEB84"/>
        <color rgb="FF63BE7B"/>
      </colorScale>
    </cfRule>
  </conditionalFormatting>
  <conditionalFormatting sqref="F5:F202">
    <cfRule type="colorScale" priority="21">
      <colorScale>
        <cfvo type="min"/>
        <cfvo type="percentile" val="50"/>
        <cfvo type="max"/>
        <color rgb="FFF8696B"/>
        <color rgb="FFFFEB84"/>
        <color rgb="FF63BE7B"/>
      </colorScale>
    </cfRule>
  </conditionalFormatting>
  <conditionalFormatting sqref="G5:G202">
    <cfRule type="colorScale" priority="20">
      <colorScale>
        <cfvo type="min"/>
        <cfvo type="percentile" val="50"/>
        <cfvo type="max"/>
        <color rgb="FFF8696B"/>
        <color rgb="FFFFEB84"/>
        <color rgb="FF63BE7B"/>
      </colorScale>
    </cfRule>
  </conditionalFormatting>
  <conditionalFormatting sqref="H5:H202">
    <cfRule type="colorScale" priority="19">
      <colorScale>
        <cfvo type="min"/>
        <cfvo type="percentile" val="50"/>
        <cfvo type="max"/>
        <color rgb="FFF8696B"/>
        <color rgb="FFFFEB84"/>
        <color rgb="FF63BE7B"/>
      </colorScale>
    </cfRule>
  </conditionalFormatting>
  <conditionalFormatting sqref="I5:I202">
    <cfRule type="colorScale" priority="18">
      <colorScale>
        <cfvo type="min"/>
        <cfvo type="percentile" val="50"/>
        <cfvo type="max"/>
        <color rgb="FFF8696B"/>
        <color rgb="FFFFEB84"/>
        <color rgb="FF63BE7B"/>
      </colorScale>
    </cfRule>
  </conditionalFormatting>
  <conditionalFormatting sqref="J5:J202">
    <cfRule type="colorScale" priority="17">
      <colorScale>
        <cfvo type="min"/>
        <cfvo type="percentile" val="50"/>
        <cfvo type="max"/>
        <color rgb="FFF8696B"/>
        <color rgb="FFFFEB84"/>
        <color rgb="FF63BE7B"/>
      </colorScale>
    </cfRule>
  </conditionalFormatting>
  <conditionalFormatting sqref="K5:K202">
    <cfRule type="colorScale" priority="16">
      <colorScale>
        <cfvo type="min"/>
        <cfvo type="percentile" val="50"/>
        <cfvo type="max"/>
        <color rgb="FFF8696B"/>
        <color rgb="FFFFEB84"/>
        <color rgb="FF63BE7B"/>
      </colorScale>
    </cfRule>
  </conditionalFormatting>
  <conditionalFormatting sqref="N5:N202">
    <cfRule type="colorScale" priority="15">
      <colorScale>
        <cfvo type="min"/>
        <cfvo type="percentile" val="50"/>
        <cfvo type="max"/>
        <color rgb="FFF8696B"/>
        <color rgb="FFFFEB84"/>
        <color rgb="FF63BE7B"/>
      </colorScale>
    </cfRule>
  </conditionalFormatting>
  <conditionalFormatting sqref="L5:L202">
    <cfRule type="colorScale" priority="14">
      <colorScale>
        <cfvo type="min"/>
        <cfvo type="percentile" val="50"/>
        <cfvo type="max"/>
        <color rgb="FFF8696B"/>
        <color rgb="FFFFEB84"/>
        <color rgb="FF63BE7B"/>
      </colorScale>
    </cfRule>
  </conditionalFormatting>
  <conditionalFormatting sqref="M5:M202">
    <cfRule type="colorScale" priority="13">
      <colorScale>
        <cfvo type="min"/>
        <cfvo type="percentile" val="50"/>
        <cfvo type="max"/>
        <color rgb="FFF8696B"/>
        <color rgb="FFFFEB84"/>
        <color rgb="FF63BE7B"/>
      </colorScale>
    </cfRule>
  </conditionalFormatting>
  <conditionalFormatting sqref="O5:O202">
    <cfRule type="colorScale" priority="12">
      <colorScale>
        <cfvo type="min"/>
        <cfvo type="percentile" val="50"/>
        <cfvo type="max"/>
        <color rgb="FFF8696B"/>
        <color rgb="FFFFEB84"/>
        <color rgb="FF63BE7B"/>
      </colorScale>
    </cfRule>
  </conditionalFormatting>
  <conditionalFormatting sqref="P5:P202">
    <cfRule type="colorScale" priority="11">
      <colorScale>
        <cfvo type="min"/>
        <cfvo type="percentile" val="50"/>
        <cfvo type="max"/>
        <color rgb="FFF8696B"/>
        <color rgb="FFFFEB84"/>
        <color rgb="FF63BE7B"/>
      </colorScale>
    </cfRule>
  </conditionalFormatting>
  <conditionalFormatting sqref="P207">
    <cfRule type="colorScale" priority="10">
      <colorScale>
        <cfvo type="min"/>
        <cfvo type="percentile" val="50"/>
        <cfvo type="max"/>
        <color rgb="FF63BE7B"/>
        <color rgb="FFFFEB84"/>
        <color rgb="FFF8696B"/>
      </colorScale>
    </cfRule>
  </conditionalFormatting>
  <conditionalFormatting sqref="Q5:Q202">
    <cfRule type="colorScale" priority="9">
      <colorScale>
        <cfvo type="min"/>
        <cfvo type="percentile" val="50"/>
        <cfvo type="max"/>
        <color rgb="FFF8696B"/>
        <color rgb="FFFFEB84"/>
        <color rgb="FF63BE7B"/>
      </colorScale>
    </cfRule>
  </conditionalFormatting>
  <conditionalFormatting sqref="R5:R202">
    <cfRule type="colorScale" priority="8">
      <colorScale>
        <cfvo type="min"/>
        <cfvo type="percentile" val="50"/>
        <cfvo type="max"/>
        <color rgb="FFF8696B"/>
        <color rgb="FFFFEB84"/>
        <color rgb="FF63BE7B"/>
      </colorScale>
    </cfRule>
  </conditionalFormatting>
  <conditionalFormatting sqref="Q207">
    <cfRule type="colorScale" priority="7">
      <colorScale>
        <cfvo type="min"/>
        <cfvo type="percentile" val="50"/>
        <cfvo type="max"/>
        <color rgb="FF63BE7B"/>
        <color rgb="FFFFEB84"/>
        <color rgb="FFF8696B"/>
      </colorScale>
    </cfRule>
  </conditionalFormatting>
  <conditionalFormatting sqref="R207">
    <cfRule type="colorScale" priority="6">
      <colorScale>
        <cfvo type="min"/>
        <cfvo type="percentile" val="50"/>
        <cfvo type="max"/>
        <color rgb="FF63BE7B"/>
        <color rgb="FFFFEB84"/>
        <color rgb="FFF8696B"/>
      </colorScale>
    </cfRule>
  </conditionalFormatting>
  <conditionalFormatting sqref="S5:S202">
    <cfRule type="colorScale" priority="5">
      <colorScale>
        <cfvo type="min"/>
        <cfvo type="percentile" val="50"/>
        <cfvo type="max"/>
        <color rgb="FFF8696B"/>
        <color rgb="FFFFEB84"/>
        <color rgb="FF63BE7B"/>
      </colorScale>
    </cfRule>
  </conditionalFormatting>
  <conditionalFormatting sqref="T5:T202">
    <cfRule type="colorScale" priority="4">
      <colorScale>
        <cfvo type="min"/>
        <cfvo type="percentile" val="50"/>
        <cfvo type="max"/>
        <color rgb="FFF8696B"/>
        <color rgb="FFFFEB84"/>
        <color rgb="FF63BE7B"/>
      </colorScale>
    </cfRule>
  </conditionalFormatting>
  <conditionalFormatting sqref="O2">
    <cfRule type="colorScale" priority="2">
      <colorScale>
        <cfvo type="min"/>
        <cfvo type="percentile" val="50"/>
        <cfvo type="max"/>
        <color rgb="FF63BE7B"/>
        <color rgb="FFFFEB84"/>
        <color rgb="FFF8696B"/>
      </colorScale>
    </cfRule>
  </conditionalFormatting>
  <conditionalFormatting sqref="T3">
    <cfRule type="colorScale" priority="1">
      <colorScale>
        <cfvo type="min"/>
        <cfvo type="percentile" val="50"/>
        <cfvo type="max"/>
        <color rgb="FFF8696B"/>
        <color rgb="FFFFEB84"/>
        <color rgb="FF63BE7B"/>
      </colorScale>
    </cfRule>
  </conditionalFormatting>
  <conditionalFormatting sqref="N3">
    <cfRule type="colorScale" priority="3">
      <colorScale>
        <cfvo type="min"/>
        <cfvo type="percentile" val="50"/>
        <cfvo type="max"/>
        <color rgb="FFF8696B"/>
        <color rgb="FFFFEB84"/>
        <color rgb="FF63BE7B"/>
      </colorScale>
    </cfRule>
  </conditionalFormatting>
  <hyperlinks>
    <hyperlink ref="S205" r:id="rId1" xr:uid="{A88AF8F8-1E6C-4F5B-8381-2B0DF7992311}"/>
    <hyperlink ref="R205" r:id="rId2" xr:uid="{B02203C3-701D-4C71-AD7F-47F5223D50AD}"/>
    <hyperlink ref="F205" r:id="rId3" xr:uid="{1925C6A1-240E-431A-81AA-38E3D0A97A12}"/>
    <hyperlink ref="K205" r:id="rId4" xr:uid="{DE0F0962-20E7-462B-81A8-18B9B3F458F7}"/>
    <hyperlink ref="L205" r:id="rId5" xr:uid="{2CF193AE-ACE2-4127-8813-7079FE457AA9}"/>
    <hyperlink ref="G205" r:id="rId6" xr:uid="{C2CEAC22-79B5-46FC-8B2C-C88CEF88C129}"/>
    <hyperlink ref="J205" r:id="rId7" xr:uid="{E5E78C40-EB0C-4104-8BCA-CDCE58092873}"/>
    <hyperlink ref="H205" r:id="rId8" xr:uid="{95E582B8-2CDB-4370-A2CA-8AFF3AE199E0}"/>
    <hyperlink ref="I205" r:id="rId9" xr:uid="{D5294033-1A37-43C1-8774-C4E0A3599560}"/>
    <hyperlink ref="M205" r:id="rId10" xr:uid="{308C5C9D-CC5C-4C7C-96B4-21B29188FCF3}"/>
    <hyperlink ref="O205" r:id="rId11" xr:uid="{1C6F12B0-36B5-47D9-B0F0-611FC7501164}"/>
    <hyperlink ref="P205" r:id="rId12" xr:uid="{026650AD-3999-427C-97ED-0E9571510143}"/>
    <hyperlink ref="Q205" r:id="rId13" xr:uid="{79F47B18-4AA9-4117-9931-4AC3A4CD257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8A6C7-7EF3-42D1-947B-F6238CBD049C}">
  <dimension ref="A1:AE314"/>
  <sheetViews>
    <sheetView workbookViewId="0">
      <selection activeCell="H230" sqref="H230"/>
    </sheetView>
  </sheetViews>
  <sheetFormatPr baseColWidth="10" defaultRowHeight="15" x14ac:dyDescent="0.25"/>
  <cols>
    <col min="1" max="1" width="6.140625" style="52" customWidth="1"/>
    <col min="2" max="2" width="9.85546875" style="30" customWidth="1"/>
    <col min="3" max="3" width="21.28515625" style="30" customWidth="1"/>
    <col min="4" max="4" width="31.28515625" style="51" customWidth="1"/>
    <col min="5" max="5" width="18" style="5" customWidth="1"/>
    <col min="6" max="18" width="8.85546875" style="365" customWidth="1"/>
    <col min="19" max="19" width="8.85546875" style="411" customWidth="1"/>
    <col min="20" max="28" width="8.85546875" style="365" customWidth="1"/>
    <col min="29" max="29" width="0.5703125" customWidth="1"/>
    <col min="30" max="30" width="28" style="51" customWidth="1"/>
  </cols>
  <sheetData>
    <row r="1" spans="1:31" ht="15.75" customHeight="1" x14ac:dyDescent="0.25">
      <c r="A1" s="550" t="s">
        <v>875</v>
      </c>
      <c r="B1" s="518" t="s">
        <v>0</v>
      </c>
      <c r="C1" s="518" t="s">
        <v>1</v>
      </c>
      <c r="D1" s="523" t="s">
        <v>311</v>
      </c>
      <c r="E1" s="562"/>
      <c r="F1" s="562"/>
      <c r="G1" s="562"/>
      <c r="H1" s="562"/>
      <c r="I1" s="562"/>
      <c r="J1" s="562"/>
      <c r="K1" s="562"/>
      <c r="L1" s="562"/>
      <c r="M1" s="562"/>
      <c r="N1" s="562"/>
      <c r="O1" s="562"/>
      <c r="P1" s="562"/>
      <c r="Q1" s="562"/>
      <c r="R1" s="562"/>
      <c r="S1" s="562"/>
      <c r="T1" s="562"/>
      <c r="U1" s="562"/>
      <c r="V1" s="562"/>
      <c r="W1" s="562"/>
      <c r="X1" s="562"/>
      <c r="Y1" s="562"/>
      <c r="Z1" s="562"/>
      <c r="AA1" s="562"/>
      <c r="AB1" s="562"/>
      <c r="AC1" s="1"/>
    </row>
    <row r="2" spans="1:31" ht="15.75" customHeight="1" x14ac:dyDescent="0.25">
      <c r="A2" s="550"/>
      <c r="B2" s="519"/>
      <c r="C2" s="519"/>
      <c r="D2" s="392" t="s">
        <v>962</v>
      </c>
      <c r="E2" s="563" t="s">
        <v>993</v>
      </c>
      <c r="F2" s="557" t="s">
        <v>994</v>
      </c>
      <c r="G2" s="558"/>
      <c r="H2" s="558"/>
      <c r="I2" s="558"/>
      <c r="J2" s="558"/>
      <c r="K2" s="558"/>
      <c r="L2" s="558"/>
      <c r="M2" s="558"/>
      <c r="N2" s="558"/>
      <c r="O2" s="558"/>
      <c r="P2" s="558"/>
      <c r="Q2" s="558"/>
      <c r="R2" s="558"/>
      <c r="S2" s="558"/>
      <c r="T2" s="558"/>
      <c r="U2" s="559"/>
      <c r="V2" s="557" t="s">
        <v>995</v>
      </c>
      <c r="W2" s="558"/>
      <c r="X2" s="559"/>
      <c r="Y2" s="557" t="s">
        <v>996</v>
      </c>
      <c r="Z2" s="558"/>
      <c r="AA2" s="558"/>
      <c r="AB2" s="559"/>
      <c r="AC2" s="1"/>
    </row>
    <row r="3" spans="1:31" ht="15.75" customHeight="1" x14ac:dyDescent="0.25">
      <c r="A3" s="550"/>
      <c r="B3" s="519"/>
      <c r="C3" s="519"/>
      <c r="D3" s="392" t="s">
        <v>966</v>
      </c>
      <c r="E3" s="564"/>
      <c r="F3" s="394">
        <v>2</v>
      </c>
      <c r="G3" s="394">
        <v>2</v>
      </c>
      <c r="H3" s="394">
        <v>2</v>
      </c>
      <c r="I3" s="394">
        <v>2</v>
      </c>
      <c r="J3" s="394">
        <v>2</v>
      </c>
      <c r="K3" s="394">
        <v>0.5</v>
      </c>
      <c r="L3" s="394">
        <v>0.5</v>
      </c>
      <c r="M3" s="394">
        <v>0.5</v>
      </c>
      <c r="N3" s="394">
        <v>0.5</v>
      </c>
      <c r="O3" s="394">
        <v>0.5</v>
      </c>
      <c r="P3" s="394">
        <v>0.5</v>
      </c>
      <c r="Q3" s="394">
        <v>0.5</v>
      </c>
      <c r="R3" s="394">
        <v>0.5</v>
      </c>
      <c r="S3" s="394">
        <v>0.5</v>
      </c>
      <c r="T3" s="394">
        <v>0.5</v>
      </c>
      <c r="U3" s="560" t="s">
        <v>877</v>
      </c>
      <c r="V3" s="394">
        <v>1</v>
      </c>
      <c r="W3" s="394">
        <v>1</v>
      </c>
      <c r="X3" s="560" t="s">
        <v>877</v>
      </c>
      <c r="Y3" s="394">
        <v>1</v>
      </c>
      <c r="Z3" s="394">
        <v>1</v>
      </c>
      <c r="AA3" s="394">
        <v>1</v>
      </c>
      <c r="AB3" s="560" t="s">
        <v>877</v>
      </c>
      <c r="AC3" s="1"/>
    </row>
    <row r="4" spans="1:31" ht="162.75" customHeight="1" x14ac:dyDescent="0.25">
      <c r="A4" s="551"/>
      <c r="B4" s="520"/>
      <c r="C4" s="520"/>
      <c r="D4" s="395" t="s">
        <v>2</v>
      </c>
      <c r="E4" s="565"/>
      <c r="F4" s="396" t="s">
        <v>997</v>
      </c>
      <c r="G4" s="396" t="s">
        <v>998</v>
      </c>
      <c r="H4" s="396" t="s">
        <v>999</v>
      </c>
      <c r="I4" s="396" t="s">
        <v>1000</v>
      </c>
      <c r="J4" s="396" t="s">
        <v>1001</v>
      </c>
      <c r="K4" s="396" t="s">
        <v>1002</v>
      </c>
      <c r="L4" s="396" t="s">
        <v>1003</v>
      </c>
      <c r="M4" s="396" t="s">
        <v>1004</v>
      </c>
      <c r="N4" s="396" t="s">
        <v>1005</v>
      </c>
      <c r="O4" s="396" t="s">
        <v>1006</v>
      </c>
      <c r="P4" s="396" t="s">
        <v>1007</v>
      </c>
      <c r="Q4" s="396" t="s">
        <v>1008</v>
      </c>
      <c r="R4" s="397" t="s">
        <v>1009</v>
      </c>
      <c r="S4" s="396" t="s">
        <v>1010</v>
      </c>
      <c r="T4" s="396" t="s">
        <v>1011</v>
      </c>
      <c r="U4" s="561"/>
      <c r="V4" s="396" t="s">
        <v>1012</v>
      </c>
      <c r="W4" s="396" t="s">
        <v>1013</v>
      </c>
      <c r="X4" s="561"/>
      <c r="Y4" s="396" t="s">
        <v>1014</v>
      </c>
      <c r="Z4" s="396" t="s">
        <v>1015</v>
      </c>
      <c r="AA4" s="396" t="s">
        <v>1016</v>
      </c>
      <c r="AB4" s="561"/>
      <c r="AC4" s="399"/>
      <c r="AD4" s="329"/>
      <c r="AE4" s="329"/>
    </row>
    <row r="5" spans="1:31" s="5" customFormat="1" ht="15.75" customHeight="1" x14ac:dyDescent="0.25">
      <c r="A5" s="2">
        <v>1</v>
      </c>
      <c r="B5" s="3" t="s">
        <v>10</v>
      </c>
      <c r="C5" s="22" t="s">
        <v>49</v>
      </c>
      <c r="D5" s="400" t="s">
        <v>185</v>
      </c>
      <c r="E5" s="415">
        <f t="shared" ref="E5:E36" si="0">(U5*50+X5*25+AB5*25)/100</f>
        <v>70.350998277353426</v>
      </c>
      <c r="F5" s="402">
        <v>13.899294579999999</v>
      </c>
      <c r="G5" s="402">
        <v>245.5125348</v>
      </c>
      <c r="H5" s="402">
        <v>2.2793995520000001</v>
      </c>
      <c r="I5" s="402">
        <v>14.333622</v>
      </c>
      <c r="J5" s="402">
        <v>23.396697939999999</v>
      </c>
      <c r="K5" s="402">
        <v>116.95792969999999</v>
      </c>
      <c r="L5" s="402">
        <v>436.89547950000002</v>
      </c>
      <c r="M5" s="402">
        <v>315.7822668</v>
      </c>
      <c r="N5" s="402">
        <v>173.87179190000001</v>
      </c>
      <c r="O5" s="402">
        <v>583.36389440000005</v>
      </c>
      <c r="P5" s="402">
        <v>443.35138669999998</v>
      </c>
      <c r="Q5" s="402">
        <v>318.44594910000001</v>
      </c>
      <c r="R5" s="402">
        <v>634.35905270000001</v>
      </c>
      <c r="S5" s="402">
        <v>2116.5144230000001</v>
      </c>
      <c r="T5" s="402">
        <v>596.70579299999997</v>
      </c>
      <c r="U5" s="407">
        <f t="shared" ref="U5:U36" si="1">((LN(1500)-LN(MAX(MIN(F5,1500),10)))/(LN(1500)-LN(10))*100*2+(LN(700)-LN(MAX(MIN(G5,700),200)))/(LN(700)-LN(200))*100*2+(LN(200)-LN(MAX(MIN(H5,200),10)))/(LN(200)-LN(10))*100*2+(LN(1000)-LN(MAX(MIN(I5,1000),10)))/(LN(1000)-LN(10))*100*2+(LN(150)-LN(MAX(MIN(J5,150),20)))/(LN(150)-LN(20))*100*2+(LN(300)-LN(MAX(MIN(K5,300),20)))/(LN(300)-LN(20))*100*0.5+(LN(800)-LN(MAX(MIN(L5,800),250)))/(LN(800)-LN(250))*100*0.5+(LN(800)-LN(MAX(MIN(M5,800),200)))/(LN(800)-LN(200))*100*0.5+(LN(350)-LN(MAX(MIN(N5,350),100)))/(LN(350)-LN(100))*100*0.5+(LN(1500)-LN(MAX(MIN(O5,1500),550)))/(LN(1500)-LN(550))*100*0.5+(LN(2000)-LN(MAX(MIN(P5,2000),200)))/(LN(2000)-LN(200))*100*0.5+(LN(600)-LN(MAX(MIN(Q5,600),200)))/(LN(600)-LN(200))*100*0.5+(LN(1300)-LN(MAX(MIN(R5,1300),300)))/(LN(1300)-LN(300))*100*0.5+(LN(3000)-LN(MAX(MIN(S5,3000),1000)))/(LN(3000)-LN(1000))*100*0.5+(LN(1500)-LN(MAX(MIN(T5,1500),550)))/(LN(1500)-LN(550))*100*0.5)/15</f>
        <v>81.51032430521785</v>
      </c>
      <c r="V5" s="402">
        <v>9.4412774055040192</v>
      </c>
      <c r="W5" s="402">
        <v>306.86542989372998</v>
      </c>
      <c r="X5" s="407">
        <f t="shared" ref="X5:X36" si="2">((LN(30)-LN(MAX(MIN(V5,30),1)))/(LN(30)-LN(1))*100+(LN(1500)-LN(MAX(MIN(W5,1500),300)))/(LN(1500)-LN(300))*100)/2</f>
        <v>66.292632593865804</v>
      </c>
      <c r="Y5" s="402">
        <v>93.239772276109903</v>
      </c>
      <c r="Z5" s="402">
        <v>487.14325206907102</v>
      </c>
      <c r="AA5" s="402">
        <v>169.73727293338399</v>
      </c>
      <c r="AB5" s="407">
        <f t="shared" ref="AB5:AB36" si="3">((LN(500)-LN(MAX(MIN(Y5,500),30)))/(LN(500)-LN(30))*100+(LN(1600)-LN(MAX(MIN(Z5,1600),100)))/(LN(1600)-LN(100))*100+(LN(700)-LN(MAX(MIN(AA5,700),50)))/(LN(700)-LN(50))*100)/3</f>
        <v>52.090711905112244</v>
      </c>
      <c r="AC5" s="399"/>
      <c r="AD5" s="121"/>
    </row>
    <row r="6" spans="1:31" s="5" customFormat="1" ht="15.75" customHeight="1" x14ac:dyDescent="0.25">
      <c r="A6" s="2">
        <v>2</v>
      </c>
      <c r="B6" s="3" t="s">
        <v>10</v>
      </c>
      <c r="C6" s="22" t="s">
        <v>49</v>
      </c>
      <c r="D6" s="400" t="s">
        <v>50</v>
      </c>
      <c r="E6" s="415">
        <f t="shared" si="0"/>
        <v>63.559000366816655</v>
      </c>
      <c r="F6" s="402">
        <v>17.365146837480001</v>
      </c>
      <c r="G6" s="402">
        <v>221.84055961467999</v>
      </c>
      <c r="H6" s="402">
        <v>6.3984970262500003</v>
      </c>
      <c r="I6" s="402">
        <v>50.287962066189998</v>
      </c>
      <c r="J6" s="402">
        <v>29.185139213340001</v>
      </c>
      <c r="K6" s="402">
        <v>85.086410319850003</v>
      </c>
      <c r="L6" s="402">
        <v>415.02480329216002</v>
      </c>
      <c r="M6" s="402">
        <v>299.82878030111999</v>
      </c>
      <c r="N6" s="402">
        <v>203.08418316526999</v>
      </c>
      <c r="O6" s="402">
        <v>667.51091491431998</v>
      </c>
      <c r="P6" s="402">
        <v>758.44837719930001</v>
      </c>
      <c r="Q6" s="402">
        <v>317.06103480862998</v>
      </c>
      <c r="R6" s="402">
        <v>620.81789919177902</v>
      </c>
      <c r="S6" s="402">
        <v>2177.12100774194</v>
      </c>
      <c r="T6" s="402">
        <v>631.33977124439002</v>
      </c>
      <c r="U6" s="407">
        <f t="shared" si="1"/>
        <v>75.714533302703572</v>
      </c>
      <c r="V6" s="402">
        <v>4.3502810082948704</v>
      </c>
      <c r="W6" s="402">
        <v>485.68816124396</v>
      </c>
      <c r="X6" s="407">
        <f t="shared" si="2"/>
        <v>63.418957876413792</v>
      </c>
      <c r="Y6" s="402">
        <v>91.999785049867896</v>
      </c>
      <c r="Z6" s="402">
        <v>815.57096536618405</v>
      </c>
      <c r="AA6" s="402">
        <v>287.72246366836799</v>
      </c>
      <c r="AB6" s="407">
        <f t="shared" si="3"/>
        <v>39.387976985445668</v>
      </c>
      <c r="AC6" s="399"/>
      <c r="AD6" s="121"/>
    </row>
    <row r="7" spans="1:31" s="5" customFormat="1" ht="15.75" customHeight="1" x14ac:dyDescent="0.25">
      <c r="A7" s="2">
        <v>3</v>
      </c>
      <c r="B7" s="6" t="s">
        <v>13</v>
      </c>
      <c r="C7" s="10" t="s">
        <v>19</v>
      </c>
      <c r="D7" s="400" t="s">
        <v>140</v>
      </c>
      <c r="E7" s="415">
        <f t="shared" si="0"/>
        <v>63.504990217541071</v>
      </c>
      <c r="F7" s="402">
        <v>13.06908237</v>
      </c>
      <c r="G7" s="402">
        <v>222.0920988</v>
      </c>
      <c r="H7" s="402">
        <v>38.479648130000001</v>
      </c>
      <c r="I7" s="402">
        <v>11.827496269999999</v>
      </c>
      <c r="J7" s="402">
        <v>21.45031286</v>
      </c>
      <c r="K7" s="402">
        <v>142.8431119</v>
      </c>
      <c r="L7" s="402">
        <v>298.5661905</v>
      </c>
      <c r="M7" s="402">
        <v>414.51303380000002</v>
      </c>
      <c r="N7" s="402">
        <v>200.9910433</v>
      </c>
      <c r="O7" s="402">
        <v>876.10976359999995</v>
      </c>
      <c r="P7" s="402">
        <v>394.34919059999999</v>
      </c>
      <c r="Q7" s="402">
        <v>314.47348749999998</v>
      </c>
      <c r="R7" s="402">
        <v>456.94918469999999</v>
      </c>
      <c r="S7" s="402">
        <v>2029.003197</v>
      </c>
      <c r="T7" s="402">
        <v>875.80675650000001</v>
      </c>
      <c r="U7" s="407">
        <f t="shared" si="1"/>
        <v>76.13539683501898</v>
      </c>
      <c r="V7" s="402">
        <v>4.60888259194365</v>
      </c>
      <c r="W7" s="402">
        <v>418.49353110787001</v>
      </c>
      <c r="X7" s="407">
        <f t="shared" si="2"/>
        <v>67.196070241972294</v>
      </c>
      <c r="Y7" s="402">
        <v>153.364903016</v>
      </c>
      <c r="Z7" s="402">
        <v>644.36495858654496</v>
      </c>
      <c r="AA7" s="402">
        <v>326.91279668573401</v>
      </c>
      <c r="AB7" s="407">
        <f t="shared" si="3"/>
        <v>34.553096958154001</v>
      </c>
      <c r="AC7" s="399"/>
      <c r="AD7" s="121"/>
    </row>
    <row r="8" spans="1:31" s="5" customFormat="1" ht="15.75" customHeight="1" x14ac:dyDescent="0.25">
      <c r="A8" s="2">
        <v>4</v>
      </c>
      <c r="B8" s="6" t="s">
        <v>13</v>
      </c>
      <c r="C8" s="10" t="s">
        <v>19</v>
      </c>
      <c r="D8" s="400" t="s">
        <v>71</v>
      </c>
      <c r="E8" s="415">
        <f t="shared" si="0"/>
        <v>62.57685495203441</v>
      </c>
      <c r="F8" s="402">
        <v>9.5807264152799991</v>
      </c>
      <c r="G8" s="402">
        <v>215.65892386843001</v>
      </c>
      <c r="H8" s="402">
        <v>51.61784004866</v>
      </c>
      <c r="I8" s="402">
        <v>9.8040158258699996</v>
      </c>
      <c r="J8" s="402">
        <v>18.46001552785</v>
      </c>
      <c r="K8" s="402">
        <v>174.64179984615899</v>
      </c>
      <c r="L8" s="402">
        <v>287.44881865478999</v>
      </c>
      <c r="M8" s="402">
        <v>391.90264973751999</v>
      </c>
      <c r="N8" s="402">
        <v>187.07062558455999</v>
      </c>
      <c r="O8" s="402">
        <v>907.52360239351901</v>
      </c>
      <c r="P8" s="402">
        <v>492.54184910668999</v>
      </c>
      <c r="Q8" s="402">
        <v>312.39200857144999</v>
      </c>
      <c r="R8" s="402">
        <v>447.89764103981003</v>
      </c>
      <c r="S8" s="402">
        <v>2009.11719831444</v>
      </c>
      <c r="T8" s="402">
        <v>901.90991757251902</v>
      </c>
      <c r="U8" s="407">
        <f t="shared" si="1"/>
        <v>76.548569749813552</v>
      </c>
      <c r="V8" s="402">
        <v>4.3310006885844903</v>
      </c>
      <c r="W8" s="402">
        <v>554.18834336807004</v>
      </c>
      <c r="X8" s="407">
        <f t="shared" si="2"/>
        <v>59.385376805091113</v>
      </c>
      <c r="Y8" s="402">
        <v>98.243576652038698</v>
      </c>
      <c r="Z8" s="402">
        <v>660.13735652345304</v>
      </c>
      <c r="AA8" s="402">
        <v>374.43211653236699</v>
      </c>
      <c r="AB8" s="407">
        <f t="shared" si="3"/>
        <v>37.824903503419407</v>
      </c>
      <c r="AC8" s="399"/>
      <c r="AD8" s="121"/>
    </row>
    <row r="9" spans="1:31" s="13" customFormat="1" ht="15.75" customHeight="1" x14ac:dyDescent="0.25">
      <c r="A9" s="2">
        <v>5</v>
      </c>
      <c r="B9" s="6" t="s">
        <v>13</v>
      </c>
      <c r="C9" s="10" t="s">
        <v>19</v>
      </c>
      <c r="D9" s="400" t="s">
        <v>111</v>
      </c>
      <c r="E9" s="415">
        <f t="shared" si="0"/>
        <v>62.067385103663881</v>
      </c>
      <c r="F9" s="402">
        <v>21.446584080000001</v>
      </c>
      <c r="G9" s="402">
        <v>287.55762470000002</v>
      </c>
      <c r="H9" s="402">
        <v>19.474720529999999</v>
      </c>
      <c r="I9" s="402">
        <v>9.112137122</v>
      </c>
      <c r="J9" s="402">
        <v>19.696186430000001</v>
      </c>
      <c r="K9" s="402">
        <v>194.63038900000001</v>
      </c>
      <c r="L9" s="402">
        <v>355.18334229999999</v>
      </c>
      <c r="M9" s="402">
        <v>387.72366699999998</v>
      </c>
      <c r="N9" s="402">
        <v>228.96662219999999</v>
      </c>
      <c r="O9" s="402">
        <v>1024.538908</v>
      </c>
      <c r="P9" s="402">
        <v>380.3054285</v>
      </c>
      <c r="Q9" s="402">
        <v>325.63940380000003</v>
      </c>
      <c r="R9" s="402">
        <v>528.11514209999996</v>
      </c>
      <c r="S9" s="402">
        <v>2067.1542319999999</v>
      </c>
      <c r="T9" s="402">
        <v>1025.5050209999999</v>
      </c>
      <c r="U9" s="407">
        <f t="shared" si="1"/>
        <v>73.500501971272172</v>
      </c>
      <c r="V9" s="402">
        <v>6.9556962490413099</v>
      </c>
      <c r="W9" s="402">
        <v>416.91971303682999</v>
      </c>
      <c r="X9" s="407">
        <f t="shared" si="2"/>
        <v>61.262672492060474</v>
      </c>
      <c r="Y9" s="402">
        <v>114.54594733622</v>
      </c>
      <c r="Z9" s="402">
        <v>557.70963491037401</v>
      </c>
      <c r="AA9" s="402">
        <v>320.28696419047401</v>
      </c>
      <c r="AB9" s="407">
        <f t="shared" si="3"/>
        <v>40.005863980050712</v>
      </c>
      <c r="AC9" s="399"/>
      <c r="AD9" s="354"/>
    </row>
    <row r="10" spans="1:31" s="5" customFormat="1" ht="15.75" customHeight="1" x14ac:dyDescent="0.25">
      <c r="A10" s="2">
        <v>6</v>
      </c>
      <c r="B10" s="3" t="s">
        <v>10</v>
      </c>
      <c r="C10" s="19" t="s">
        <v>35</v>
      </c>
      <c r="D10" s="400" t="s">
        <v>162</v>
      </c>
      <c r="E10" s="415">
        <f t="shared" si="0"/>
        <v>61.892105658631699</v>
      </c>
      <c r="F10" s="402">
        <v>13.81015266</v>
      </c>
      <c r="G10" s="402">
        <v>212.23472409999999</v>
      </c>
      <c r="H10" s="402">
        <v>29.545984799999999</v>
      </c>
      <c r="I10" s="402">
        <v>43.986271719999998</v>
      </c>
      <c r="J10" s="402">
        <v>33.563834540000002</v>
      </c>
      <c r="K10" s="402">
        <v>47.229118049999997</v>
      </c>
      <c r="L10" s="402">
        <v>526.16247129999999</v>
      </c>
      <c r="M10" s="402">
        <v>372.84695090000002</v>
      </c>
      <c r="N10" s="402">
        <v>202.4788647</v>
      </c>
      <c r="O10" s="402">
        <v>828.38038770000003</v>
      </c>
      <c r="P10" s="402">
        <v>956.51628370000003</v>
      </c>
      <c r="Q10" s="402">
        <v>566.93109819999995</v>
      </c>
      <c r="R10" s="402">
        <v>889.55352140000002</v>
      </c>
      <c r="S10" s="402">
        <v>1856.972728</v>
      </c>
      <c r="T10" s="402">
        <v>999.72636309999996</v>
      </c>
      <c r="U10" s="407">
        <f t="shared" si="1"/>
        <v>66.285841080264177</v>
      </c>
      <c r="V10" s="402">
        <v>1.2751340879151101</v>
      </c>
      <c r="W10" s="402">
        <v>660.80763049617997</v>
      </c>
      <c r="X10" s="407">
        <f t="shared" si="2"/>
        <v>71.894176187586126</v>
      </c>
      <c r="Y10" s="402">
        <v>83.133160625278506</v>
      </c>
      <c r="Z10" s="402">
        <v>1042.3307097192301</v>
      </c>
      <c r="AA10" s="402">
        <v>186.69146474339499</v>
      </c>
      <c r="AB10" s="407">
        <f t="shared" si="3"/>
        <v>43.102564286412324</v>
      </c>
      <c r="AC10" s="399"/>
      <c r="AD10" s="121"/>
    </row>
    <row r="11" spans="1:31" s="5" customFormat="1" ht="15.75" customHeight="1" x14ac:dyDescent="0.25">
      <c r="A11" s="2">
        <v>7</v>
      </c>
      <c r="B11" s="6" t="s">
        <v>13</v>
      </c>
      <c r="C11" s="7" t="s">
        <v>14</v>
      </c>
      <c r="D11" s="400" t="s">
        <v>15</v>
      </c>
      <c r="E11" s="415">
        <f t="shared" si="0"/>
        <v>61.851297180247613</v>
      </c>
      <c r="F11" s="402">
        <v>8.3761428205899993</v>
      </c>
      <c r="G11" s="402">
        <v>363.86339963058998</v>
      </c>
      <c r="H11" s="402">
        <v>10.71147278824</v>
      </c>
      <c r="I11" s="402">
        <v>25.080504931369902</v>
      </c>
      <c r="J11" s="402">
        <v>31.962762971019998</v>
      </c>
      <c r="K11" s="402">
        <v>68.76408940588</v>
      </c>
      <c r="L11" s="402">
        <v>456.19926318914003</v>
      </c>
      <c r="M11" s="402">
        <v>368.67113109901999</v>
      </c>
      <c r="N11" s="402">
        <v>225.07280067963899</v>
      </c>
      <c r="O11" s="402">
        <v>815.20803589633999</v>
      </c>
      <c r="P11" s="402">
        <v>356.44714307005898</v>
      </c>
      <c r="Q11" s="402">
        <v>316.10317133502002</v>
      </c>
      <c r="R11" s="402">
        <v>722.09013923323005</v>
      </c>
      <c r="S11" s="402">
        <v>2066.0429454228502</v>
      </c>
      <c r="T11" s="402">
        <v>837.76550894782997</v>
      </c>
      <c r="U11" s="407">
        <f t="shared" si="1"/>
        <v>71.557580919368462</v>
      </c>
      <c r="V11" s="402">
        <v>4.9766234449617803</v>
      </c>
      <c r="W11" s="402">
        <v>420.78524195661998</v>
      </c>
      <c r="X11" s="407">
        <f t="shared" si="2"/>
        <v>65.897892614292459</v>
      </c>
      <c r="Y11" s="402">
        <v>85.291711009631996</v>
      </c>
      <c r="Z11" s="402">
        <v>543.04291299317094</v>
      </c>
      <c r="AA11" s="402">
        <v>492.24124856642499</v>
      </c>
      <c r="AB11" s="407">
        <f t="shared" si="3"/>
        <v>38.392134267961055</v>
      </c>
      <c r="AC11" s="399"/>
      <c r="AD11" s="121"/>
    </row>
    <row r="12" spans="1:31" s="5" customFormat="1" ht="15.75" customHeight="1" x14ac:dyDescent="0.25">
      <c r="A12" s="2">
        <v>8</v>
      </c>
      <c r="B12" s="3" t="s">
        <v>10</v>
      </c>
      <c r="C12" s="22" t="s">
        <v>49</v>
      </c>
      <c r="D12" s="400" t="s">
        <v>102</v>
      </c>
      <c r="E12" s="415">
        <f t="shared" si="0"/>
        <v>60.909687653728</v>
      </c>
      <c r="F12" s="403">
        <v>8.4322265009826651</v>
      </c>
      <c r="G12" s="403">
        <v>161.56127353106763</v>
      </c>
      <c r="H12" s="403">
        <v>36.588210321345059</v>
      </c>
      <c r="I12" s="403">
        <v>24.747133795763034</v>
      </c>
      <c r="J12" s="403">
        <v>20.784551925884898</v>
      </c>
      <c r="K12" s="403">
        <v>138.27863513192358</v>
      </c>
      <c r="L12" s="403">
        <v>404.09398769113255</v>
      </c>
      <c r="M12" s="403">
        <v>287.92750736982896</v>
      </c>
      <c r="N12" s="403">
        <v>183.3128391304283</v>
      </c>
      <c r="O12" s="403">
        <v>651.47943625737753</v>
      </c>
      <c r="P12" s="403">
        <v>573.42538822575921</v>
      </c>
      <c r="Q12" s="403">
        <v>358.46862145739931</v>
      </c>
      <c r="R12" s="403">
        <v>622.00002468382081</v>
      </c>
      <c r="S12" s="403">
        <v>2228.8159268951968</v>
      </c>
      <c r="T12" s="403">
        <v>656.72097726532479</v>
      </c>
      <c r="U12" s="407">
        <f t="shared" si="1"/>
        <v>76.567438624286481</v>
      </c>
      <c r="V12" s="416">
        <v>13.5</v>
      </c>
      <c r="W12" s="403">
        <v>481.75101652183997</v>
      </c>
      <c r="X12" s="407">
        <f t="shared" si="2"/>
        <v>47.024018760097057</v>
      </c>
      <c r="Y12" s="403">
        <v>103.63185752911733</v>
      </c>
      <c r="Z12" s="403">
        <v>553.68688828875452</v>
      </c>
      <c r="AA12" s="403">
        <v>269.07547023628285</v>
      </c>
      <c r="AB12" s="407">
        <f t="shared" si="3"/>
        <v>43.47985460624195</v>
      </c>
      <c r="AC12" s="399"/>
      <c r="AD12" s="121"/>
    </row>
    <row r="13" spans="1:31" s="5" customFormat="1" ht="15.75" customHeight="1" x14ac:dyDescent="0.25">
      <c r="A13" s="2">
        <v>9</v>
      </c>
      <c r="B13" s="3" t="s">
        <v>10</v>
      </c>
      <c r="C13" s="22" t="s">
        <v>49</v>
      </c>
      <c r="D13" s="400" t="s">
        <v>62</v>
      </c>
      <c r="E13" s="415">
        <f t="shared" si="0"/>
        <v>60.650259614304659</v>
      </c>
      <c r="F13" s="402">
        <v>12.99793996503</v>
      </c>
      <c r="G13" s="402">
        <v>133.43839823550999</v>
      </c>
      <c r="H13" s="402">
        <v>27.48528074791</v>
      </c>
      <c r="I13" s="402">
        <v>73.531795161529999</v>
      </c>
      <c r="J13" s="402">
        <v>31.41762463841</v>
      </c>
      <c r="K13" s="402">
        <v>83.82156923558</v>
      </c>
      <c r="L13" s="402">
        <v>460.16629364720001</v>
      </c>
      <c r="M13" s="402">
        <v>239.16011367211999</v>
      </c>
      <c r="N13" s="402">
        <v>171.97475751414899</v>
      </c>
      <c r="O13" s="402">
        <v>723.41298138325999</v>
      </c>
      <c r="P13" s="402">
        <v>447.21984134396001</v>
      </c>
      <c r="Q13" s="402">
        <v>503.49519642305</v>
      </c>
      <c r="R13" s="402">
        <v>973.43298711259899</v>
      </c>
      <c r="S13" s="402">
        <v>1477.6963146446899</v>
      </c>
      <c r="T13" s="402">
        <v>815.87551234703005</v>
      </c>
      <c r="U13" s="407">
        <f t="shared" si="1"/>
        <v>70.604780864320617</v>
      </c>
      <c r="V13" s="402">
        <v>6.7335835834587003</v>
      </c>
      <c r="W13" s="402">
        <v>556.73763558052997</v>
      </c>
      <c r="X13" s="407">
        <f t="shared" si="2"/>
        <v>52.755244566421162</v>
      </c>
      <c r="Y13" s="402">
        <v>87.831675340043404</v>
      </c>
      <c r="Z13" s="402">
        <v>379.57351883054901</v>
      </c>
      <c r="AA13" s="402">
        <v>299.25357691297899</v>
      </c>
      <c r="AB13" s="407">
        <f t="shared" si="3"/>
        <v>48.636232162156233</v>
      </c>
      <c r="AC13" s="399"/>
      <c r="AD13" s="121"/>
    </row>
    <row r="14" spans="1:31" s="5" customFormat="1" ht="15.75" customHeight="1" x14ac:dyDescent="0.25">
      <c r="A14" s="2">
        <v>10</v>
      </c>
      <c r="B14" s="6" t="s">
        <v>13</v>
      </c>
      <c r="C14" s="7" t="s">
        <v>14</v>
      </c>
      <c r="D14" s="400" t="s">
        <v>174</v>
      </c>
      <c r="E14" s="415">
        <f t="shared" si="0"/>
        <v>60.389369183977259</v>
      </c>
      <c r="F14" s="402">
        <v>15.43037404</v>
      </c>
      <c r="G14" s="402">
        <v>277.7484144</v>
      </c>
      <c r="H14" s="402">
        <v>18.044439749999999</v>
      </c>
      <c r="I14" s="402">
        <v>47.078966020000003</v>
      </c>
      <c r="J14" s="402">
        <v>34.883415829999997</v>
      </c>
      <c r="K14" s="402">
        <v>101.6975975</v>
      </c>
      <c r="L14" s="402">
        <v>409.66442960000001</v>
      </c>
      <c r="M14" s="402">
        <v>391.51293770000001</v>
      </c>
      <c r="N14" s="402">
        <v>290.05055249999998</v>
      </c>
      <c r="O14" s="402">
        <v>788.84241029999998</v>
      </c>
      <c r="P14" s="402">
        <v>400.77155809999999</v>
      </c>
      <c r="Q14" s="402">
        <v>313.19747990000002</v>
      </c>
      <c r="R14" s="402">
        <v>715.66594850000001</v>
      </c>
      <c r="S14" s="402">
        <v>2080.8454040000001</v>
      </c>
      <c r="T14" s="402">
        <v>832.01780940000003</v>
      </c>
      <c r="U14" s="407">
        <f t="shared" si="1"/>
        <v>67.550963674710118</v>
      </c>
      <c r="V14" s="402">
        <v>9.5110608733741699</v>
      </c>
      <c r="W14" s="402">
        <v>340.85146134056998</v>
      </c>
      <c r="X14" s="407">
        <f t="shared" si="2"/>
        <v>62.921202061693435</v>
      </c>
      <c r="Y14" s="402">
        <v>52.8916114376688</v>
      </c>
      <c r="Z14" s="402">
        <v>569.311674969818</v>
      </c>
      <c r="AA14" s="402">
        <v>490.343752610553</v>
      </c>
      <c r="AB14" s="407">
        <f t="shared" si="3"/>
        <v>43.534347324795334</v>
      </c>
      <c r="AC14" s="399"/>
      <c r="AD14" s="121"/>
    </row>
    <row r="15" spans="1:31" s="5" customFormat="1" ht="15.75" customHeight="1" x14ac:dyDescent="0.25">
      <c r="A15" s="2">
        <v>11</v>
      </c>
      <c r="B15" s="6" t="s">
        <v>13</v>
      </c>
      <c r="C15" s="10" t="s">
        <v>19</v>
      </c>
      <c r="D15" s="400" t="s">
        <v>131</v>
      </c>
      <c r="E15" s="415">
        <f t="shared" si="0"/>
        <v>60.364113010848513</v>
      </c>
      <c r="F15" s="403">
        <v>14.699345335956991</v>
      </c>
      <c r="G15" s="403">
        <v>254.99174252491662</v>
      </c>
      <c r="H15" s="403">
        <v>32.790135006820776</v>
      </c>
      <c r="I15" s="403">
        <v>13.933431577763258</v>
      </c>
      <c r="J15" s="403">
        <v>21.749583130326371</v>
      </c>
      <c r="K15" s="403">
        <v>186.81055799829551</v>
      </c>
      <c r="L15" s="403">
        <v>372.30206866744925</v>
      </c>
      <c r="M15" s="403">
        <v>445.43541878131191</v>
      </c>
      <c r="N15" s="403">
        <v>226.06968652343426</v>
      </c>
      <c r="O15" s="403">
        <v>921.26325891704255</v>
      </c>
      <c r="P15" s="403">
        <v>406.68783948631608</v>
      </c>
      <c r="Q15" s="403">
        <v>317.38132092340129</v>
      </c>
      <c r="R15" s="403">
        <v>454.09073025923271</v>
      </c>
      <c r="S15" s="403">
        <v>2031.9231724774104</v>
      </c>
      <c r="T15" s="403">
        <v>893.74535237384862</v>
      </c>
      <c r="U15" s="407">
        <f t="shared" si="1"/>
        <v>72.752724798964877</v>
      </c>
      <c r="V15" s="418">
        <v>2.5099999999999998</v>
      </c>
      <c r="W15" s="403">
        <v>596.18639305241004</v>
      </c>
      <c r="X15" s="407">
        <f t="shared" si="2"/>
        <v>65.135457455818056</v>
      </c>
      <c r="Y15" s="403">
        <v>184.33330963713396</v>
      </c>
      <c r="Z15" s="403">
        <v>614.67484778523908</v>
      </c>
      <c r="AA15" s="403">
        <v>386.8258642367623</v>
      </c>
      <c r="AB15" s="407">
        <f t="shared" si="3"/>
        <v>30.81554498964627</v>
      </c>
      <c r="AC15" s="399"/>
      <c r="AD15" s="121"/>
    </row>
    <row r="16" spans="1:31" s="5" customFormat="1" ht="15.75" customHeight="1" x14ac:dyDescent="0.25">
      <c r="A16" s="2">
        <v>12</v>
      </c>
      <c r="B16" s="3" t="s">
        <v>10</v>
      </c>
      <c r="C16" s="4" t="s">
        <v>11</v>
      </c>
      <c r="D16" s="400" t="s">
        <v>138</v>
      </c>
      <c r="E16" s="415">
        <f t="shared" si="0"/>
        <v>60.245083353476694</v>
      </c>
      <c r="F16" s="402">
        <v>12.25080301</v>
      </c>
      <c r="G16" s="402">
        <v>284.83840900000001</v>
      </c>
      <c r="H16" s="402">
        <v>103.8782369</v>
      </c>
      <c r="I16" s="402">
        <v>95.435166620000004</v>
      </c>
      <c r="J16" s="402">
        <v>43.521938890000001</v>
      </c>
      <c r="K16" s="402">
        <v>54.975428399999998</v>
      </c>
      <c r="L16" s="402">
        <v>446.79852590000002</v>
      </c>
      <c r="M16" s="402">
        <v>376.56411709999998</v>
      </c>
      <c r="N16" s="402">
        <v>136.05855650000001</v>
      </c>
      <c r="O16" s="402">
        <v>770.12330919999999</v>
      </c>
      <c r="P16" s="402">
        <v>545.38729890000002</v>
      </c>
      <c r="Q16" s="402">
        <v>483.2272433</v>
      </c>
      <c r="R16" s="402">
        <v>935.03938600000004</v>
      </c>
      <c r="S16" s="402">
        <v>1483.775797</v>
      </c>
      <c r="T16" s="402">
        <v>854.73087269999996</v>
      </c>
      <c r="U16" s="407">
        <f t="shared" si="1"/>
        <v>57.859194401822791</v>
      </c>
      <c r="V16" s="402">
        <v>2.4841008341346602</v>
      </c>
      <c r="W16" s="402">
        <v>441.11193842315998</v>
      </c>
      <c r="X16" s="407">
        <f t="shared" si="2"/>
        <v>74.646936158652693</v>
      </c>
      <c r="Y16" s="402">
        <v>66.864927480110197</v>
      </c>
      <c r="Z16" s="402">
        <v>443.737834805256</v>
      </c>
      <c r="AA16" s="402">
        <v>284.80635493465797</v>
      </c>
      <c r="AB16" s="407">
        <f t="shared" si="3"/>
        <v>50.615008451608524</v>
      </c>
      <c r="AC16" s="399"/>
      <c r="AD16" s="121"/>
    </row>
    <row r="17" spans="1:30" s="5" customFormat="1" ht="15.75" customHeight="1" x14ac:dyDescent="0.25">
      <c r="A17" s="2">
        <v>13</v>
      </c>
      <c r="B17" s="3" t="s">
        <v>10</v>
      </c>
      <c r="C17" s="22" t="s">
        <v>49</v>
      </c>
      <c r="D17" s="400" t="s">
        <v>134</v>
      </c>
      <c r="E17" s="415">
        <f t="shared" si="0"/>
        <v>58.860666519846916</v>
      </c>
      <c r="F17" s="403">
        <v>13.538266246954521</v>
      </c>
      <c r="G17" s="403">
        <v>196.74340167890114</v>
      </c>
      <c r="H17" s="403">
        <v>43.377696248166558</v>
      </c>
      <c r="I17" s="403">
        <v>40.935001462355672</v>
      </c>
      <c r="J17" s="403">
        <v>25.799330330524128</v>
      </c>
      <c r="K17" s="403">
        <v>125.79854021551347</v>
      </c>
      <c r="L17" s="403">
        <v>413.80180250458511</v>
      </c>
      <c r="M17" s="403">
        <v>297.9740031992543</v>
      </c>
      <c r="N17" s="403">
        <v>183.72590310396905</v>
      </c>
      <c r="O17" s="403">
        <v>675.28522379153037</v>
      </c>
      <c r="P17" s="403">
        <v>573.59064868879966</v>
      </c>
      <c r="Q17" s="403">
        <v>377.44905660732206</v>
      </c>
      <c r="R17" s="403">
        <v>682.41388407301338</v>
      </c>
      <c r="S17" s="403">
        <v>2118.9355424676037</v>
      </c>
      <c r="T17" s="403">
        <v>687.83258731735145</v>
      </c>
      <c r="U17" s="407">
        <f t="shared" si="1"/>
        <v>71.588955820228136</v>
      </c>
      <c r="V17" s="419">
        <v>12.9</v>
      </c>
      <c r="W17" s="403">
        <v>481.75101652183997</v>
      </c>
      <c r="X17" s="407">
        <f t="shared" si="2"/>
        <v>47.692347718626067</v>
      </c>
      <c r="Y17" s="403">
        <v>99.157046360834443</v>
      </c>
      <c r="Z17" s="403">
        <v>526.39521924621954</v>
      </c>
      <c r="AA17" s="403">
        <v>269.88871976901919</v>
      </c>
      <c r="AB17" s="407">
        <f t="shared" si="3"/>
        <v>44.572406720305331</v>
      </c>
      <c r="AC17" s="399"/>
      <c r="AD17" s="121"/>
    </row>
    <row r="18" spans="1:30" s="5" customFormat="1" ht="15.75" customHeight="1" x14ac:dyDescent="0.25">
      <c r="A18" s="2">
        <v>14</v>
      </c>
      <c r="B18" s="6" t="s">
        <v>13</v>
      </c>
      <c r="C18" s="7" t="s">
        <v>14</v>
      </c>
      <c r="D18" s="400" t="s">
        <v>186</v>
      </c>
      <c r="E18" s="415">
        <f t="shared" si="0"/>
        <v>58.853014850052368</v>
      </c>
      <c r="F18" s="402">
        <v>8.5832231819999993</v>
      </c>
      <c r="G18" s="402">
        <v>270.28599700000001</v>
      </c>
      <c r="H18" s="402">
        <v>8.9679163450000008</v>
      </c>
      <c r="I18" s="402">
        <v>44.77787506</v>
      </c>
      <c r="J18" s="402">
        <v>30.182086730000002</v>
      </c>
      <c r="K18" s="402">
        <v>119.2631853</v>
      </c>
      <c r="L18" s="402">
        <v>456.5761306</v>
      </c>
      <c r="M18" s="402">
        <v>331.2956739</v>
      </c>
      <c r="N18" s="402">
        <v>287.3201603</v>
      </c>
      <c r="O18" s="402">
        <v>802.57852249999996</v>
      </c>
      <c r="P18" s="402">
        <v>391.0022333</v>
      </c>
      <c r="Q18" s="402">
        <v>325.76126670000002</v>
      </c>
      <c r="R18" s="402">
        <v>703.88762550000001</v>
      </c>
      <c r="S18" s="402">
        <v>2081.535969</v>
      </c>
      <c r="T18" s="402">
        <v>873.20792800000004</v>
      </c>
      <c r="U18" s="407">
        <f t="shared" si="1"/>
        <v>72.380302354018113</v>
      </c>
      <c r="V18" s="402">
        <v>11.989504357367601</v>
      </c>
      <c r="W18" s="402">
        <v>426.89749396905</v>
      </c>
      <c r="X18" s="407">
        <f t="shared" si="2"/>
        <v>52.52383273764783</v>
      </c>
      <c r="Y18" s="402">
        <v>82.0776394351264</v>
      </c>
      <c r="Z18" s="402">
        <v>615.98062402276298</v>
      </c>
      <c r="AA18" s="402">
        <v>462.19389841300801</v>
      </c>
      <c r="AB18" s="407">
        <f t="shared" si="3"/>
        <v>38.127621954525409</v>
      </c>
      <c r="AC18" s="399"/>
      <c r="AD18" s="121"/>
    </row>
    <row r="19" spans="1:30" s="5" customFormat="1" ht="15.75" customHeight="1" x14ac:dyDescent="0.25">
      <c r="A19" s="2">
        <v>15</v>
      </c>
      <c r="B19" s="3" t="s">
        <v>10</v>
      </c>
      <c r="C19" s="22" t="s">
        <v>49</v>
      </c>
      <c r="D19" s="400" t="s">
        <v>106</v>
      </c>
      <c r="E19" s="415">
        <f t="shared" si="0"/>
        <v>58.771064659446765</v>
      </c>
      <c r="F19" s="402">
        <v>18.013588739999999</v>
      </c>
      <c r="G19" s="402">
        <v>452.18374540000002</v>
      </c>
      <c r="H19" s="402">
        <v>108.9060305</v>
      </c>
      <c r="I19" s="402">
        <v>97.067654700000006</v>
      </c>
      <c r="J19" s="402">
        <v>50.55154812</v>
      </c>
      <c r="K19" s="402">
        <v>51.691615280000001</v>
      </c>
      <c r="L19" s="402">
        <v>509.64666169999998</v>
      </c>
      <c r="M19" s="402">
        <v>364.79006650000002</v>
      </c>
      <c r="N19" s="402">
        <v>210.83283449999999</v>
      </c>
      <c r="O19" s="402">
        <v>810.4033799</v>
      </c>
      <c r="P19" s="402">
        <v>549.35827710000001</v>
      </c>
      <c r="Q19" s="402">
        <v>558.46495570000002</v>
      </c>
      <c r="R19" s="402">
        <v>1039.4931730000001</v>
      </c>
      <c r="S19" s="402">
        <v>1630.925896</v>
      </c>
      <c r="T19" s="402">
        <v>870.98823630000004</v>
      </c>
      <c r="U19" s="407">
        <f t="shared" si="1"/>
        <v>48.064582218509806</v>
      </c>
      <c r="V19" s="402">
        <v>1.8660123554833199</v>
      </c>
      <c r="W19" s="402">
        <v>400.77327694094998</v>
      </c>
      <c r="X19" s="407">
        <f t="shared" si="2"/>
        <v>81.8322992573748</v>
      </c>
      <c r="Y19" s="402">
        <v>45.354153698909101</v>
      </c>
      <c r="Z19" s="402">
        <v>353.752048456647</v>
      </c>
      <c r="AA19" s="402">
        <v>303.81417310032401</v>
      </c>
      <c r="AB19" s="407">
        <f t="shared" si="3"/>
        <v>57.12279494339267</v>
      </c>
      <c r="AC19" s="399"/>
      <c r="AD19" s="121"/>
    </row>
    <row r="20" spans="1:30" s="13" customFormat="1" ht="15.75" customHeight="1" x14ac:dyDescent="0.25">
      <c r="A20" s="2">
        <v>16</v>
      </c>
      <c r="B20" s="3" t="s">
        <v>10</v>
      </c>
      <c r="C20" s="22" t="s">
        <v>49</v>
      </c>
      <c r="D20" s="400" t="s">
        <v>121</v>
      </c>
      <c r="E20" s="415">
        <f t="shared" si="0"/>
        <v>58.621310439142341</v>
      </c>
      <c r="F20" s="402">
        <v>11.67543061828</v>
      </c>
      <c r="G20" s="402">
        <v>237.08192713260999</v>
      </c>
      <c r="H20" s="402">
        <v>9.6095747287699993</v>
      </c>
      <c r="I20" s="402">
        <v>66.527734744219998</v>
      </c>
      <c r="J20" s="402">
        <v>23.549120958210001</v>
      </c>
      <c r="K20" s="402">
        <v>114.44706138785899</v>
      </c>
      <c r="L20" s="402">
        <v>380.52066558029998</v>
      </c>
      <c r="M20" s="402">
        <v>325.19308772602</v>
      </c>
      <c r="N20" s="402">
        <v>195.59179172040001</v>
      </c>
      <c r="O20" s="402">
        <v>693.30265195841901</v>
      </c>
      <c r="P20" s="402">
        <v>523.84822576535998</v>
      </c>
      <c r="Q20" s="402">
        <v>311.02579470603001</v>
      </c>
      <c r="R20" s="402">
        <v>623.48626793574999</v>
      </c>
      <c r="S20" s="402">
        <v>2228.4190257824898</v>
      </c>
      <c r="T20" s="402">
        <v>576.46602715499</v>
      </c>
      <c r="U20" s="407">
        <f t="shared" si="1"/>
        <v>77.151712437896478</v>
      </c>
      <c r="V20" s="402">
        <v>28.128319063544701</v>
      </c>
      <c r="W20" s="402">
        <v>487.365750544479</v>
      </c>
      <c r="X20" s="407">
        <f t="shared" si="2"/>
        <v>35.872435128146812</v>
      </c>
      <c r="Y20" s="402">
        <v>97.144281914452407</v>
      </c>
      <c r="Z20" s="402">
        <v>441.188872739614</v>
      </c>
      <c r="AA20" s="402">
        <v>332.33567171863803</v>
      </c>
      <c r="AB20" s="407">
        <f t="shared" si="3"/>
        <v>44.309381752629577</v>
      </c>
      <c r="AC20" s="399"/>
      <c r="AD20" s="354"/>
    </row>
    <row r="21" spans="1:30" s="5" customFormat="1" ht="15.75" customHeight="1" x14ac:dyDescent="0.25">
      <c r="A21" s="2">
        <v>17</v>
      </c>
      <c r="B21" s="6" t="s">
        <v>13</v>
      </c>
      <c r="C21" s="7" t="s">
        <v>14</v>
      </c>
      <c r="D21" s="400" t="s">
        <v>187</v>
      </c>
      <c r="E21" s="415">
        <f t="shared" si="0"/>
        <v>57.998905106825951</v>
      </c>
      <c r="F21" s="402">
        <v>8.8707510640000002</v>
      </c>
      <c r="G21" s="402">
        <v>256.58754349999998</v>
      </c>
      <c r="H21" s="402">
        <v>12.3410545</v>
      </c>
      <c r="I21" s="402">
        <v>13.39196574</v>
      </c>
      <c r="J21" s="402">
        <v>24.701117709999998</v>
      </c>
      <c r="K21" s="402">
        <v>168.03558770000001</v>
      </c>
      <c r="L21" s="402">
        <v>324.5238511</v>
      </c>
      <c r="M21" s="402">
        <v>382.77469439999999</v>
      </c>
      <c r="N21" s="402">
        <v>265.67545050000001</v>
      </c>
      <c r="O21" s="402">
        <v>767.23674440000002</v>
      </c>
      <c r="P21" s="402">
        <v>454.7685477</v>
      </c>
      <c r="Q21" s="402">
        <v>327.46273580000002</v>
      </c>
      <c r="R21" s="402">
        <v>649.40012860000002</v>
      </c>
      <c r="S21" s="402">
        <v>1962.0489970000001</v>
      </c>
      <c r="T21" s="402">
        <v>852.53512309999996</v>
      </c>
      <c r="U21" s="407">
        <f t="shared" si="1"/>
        <v>77.593267885646284</v>
      </c>
      <c r="V21" s="402">
        <v>18.291197175931199</v>
      </c>
      <c r="W21" s="402">
        <v>440.34167078394</v>
      </c>
      <c r="X21" s="407">
        <f t="shared" si="2"/>
        <v>45.351139636665344</v>
      </c>
      <c r="Y21" s="402">
        <v>127.799618259505</v>
      </c>
      <c r="Z21" s="402">
        <v>659.40285311031698</v>
      </c>
      <c r="AA21" s="402">
        <v>484.84977300020302</v>
      </c>
      <c r="AB21" s="407">
        <f t="shared" si="3"/>
        <v>31.4579450193459</v>
      </c>
      <c r="AC21" s="399"/>
      <c r="AD21" s="121"/>
    </row>
    <row r="22" spans="1:30" s="5" customFormat="1" ht="15.75" customHeight="1" x14ac:dyDescent="0.25">
      <c r="A22" s="2">
        <v>18</v>
      </c>
      <c r="B22" s="6" t="s">
        <v>13</v>
      </c>
      <c r="C22" s="10" t="s">
        <v>19</v>
      </c>
      <c r="D22" s="400" t="s">
        <v>20</v>
      </c>
      <c r="E22" s="415">
        <f t="shared" si="0"/>
        <v>57.54887379852854</v>
      </c>
      <c r="F22" s="402">
        <v>10.976923570349999</v>
      </c>
      <c r="G22" s="402">
        <v>304.13719011670003</v>
      </c>
      <c r="H22" s="402">
        <v>32.39601054397</v>
      </c>
      <c r="I22" s="402">
        <v>9.5527578004200002</v>
      </c>
      <c r="J22" s="402">
        <v>18.714143442809998</v>
      </c>
      <c r="K22" s="402">
        <v>212.5650833615</v>
      </c>
      <c r="L22" s="402">
        <v>297.04216054802998</v>
      </c>
      <c r="M22" s="402">
        <v>418.255120389929</v>
      </c>
      <c r="N22" s="402">
        <v>218.08773136855999</v>
      </c>
      <c r="O22" s="402">
        <v>894.48186819237003</v>
      </c>
      <c r="P22" s="402">
        <v>331.32914388972</v>
      </c>
      <c r="Q22" s="402">
        <v>315.37870936095999</v>
      </c>
      <c r="R22" s="402">
        <v>453.17821581274001</v>
      </c>
      <c r="S22" s="402">
        <v>1932.7584190059099</v>
      </c>
      <c r="T22" s="402">
        <v>853.61359404337998</v>
      </c>
      <c r="U22" s="407">
        <f t="shared" si="1"/>
        <v>74.681238001379796</v>
      </c>
      <c r="V22" s="402">
        <v>8.1228015944794798</v>
      </c>
      <c r="W22" s="402">
        <v>720.96812357164004</v>
      </c>
      <c r="X22" s="407">
        <f t="shared" si="2"/>
        <v>41.967088293368462</v>
      </c>
      <c r="Y22" s="402">
        <v>98.746476491219894</v>
      </c>
      <c r="Z22" s="402">
        <v>552.60426619267298</v>
      </c>
      <c r="AA22" s="402">
        <v>406.442963022931</v>
      </c>
      <c r="AB22" s="407">
        <f t="shared" si="3"/>
        <v>38.865930897986097</v>
      </c>
      <c r="AC22" s="399"/>
      <c r="AD22" s="121"/>
    </row>
    <row r="23" spans="1:30" s="5" customFormat="1" ht="15.75" customHeight="1" x14ac:dyDescent="0.25">
      <c r="A23" s="2">
        <v>19</v>
      </c>
      <c r="B23" s="6" t="s">
        <v>13</v>
      </c>
      <c r="C23" s="7" t="s">
        <v>14</v>
      </c>
      <c r="D23" s="400" t="s">
        <v>182</v>
      </c>
      <c r="E23" s="415">
        <f t="shared" si="0"/>
        <v>57.129833351079718</v>
      </c>
      <c r="F23" s="402">
        <v>9.1636194030000002</v>
      </c>
      <c r="G23" s="402">
        <v>307.01632260000002</v>
      </c>
      <c r="H23" s="402">
        <v>11.38004347</v>
      </c>
      <c r="I23" s="402">
        <v>38.679693210000003</v>
      </c>
      <c r="J23" s="402">
        <v>25.934323670000001</v>
      </c>
      <c r="K23" s="402">
        <v>123.8968011</v>
      </c>
      <c r="L23" s="402">
        <v>389.28312620000003</v>
      </c>
      <c r="M23" s="402">
        <v>331.95167429999998</v>
      </c>
      <c r="N23" s="402">
        <v>238.17714369999999</v>
      </c>
      <c r="O23" s="402">
        <v>794.92316049999999</v>
      </c>
      <c r="P23" s="402">
        <v>490.61883039999998</v>
      </c>
      <c r="Q23" s="402">
        <v>318.8292629</v>
      </c>
      <c r="R23" s="402">
        <v>709.02748510000004</v>
      </c>
      <c r="S23" s="402">
        <v>2099.807949</v>
      </c>
      <c r="T23" s="402">
        <v>800.67380760000003</v>
      </c>
      <c r="U23" s="407">
        <f t="shared" si="1"/>
        <v>72.794369701851281</v>
      </c>
      <c r="V23" s="402">
        <v>15.200241199700001</v>
      </c>
      <c r="W23" s="402">
        <v>437.98200193138001</v>
      </c>
      <c r="X23" s="407">
        <f t="shared" si="2"/>
        <v>48.239292609760213</v>
      </c>
      <c r="Y23" s="402">
        <v>73.137340967693305</v>
      </c>
      <c r="Z23" s="402">
        <v>681.472807135106</v>
      </c>
      <c r="AA23" s="402">
        <v>614.03310215733995</v>
      </c>
      <c r="AB23" s="407">
        <f t="shared" si="3"/>
        <v>34.691301390856047</v>
      </c>
      <c r="AC23" s="399"/>
      <c r="AD23" s="121"/>
    </row>
    <row r="24" spans="1:30" s="5" customFormat="1" ht="15.75" customHeight="1" x14ac:dyDescent="0.25">
      <c r="A24" s="2">
        <v>20</v>
      </c>
      <c r="B24" s="3" t="s">
        <v>10</v>
      </c>
      <c r="C24" s="19" t="s">
        <v>35</v>
      </c>
      <c r="D24" s="400" t="s">
        <v>173</v>
      </c>
      <c r="E24" s="415">
        <f t="shared" si="0"/>
        <v>57.072452509582945</v>
      </c>
      <c r="F24" s="402">
        <v>9.3090217199799898</v>
      </c>
      <c r="G24" s="402">
        <v>309.29208983368</v>
      </c>
      <c r="H24" s="402">
        <v>37.472743183079999</v>
      </c>
      <c r="I24" s="402">
        <v>21.516154590959999</v>
      </c>
      <c r="J24" s="402">
        <v>29.712105831319999</v>
      </c>
      <c r="K24" s="402">
        <v>61.734796045769997</v>
      </c>
      <c r="L24" s="402">
        <v>436.48516381600001</v>
      </c>
      <c r="M24" s="402">
        <v>342.95766748678</v>
      </c>
      <c r="N24" s="402">
        <v>197.00055802263901</v>
      </c>
      <c r="O24" s="402">
        <v>814.90364736082995</v>
      </c>
      <c r="P24" s="402">
        <v>1252.41371239095</v>
      </c>
      <c r="Q24" s="402">
        <v>575.26305641603005</v>
      </c>
      <c r="R24" s="402">
        <v>789.32731284131899</v>
      </c>
      <c r="S24" s="402">
        <v>1906.79079132278</v>
      </c>
      <c r="T24" s="402">
        <v>861.52569546465998</v>
      </c>
      <c r="U24" s="407">
        <f t="shared" si="1"/>
        <v>65.741360068590723</v>
      </c>
      <c r="V24" s="402">
        <v>2.9315062506340399</v>
      </c>
      <c r="W24" s="402">
        <v>610.88461493672003</v>
      </c>
      <c r="X24" s="407">
        <f t="shared" si="2"/>
        <v>62.096791381507956</v>
      </c>
      <c r="Y24" s="402">
        <v>85.706630988219999</v>
      </c>
      <c r="Z24" s="402">
        <v>1383.30344628289</v>
      </c>
      <c r="AA24" s="402">
        <v>269.32139374142702</v>
      </c>
      <c r="AB24" s="407">
        <f t="shared" si="3"/>
        <v>34.710298519642379</v>
      </c>
      <c r="AC24" s="399"/>
      <c r="AD24" s="121"/>
    </row>
    <row r="25" spans="1:30" s="5" customFormat="1" ht="15.75" customHeight="1" x14ac:dyDescent="0.25">
      <c r="A25" s="2">
        <v>21</v>
      </c>
      <c r="B25" s="3" t="s">
        <v>10</v>
      </c>
      <c r="C25" s="19" t="s">
        <v>35</v>
      </c>
      <c r="D25" s="400" t="s">
        <v>215</v>
      </c>
      <c r="E25" s="415">
        <f t="shared" si="0"/>
        <v>56.948178470580551</v>
      </c>
      <c r="F25" s="402">
        <v>10.832482458319999</v>
      </c>
      <c r="G25" s="402">
        <v>250.87427575748899</v>
      </c>
      <c r="H25" s="402">
        <v>41.486583375119999</v>
      </c>
      <c r="I25" s="402">
        <v>19.00738063088</v>
      </c>
      <c r="J25" s="402">
        <v>30.000402689929999</v>
      </c>
      <c r="K25" s="402">
        <v>41.052009912819997</v>
      </c>
      <c r="L25" s="402">
        <v>415.54689159149001</v>
      </c>
      <c r="M25" s="402">
        <v>477.24911511970998</v>
      </c>
      <c r="N25" s="402">
        <v>193.53297365643999</v>
      </c>
      <c r="O25" s="402">
        <v>802.52105094038996</v>
      </c>
      <c r="P25" s="402">
        <v>1177.1577086112</v>
      </c>
      <c r="Q25" s="402">
        <v>570.87361716656903</v>
      </c>
      <c r="R25" s="402">
        <v>791.65097903742003</v>
      </c>
      <c r="S25" s="402">
        <v>1789.34584343744</v>
      </c>
      <c r="T25" s="402">
        <v>930.43278032511898</v>
      </c>
      <c r="U25" s="407">
        <f t="shared" si="1"/>
        <v>67.58891605578539</v>
      </c>
      <c r="V25" s="402">
        <v>2.5447425540722199</v>
      </c>
      <c r="W25" s="402">
        <v>725.90590877034003</v>
      </c>
      <c r="X25" s="407">
        <f t="shared" si="2"/>
        <v>58.817352112137364</v>
      </c>
      <c r="Y25" s="402">
        <v>169.535335224487</v>
      </c>
      <c r="Z25" s="402">
        <v>1233.9407447798301</v>
      </c>
      <c r="AA25" s="402">
        <v>170.21655860131301</v>
      </c>
      <c r="AB25" s="407">
        <f t="shared" si="3"/>
        <v>33.79752965861406</v>
      </c>
      <c r="AC25" s="399"/>
      <c r="AD25" s="121"/>
    </row>
    <row r="26" spans="1:30" s="5" customFormat="1" ht="15.75" customHeight="1" x14ac:dyDescent="0.25">
      <c r="A26" s="2">
        <v>22</v>
      </c>
      <c r="B26" s="6" t="s">
        <v>13</v>
      </c>
      <c r="C26" s="7" t="s">
        <v>14</v>
      </c>
      <c r="D26" s="400" t="s">
        <v>148</v>
      </c>
      <c r="E26" s="415">
        <f t="shared" si="0"/>
        <v>56.6428507494808</v>
      </c>
      <c r="F26" s="402">
        <v>9.4638000570000003</v>
      </c>
      <c r="G26" s="402">
        <v>320.68202980000001</v>
      </c>
      <c r="H26" s="402">
        <v>8.3797463109999999</v>
      </c>
      <c r="I26" s="402">
        <v>31.11734839</v>
      </c>
      <c r="J26" s="402">
        <v>30.007397940000001</v>
      </c>
      <c r="K26" s="402">
        <v>132.58849720000001</v>
      </c>
      <c r="L26" s="402">
        <v>432.91264740000003</v>
      </c>
      <c r="M26" s="402">
        <v>375.4000355</v>
      </c>
      <c r="N26" s="402">
        <v>247.28857199999999</v>
      </c>
      <c r="O26" s="402">
        <v>765.02421819999995</v>
      </c>
      <c r="P26" s="402">
        <v>663.72101259999999</v>
      </c>
      <c r="Q26" s="402">
        <v>320.21410880000002</v>
      </c>
      <c r="R26" s="402">
        <v>700.90805909999995</v>
      </c>
      <c r="S26" s="402">
        <v>2078.5293360000001</v>
      </c>
      <c r="T26" s="402">
        <v>814.28495050000004</v>
      </c>
      <c r="U26" s="407">
        <f t="shared" si="1"/>
        <v>71.46509950964726</v>
      </c>
      <c r="V26" s="402">
        <v>14.277092318767499</v>
      </c>
      <c r="W26" s="402">
        <v>408.08220505654998</v>
      </c>
      <c r="X26" s="407">
        <f t="shared" si="2"/>
        <v>51.357069202173477</v>
      </c>
      <c r="Y26" s="402">
        <v>66.122451245663498</v>
      </c>
      <c r="Z26" s="402">
        <v>801.259666527901</v>
      </c>
      <c r="AA26" s="402">
        <v>700.89306279269601</v>
      </c>
      <c r="AB26" s="407">
        <f t="shared" si="3"/>
        <v>32.284134776455225</v>
      </c>
      <c r="AC26" s="399"/>
      <c r="AD26" s="121"/>
    </row>
    <row r="27" spans="1:30" s="5" customFormat="1" ht="15.75" customHeight="1" x14ac:dyDescent="0.25">
      <c r="A27" s="2">
        <v>23</v>
      </c>
      <c r="B27" s="3" t="s">
        <v>10</v>
      </c>
      <c r="C27" s="22" t="s">
        <v>49</v>
      </c>
      <c r="D27" s="400" t="s">
        <v>202</v>
      </c>
      <c r="E27" s="415">
        <f t="shared" si="0"/>
        <v>56.55241724474017</v>
      </c>
      <c r="F27" s="402">
        <v>12.553859539999999</v>
      </c>
      <c r="G27" s="402">
        <v>191.69785999999999</v>
      </c>
      <c r="H27" s="402">
        <v>93.956933789999994</v>
      </c>
      <c r="I27" s="402">
        <v>18.744089809999998</v>
      </c>
      <c r="J27" s="402">
        <v>25.052825940000002</v>
      </c>
      <c r="K27" s="402">
        <v>153.38775889999999</v>
      </c>
      <c r="L27" s="402">
        <v>407.09417839999998</v>
      </c>
      <c r="M27" s="402">
        <v>312.49254969999998</v>
      </c>
      <c r="N27" s="402">
        <v>202.10526719999999</v>
      </c>
      <c r="O27" s="402">
        <v>717.0675268</v>
      </c>
      <c r="P27" s="402">
        <v>749.10271729999999</v>
      </c>
      <c r="Q27" s="402">
        <v>496.65248759999997</v>
      </c>
      <c r="R27" s="402">
        <v>755.63763159999996</v>
      </c>
      <c r="S27" s="402">
        <v>1976.5061229999999</v>
      </c>
      <c r="T27" s="402">
        <v>811.66663960000005</v>
      </c>
      <c r="U27" s="407">
        <f t="shared" si="1"/>
        <v>68.251162471465264</v>
      </c>
      <c r="V27" s="402">
        <v>19.137490126655901</v>
      </c>
      <c r="W27" s="402">
        <v>388.69699281683</v>
      </c>
      <c r="X27" s="407">
        <f t="shared" si="2"/>
        <v>48.561839619228898</v>
      </c>
      <c r="Y27" s="402">
        <v>115.009142285366</v>
      </c>
      <c r="Z27" s="402">
        <v>627.46786940050799</v>
      </c>
      <c r="AA27" s="402">
        <v>260.61039608610298</v>
      </c>
      <c r="AB27" s="407">
        <f t="shared" si="3"/>
        <v>41.145504416801266</v>
      </c>
      <c r="AC27" s="399"/>
      <c r="AD27" s="121"/>
    </row>
    <row r="28" spans="1:30" s="5" customFormat="1" ht="15.75" customHeight="1" x14ac:dyDescent="0.25">
      <c r="A28" s="2">
        <v>24</v>
      </c>
      <c r="B28" s="3" t="s">
        <v>10</v>
      </c>
      <c r="C28" s="22" t="s">
        <v>49</v>
      </c>
      <c r="D28" s="400" t="s">
        <v>205</v>
      </c>
      <c r="E28" s="415">
        <f t="shared" si="0"/>
        <v>56.436145961509261</v>
      </c>
      <c r="F28" s="402">
        <v>41.318930780000002</v>
      </c>
      <c r="G28" s="402">
        <v>522.08090400000003</v>
      </c>
      <c r="H28" s="402">
        <v>64.134430510000001</v>
      </c>
      <c r="I28" s="402">
        <v>89.792395209999995</v>
      </c>
      <c r="J28" s="402">
        <v>51.072658070000003</v>
      </c>
      <c r="K28" s="402">
        <v>50.541120739999997</v>
      </c>
      <c r="L28" s="402">
        <v>454.62977919999997</v>
      </c>
      <c r="M28" s="402">
        <v>361.9197006</v>
      </c>
      <c r="N28" s="402">
        <v>170.60723960000001</v>
      </c>
      <c r="O28" s="402">
        <v>793.54478210000002</v>
      </c>
      <c r="P28" s="402">
        <v>455.52600080000002</v>
      </c>
      <c r="Q28" s="402">
        <v>480.33019030000003</v>
      </c>
      <c r="R28" s="402">
        <v>1120.4981110000001</v>
      </c>
      <c r="S28" s="402">
        <v>1427.815382</v>
      </c>
      <c r="T28" s="402">
        <v>818.41498030000002</v>
      </c>
      <c r="U28" s="407">
        <f t="shared" si="1"/>
        <v>49.015508598494101</v>
      </c>
      <c r="V28" s="402">
        <v>4.14556857130927</v>
      </c>
      <c r="W28" s="402">
        <v>468.17585805136002</v>
      </c>
      <c r="X28" s="407">
        <f t="shared" si="2"/>
        <v>65.268396545088621</v>
      </c>
      <c r="Y28" s="402">
        <v>67.883365455419295</v>
      </c>
      <c r="Z28" s="402">
        <v>171.24433927419199</v>
      </c>
      <c r="AA28" s="402">
        <v>272.40821162306099</v>
      </c>
      <c r="AB28" s="407">
        <f t="shared" si="3"/>
        <v>62.445170103960244</v>
      </c>
      <c r="AC28" s="399"/>
      <c r="AD28" s="121"/>
    </row>
    <row r="29" spans="1:30" s="5" customFormat="1" ht="15.75" customHeight="1" x14ac:dyDescent="0.25">
      <c r="A29" s="2">
        <v>25</v>
      </c>
      <c r="B29" s="6" t="s">
        <v>13</v>
      </c>
      <c r="C29" s="7" t="s">
        <v>14</v>
      </c>
      <c r="D29" s="400" t="s">
        <v>122</v>
      </c>
      <c r="E29" s="415">
        <f t="shared" si="0"/>
        <v>56.363920011431574</v>
      </c>
      <c r="F29" s="403">
        <v>23.43993328730123</v>
      </c>
      <c r="G29" s="403">
        <v>295.90158013818348</v>
      </c>
      <c r="H29" s="403">
        <v>26.339863047000335</v>
      </c>
      <c r="I29" s="403">
        <v>31.239949043861571</v>
      </c>
      <c r="J29" s="403">
        <v>28.631718079361491</v>
      </c>
      <c r="K29" s="403">
        <v>138.40137771758543</v>
      </c>
      <c r="L29" s="403">
        <v>448.94242986948461</v>
      </c>
      <c r="M29" s="403">
        <v>372.91698018910324</v>
      </c>
      <c r="N29" s="403">
        <v>260.83559231002585</v>
      </c>
      <c r="O29" s="403">
        <v>836.17712732844461</v>
      </c>
      <c r="P29" s="403">
        <v>476.0378554516958</v>
      </c>
      <c r="Q29" s="403">
        <v>329.99548181102443</v>
      </c>
      <c r="R29" s="403">
        <v>662.09344473787132</v>
      </c>
      <c r="S29" s="403">
        <v>2034.7476308119933</v>
      </c>
      <c r="T29" s="403">
        <v>919.88974074938301</v>
      </c>
      <c r="U29" s="407">
        <f t="shared" si="1"/>
        <v>65.64322981028937</v>
      </c>
      <c r="V29" s="417">
        <v>2.2799999999999998</v>
      </c>
      <c r="W29" s="403">
        <v>596.18639305241004</v>
      </c>
      <c r="X29" s="407">
        <f t="shared" si="2"/>
        <v>66.548302689316017</v>
      </c>
      <c r="Y29" s="403">
        <v>180.69084588021676</v>
      </c>
      <c r="Z29" s="403">
        <v>675.00468662608887</v>
      </c>
      <c r="AA29" s="403">
        <v>464.2870081586475</v>
      </c>
      <c r="AB29" s="407">
        <f t="shared" si="3"/>
        <v>27.620917735831551</v>
      </c>
      <c r="AC29" s="399"/>
      <c r="AD29" s="121"/>
    </row>
    <row r="30" spans="1:30" s="5" customFormat="1" ht="15.75" customHeight="1" x14ac:dyDescent="0.25">
      <c r="A30" s="2">
        <v>26</v>
      </c>
      <c r="B30" s="6" t="s">
        <v>13</v>
      </c>
      <c r="C30" s="7" t="s">
        <v>14</v>
      </c>
      <c r="D30" s="400" t="s">
        <v>160</v>
      </c>
      <c r="E30" s="415">
        <f t="shared" si="0"/>
        <v>55.978791726169327</v>
      </c>
      <c r="F30" s="402">
        <v>8.6766290319999992</v>
      </c>
      <c r="G30" s="402">
        <v>409.18174670000002</v>
      </c>
      <c r="H30" s="402">
        <v>16.675579549999998</v>
      </c>
      <c r="I30" s="402">
        <v>33.516597699999998</v>
      </c>
      <c r="J30" s="402">
        <v>31.920754370000001</v>
      </c>
      <c r="K30" s="402">
        <v>94.605730249999993</v>
      </c>
      <c r="L30" s="402">
        <v>469.59790249999998</v>
      </c>
      <c r="M30" s="402">
        <v>393.37016349999999</v>
      </c>
      <c r="N30" s="402">
        <v>251.7153447</v>
      </c>
      <c r="O30" s="402">
        <v>773.09495900000002</v>
      </c>
      <c r="P30" s="402">
        <v>685.64343040000006</v>
      </c>
      <c r="Q30" s="402">
        <v>318.65659920000002</v>
      </c>
      <c r="R30" s="402">
        <v>708.06045349999999</v>
      </c>
      <c r="S30" s="402">
        <v>1959.964491</v>
      </c>
      <c r="T30" s="402">
        <v>831.80588250000005</v>
      </c>
      <c r="U30" s="407">
        <f t="shared" si="1"/>
        <v>66.011238045683484</v>
      </c>
      <c r="V30" s="402">
        <v>8.2046357576338806</v>
      </c>
      <c r="W30" s="402">
        <v>402.39205322779998</v>
      </c>
      <c r="X30" s="407">
        <f t="shared" si="2"/>
        <v>59.936859561543386</v>
      </c>
      <c r="Y30" s="402">
        <v>76.728516939728394</v>
      </c>
      <c r="Z30" s="402">
        <v>775.58074516551301</v>
      </c>
      <c r="AA30" s="402">
        <v>644.53628711489205</v>
      </c>
      <c r="AB30" s="407">
        <f t="shared" si="3"/>
        <v>31.955831251766952</v>
      </c>
      <c r="AC30" s="399"/>
      <c r="AD30" s="121"/>
    </row>
    <row r="31" spans="1:30" s="5" customFormat="1" ht="15.75" customHeight="1" x14ac:dyDescent="0.25">
      <c r="A31" s="2">
        <v>27</v>
      </c>
      <c r="B31" s="3" t="s">
        <v>10</v>
      </c>
      <c r="C31" s="22" t="s">
        <v>49</v>
      </c>
      <c r="D31" s="400" t="s">
        <v>113</v>
      </c>
      <c r="E31" s="415">
        <f t="shared" si="0"/>
        <v>55.809976037454007</v>
      </c>
      <c r="F31" s="402">
        <v>10.84288737</v>
      </c>
      <c r="G31" s="402">
        <v>231.84662349999999</v>
      </c>
      <c r="H31" s="402">
        <v>38.127823730000003</v>
      </c>
      <c r="I31" s="402">
        <v>22.89074956</v>
      </c>
      <c r="J31" s="402">
        <v>33.94848829</v>
      </c>
      <c r="K31" s="402">
        <v>158.6886935</v>
      </c>
      <c r="L31" s="402">
        <v>369.22902399999998</v>
      </c>
      <c r="M31" s="402">
        <v>311.75155169999999</v>
      </c>
      <c r="N31" s="402">
        <v>181.74932129999999</v>
      </c>
      <c r="O31" s="402">
        <v>653.32991370000002</v>
      </c>
      <c r="P31" s="402">
        <v>557.47012819999998</v>
      </c>
      <c r="Q31" s="402">
        <v>328.02041980000001</v>
      </c>
      <c r="R31" s="402">
        <v>613.16596489999995</v>
      </c>
      <c r="S31" s="402">
        <v>2510.3504330000001</v>
      </c>
      <c r="T31" s="402">
        <v>697.23527839999997</v>
      </c>
      <c r="U31" s="407">
        <f t="shared" si="1"/>
        <v>71.269316588308314</v>
      </c>
      <c r="V31" s="402">
        <v>21.4554575872233</v>
      </c>
      <c r="W31" s="402">
        <v>570.34218150440995</v>
      </c>
      <c r="X31" s="407">
        <f t="shared" si="2"/>
        <v>34.968989464073637</v>
      </c>
      <c r="Y31" s="402">
        <v>81.817844177748398</v>
      </c>
      <c r="Z31" s="402">
        <v>456.63564522678701</v>
      </c>
      <c r="AA31" s="402">
        <v>337.57844816873302</v>
      </c>
      <c r="AB31" s="407">
        <f t="shared" si="3"/>
        <v>45.732281509125791</v>
      </c>
      <c r="AC31" s="399"/>
      <c r="AD31" s="121"/>
    </row>
    <row r="32" spans="1:30" s="5" customFormat="1" ht="15.75" customHeight="1" x14ac:dyDescent="0.25">
      <c r="A32" s="2">
        <v>28</v>
      </c>
      <c r="B32" s="6" t="s">
        <v>13</v>
      </c>
      <c r="C32" s="7" t="s">
        <v>14</v>
      </c>
      <c r="D32" s="400" t="s">
        <v>51</v>
      </c>
      <c r="E32" s="415">
        <f t="shared" si="0"/>
        <v>55.78518445220169</v>
      </c>
      <c r="F32" s="402">
        <v>11.62603511477</v>
      </c>
      <c r="G32" s="402">
        <v>301.37777107008998</v>
      </c>
      <c r="H32" s="402">
        <v>8.61063089636</v>
      </c>
      <c r="I32" s="402">
        <v>26.63459850404</v>
      </c>
      <c r="J32" s="402">
        <v>34.533637781689997</v>
      </c>
      <c r="K32" s="402">
        <v>105.62011122449999</v>
      </c>
      <c r="L32" s="402">
        <v>570.14796922757</v>
      </c>
      <c r="M32" s="402">
        <v>453.22476193214999</v>
      </c>
      <c r="N32" s="402">
        <v>273.82824780983998</v>
      </c>
      <c r="O32" s="402">
        <v>796.22433463434902</v>
      </c>
      <c r="P32" s="402">
        <v>465.38684706261</v>
      </c>
      <c r="Q32" s="402">
        <v>317.62363588405998</v>
      </c>
      <c r="R32" s="402">
        <v>705.29982283321999</v>
      </c>
      <c r="S32" s="402">
        <v>2038.55870713181</v>
      </c>
      <c r="T32" s="402">
        <v>802.37126280396001</v>
      </c>
      <c r="U32" s="407">
        <f t="shared" si="1"/>
        <v>70.511641436726904</v>
      </c>
      <c r="V32" s="402">
        <v>10.4517933632652</v>
      </c>
      <c r="W32" s="402">
        <v>465.97462306911001</v>
      </c>
      <c r="X32" s="407">
        <f t="shared" si="2"/>
        <v>51.820571923955157</v>
      </c>
      <c r="Y32" s="402">
        <v>100.515703810586</v>
      </c>
      <c r="Z32" s="402">
        <v>637.53627564004603</v>
      </c>
      <c r="AA32" s="402">
        <v>687.545947071265</v>
      </c>
      <c r="AB32" s="407">
        <f t="shared" si="3"/>
        <v>30.296883011397792</v>
      </c>
      <c r="AC32" s="409"/>
      <c r="AD32" s="121"/>
    </row>
    <row r="33" spans="1:30" s="5" customFormat="1" ht="15.75" customHeight="1" x14ac:dyDescent="0.25">
      <c r="A33" s="2">
        <v>29</v>
      </c>
      <c r="B33" s="6" t="s">
        <v>13</v>
      </c>
      <c r="C33" s="10" t="s">
        <v>19</v>
      </c>
      <c r="D33" s="400" t="s">
        <v>109</v>
      </c>
      <c r="E33" s="415">
        <f t="shared" si="0"/>
        <v>55.725203352217285</v>
      </c>
      <c r="F33" s="402">
        <v>14.31104781</v>
      </c>
      <c r="G33" s="402">
        <v>235.6941602</v>
      </c>
      <c r="H33" s="402">
        <v>38.973727760000003</v>
      </c>
      <c r="I33" s="402">
        <v>11.91180793</v>
      </c>
      <c r="J33" s="402">
        <v>21.380339289999998</v>
      </c>
      <c r="K33" s="402">
        <v>192.59725460000001</v>
      </c>
      <c r="L33" s="402">
        <v>315.76727399999999</v>
      </c>
      <c r="M33" s="402">
        <v>440.83059809999997</v>
      </c>
      <c r="N33" s="402">
        <v>222.17703639999999</v>
      </c>
      <c r="O33" s="402">
        <v>955.17528159999995</v>
      </c>
      <c r="P33" s="402">
        <v>342.55956550000002</v>
      </c>
      <c r="Q33" s="402">
        <v>318.66775860000001</v>
      </c>
      <c r="R33" s="402">
        <v>446.90197619999998</v>
      </c>
      <c r="S33" s="402">
        <v>2081.8396189999999</v>
      </c>
      <c r="T33" s="402">
        <v>917.00722359999997</v>
      </c>
      <c r="U33" s="407">
        <f t="shared" si="1"/>
        <v>73.9587598718187</v>
      </c>
      <c r="V33" s="402">
        <v>8.3420086173309507</v>
      </c>
      <c r="W33" s="402">
        <v>672.49803976776002</v>
      </c>
      <c r="X33" s="407">
        <f t="shared" si="2"/>
        <v>43.73773739896329</v>
      </c>
      <c r="Y33" s="402">
        <v>236.73618859920299</v>
      </c>
      <c r="Z33" s="402">
        <v>599.957162701828</v>
      </c>
      <c r="AA33" s="402">
        <v>302.56694713223601</v>
      </c>
      <c r="AB33" s="407">
        <f t="shared" si="3"/>
        <v>31.245556266268469</v>
      </c>
      <c r="AC33" s="399"/>
      <c r="AD33" s="121"/>
    </row>
    <row r="34" spans="1:30" s="13" customFormat="1" ht="15.75" customHeight="1" x14ac:dyDescent="0.25">
      <c r="A34" s="2">
        <v>30</v>
      </c>
      <c r="B34" s="8" t="s">
        <v>16</v>
      </c>
      <c r="C34" s="21" t="s">
        <v>42</v>
      </c>
      <c r="D34" s="400" t="s">
        <v>179</v>
      </c>
      <c r="E34" s="415">
        <f t="shared" si="0"/>
        <v>55.68383218205647</v>
      </c>
      <c r="F34" s="402">
        <v>89.00490739</v>
      </c>
      <c r="G34" s="402">
        <v>367.599853</v>
      </c>
      <c r="H34" s="402">
        <v>101.86850149999999</v>
      </c>
      <c r="I34" s="402">
        <v>246.22679239999999</v>
      </c>
      <c r="J34" s="402">
        <v>59.446226279999998</v>
      </c>
      <c r="K34" s="402">
        <v>58.984782449999997</v>
      </c>
      <c r="L34" s="402">
        <v>627.08737919999999</v>
      </c>
      <c r="M34" s="402">
        <v>350.16274629999998</v>
      </c>
      <c r="N34" s="402">
        <v>208.26600579999999</v>
      </c>
      <c r="O34" s="402">
        <v>846.19215499999996</v>
      </c>
      <c r="P34" s="402">
        <v>629.71123169999998</v>
      </c>
      <c r="Q34" s="402">
        <v>384.84383780000002</v>
      </c>
      <c r="R34" s="402">
        <v>993.23298469999997</v>
      </c>
      <c r="S34" s="402">
        <v>1542.724428</v>
      </c>
      <c r="T34" s="402">
        <v>1086.768472</v>
      </c>
      <c r="U34" s="407">
        <f t="shared" si="1"/>
        <v>42.246960528083932</v>
      </c>
      <c r="V34" s="402">
        <v>1.7500507191638099</v>
      </c>
      <c r="W34" s="402">
        <v>588.65154919157999</v>
      </c>
      <c r="X34" s="407">
        <f t="shared" si="2"/>
        <v>70.832226429846799</v>
      </c>
      <c r="Y34" s="402">
        <v>47.176384298200603</v>
      </c>
      <c r="Z34" s="402">
        <v>554.85293594322104</v>
      </c>
      <c r="AA34" s="402">
        <v>84.491059678767499</v>
      </c>
      <c r="AB34" s="407">
        <f t="shared" si="3"/>
        <v>67.409181242211233</v>
      </c>
      <c r="AC34" s="399"/>
      <c r="AD34" s="354"/>
    </row>
    <row r="35" spans="1:30" s="13" customFormat="1" ht="15.75" customHeight="1" x14ac:dyDescent="0.25">
      <c r="A35" s="2">
        <v>31</v>
      </c>
      <c r="B35" s="6" t="s">
        <v>13</v>
      </c>
      <c r="C35" s="10" t="s">
        <v>19</v>
      </c>
      <c r="D35" s="400" t="s">
        <v>178</v>
      </c>
      <c r="E35" s="415">
        <f t="shared" si="0"/>
        <v>55.596489947781969</v>
      </c>
      <c r="F35" s="402">
        <v>11.41222907</v>
      </c>
      <c r="G35" s="402">
        <v>312.78128400000003</v>
      </c>
      <c r="H35" s="402">
        <v>36.826468849999998</v>
      </c>
      <c r="I35" s="402">
        <v>16.31668634</v>
      </c>
      <c r="J35" s="402">
        <v>19.764589189999999</v>
      </c>
      <c r="K35" s="402">
        <v>170.72047739999999</v>
      </c>
      <c r="L35" s="402">
        <v>508.25035780000002</v>
      </c>
      <c r="M35" s="402">
        <v>413.43723160000002</v>
      </c>
      <c r="N35" s="402">
        <v>222.17818629999999</v>
      </c>
      <c r="O35" s="402">
        <v>896.00503609999998</v>
      </c>
      <c r="P35" s="402">
        <v>388.40148770000002</v>
      </c>
      <c r="Q35" s="402">
        <v>316.60683260000002</v>
      </c>
      <c r="R35" s="402">
        <v>447.9138481</v>
      </c>
      <c r="S35" s="402">
        <v>1999.2130299999999</v>
      </c>
      <c r="T35" s="402">
        <v>880.84672239999998</v>
      </c>
      <c r="U35" s="407">
        <f t="shared" si="1"/>
        <v>70.572599514484537</v>
      </c>
      <c r="V35" s="402">
        <v>7.3387499604577497</v>
      </c>
      <c r="W35" s="402">
        <v>740.05256736942999</v>
      </c>
      <c r="X35" s="407">
        <f t="shared" si="2"/>
        <v>42.647647816738612</v>
      </c>
      <c r="Y35" s="402">
        <v>115.40265568774799</v>
      </c>
      <c r="Z35" s="402">
        <v>583.57795257037503</v>
      </c>
      <c r="AA35" s="402">
        <v>340.67255216677302</v>
      </c>
      <c r="AB35" s="407">
        <f t="shared" si="3"/>
        <v>38.593112945420174</v>
      </c>
      <c r="AC35" s="399"/>
      <c r="AD35" s="354"/>
    </row>
    <row r="36" spans="1:30" s="13" customFormat="1" ht="15.75" customHeight="1" x14ac:dyDescent="0.25">
      <c r="A36" s="2">
        <v>32</v>
      </c>
      <c r="B36" s="14" t="s">
        <v>23</v>
      </c>
      <c r="C36" s="15" t="s">
        <v>24</v>
      </c>
      <c r="D36" s="400" t="s">
        <v>25</v>
      </c>
      <c r="E36" s="415">
        <f t="shared" si="0"/>
        <v>55.546269862621827</v>
      </c>
      <c r="F36" s="402">
        <v>47.961669793760002</v>
      </c>
      <c r="G36" s="402">
        <v>302.24558425730999</v>
      </c>
      <c r="H36" s="402">
        <v>41.808005597570002</v>
      </c>
      <c r="I36" s="402">
        <v>94.689674485449999</v>
      </c>
      <c r="J36" s="402">
        <v>45.011149338000003</v>
      </c>
      <c r="K36" s="402">
        <v>126.43857329557</v>
      </c>
      <c r="L36" s="402">
        <v>424.03480638690002</v>
      </c>
      <c r="M36" s="402">
        <v>425.11262389484</v>
      </c>
      <c r="N36" s="402">
        <v>270.03474738970999</v>
      </c>
      <c r="O36" s="402">
        <v>904.01936899665998</v>
      </c>
      <c r="P36" s="402">
        <v>1108.3838990719601</v>
      </c>
      <c r="Q36" s="402">
        <v>413.83833387256999</v>
      </c>
      <c r="R36" s="402">
        <v>753.21753593776998</v>
      </c>
      <c r="S36" s="402">
        <v>1648.7148572686799</v>
      </c>
      <c r="T36" s="402">
        <v>957.32160421516005</v>
      </c>
      <c r="U36" s="407">
        <f t="shared" si="1"/>
        <v>53.162443986483019</v>
      </c>
      <c r="V36" s="402">
        <v>1.0728592724419199</v>
      </c>
      <c r="W36" s="402">
        <v>677.25979613174002</v>
      </c>
      <c r="X36" s="407">
        <f t="shared" si="2"/>
        <v>73.669342453950037</v>
      </c>
      <c r="Y36" s="402">
        <v>98.554715340846002</v>
      </c>
      <c r="Z36" s="402">
        <v>958.72368171999699</v>
      </c>
      <c r="AA36" s="402">
        <v>185.23063039937</v>
      </c>
      <c r="AB36" s="407">
        <f t="shared" si="3"/>
        <v>42.190849023571268</v>
      </c>
      <c r="AC36" s="399"/>
      <c r="AD36" s="354"/>
    </row>
    <row r="37" spans="1:30" s="13" customFormat="1" ht="15.75" customHeight="1" x14ac:dyDescent="0.25">
      <c r="A37" s="2">
        <v>33</v>
      </c>
      <c r="B37" s="6" t="s">
        <v>13</v>
      </c>
      <c r="C37" s="10" t="s">
        <v>19</v>
      </c>
      <c r="D37" s="400" t="s">
        <v>133</v>
      </c>
      <c r="E37" s="415">
        <f t="shared" ref="E37:E68" si="4">(U37*50+X37*25+AB37*25)/100</f>
        <v>55.470897404458682</v>
      </c>
      <c r="F37" s="402">
        <v>16.53584167</v>
      </c>
      <c r="G37" s="402">
        <v>234.81871079999999</v>
      </c>
      <c r="H37" s="402">
        <v>35.020552870000003</v>
      </c>
      <c r="I37" s="402">
        <v>9.7726172150000004</v>
      </c>
      <c r="J37" s="402">
        <v>19.650337759999999</v>
      </c>
      <c r="K37" s="402">
        <v>154.2439871</v>
      </c>
      <c r="L37" s="402">
        <v>381.6213472</v>
      </c>
      <c r="M37" s="402">
        <v>384.20370370000001</v>
      </c>
      <c r="N37" s="402">
        <v>239.19467739999999</v>
      </c>
      <c r="O37" s="402">
        <v>896.30451389999996</v>
      </c>
      <c r="P37" s="402">
        <v>320.86627090000002</v>
      </c>
      <c r="Q37" s="402">
        <v>314.07946920000001</v>
      </c>
      <c r="R37" s="402">
        <v>428.76595270000001</v>
      </c>
      <c r="S37" s="402">
        <v>2005.3032410000001</v>
      </c>
      <c r="T37" s="402">
        <v>919.06342199999995</v>
      </c>
      <c r="U37" s="407">
        <f t="shared" ref="U37:U68" si="5">((LN(1500)-LN(MAX(MIN(F37,1500),10)))/(LN(1500)-LN(10))*100*2+(LN(700)-LN(MAX(MIN(G37,700),200)))/(LN(700)-LN(200))*100*2+(LN(200)-LN(MAX(MIN(H37,200),10)))/(LN(200)-LN(10))*100*2+(LN(1000)-LN(MAX(MIN(I37,1000),10)))/(LN(1000)-LN(10))*100*2+(LN(150)-LN(MAX(MIN(J37,150),20)))/(LN(150)-LN(20))*100*2+(LN(300)-LN(MAX(MIN(K37,300),20)))/(LN(300)-LN(20))*100*0.5+(LN(800)-LN(MAX(MIN(L37,800),250)))/(LN(800)-LN(250))*100*0.5+(LN(800)-LN(MAX(MIN(M37,800),200)))/(LN(800)-LN(200))*100*0.5+(LN(350)-LN(MAX(MIN(N37,350),100)))/(LN(350)-LN(100))*100*0.5+(LN(1500)-LN(MAX(MIN(O37,1500),550)))/(LN(1500)-LN(550))*100*0.5+(LN(2000)-LN(MAX(MIN(P37,2000),200)))/(LN(2000)-LN(200))*100*0.5+(LN(600)-LN(MAX(MIN(Q37,600),200)))/(LN(600)-LN(200))*100*0.5+(LN(1300)-LN(MAX(MIN(R37,1300),300)))/(LN(1300)-LN(300))*100*0.5+(LN(3000)-LN(MAX(MIN(S37,3000),1000)))/(LN(3000)-LN(1000))*100*0.5+(LN(1500)-LN(MAX(MIN(T37,1500),550)))/(LN(1500)-LN(550))*100*0.5)/15</f>
        <v>75.453186433879225</v>
      </c>
      <c r="V37" s="402">
        <v>9.0126824006989494</v>
      </c>
      <c r="W37" s="402">
        <v>837.04839507640895</v>
      </c>
      <c r="X37" s="407">
        <f t="shared" ref="X37:X68" si="6">((LN(30)-LN(MAX(MIN(V37,30),1)))/(LN(30)-LN(1))*100+(LN(1500)-LN(MAX(MIN(W37,1500),300)))/(LN(1500)-LN(300))*100)/2</f>
        <v>35.800977645686388</v>
      </c>
      <c r="Y37" s="402">
        <v>155.499979435471</v>
      </c>
      <c r="Z37" s="402">
        <v>549.99615349779901</v>
      </c>
      <c r="AA37" s="402">
        <v>357.13610286354498</v>
      </c>
      <c r="AB37" s="407">
        <f t="shared" ref="AB37:AB68" si="7">((LN(500)-LN(MAX(MIN(Y37,500),30)))/(LN(500)-LN(30))*100+(LN(1600)-LN(MAX(MIN(Z37,1600),100)))/(LN(1600)-LN(100))*100+(LN(700)-LN(MAX(MIN(AA37,700),50)))/(LN(700)-LN(50))*100)/3</f>
        <v>35.176239104389914</v>
      </c>
      <c r="AC37" s="399"/>
      <c r="AD37" s="354"/>
    </row>
    <row r="38" spans="1:30" s="13" customFormat="1" ht="15.75" customHeight="1" x14ac:dyDescent="0.25">
      <c r="A38" s="2">
        <v>34</v>
      </c>
      <c r="B38" s="6" t="s">
        <v>13</v>
      </c>
      <c r="C38" s="7" t="s">
        <v>14</v>
      </c>
      <c r="D38" s="400" t="s">
        <v>171</v>
      </c>
      <c r="E38" s="415">
        <f t="shared" si="4"/>
        <v>55.378597923831002</v>
      </c>
      <c r="F38" s="402">
        <v>11.237210360000001</v>
      </c>
      <c r="G38" s="402">
        <v>298.62362289999999</v>
      </c>
      <c r="H38" s="402">
        <v>3.925710204</v>
      </c>
      <c r="I38" s="402">
        <v>44.705913989999999</v>
      </c>
      <c r="J38" s="402">
        <v>27.98881102</v>
      </c>
      <c r="K38" s="402">
        <v>105.5855542</v>
      </c>
      <c r="L38" s="402">
        <v>434.692409</v>
      </c>
      <c r="M38" s="402">
        <v>346.30389109999999</v>
      </c>
      <c r="N38" s="402">
        <v>311.24366780000003</v>
      </c>
      <c r="O38" s="402">
        <v>812.45392790000005</v>
      </c>
      <c r="P38" s="402">
        <v>694.80705450000005</v>
      </c>
      <c r="Q38" s="402">
        <v>346.14372040000001</v>
      </c>
      <c r="R38" s="402">
        <v>731.8367763</v>
      </c>
      <c r="S38" s="402">
        <v>2159.9835419999999</v>
      </c>
      <c r="T38" s="402">
        <v>854.11943599999995</v>
      </c>
      <c r="U38" s="407">
        <f t="shared" si="5"/>
        <v>70.299618443625434</v>
      </c>
      <c r="V38" s="402">
        <v>14.2917065062951</v>
      </c>
      <c r="W38" s="402">
        <v>442.629554272289</v>
      </c>
      <c r="X38" s="407">
        <f t="shared" si="6"/>
        <v>48.81740351433961</v>
      </c>
      <c r="Y38" s="402">
        <v>82.187573473547801</v>
      </c>
      <c r="Z38" s="402">
        <v>868.10242852488898</v>
      </c>
      <c r="AA38" s="402">
        <v>536.761483165904</v>
      </c>
      <c r="AB38" s="407">
        <f t="shared" si="7"/>
        <v>32.097751293733545</v>
      </c>
      <c r="AC38" s="399"/>
      <c r="AD38" s="354"/>
    </row>
    <row r="39" spans="1:30" s="13" customFormat="1" ht="15.75" customHeight="1" x14ac:dyDescent="0.25">
      <c r="A39" s="2">
        <v>35</v>
      </c>
      <c r="B39" s="6" t="s">
        <v>13</v>
      </c>
      <c r="C39" s="7" t="s">
        <v>14</v>
      </c>
      <c r="D39" s="400" t="s">
        <v>69</v>
      </c>
      <c r="E39" s="415">
        <f t="shared" si="4"/>
        <v>55.351345872590365</v>
      </c>
      <c r="F39" s="402">
        <v>9.89720608909</v>
      </c>
      <c r="G39" s="402">
        <v>313.34794473257</v>
      </c>
      <c r="H39" s="402">
        <v>12.541057919309999</v>
      </c>
      <c r="I39" s="402">
        <v>43.45077605134</v>
      </c>
      <c r="J39" s="402">
        <v>30.178556056550001</v>
      </c>
      <c r="K39" s="402">
        <v>134.56409028506999</v>
      </c>
      <c r="L39" s="402">
        <v>332.888275727169</v>
      </c>
      <c r="M39" s="402">
        <v>407.31140004484899</v>
      </c>
      <c r="N39" s="402">
        <v>257.91446895109999</v>
      </c>
      <c r="O39" s="402">
        <v>801.64184665742903</v>
      </c>
      <c r="P39" s="402">
        <v>610.56197550936997</v>
      </c>
      <c r="Q39" s="402">
        <v>327.91667921268998</v>
      </c>
      <c r="R39" s="402">
        <v>700.75770236358903</v>
      </c>
      <c r="S39" s="402">
        <v>2011.24986998134</v>
      </c>
      <c r="T39" s="402">
        <v>857.60498607560999</v>
      </c>
      <c r="U39" s="407">
        <f t="shared" si="5"/>
        <v>69.94742307091407</v>
      </c>
      <c r="V39" s="402">
        <v>16.0383934157963</v>
      </c>
      <c r="W39" s="402">
        <v>361.51298035000002</v>
      </c>
      <c r="X39" s="407">
        <f t="shared" si="6"/>
        <v>53.411328227722954</v>
      </c>
      <c r="Y39" s="402">
        <v>117.507454099029</v>
      </c>
      <c r="Z39" s="402">
        <v>721.78184663977004</v>
      </c>
      <c r="AA39" s="402">
        <v>627.96184496308604</v>
      </c>
      <c r="AB39" s="407">
        <f t="shared" si="7"/>
        <v>28.099209120810361</v>
      </c>
      <c r="AC39" s="399"/>
      <c r="AD39" s="354"/>
    </row>
    <row r="40" spans="1:30" s="13" customFormat="1" ht="15.75" customHeight="1" x14ac:dyDescent="0.25">
      <c r="A40" s="2">
        <v>36</v>
      </c>
      <c r="B40" s="3" t="s">
        <v>10</v>
      </c>
      <c r="C40" s="22" t="s">
        <v>49</v>
      </c>
      <c r="D40" s="400" t="s">
        <v>55</v>
      </c>
      <c r="E40" s="415">
        <f t="shared" si="4"/>
        <v>55.29867159960709</v>
      </c>
      <c r="F40" s="402">
        <v>66.078417533119904</v>
      </c>
      <c r="G40" s="402">
        <v>429.38720822117</v>
      </c>
      <c r="H40" s="402">
        <v>58.467801888149999</v>
      </c>
      <c r="I40" s="402">
        <v>78.827419886480001</v>
      </c>
      <c r="J40" s="402">
        <v>63.032902101189997</v>
      </c>
      <c r="K40" s="402">
        <v>42.112977445550001</v>
      </c>
      <c r="L40" s="402">
        <v>394.00096239068898</v>
      </c>
      <c r="M40" s="402">
        <v>375.32531285711002</v>
      </c>
      <c r="N40" s="402">
        <v>201.57934286208999</v>
      </c>
      <c r="O40" s="402">
        <v>820.50393873860003</v>
      </c>
      <c r="P40" s="402">
        <v>446.05099104793999</v>
      </c>
      <c r="Q40" s="402">
        <v>479.18613582487001</v>
      </c>
      <c r="R40" s="402">
        <v>1128.0735174249101</v>
      </c>
      <c r="S40" s="402">
        <v>1494.14559756329</v>
      </c>
      <c r="T40" s="402">
        <v>926.96933956695</v>
      </c>
      <c r="U40" s="407">
        <f t="shared" si="5"/>
        <v>48.706095389643309</v>
      </c>
      <c r="V40" s="402">
        <v>3.95570161420207</v>
      </c>
      <c r="W40" s="402">
        <v>463.78768954903899</v>
      </c>
      <c r="X40" s="407">
        <f t="shared" si="6"/>
        <v>66.25015341361221</v>
      </c>
      <c r="Y40" s="402">
        <v>68.750150587653906</v>
      </c>
      <c r="Z40" s="402">
        <v>251.709269448078</v>
      </c>
      <c r="AA40" s="402">
        <v>275.26238028995499</v>
      </c>
      <c r="AB40" s="407">
        <f t="shared" si="7"/>
        <v>57.532342205529538</v>
      </c>
      <c r="AC40" s="399"/>
      <c r="AD40" s="354"/>
    </row>
    <row r="41" spans="1:30" s="5" customFormat="1" ht="15.75" customHeight="1" x14ac:dyDescent="0.25">
      <c r="A41" s="2">
        <v>37</v>
      </c>
      <c r="B41" s="14" t="s">
        <v>23</v>
      </c>
      <c r="C41" s="16" t="s">
        <v>26</v>
      </c>
      <c r="D41" s="400" t="s">
        <v>169</v>
      </c>
      <c r="E41" s="415">
        <f t="shared" si="4"/>
        <v>55.227149168404885</v>
      </c>
      <c r="F41" s="402">
        <v>35.703343480000001</v>
      </c>
      <c r="G41" s="402">
        <v>378.46436139999997</v>
      </c>
      <c r="H41" s="402">
        <v>56.809144689999997</v>
      </c>
      <c r="I41" s="402">
        <v>277.8086796</v>
      </c>
      <c r="J41" s="402">
        <v>42.035903050000002</v>
      </c>
      <c r="K41" s="402">
        <v>78.928768419999997</v>
      </c>
      <c r="L41" s="402">
        <v>338.32716920000001</v>
      </c>
      <c r="M41" s="402">
        <v>370.08523059999999</v>
      </c>
      <c r="N41" s="402">
        <v>306.31074539999997</v>
      </c>
      <c r="O41" s="402">
        <v>679.12134509999998</v>
      </c>
      <c r="P41" s="402">
        <v>365.17217119999998</v>
      </c>
      <c r="Q41" s="402">
        <v>380.93840299999999</v>
      </c>
      <c r="R41" s="402">
        <v>883.71039629999996</v>
      </c>
      <c r="S41" s="402">
        <v>1772.8787420000001</v>
      </c>
      <c r="T41" s="402">
        <v>1067.523653</v>
      </c>
      <c r="U41" s="407">
        <f t="shared" si="5"/>
        <v>50.614547111172904</v>
      </c>
      <c r="V41" s="402">
        <v>4.0630163499346397</v>
      </c>
      <c r="W41" s="402">
        <v>628.81120450979995</v>
      </c>
      <c r="X41" s="407">
        <f t="shared" si="6"/>
        <v>56.399802490108243</v>
      </c>
      <c r="Y41" s="402">
        <v>66.957009671170994</v>
      </c>
      <c r="Z41" s="402">
        <v>538.65338164135801</v>
      </c>
      <c r="AA41" s="402">
        <v>86.776020330467802</v>
      </c>
      <c r="AB41" s="407">
        <f t="shared" si="7"/>
        <v>63.279699961165477</v>
      </c>
      <c r="AC41" s="399"/>
      <c r="AD41" s="121"/>
    </row>
    <row r="42" spans="1:30" s="5" customFormat="1" ht="15.75" customHeight="1" x14ac:dyDescent="0.25">
      <c r="A42" s="2">
        <v>38</v>
      </c>
      <c r="B42" s="6" t="s">
        <v>13</v>
      </c>
      <c r="C42" s="10" t="s">
        <v>19</v>
      </c>
      <c r="D42" s="400" t="s">
        <v>32</v>
      </c>
      <c r="E42" s="415">
        <f t="shared" si="4"/>
        <v>55.217097271604892</v>
      </c>
      <c r="F42" s="402">
        <v>14.26359946506</v>
      </c>
      <c r="G42" s="402">
        <v>234.28700955146999</v>
      </c>
      <c r="H42" s="402">
        <v>45.645757888459997</v>
      </c>
      <c r="I42" s="402">
        <v>20.063304114619999</v>
      </c>
      <c r="J42" s="402">
        <v>21.049406639019999</v>
      </c>
      <c r="K42" s="402">
        <v>175.03442257735</v>
      </c>
      <c r="L42" s="402">
        <v>488.72643307382998</v>
      </c>
      <c r="M42" s="402">
        <v>380.42892879541</v>
      </c>
      <c r="N42" s="402">
        <v>281.41506123901002</v>
      </c>
      <c r="O42" s="402">
        <v>886.58491657220998</v>
      </c>
      <c r="P42" s="402">
        <v>321.15591922529001</v>
      </c>
      <c r="Q42" s="402">
        <v>315.19717895804899</v>
      </c>
      <c r="R42" s="402">
        <v>438.29808598455003</v>
      </c>
      <c r="S42" s="402">
        <v>1919.9627060863099</v>
      </c>
      <c r="T42" s="402">
        <v>1064.0053157564901</v>
      </c>
      <c r="U42" s="407">
        <f t="shared" si="5"/>
        <v>70.683126375668209</v>
      </c>
      <c r="V42" s="402">
        <v>16.2564133173329</v>
      </c>
      <c r="W42" s="402">
        <v>468.80899785666998</v>
      </c>
      <c r="X42" s="407">
        <f t="shared" si="6"/>
        <v>45.13866912210586</v>
      </c>
      <c r="Y42" s="402">
        <v>153.00526299427599</v>
      </c>
      <c r="Z42" s="402">
        <v>517.43096486334196</v>
      </c>
      <c r="AA42" s="402">
        <v>409.82577151622399</v>
      </c>
      <c r="AB42" s="407">
        <f t="shared" si="7"/>
        <v>34.363467212977277</v>
      </c>
      <c r="AC42" s="399"/>
      <c r="AD42" s="121"/>
    </row>
    <row r="43" spans="1:30" s="5" customFormat="1" ht="15.75" customHeight="1" x14ac:dyDescent="0.25">
      <c r="A43" s="2">
        <v>39</v>
      </c>
      <c r="B43" s="6" t="s">
        <v>13</v>
      </c>
      <c r="C43" s="7" t="s">
        <v>14</v>
      </c>
      <c r="D43" s="400" t="s">
        <v>46</v>
      </c>
      <c r="E43" s="415">
        <f t="shared" si="4"/>
        <v>55.125429108331318</v>
      </c>
      <c r="F43" s="402">
        <v>8.7646932019699992</v>
      </c>
      <c r="G43" s="402">
        <v>346.54407753541</v>
      </c>
      <c r="H43" s="402">
        <v>13.00158329269</v>
      </c>
      <c r="I43" s="402">
        <v>38.824667560050003</v>
      </c>
      <c r="J43" s="402">
        <v>34.504746634299998</v>
      </c>
      <c r="K43" s="402">
        <v>97.064657689680004</v>
      </c>
      <c r="L43" s="402">
        <v>474.81404470270002</v>
      </c>
      <c r="M43" s="402">
        <v>403.40193133167998</v>
      </c>
      <c r="N43" s="402">
        <v>260.47774938890001</v>
      </c>
      <c r="O43" s="402">
        <v>783.05318597881001</v>
      </c>
      <c r="P43" s="402">
        <v>600.26211944069996</v>
      </c>
      <c r="Q43" s="402">
        <v>315.914888042499</v>
      </c>
      <c r="R43" s="402">
        <v>712.58564930406999</v>
      </c>
      <c r="S43" s="402">
        <v>2017.8482274683499</v>
      </c>
      <c r="T43" s="402">
        <v>836.93443618750996</v>
      </c>
      <c r="U43" s="407">
        <f t="shared" si="5"/>
        <v>67.784691171344946</v>
      </c>
      <c r="V43" s="402">
        <v>11.5063198624698</v>
      </c>
      <c r="W43" s="402">
        <v>514.43384819925996</v>
      </c>
      <c r="X43" s="407">
        <f t="shared" si="6"/>
        <v>47.333884764811728</v>
      </c>
      <c r="Y43" s="402">
        <v>56.706350548257298</v>
      </c>
      <c r="Z43" s="402">
        <v>679.54913433891898</v>
      </c>
      <c r="AA43" s="402">
        <v>620.95551017124899</v>
      </c>
      <c r="AB43" s="407">
        <f t="shared" si="7"/>
        <v>37.598449325823644</v>
      </c>
      <c r="AC43" s="399"/>
      <c r="AD43" s="121"/>
    </row>
    <row r="44" spans="1:30" s="13" customFormat="1" ht="15.75" customHeight="1" x14ac:dyDescent="0.25">
      <c r="A44" s="2">
        <v>40</v>
      </c>
      <c r="B44" s="14" t="s">
        <v>23</v>
      </c>
      <c r="C44" s="16" t="s">
        <v>26</v>
      </c>
      <c r="D44" s="400" t="s">
        <v>79</v>
      </c>
      <c r="E44" s="415">
        <f t="shared" si="4"/>
        <v>54.981121949913032</v>
      </c>
      <c r="F44" s="402">
        <v>41.680737308289999</v>
      </c>
      <c r="G44" s="402">
        <v>314.93547451022999</v>
      </c>
      <c r="H44" s="402">
        <v>54.096562049269998</v>
      </c>
      <c r="I44" s="402">
        <v>71.977670423600003</v>
      </c>
      <c r="J44" s="402">
        <v>31.656876646920001</v>
      </c>
      <c r="K44" s="402">
        <v>87.545918395469997</v>
      </c>
      <c r="L44" s="402">
        <v>313.09051832789999</v>
      </c>
      <c r="M44" s="402">
        <v>442.59539350663999</v>
      </c>
      <c r="N44" s="402">
        <v>295.64360605584</v>
      </c>
      <c r="O44" s="402">
        <v>844.90976446812999</v>
      </c>
      <c r="P44" s="402">
        <v>890.20968221717999</v>
      </c>
      <c r="Q44" s="402">
        <v>318.194751988169</v>
      </c>
      <c r="R44" s="402">
        <v>829.59169701917995</v>
      </c>
      <c r="S44" s="402">
        <v>2005.7961060126499</v>
      </c>
      <c r="T44" s="402">
        <v>883.09020406723005</v>
      </c>
      <c r="U44" s="407">
        <f t="shared" si="5"/>
        <v>56.851292439665613</v>
      </c>
      <c r="V44" s="402">
        <v>8.8536455254919399</v>
      </c>
      <c r="W44" s="402">
        <v>568.61231093517995</v>
      </c>
      <c r="X44" s="407">
        <f t="shared" si="6"/>
        <v>48.0756848254685</v>
      </c>
      <c r="Y44" s="402">
        <v>63.145836232168499</v>
      </c>
      <c r="Z44" s="402">
        <v>885.25977713409202</v>
      </c>
      <c r="AA44" s="402">
        <v>85.785247158697203</v>
      </c>
      <c r="AB44" s="407">
        <f t="shared" si="7"/>
        <v>58.146218094852408</v>
      </c>
      <c r="AC44" s="399"/>
      <c r="AD44" s="354"/>
    </row>
    <row r="45" spans="1:30" s="5" customFormat="1" ht="15.75" customHeight="1" x14ac:dyDescent="0.25">
      <c r="A45" s="2">
        <v>41</v>
      </c>
      <c r="B45" s="14" t="s">
        <v>23</v>
      </c>
      <c r="C45" s="16" t="s">
        <v>26</v>
      </c>
      <c r="D45" s="400" t="s">
        <v>63</v>
      </c>
      <c r="E45" s="415">
        <f t="shared" si="4"/>
        <v>54.969454929143183</v>
      </c>
      <c r="F45" s="402">
        <v>44.03760860133</v>
      </c>
      <c r="G45" s="402">
        <v>293.85093565175998</v>
      </c>
      <c r="H45" s="402">
        <v>49.469755190479901</v>
      </c>
      <c r="I45" s="402">
        <v>107.40161200505</v>
      </c>
      <c r="J45" s="402">
        <v>42.140517489019999</v>
      </c>
      <c r="K45" s="402">
        <v>82.006775308399995</v>
      </c>
      <c r="L45" s="402">
        <v>390.50729067856003</v>
      </c>
      <c r="M45" s="402">
        <v>369.78006342867002</v>
      </c>
      <c r="N45" s="402">
        <v>283.16136816570003</v>
      </c>
      <c r="O45" s="402">
        <v>869.90291129984996</v>
      </c>
      <c r="P45" s="402">
        <v>738.77915453653998</v>
      </c>
      <c r="Q45" s="402">
        <v>323.90772238681001</v>
      </c>
      <c r="R45" s="402">
        <v>804.95851946158996</v>
      </c>
      <c r="S45" s="402">
        <v>2124.6116748271902</v>
      </c>
      <c r="T45" s="402">
        <v>855.35187186088899</v>
      </c>
      <c r="U45" s="407">
        <f t="shared" si="5"/>
        <v>54.901959998938985</v>
      </c>
      <c r="V45" s="402">
        <v>7.0042563179645203</v>
      </c>
      <c r="W45" s="402">
        <v>444.73405579886997</v>
      </c>
      <c r="X45" s="407">
        <f t="shared" si="6"/>
        <v>59.154020761825279</v>
      </c>
      <c r="Y45" s="402">
        <v>84.785973021137707</v>
      </c>
      <c r="Z45" s="402">
        <v>767.02243287075601</v>
      </c>
      <c r="AA45" s="402">
        <v>132.159319894323</v>
      </c>
      <c r="AB45" s="407">
        <f t="shared" si="7"/>
        <v>50.919878956869496</v>
      </c>
      <c r="AC45" s="399"/>
      <c r="AD45" s="121"/>
    </row>
    <row r="46" spans="1:30" s="13" customFormat="1" ht="15.75" customHeight="1" x14ac:dyDescent="0.25">
      <c r="A46" s="2">
        <v>42</v>
      </c>
      <c r="B46" s="3" t="s">
        <v>10</v>
      </c>
      <c r="C46" s="4" t="s">
        <v>11</v>
      </c>
      <c r="D46" s="400" t="s">
        <v>193</v>
      </c>
      <c r="E46" s="415">
        <f t="shared" si="4"/>
        <v>54.947708071169544</v>
      </c>
      <c r="F46" s="402">
        <v>14.958991080000001</v>
      </c>
      <c r="G46" s="402">
        <v>255.14802539999999</v>
      </c>
      <c r="H46" s="402">
        <v>90.303950139999998</v>
      </c>
      <c r="I46" s="402">
        <v>74.041970989999996</v>
      </c>
      <c r="J46" s="402">
        <v>47.628028360000002</v>
      </c>
      <c r="K46" s="402">
        <v>73.586492440000001</v>
      </c>
      <c r="L46" s="402">
        <v>439.02949849999999</v>
      </c>
      <c r="M46" s="402">
        <v>374.90744489999997</v>
      </c>
      <c r="N46" s="402">
        <v>139.45360460000001</v>
      </c>
      <c r="O46" s="402">
        <v>845.00648330000001</v>
      </c>
      <c r="P46" s="402">
        <v>868.85291900000004</v>
      </c>
      <c r="Q46" s="402">
        <v>463.77759209999999</v>
      </c>
      <c r="R46" s="402">
        <v>909.61272510000003</v>
      </c>
      <c r="S46" s="402">
        <v>1532.883251</v>
      </c>
      <c r="T46" s="402">
        <v>768.64349660000005</v>
      </c>
      <c r="U46" s="407">
        <f t="shared" si="5"/>
        <v>58.356053672222636</v>
      </c>
      <c r="V46" s="402">
        <v>14.933163508049301</v>
      </c>
      <c r="W46" s="402">
        <v>473.63370988862999</v>
      </c>
      <c r="X46" s="407">
        <f t="shared" si="6"/>
        <v>46.068716299124574</v>
      </c>
      <c r="Y46" s="402">
        <v>67.424809135217799</v>
      </c>
      <c r="Z46" s="402">
        <v>551.83279927783406</v>
      </c>
      <c r="AA46" s="402">
        <v>138.40347361883201</v>
      </c>
      <c r="AB46" s="407">
        <f t="shared" si="7"/>
        <v>57.010008641108328</v>
      </c>
      <c r="AC46" s="399"/>
      <c r="AD46" s="354"/>
    </row>
    <row r="47" spans="1:30" s="5" customFormat="1" ht="15.75" customHeight="1" x14ac:dyDescent="0.25">
      <c r="A47" s="2">
        <v>43</v>
      </c>
      <c r="B47" s="6" t="s">
        <v>13</v>
      </c>
      <c r="C47" s="10" t="s">
        <v>19</v>
      </c>
      <c r="D47" s="400" t="s">
        <v>161</v>
      </c>
      <c r="E47" s="415">
        <f t="shared" si="4"/>
        <v>54.834695246870197</v>
      </c>
      <c r="F47" s="402">
        <v>15.410449679999999</v>
      </c>
      <c r="G47" s="402">
        <v>216.380934</v>
      </c>
      <c r="H47" s="402">
        <v>43.465007399999998</v>
      </c>
      <c r="I47" s="402">
        <v>13.6551995</v>
      </c>
      <c r="J47" s="402">
        <v>23.833385400000001</v>
      </c>
      <c r="K47" s="402">
        <v>171.7519628</v>
      </c>
      <c r="L47" s="402">
        <v>399.59240490000002</v>
      </c>
      <c r="M47" s="402">
        <v>486.67243939999997</v>
      </c>
      <c r="N47" s="402">
        <v>218.14949770000001</v>
      </c>
      <c r="O47" s="402">
        <v>954.86572109999997</v>
      </c>
      <c r="P47" s="402">
        <v>397.16826070000002</v>
      </c>
      <c r="Q47" s="402">
        <v>333.7925434</v>
      </c>
      <c r="R47" s="402">
        <v>460.67018760000002</v>
      </c>
      <c r="S47" s="402">
        <v>1857.5049320000001</v>
      </c>
      <c r="T47" s="402">
        <v>1027.8196379999999</v>
      </c>
      <c r="U47" s="407">
        <f t="shared" si="5"/>
        <v>71.89337084914699</v>
      </c>
      <c r="V47" s="402">
        <v>11.1118636298668</v>
      </c>
      <c r="W47" s="402">
        <v>562.29240396071998</v>
      </c>
      <c r="X47" s="407">
        <f t="shared" si="6"/>
        <v>45.083147482733814</v>
      </c>
      <c r="Y47" s="402">
        <v>251.956862568746</v>
      </c>
      <c r="Z47" s="402">
        <v>569.385293094193</v>
      </c>
      <c r="AA47" s="402">
        <v>318.97876846947003</v>
      </c>
      <c r="AB47" s="407">
        <f t="shared" si="7"/>
        <v>30.468891806452984</v>
      </c>
      <c r="AC47" s="399"/>
      <c r="AD47" s="121"/>
    </row>
    <row r="48" spans="1:30" s="5" customFormat="1" ht="15.75" customHeight="1" x14ac:dyDescent="0.25">
      <c r="A48" s="2">
        <v>44</v>
      </c>
      <c r="B48" s="14" t="s">
        <v>23</v>
      </c>
      <c r="C48" s="15" t="s">
        <v>24</v>
      </c>
      <c r="D48" s="400" t="s">
        <v>112</v>
      </c>
      <c r="E48" s="415">
        <f t="shared" si="4"/>
        <v>54.834421643254828</v>
      </c>
      <c r="F48" s="402">
        <v>75.044468620000004</v>
      </c>
      <c r="G48" s="402">
        <v>231.59355869999999</v>
      </c>
      <c r="H48" s="402">
        <v>31.03118718</v>
      </c>
      <c r="I48" s="402">
        <v>131.90400869999999</v>
      </c>
      <c r="J48" s="402">
        <v>52.891521760000003</v>
      </c>
      <c r="K48" s="402">
        <v>121.99589520000001</v>
      </c>
      <c r="L48" s="402">
        <v>429.42214030000002</v>
      </c>
      <c r="M48" s="402">
        <v>446.4680553</v>
      </c>
      <c r="N48" s="402">
        <v>258.58874830000002</v>
      </c>
      <c r="O48" s="402">
        <v>846.6579279</v>
      </c>
      <c r="P48" s="402">
        <v>1089.1702700000001</v>
      </c>
      <c r="Q48" s="402">
        <v>410.79118649999998</v>
      </c>
      <c r="R48" s="402">
        <v>762.58576040000003</v>
      </c>
      <c r="S48" s="402">
        <v>1659.874542</v>
      </c>
      <c r="T48" s="402">
        <v>985.76774169999999</v>
      </c>
      <c r="U48" s="407">
        <f t="shared" si="5"/>
        <v>54.22934261935918</v>
      </c>
      <c r="V48" s="402">
        <v>1.7543427720818401</v>
      </c>
      <c r="W48" s="402">
        <v>707.97054384114995</v>
      </c>
      <c r="X48" s="407">
        <f t="shared" si="6"/>
        <v>65.062286944441965</v>
      </c>
      <c r="Y48" s="402">
        <v>105.25463848996</v>
      </c>
      <c r="Z48" s="402">
        <v>775.40828339002496</v>
      </c>
      <c r="AA48" s="402">
        <v>159.94559594027999</v>
      </c>
      <c r="AB48" s="407">
        <f t="shared" si="7"/>
        <v>45.816714389858987</v>
      </c>
      <c r="AC48" s="399"/>
      <c r="AD48" s="121"/>
    </row>
    <row r="49" spans="1:30" s="5" customFormat="1" ht="15.75" customHeight="1" x14ac:dyDescent="0.25">
      <c r="A49" s="2">
        <v>45</v>
      </c>
      <c r="B49" s="6" t="s">
        <v>13</v>
      </c>
      <c r="C49" s="10" t="s">
        <v>19</v>
      </c>
      <c r="D49" s="400" t="s">
        <v>155</v>
      </c>
      <c r="E49" s="415">
        <f t="shared" si="4"/>
        <v>54.815254905951058</v>
      </c>
      <c r="F49" s="402">
        <v>15.616266810000001</v>
      </c>
      <c r="G49" s="402">
        <v>228.5731457</v>
      </c>
      <c r="H49" s="402">
        <v>7.0433649550000004</v>
      </c>
      <c r="I49" s="402">
        <v>12.0810171</v>
      </c>
      <c r="J49" s="402">
        <v>21.137892390000001</v>
      </c>
      <c r="K49" s="402">
        <v>220.25515540000001</v>
      </c>
      <c r="L49" s="402">
        <v>346.97010999999998</v>
      </c>
      <c r="M49" s="402">
        <v>450.63550830000003</v>
      </c>
      <c r="N49" s="402">
        <v>220.4141041</v>
      </c>
      <c r="O49" s="402">
        <v>915.56244040000001</v>
      </c>
      <c r="P49" s="402">
        <v>311.19162310000002</v>
      </c>
      <c r="Q49" s="402">
        <v>379.85168240000002</v>
      </c>
      <c r="R49" s="402">
        <v>416.12433600000003</v>
      </c>
      <c r="S49" s="402">
        <v>1891.91381</v>
      </c>
      <c r="T49" s="402">
        <v>931.81421450000005</v>
      </c>
      <c r="U49" s="407">
        <f t="shared" si="5"/>
        <v>79.821240061116157</v>
      </c>
      <c r="V49" s="402">
        <v>12.2767107311807</v>
      </c>
      <c r="W49" s="402">
        <v>1176.8169106047401</v>
      </c>
      <c r="X49" s="407">
        <f t="shared" si="6"/>
        <v>20.673385838313624</v>
      </c>
      <c r="Y49" s="402">
        <v>115.72648730965101</v>
      </c>
      <c r="Z49" s="402">
        <v>544.77382510264397</v>
      </c>
      <c r="AA49" s="402">
        <v>352.80484411622098</v>
      </c>
      <c r="AB49" s="407">
        <f t="shared" si="7"/>
        <v>38.945153663258303</v>
      </c>
      <c r="AC49" s="399"/>
      <c r="AD49" s="121"/>
    </row>
    <row r="50" spans="1:30" s="5" customFormat="1" ht="15.75" customHeight="1" x14ac:dyDescent="0.25">
      <c r="A50" s="2">
        <v>46</v>
      </c>
      <c r="B50" s="3" t="s">
        <v>10</v>
      </c>
      <c r="C50" s="22" t="s">
        <v>49</v>
      </c>
      <c r="D50" s="400" t="s">
        <v>222</v>
      </c>
      <c r="E50" s="415">
        <f t="shared" si="4"/>
        <v>54.62296621651565</v>
      </c>
      <c r="F50" s="402">
        <v>37.789262710000003</v>
      </c>
      <c r="G50" s="402">
        <v>265.87275319999998</v>
      </c>
      <c r="H50" s="402">
        <v>94.654357669999996</v>
      </c>
      <c r="I50" s="402">
        <v>226.53982500000001</v>
      </c>
      <c r="J50" s="402">
        <v>45.383097489999997</v>
      </c>
      <c r="K50" s="402">
        <v>76.652685289999994</v>
      </c>
      <c r="L50" s="402">
        <v>453.2478102</v>
      </c>
      <c r="M50" s="402">
        <v>317.75785819999999</v>
      </c>
      <c r="N50" s="402">
        <v>155.80136419999999</v>
      </c>
      <c r="O50" s="402">
        <v>778.77239770000006</v>
      </c>
      <c r="P50" s="402">
        <v>433.80681179999999</v>
      </c>
      <c r="Q50" s="402">
        <v>485.74579629999999</v>
      </c>
      <c r="R50" s="402">
        <v>984.28776809999999</v>
      </c>
      <c r="S50" s="402">
        <v>1504.5845300000001</v>
      </c>
      <c r="T50" s="402">
        <v>773.53846659999999</v>
      </c>
      <c r="U50" s="407">
        <f t="shared" si="5"/>
        <v>53.277652250351331</v>
      </c>
      <c r="V50" s="402">
        <v>9.6465700710708298</v>
      </c>
      <c r="W50" s="402">
        <v>422.92467354303</v>
      </c>
      <c r="X50" s="407">
        <f t="shared" si="6"/>
        <v>56.01066448681653</v>
      </c>
      <c r="Y50" s="402">
        <v>102.67106781867101</v>
      </c>
      <c r="Z50" s="402">
        <v>208.41090695953599</v>
      </c>
      <c r="AA50" s="402">
        <v>256.82232661491503</v>
      </c>
      <c r="AB50" s="407">
        <f t="shared" si="7"/>
        <v>55.925895878543436</v>
      </c>
      <c r="AC50" s="399"/>
      <c r="AD50" s="121"/>
    </row>
    <row r="51" spans="1:30" s="5" customFormat="1" ht="15.75" customHeight="1" x14ac:dyDescent="0.25">
      <c r="A51" s="2">
        <v>47</v>
      </c>
      <c r="B51" s="3" t="s">
        <v>10</v>
      </c>
      <c r="C51" s="25" t="s">
        <v>115</v>
      </c>
      <c r="D51" s="400" t="s">
        <v>219</v>
      </c>
      <c r="E51" s="415">
        <f t="shared" si="4"/>
        <v>54.588210087283763</v>
      </c>
      <c r="F51" s="402">
        <v>22.597662280000002</v>
      </c>
      <c r="G51" s="402">
        <v>281.93150589999999</v>
      </c>
      <c r="H51" s="402">
        <v>11.238181880000001</v>
      </c>
      <c r="I51" s="402">
        <v>61.2407696</v>
      </c>
      <c r="J51" s="402">
        <v>57.316585359999998</v>
      </c>
      <c r="K51" s="402">
        <v>43.93242248</v>
      </c>
      <c r="L51" s="402">
        <v>701.89770599999997</v>
      </c>
      <c r="M51" s="402">
        <v>338.56585050000001</v>
      </c>
      <c r="N51" s="402">
        <v>259.94796109999999</v>
      </c>
      <c r="O51" s="402">
        <v>796.42969860000005</v>
      </c>
      <c r="P51" s="402">
        <v>615.21639370000003</v>
      </c>
      <c r="Q51" s="402">
        <v>322.34907090000002</v>
      </c>
      <c r="R51" s="402">
        <v>812.56251139999995</v>
      </c>
      <c r="S51" s="402">
        <v>1754.4332260000001</v>
      </c>
      <c r="T51" s="402">
        <v>927.00728409999999</v>
      </c>
      <c r="U51" s="407">
        <f t="shared" si="5"/>
        <v>63.697999936432183</v>
      </c>
      <c r="V51" s="402">
        <v>8.5855242852402593</v>
      </c>
      <c r="W51" s="402">
        <v>560.09480101368001</v>
      </c>
      <c r="X51" s="407">
        <f t="shared" si="6"/>
        <v>48.996641013323895</v>
      </c>
      <c r="Y51" s="402">
        <v>102.09730933834101</v>
      </c>
      <c r="Z51" s="402">
        <v>740.28524215167295</v>
      </c>
      <c r="AA51" s="402">
        <v>233.422716797173</v>
      </c>
      <c r="AB51" s="407">
        <f t="shared" si="7"/>
        <v>41.960199462946797</v>
      </c>
      <c r="AC51" s="399"/>
      <c r="AD51" s="121"/>
    </row>
    <row r="52" spans="1:30" s="13" customFormat="1" ht="15.75" customHeight="1" x14ac:dyDescent="0.25">
      <c r="A52" s="2">
        <v>48</v>
      </c>
      <c r="B52" s="3" t="s">
        <v>10</v>
      </c>
      <c r="C52" s="19" t="s">
        <v>35</v>
      </c>
      <c r="D52" s="400" t="s">
        <v>123</v>
      </c>
      <c r="E52" s="415">
        <f t="shared" si="4"/>
        <v>54.527268316807465</v>
      </c>
      <c r="F52" s="402">
        <v>9.1523185890000001</v>
      </c>
      <c r="G52" s="402">
        <v>202.57699400000001</v>
      </c>
      <c r="H52" s="402">
        <v>45.847445729999997</v>
      </c>
      <c r="I52" s="402">
        <v>25.184046890000001</v>
      </c>
      <c r="J52" s="402">
        <v>33.315314319999999</v>
      </c>
      <c r="K52" s="402">
        <v>91.375099239999997</v>
      </c>
      <c r="L52" s="402">
        <v>447.28488470000002</v>
      </c>
      <c r="M52" s="402">
        <v>483.6546677</v>
      </c>
      <c r="N52" s="402">
        <v>191.84067809999999</v>
      </c>
      <c r="O52" s="402">
        <v>826.22149679999995</v>
      </c>
      <c r="P52" s="402">
        <v>1497.2294919999999</v>
      </c>
      <c r="Q52" s="402">
        <v>576.36955780000005</v>
      </c>
      <c r="R52" s="402">
        <v>752.32219620000001</v>
      </c>
      <c r="S52" s="402">
        <v>1951.7032999999999</v>
      </c>
      <c r="T52" s="402">
        <v>924.04364950000001</v>
      </c>
      <c r="U52" s="407">
        <f t="shared" si="5"/>
        <v>66.321228610514879</v>
      </c>
      <c r="V52" s="402">
        <v>2.6203773359010301</v>
      </c>
      <c r="W52" s="402">
        <v>746.55130485113</v>
      </c>
      <c r="X52" s="407">
        <f t="shared" si="6"/>
        <v>57.515551581868309</v>
      </c>
      <c r="Y52" s="402">
        <v>95.502226074308098</v>
      </c>
      <c r="Z52" s="402">
        <v>1666.5346085444</v>
      </c>
      <c r="AA52" s="402">
        <v>361.77140796178497</v>
      </c>
      <c r="AB52" s="407">
        <f t="shared" si="7"/>
        <v>27.951064464331797</v>
      </c>
      <c r="AC52" s="399"/>
      <c r="AD52" s="354"/>
    </row>
    <row r="53" spans="1:30" s="5" customFormat="1" ht="15.75" customHeight="1" x14ac:dyDescent="0.25">
      <c r="A53" s="2">
        <v>49</v>
      </c>
      <c r="B53" s="6" t="s">
        <v>13</v>
      </c>
      <c r="C53" s="10" t="s">
        <v>19</v>
      </c>
      <c r="D53" s="400" t="s">
        <v>73</v>
      </c>
      <c r="E53" s="415">
        <f t="shared" si="4"/>
        <v>54.524952292348701</v>
      </c>
      <c r="F53" s="402">
        <v>12.73323381757</v>
      </c>
      <c r="G53" s="402">
        <v>224.61928909749</v>
      </c>
      <c r="H53" s="402">
        <v>50.415353595429998</v>
      </c>
      <c r="I53" s="402">
        <v>10.84127331497</v>
      </c>
      <c r="J53" s="402">
        <v>22.08701196294</v>
      </c>
      <c r="K53" s="402">
        <v>182.90399790945</v>
      </c>
      <c r="L53" s="402">
        <v>336.86622099579</v>
      </c>
      <c r="M53" s="402">
        <v>446.01249480464998</v>
      </c>
      <c r="N53" s="402">
        <v>243.11409925448999</v>
      </c>
      <c r="O53" s="402">
        <v>823.35323706325005</v>
      </c>
      <c r="P53" s="402">
        <v>313.38675576361999</v>
      </c>
      <c r="Q53" s="402">
        <v>318.11326432038999</v>
      </c>
      <c r="R53" s="402">
        <v>420.80294227646999</v>
      </c>
      <c r="S53" s="402">
        <v>2328.3873467583498</v>
      </c>
      <c r="T53" s="402">
        <v>928.73151961351005</v>
      </c>
      <c r="U53" s="407">
        <f t="shared" si="5"/>
        <v>73.686656730837214</v>
      </c>
      <c r="V53" s="402">
        <v>11.7994869697963</v>
      </c>
      <c r="W53" s="402">
        <v>638.07723571028998</v>
      </c>
      <c r="X53" s="407">
        <f t="shared" si="6"/>
        <v>40.272480681657726</v>
      </c>
      <c r="Y53" s="402">
        <v>194.21560603847701</v>
      </c>
      <c r="Z53" s="402">
        <v>542.90167654834295</v>
      </c>
      <c r="AA53" s="402">
        <v>426.57827908040201</v>
      </c>
      <c r="AB53" s="407">
        <f t="shared" si="7"/>
        <v>30.454015026062606</v>
      </c>
      <c r="AC53" s="399"/>
      <c r="AD53" s="121"/>
    </row>
    <row r="54" spans="1:30" s="5" customFormat="1" ht="15.75" customHeight="1" x14ac:dyDescent="0.25">
      <c r="A54" s="2">
        <v>50</v>
      </c>
      <c r="B54" s="3" t="s">
        <v>10</v>
      </c>
      <c r="C54" s="25" t="s">
        <v>115</v>
      </c>
      <c r="D54" s="400" t="s">
        <v>203</v>
      </c>
      <c r="E54" s="415">
        <f t="shared" si="4"/>
        <v>54.449388795041408</v>
      </c>
      <c r="F54" s="402">
        <v>22.567998769999999</v>
      </c>
      <c r="G54" s="402">
        <v>294.33464889999999</v>
      </c>
      <c r="H54" s="402">
        <v>26.248630909999999</v>
      </c>
      <c r="I54" s="402">
        <v>47.473125189999998</v>
      </c>
      <c r="J54" s="402">
        <v>55.514453009999997</v>
      </c>
      <c r="K54" s="402">
        <v>44.364944090000002</v>
      </c>
      <c r="L54" s="402">
        <v>682.9097481</v>
      </c>
      <c r="M54" s="402">
        <v>427.29409930000003</v>
      </c>
      <c r="N54" s="402">
        <v>267.27298539999998</v>
      </c>
      <c r="O54" s="402">
        <v>824.26901740000005</v>
      </c>
      <c r="P54" s="402">
        <v>648.15575960000001</v>
      </c>
      <c r="Q54" s="402">
        <v>315.36124030000002</v>
      </c>
      <c r="R54" s="402">
        <v>831.3340796</v>
      </c>
      <c r="S54" s="402">
        <v>1593.7921630000001</v>
      </c>
      <c r="T54" s="402">
        <v>954.01740870000003</v>
      </c>
      <c r="U54" s="407">
        <f t="shared" si="5"/>
        <v>59.870191884040153</v>
      </c>
      <c r="V54" s="402">
        <v>4.5553367003926901</v>
      </c>
      <c r="W54" s="402">
        <v>615.45874705685003</v>
      </c>
      <c r="X54" s="407">
        <f t="shared" si="6"/>
        <v>55.38521682246062</v>
      </c>
      <c r="Y54" s="402">
        <v>100.840610948083</v>
      </c>
      <c r="Z54" s="402">
        <v>747.98947465000003</v>
      </c>
      <c r="AA54" s="402">
        <v>221.02219718801899</v>
      </c>
      <c r="AB54" s="407">
        <f t="shared" si="7"/>
        <v>42.671954589624697</v>
      </c>
      <c r="AC54" s="399"/>
      <c r="AD54" s="121"/>
    </row>
    <row r="55" spans="1:30" s="5" customFormat="1" ht="15.75" customHeight="1" x14ac:dyDescent="0.25">
      <c r="A55" s="2">
        <v>51</v>
      </c>
      <c r="B55" s="6" t="s">
        <v>13</v>
      </c>
      <c r="C55" s="7" t="s">
        <v>14</v>
      </c>
      <c r="D55" s="400" t="s">
        <v>28</v>
      </c>
      <c r="E55" s="415">
        <f t="shared" si="4"/>
        <v>54.307669520762836</v>
      </c>
      <c r="F55" s="402">
        <v>19.202178615099999</v>
      </c>
      <c r="G55" s="402">
        <v>356.7357314871</v>
      </c>
      <c r="H55" s="402">
        <v>14.85748673682</v>
      </c>
      <c r="I55" s="402">
        <v>42.11295538329</v>
      </c>
      <c r="J55" s="402">
        <v>38.103812760719997</v>
      </c>
      <c r="K55" s="402">
        <v>66.324315322070007</v>
      </c>
      <c r="L55" s="402">
        <v>551.32509562071004</v>
      </c>
      <c r="M55" s="402">
        <v>398.61072475312</v>
      </c>
      <c r="N55" s="402">
        <v>251.35357651959001</v>
      </c>
      <c r="O55" s="402">
        <v>745.11489600595996</v>
      </c>
      <c r="P55" s="402">
        <v>525.23170083558</v>
      </c>
      <c r="Q55" s="402">
        <v>333.10470976181</v>
      </c>
      <c r="R55" s="402">
        <v>792.36129921481995</v>
      </c>
      <c r="S55" s="402">
        <v>1815.38670970509</v>
      </c>
      <c r="T55" s="402">
        <v>923.11758226993902</v>
      </c>
      <c r="U55" s="407">
        <f t="shared" si="5"/>
        <v>64.369920750078094</v>
      </c>
      <c r="V55" s="402">
        <v>4.6446512299571898</v>
      </c>
      <c r="W55" s="402">
        <v>657.98211541759997</v>
      </c>
      <c r="X55" s="407">
        <f t="shared" si="6"/>
        <v>53.024211524490468</v>
      </c>
      <c r="Y55" s="402">
        <v>109.603719339411</v>
      </c>
      <c r="Z55" s="402">
        <v>668.264919981915</v>
      </c>
      <c r="AA55" s="402">
        <v>402.55499533756699</v>
      </c>
      <c r="AB55" s="407">
        <f t="shared" si="7"/>
        <v>35.466625058404709</v>
      </c>
      <c r="AC55" s="399"/>
      <c r="AD55" s="121"/>
    </row>
    <row r="56" spans="1:30" s="5" customFormat="1" ht="15.75" customHeight="1" x14ac:dyDescent="0.25">
      <c r="A56" s="2">
        <v>52</v>
      </c>
      <c r="B56" s="3" t="s">
        <v>10</v>
      </c>
      <c r="C56" s="22" t="s">
        <v>49</v>
      </c>
      <c r="D56" s="400" t="s">
        <v>137</v>
      </c>
      <c r="E56" s="415">
        <f t="shared" si="4"/>
        <v>54.019542828118972</v>
      </c>
      <c r="F56" s="402">
        <v>29.204701870000001</v>
      </c>
      <c r="G56" s="402">
        <v>280.29552039999999</v>
      </c>
      <c r="H56" s="402">
        <v>114.60758300000001</v>
      </c>
      <c r="I56" s="402">
        <v>125.8662039</v>
      </c>
      <c r="J56" s="402">
        <v>34.947225400000001</v>
      </c>
      <c r="K56" s="402">
        <v>68.258697269999999</v>
      </c>
      <c r="L56" s="402">
        <v>487.56414280000001</v>
      </c>
      <c r="M56" s="402">
        <v>320.58703659999998</v>
      </c>
      <c r="N56" s="402">
        <v>155.69432549999999</v>
      </c>
      <c r="O56" s="402">
        <v>773.23407580000003</v>
      </c>
      <c r="P56" s="402">
        <v>809.09208899999999</v>
      </c>
      <c r="Q56" s="402">
        <v>492.63798489999999</v>
      </c>
      <c r="R56" s="402">
        <v>981.9898508</v>
      </c>
      <c r="S56" s="402">
        <v>1573.729855</v>
      </c>
      <c r="T56" s="402">
        <v>809.66395780000005</v>
      </c>
      <c r="U56" s="407">
        <f t="shared" si="5"/>
        <v>54.6905605442563</v>
      </c>
      <c r="V56" s="402">
        <v>3.5558568389590599</v>
      </c>
      <c r="W56" s="402">
        <v>675.79735884601996</v>
      </c>
      <c r="X56" s="407">
        <f t="shared" si="6"/>
        <v>56.121103076596384</v>
      </c>
      <c r="Y56" s="402">
        <v>75.017906792202595</v>
      </c>
      <c r="Z56" s="402">
        <v>576.83670268787898</v>
      </c>
      <c r="AA56" s="402">
        <v>199.79432351622299</v>
      </c>
      <c r="AB56" s="407">
        <f t="shared" si="7"/>
        <v>50.575947147366939</v>
      </c>
      <c r="AC56" s="399"/>
      <c r="AD56" s="121"/>
    </row>
    <row r="57" spans="1:30" s="5" customFormat="1" ht="15.75" customHeight="1" x14ac:dyDescent="0.25">
      <c r="A57" s="2">
        <v>53</v>
      </c>
      <c r="B57" s="3" t="s">
        <v>10</v>
      </c>
      <c r="C57" s="22" t="s">
        <v>49</v>
      </c>
      <c r="D57" s="400" t="s">
        <v>125</v>
      </c>
      <c r="E57" s="415">
        <f t="shared" si="4"/>
        <v>53.973984963414658</v>
      </c>
      <c r="F57" s="402">
        <v>30.327434929999999</v>
      </c>
      <c r="G57" s="402">
        <v>420.16979240000001</v>
      </c>
      <c r="H57" s="402">
        <v>106.63708560000001</v>
      </c>
      <c r="I57" s="402">
        <v>246.2794256</v>
      </c>
      <c r="J57" s="402">
        <v>58.802226769999997</v>
      </c>
      <c r="K57" s="402">
        <v>60.53089232</v>
      </c>
      <c r="L57" s="402">
        <v>431.38655840000001</v>
      </c>
      <c r="M57" s="402">
        <v>334.16167039999999</v>
      </c>
      <c r="N57" s="402">
        <v>166.11342629999999</v>
      </c>
      <c r="O57" s="402">
        <v>822.72541469999999</v>
      </c>
      <c r="P57" s="402">
        <v>566.73596759999998</v>
      </c>
      <c r="Q57" s="402">
        <v>483.98306009999999</v>
      </c>
      <c r="R57" s="402">
        <v>926.63372319999996</v>
      </c>
      <c r="S57" s="402">
        <v>1514.421169</v>
      </c>
      <c r="T57" s="402">
        <v>802.24355579999997</v>
      </c>
      <c r="U57" s="407">
        <f t="shared" si="5"/>
        <v>46.084500889377651</v>
      </c>
      <c r="V57" s="402">
        <v>4.6333790646330897</v>
      </c>
      <c r="W57" s="402">
        <v>428.54433889799998</v>
      </c>
      <c r="X57" s="407">
        <f t="shared" si="6"/>
        <v>66.380841966184775</v>
      </c>
      <c r="Y57" s="402">
        <v>55.1544625204779</v>
      </c>
      <c r="Z57" s="402">
        <v>306.82877312033003</v>
      </c>
      <c r="AA57" s="402">
        <v>284.48426375989197</v>
      </c>
      <c r="AB57" s="407">
        <f t="shared" si="7"/>
        <v>57.346096108718562</v>
      </c>
      <c r="AC57" s="399"/>
      <c r="AD57" s="121"/>
    </row>
    <row r="58" spans="1:30" s="5" customFormat="1" ht="15.75" customHeight="1" x14ac:dyDescent="0.25">
      <c r="A58" s="2">
        <v>54</v>
      </c>
      <c r="B58" s="6" t="s">
        <v>13</v>
      </c>
      <c r="C58" s="7" t="s">
        <v>14</v>
      </c>
      <c r="D58" s="400" t="s">
        <v>33</v>
      </c>
      <c r="E58" s="415">
        <f t="shared" si="4"/>
        <v>53.960177212745464</v>
      </c>
      <c r="F58" s="402">
        <v>17.716267980000001</v>
      </c>
      <c r="G58" s="402">
        <v>305.27705630000003</v>
      </c>
      <c r="H58" s="402">
        <v>28.887978310000001</v>
      </c>
      <c r="I58" s="402">
        <v>42.869900530000002</v>
      </c>
      <c r="J58" s="402">
        <v>52.662387010000003</v>
      </c>
      <c r="K58" s="402">
        <v>52.558229259999997</v>
      </c>
      <c r="L58" s="402">
        <v>649.51044539999998</v>
      </c>
      <c r="M58" s="402">
        <v>366.1690716</v>
      </c>
      <c r="N58" s="402">
        <v>259.03102089999999</v>
      </c>
      <c r="O58" s="402">
        <v>793.50549039999999</v>
      </c>
      <c r="P58" s="402">
        <v>640.89249359999997</v>
      </c>
      <c r="Q58" s="402">
        <v>326.36433929999998</v>
      </c>
      <c r="R58" s="402">
        <v>805.43505210000001</v>
      </c>
      <c r="S58" s="402">
        <v>1743.2518789999999</v>
      </c>
      <c r="T58" s="402">
        <v>953.39976000000001</v>
      </c>
      <c r="U58" s="407">
        <f t="shared" si="5"/>
        <v>60.574063922953897</v>
      </c>
      <c r="V58" s="402">
        <v>3.4079348735998098</v>
      </c>
      <c r="W58" s="402">
        <v>651.03322929678995</v>
      </c>
      <c r="X58" s="407">
        <f t="shared" si="6"/>
        <v>57.905531416434599</v>
      </c>
      <c r="Y58" s="402">
        <v>98.645407183547903</v>
      </c>
      <c r="Z58" s="402">
        <v>760.88617598785697</v>
      </c>
      <c r="AA58" s="402">
        <v>353.737508781722</v>
      </c>
      <c r="AB58" s="407">
        <f t="shared" si="7"/>
        <v>36.787049588639462</v>
      </c>
      <c r="AC58" s="399"/>
      <c r="AD58" s="121"/>
    </row>
    <row r="59" spans="1:30" s="5" customFormat="1" ht="15.75" customHeight="1" x14ac:dyDescent="0.25">
      <c r="A59" s="2">
        <v>55</v>
      </c>
      <c r="B59" s="14" t="s">
        <v>23</v>
      </c>
      <c r="C59" s="15" t="s">
        <v>24</v>
      </c>
      <c r="D59" s="400" t="s">
        <v>34</v>
      </c>
      <c r="E59" s="415">
        <f t="shared" si="4"/>
        <v>53.874879166430873</v>
      </c>
      <c r="F59" s="402">
        <v>109.5164661</v>
      </c>
      <c r="G59" s="402">
        <v>276.1240889</v>
      </c>
      <c r="H59" s="402">
        <v>29.400754169999999</v>
      </c>
      <c r="I59" s="402">
        <v>71.652370079999997</v>
      </c>
      <c r="J59" s="402">
        <v>44.773003279999998</v>
      </c>
      <c r="K59" s="402">
        <v>145.2260508</v>
      </c>
      <c r="L59" s="402">
        <v>404.52696980000002</v>
      </c>
      <c r="M59" s="402">
        <v>433.5934231</v>
      </c>
      <c r="N59" s="402">
        <v>277.16284789999997</v>
      </c>
      <c r="O59" s="402">
        <v>843.17701959999999</v>
      </c>
      <c r="P59" s="402">
        <v>1088.9362530000001</v>
      </c>
      <c r="Q59" s="402">
        <v>418.07147830000002</v>
      </c>
      <c r="R59" s="402">
        <v>749.56500679999999</v>
      </c>
      <c r="S59" s="402">
        <v>1680.0895370000001</v>
      </c>
      <c r="T59" s="402">
        <v>996.24652619999995</v>
      </c>
      <c r="U59" s="407">
        <f t="shared" si="5"/>
        <v>54.231871718003234</v>
      </c>
      <c r="V59" s="402">
        <v>2.72770585753192</v>
      </c>
      <c r="W59" s="402">
        <v>691.32936872383004</v>
      </c>
      <c r="X59" s="407">
        <f t="shared" si="6"/>
        <v>59.312843939692812</v>
      </c>
      <c r="Y59" s="402">
        <v>91.396241684519396</v>
      </c>
      <c r="Z59" s="402">
        <v>1088.61183247792</v>
      </c>
      <c r="AA59" s="402">
        <v>113.68314954899699</v>
      </c>
      <c r="AB59" s="407">
        <f t="shared" si="7"/>
        <v>47.722929290024219</v>
      </c>
      <c r="AC59" s="399"/>
      <c r="AD59" s="121"/>
    </row>
    <row r="60" spans="1:30" s="5" customFormat="1" ht="15.75" customHeight="1" x14ac:dyDescent="0.25">
      <c r="A60" s="2">
        <v>56</v>
      </c>
      <c r="B60" s="6" t="s">
        <v>13</v>
      </c>
      <c r="C60" s="7" t="s">
        <v>14</v>
      </c>
      <c r="D60" s="400" t="s">
        <v>72</v>
      </c>
      <c r="E60" s="415">
        <f t="shared" si="4"/>
        <v>53.824547644870101</v>
      </c>
      <c r="F60" s="402">
        <v>9.5333439290000008</v>
      </c>
      <c r="G60" s="402">
        <v>305.32853990000001</v>
      </c>
      <c r="H60" s="402">
        <v>18.529058259999999</v>
      </c>
      <c r="I60" s="402">
        <v>16.95157571</v>
      </c>
      <c r="J60" s="402">
        <v>26.60523332</v>
      </c>
      <c r="K60" s="402">
        <v>136.46254819999999</v>
      </c>
      <c r="L60" s="402">
        <v>487.64694580000003</v>
      </c>
      <c r="M60" s="402">
        <v>371.11803600000002</v>
      </c>
      <c r="N60" s="402">
        <v>294.90548699999999</v>
      </c>
      <c r="O60" s="402">
        <v>792.37478769999996</v>
      </c>
      <c r="P60" s="402">
        <v>518.08096079999996</v>
      </c>
      <c r="Q60" s="402">
        <v>329.9923794</v>
      </c>
      <c r="R60" s="402">
        <v>695.16161780000004</v>
      </c>
      <c r="S60" s="402">
        <v>2154.925565</v>
      </c>
      <c r="T60" s="402">
        <v>827.38321140000005</v>
      </c>
      <c r="U60" s="407">
        <f t="shared" si="5"/>
        <v>70.986374639173874</v>
      </c>
      <c r="V60" s="402">
        <v>13.332207688476601</v>
      </c>
      <c r="W60" s="402">
        <v>558.54130092593005</v>
      </c>
      <c r="X60" s="407">
        <f t="shared" si="6"/>
        <v>42.613072189179633</v>
      </c>
      <c r="Y60" s="402">
        <v>106.518694761087</v>
      </c>
      <c r="Z60" s="402">
        <v>717.051725245792</v>
      </c>
      <c r="AA60" s="402">
        <v>563.37534368678405</v>
      </c>
      <c r="AB60" s="407">
        <f t="shared" si="7"/>
        <v>30.712369111953027</v>
      </c>
      <c r="AC60" s="399"/>
      <c r="AD60" s="121"/>
    </row>
    <row r="61" spans="1:30" s="5" customFormat="1" ht="15.75" customHeight="1" x14ac:dyDescent="0.25">
      <c r="A61" s="2">
        <v>57</v>
      </c>
      <c r="B61" s="14" t="s">
        <v>23</v>
      </c>
      <c r="C61" s="16" t="s">
        <v>26</v>
      </c>
      <c r="D61" s="400" t="s">
        <v>166</v>
      </c>
      <c r="E61" s="415">
        <f t="shared" si="4"/>
        <v>53.757080382335396</v>
      </c>
      <c r="F61" s="402">
        <v>74.761283390000003</v>
      </c>
      <c r="G61" s="402">
        <v>328.54468480000003</v>
      </c>
      <c r="H61" s="402">
        <v>67.336238429999995</v>
      </c>
      <c r="I61" s="402">
        <v>152.7390958</v>
      </c>
      <c r="J61" s="402">
        <v>28.42430272</v>
      </c>
      <c r="K61" s="402">
        <v>92.16474144</v>
      </c>
      <c r="L61" s="402">
        <v>350.74564789999999</v>
      </c>
      <c r="M61" s="402">
        <v>447.33112799999998</v>
      </c>
      <c r="N61" s="402">
        <v>269.66811380000001</v>
      </c>
      <c r="O61" s="402">
        <v>879.4692751</v>
      </c>
      <c r="P61" s="402">
        <v>996.61007959999995</v>
      </c>
      <c r="Q61" s="402">
        <v>325.73373290000001</v>
      </c>
      <c r="R61" s="402">
        <v>819.26873899999998</v>
      </c>
      <c r="S61" s="402">
        <v>2065.1370590000001</v>
      </c>
      <c r="T61" s="402">
        <v>855.03159149999999</v>
      </c>
      <c r="U61" s="407">
        <f t="shared" si="5"/>
        <v>51.916272558684767</v>
      </c>
      <c r="V61" s="402">
        <v>6.0685023167306804</v>
      </c>
      <c r="W61" s="402">
        <v>553.00644766497999</v>
      </c>
      <c r="X61" s="407">
        <f t="shared" si="6"/>
        <v>54.492960209240344</v>
      </c>
      <c r="Y61" s="402">
        <v>68.401828938296404</v>
      </c>
      <c r="Z61" s="402">
        <v>941.97306756497596</v>
      </c>
      <c r="AA61" s="402">
        <v>84.101205776493501</v>
      </c>
      <c r="AB61" s="407">
        <f t="shared" si="7"/>
        <v>56.702816202731697</v>
      </c>
      <c r="AC61" s="399"/>
      <c r="AD61" s="121"/>
    </row>
    <row r="62" spans="1:30" s="5" customFormat="1" ht="15.75" customHeight="1" x14ac:dyDescent="0.25">
      <c r="A62" s="2">
        <v>58</v>
      </c>
      <c r="B62" s="3" t="s">
        <v>10</v>
      </c>
      <c r="C62" s="19" t="s">
        <v>35</v>
      </c>
      <c r="D62" s="400" t="s">
        <v>110</v>
      </c>
      <c r="E62" s="415">
        <f t="shared" si="4"/>
        <v>53.722276378542958</v>
      </c>
      <c r="F62" s="402">
        <v>19.269662910000001</v>
      </c>
      <c r="G62" s="402">
        <v>256.45735109999998</v>
      </c>
      <c r="H62" s="402">
        <v>74.162397589999998</v>
      </c>
      <c r="I62" s="402">
        <v>25.37827605</v>
      </c>
      <c r="J62" s="402">
        <v>22.575758069999999</v>
      </c>
      <c r="K62" s="402">
        <v>146.4478245</v>
      </c>
      <c r="L62" s="402">
        <v>331.72914980000002</v>
      </c>
      <c r="M62" s="402">
        <v>365.51507470000001</v>
      </c>
      <c r="N62" s="402">
        <v>228.4091866</v>
      </c>
      <c r="O62" s="402">
        <v>861.02794429999994</v>
      </c>
      <c r="P62" s="402">
        <v>392.81433340000001</v>
      </c>
      <c r="Q62" s="402">
        <v>314.75130200000001</v>
      </c>
      <c r="R62" s="402">
        <v>463.44329340000002</v>
      </c>
      <c r="S62" s="402">
        <v>2064.106538</v>
      </c>
      <c r="T62" s="402">
        <v>922.55360989999997</v>
      </c>
      <c r="U62" s="407">
        <f t="shared" si="5"/>
        <v>67.535278700848778</v>
      </c>
      <c r="V62" s="402">
        <v>5.8737512691648801</v>
      </c>
      <c r="W62" s="402">
        <v>938.67331766723998</v>
      </c>
      <c r="X62" s="407">
        <f t="shared" si="6"/>
        <v>38.535123980840225</v>
      </c>
      <c r="Y62" s="402">
        <v>102.78036670666999</v>
      </c>
      <c r="Z62" s="402">
        <v>605.81464892796998</v>
      </c>
      <c r="AA62" s="402">
        <v>296.18515384618797</v>
      </c>
      <c r="AB62" s="407">
        <f t="shared" si="7"/>
        <v>41.283424131634035</v>
      </c>
      <c r="AC62" s="399"/>
      <c r="AD62" s="121"/>
    </row>
    <row r="63" spans="1:30" s="5" customFormat="1" ht="15.75" customHeight="1" x14ac:dyDescent="0.25">
      <c r="A63" s="2">
        <v>59</v>
      </c>
      <c r="B63" s="3" t="s">
        <v>10</v>
      </c>
      <c r="C63" s="22" t="s">
        <v>49</v>
      </c>
      <c r="D63" s="400" t="s">
        <v>120</v>
      </c>
      <c r="E63" s="415">
        <f t="shared" si="4"/>
        <v>53.676809127535726</v>
      </c>
      <c r="F63" s="402">
        <v>18.700659474430001</v>
      </c>
      <c r="G63" s="402">
        <v>238.96813360601999</v>
      </c>
      <c r="H63" s="402">
        <v>124.10638553218</v>
      </c>
      <c r="I63" s="402">
        <v>32.590163191409999</v>
      </c>
      <c r="J63" s="402">
        <v>45.781753896490002</v>
      </c>
      <c r="K63" s="402">
        <v>74.213444264800003</v>
      </c>
      <c r="L63" s="402">
        <v>535.31689165634998</v>
      </c>
      <c r="M63" s="402">
        <v>293.87990057806002</v>
      </c>
      <c r="N63" s="402">
        <v>185.66155565546001</v>
      </c>
      <c r="O63" s="402">
        <v>664.39840736522001</v>
      </c>
      <c r="P63" s="402">
        <v>535.29784024087996</v>
      </c>
      <c r="Q63" s="402">
        <v>479.16032341784899</v>
      </c>
      <c r="R63" s="402">
        <v>864.94676211373996</v>
      </c>
      <c r="S63" s="402">
        <v>1672.0283960572201</v>
      </c>
      <c r="T63" s="402">
        <v>837.67989705316995</v>
      </c>
      <c r="U63" s="407">
        <f t="shared" si="5"/>
        <v>59.893128675027825</v>
      </c>
      <c r="V63" s="402">
        <v>8.6309280487905102</v>
      </c>
      <c r="W63" s="402">
        <v>611.49698035865003</v>
      </c>
      <c r="X63" s="407">
        <f t="shared" si="6"/>
        <v>46.191319129545434</v>
      </c>
      <c r="Y63" s="402">
        <v>87.798393610290901</v>
      </c>
      <c r="Z63" s="402">
        <v>441.91563999743897</v>
      </c>
      <c r="AA63" s="402">
        <v>257.10978699692703</v>
      </c>
      <c r="AB63" s="407">
        <f t="shared" si="7"/>
        <v>48.729660030541801</v>
      </c>
      <c r="AC63" s="399"/>
      <c r="AD63" s="121"/>
    </row>
    <row r="64" spans="1:30" s="5" customFormat="1" ht="15.75" customHeight="1" x14ac:dyDescent="0.25">
      <c r="A64" s="2">
        <v>60</v>
      </c>
      <c r="B64" s="14" t="s">
        <v>23</v>
      </c>
      <c r="C64" s="16" t="s">
        <v>26</v>
      </c>
      <c r="D64" s="400" t="s">
        <v>101</v>
      </c>
      <c r="E64" s="415">
        <f t="shared" si="4"/>
        <v>53.23426253259958</v>
      </c>
      <c r="F64" s="402">
        <v>29.263947089999998</v>
      </c>
      <c r="G64" s="402">
        <v>415.93771429999998</v>
      </c>
      <c r="H64" s="402">
        <v>37.618685210000002</v>
      </c>
      <c r="I64" s="402">
        <v>221.72460240000001</v>
      </c>
      <c r="J64" s="402">
        <v>43.92654185</v>
      </c>
      <c r="K64" s="402">
        <v>36.458647329999998</v>
      </c>
      <c r="L64" s="402">
        <v>357.51047829999999</v>
      </c>
      <c r="M64" s="402">
        <v>659.99060110000005</v>
      </c>
      <c r="N64" s="402">
        <v>332.17199890000001</v>
      </c>
      <c r="O64" s="402">
        <v>900.00019139999995</v>
      </c>
      <c r="P64" s="402">
        <v>753.7972863</v>
      </c>
      <c r="Q64" s="402">
        <v>313.88816830000002</v>
      </c>
      <c r="R64" s="402">
        <v>804.95892219999996</v>
      </c>
      <c r="S64" s="402">
        <v>2024.5837859999999</v>
      </c>
      <c r="T64" s="402">
        <v>903.78991629999996</v>
      </c>
      <c r="U64" s="407">
        <f t="shared" si="5"/>
        <v>50.486490026360258</v>
      </c>
      <c r="V64" s="402">
        <v>3.6901168036196998</v>
      </c>
      <c r="W64" s="402">
        <v>642.12199515204998</v>
      </c>
      <c r="X64" s="407">
        <f t="shared" si="6"/>
        <v>57.164240167995111</v>
      </c>
      <c r="Y64" s="402">
        <v>67.627900667413201</v>
      </c>
      <c r="Z64" s="402">
        <v>768.22563686862895</v>
      </c>
      <c r="AA64" s="402">
        <v>119.992686819157</v>
      </c>
      <c r="AB64" s="407">
        <f t="shared" si="7"/>
        <v>54.799829909682671</v>
      </c>
      <c r="AC64" s="399"/>
      <c r="AD64" s="121"/>
    </row>
    <row r="65" spans="1:30" s="5" customFormat="1" ht="15.75" customHeight="1" x14ac:dyDescent="0.25">
      <c r="A65" s="2">
        <v>61</v>
      </c>
      <c r="B65" s="3" t="s">
        <v>10</v>
      </c>
      <c r="C65" s="22" t="s">
        <v>49</v>
      </c>
      <c r="D65" s="400" t="s">
        <v>170</v>
      </c>
      <c r="E65" s="415">
        <f t="shared" si="4"/>
        <v>53.222680249049247</v>
      </c>
      <c r="F65" s="402">
        <v>49.183855170000001</v>
      </c>
      <c r="G65" s="402">
        <v>465.15066089999999</v>
      </c>
      <c r="H65" s="402">
        <v>65.60044852</v>
      </c>
      <c r="I65" s="402">
        <v>127.0304141</v>
      </c>
      <c r="J65" s="402">
        <v>52.875786949999998</v>
      </c>
      <c r="K65" s="402">
        <v>54.897568020000001</v>
      </c>
      <c r="L65" s="402">
        <v>449.27446980000002</v>
      </c>
      <c r="M65" s="402">
        <v>426.3855542</v>
      </c>
      <c r="N65" s="402">
        <v>159.39003260000001</v>
      </c>
      <c r="O65" s="402">
        <v>845.92091860000005</v>
      </c>
      <c r="P65" s="402">
        <v>626.59658549999995</v>
      </c>
      <c r="Q65" s="402">
        <v>499.63321000000002</v>
      </c>
      <c r="R65" s="402">
        <v>1002.5157840000001</v>
      </c>
      <c r="S65" s="402">
        <v>1540.682333</v>
      </c>
      <c r="T65" s="402">
        <v>889.89662759999999</v>
      </c>
      <c r="U65" s="407">
        <f t="shared" si="5"/>
        <v>47.115468687410356</v>
      </c>
      <c r="V65" s="402">
        <v>3.7860977175546999</v>
      </c>
      <c r="W65" s="402">
        <v>481.75101652183997</v>
      </c>
      <c r="X65" s="407">
        <f t="shared" si="6"/>
        <v>65.713816500278583</v>
      </c>
      <c r="Y65" s="402">
        <v>58.506733308589901</v>
      </c>
      <c r="Z65" s="402">
        <v>396.04417842275001</v>
      </c>
      <c r="AA65" s="402">
        <v>299.09244983514299</v>
      </c>
      <c r="AB65" s="407">
        <f t="shared" si="7"/>
        <v>52.945967121097659</v>
      </c>
      <c r="AC65" s="399"/>
      <c r="AD65" s="121"/>
    </row>
    <row r="66" spans="1:30" s="5" customFormat="1" ht="15.75" customHeight="1" x14ac:dyDescent="0.25">
      <c r="A66" s="2">
        <v>62</v>
      </c>
      <c r="B66" s="3" t="s">
        <v>10</v>
      </c>
      <c r="C66" s="19" t="s">
        <v>35</v>
      </c>
      <c r="D66" s="400" t="s">
        <v>36</v>
      </c>
      <c r="E66" s="415">
        <f t="shared" si="4"/>
        <v>53.221948134258156</v>
      </c>
      <c r="F66" s="402">
        <v>10.30596919942</v>
      </c>
      <c r="G66" s="402">
        <v>251.93136275337</v>
      </c>
      <c r="H66" s="402">
        <v>44.257138598200001</v>
      </c>
      <c r="I66" s="402">
        <v>21.466602536499899</v>
      </c>
      <c r="J66" s="402">
        <v>29.70753708078</v>
      </c>
      <c r="K66" s="402">
        <v>69.608920365469999</v>
      </c>
      <c r="L66" s="402">
        <v>414.28249214120001</v>
      </c>
      <c r="M66" s="402">
        <v>387.60109869917</v>
      </c>
      <c r="N66" s="402">
        <v>211.59531463248999</v>
      </c>
      <c r="O66" s="402">
        <v>855.59325720931997</v>
      </c>
      <c r="P66" s="402">
        <v>1548.72077079519</v>
      </c>
      <c r="Q66" s="402">
        <v>567.81049713302002</v>
      </c>
      <c r="R66" s="402">
        <v>790.25156653617898</v>
      </c>
      <c r="S66" s="402">
        <v>1911.2880257781201</v>
      </c>
      <c r="T66" s="402">
        <v>1045.57792217054</v>
      </c>
      <c r="U66" s="407">
        <f t="shared" si="5"/>
        <v>65.546082305209509</v>
      </c>
      <c r="V66" s="402">
        <v>4.0665383754387996</v>
      </c>
      <c r="W66" s="402">
        <v>741.89226202688997</v>
      </c>
      <c r="X66" s="407">
        <f t="shared" si="6"/>
        <v>51.249464425434461</v>
      </c>
      <c r="Y66" s="402">
        <v>87.716301355888504</v>
      </c>
      <c r="Z66" s="402">
        <v>1466.7123686298601</v>
      </c>
      <c r="AA66" s="402">
        <v>346.58108229448197</v>
      </c>
      <c r="AB66" s="407">
        <f t="shared" si="7"/>
        <v>30.546163501179137</v>
      </c>
      <c r="AC66" s="399"/>
      <c r="AD66" s="121"/>
    </row>
    <row r="67" spans="1:30" s="5" customFormat="1" ht="15.75" customHeight="1" x14ac:dyDescent="0.25">
      <c r="A67" s="2">
        <v>63</v>
      </c>
      <c r="B67" s="14" t="s">
        <v>23</v>
      </c>
      <c r="C67" s="15" t="s">
        <v>24</v>
      </c>
      <c r="D67" s="400" t="s">
        <v>194</v>
      </c>
      <c r="E67" s="415">
        <f t="shared" si="4"/>
        <v>53.120858554674015</v>
      </c>
      <c r="F67" s="402">
        <v>86.300650779999998</v>
      </c>
      <c r="G67" s="402">
        <v>288.66537369999998</v>
      </c>
      <c r="H67" s="402">
        <v>39.898048879999997</v>
      </c>
      <c r="I67" s="402">
        <v>91.204094940000004</v>
      </c>
      <c r="J67" s="402">
        <v>52.022601379999998</v>
      </c>
      <c r="K67" s="402">
        <v>116.3271608</v>
      </c>
      <c r="L67" s="402">
        <v>402.75558910000001</v>
      </c>
      <c r="M67" s="402">
        <v>433.93501509999999</v>
      </c>
      <c r="N67" s="402">
        <v>277.20269839999997</v>
      </c>
      <c r="O67" s="402">
        <v>869.53130420000002</v>
      </c>
      <c r="P67" s="402">
        <v>1107.279536</v>
      </c>
      <c r="Q67" s="402">
        <v>416.89197619999999</v>
      </c>
      <c r="R67" s="402">
        <v>756.58346349999999</v>
      </c>
      <c r="S67" s="402">
        <v>1659.1623039999999</v>
      </c>
      <c r="T67" s="402">
        <v>967.67551949999995</v>
      </c>
      <c r="U67" s="407">
        <f t="shared" si="5"/>
        <v>51.621653349796965</v>
      </c>
      <c r="V67" s="402">
        <v>3.0730917418798498</v>
      </c>
      <c r="W67" s="402">
        <v>654.39600922073998</v>
      </c>
      <c r="X67" s="407">
        <f t="shared" si="6"/>
        <v>59.265857113544939</v>
      </c>
      <c r="Y67" s="402">
        <v>89.948522648263705</v>
      </c>
      <c r="Z67" s="402">
        <v>969.14275485702103</v>
      </c>
      <c r="AA67" s="402">
        <v>107.85611464590301</v>
      </c>
      <c r="AB67" s="407">
        <f t="shared" si="7"/>
        <v>49.974270405557185</v>
      </c>
      <c r="AC67" s="399"/>
      <c r="AD67" s="121"/>
    </row>
    <row r="68" spans="1:30" s="5" customFormat="1" ht="15.75" customHeight="1" x14ac:dyDescent="0.25">
      <c r="A68" s="2">
        <v>64</v>
      </c>
      <c r="B68" s="14" t="s">
        <v>23</v>
      </c>
      <c r="C68" s="16" t="s">
        <v>26</v>
      </c>
      <c r="D68" s="400" t="s">
        <v>77</v>
      </c>
      <c r="E68" s="415">
        <f t="shared" si="4"/>
        <v>53.02846773972378</v>
      </c>
      <c r="F68" s="402">
        <v>43.594498181589998</v>
      </c>
      <c r="G68" s="402">
        <v>378.85223013038001</v>
      </c>
      <c r="H68" s="402">
        <v>40.183252152389997</v>
      </c>
      <c r="I68" s="402">
        <v>173.25267545427999</v>
      </c>
      <c r="J68" s="402">
        <v>28.317009810709902</v>
      </c>
      <c r="K68" s="402">
        <v>82.239557112110006</v>
      </c>
      <c r="L68" s="402">
        <v>359.22737338985002</v>
      </c>
      <c r="M68" s="402">
        <v>266.36246531527001</v>
      </c>
      <c r="N68" s="402">
        <v>295.81451924901</v>
      </c>
      <c r="O68" s="402">
        <v>842.55520211572002</v>
      </c>
      <c r="P68" s="402">
        <v>627.03937427070002</v>
      </c>
      <c r="Q68" s="402">
        <v>381.89760245310998</v>
      </c>
      <c r="R68" s="402">
        <v>745.21840506465003</v>
      </c>
      <c r="S68" s="402">
        <v>1701.48198581465</v>
      </c>
      <c r="T68" s="402">
        <v>1048.41018513218</v>
      </c>
      <c r="U68" s="407">
        <f t="shared" si="5"/>
        <v>55.321407989555027</v>
      </c>
      <c r="V68" s="402">
        <v>8.6388135407639606</v>
      </c>
      <c r="W68" s="402">
        <v>643.79278952829998</v>
      </c>
      <c r="X68" s="407">
        <f t="shared" si="6"/>
        <v>44.578985020172802</v>
      </c>
      <c r="Y68" s="402">
        <v>71.353394105849205</v>
      </c>
      <c r="Z68" s="402">
        <v>704.81978684335195</v>
      </c>
      <c r="AA68" s="402">
        <v>104.949171512733</v>
      </c>
      <c r="AB68" s="407">
        <f t="shared" si="7"/>
        <v>56.892069959612265</v>
      </c>
      <c r="AC68" s="399"/>
      <c r="AD68" s="121"/>
    </row>
    <row r="69" spans="1:30" s="5" customFormat="1" ht="15.75" customHeight="1" x14ac:dyDescent="0.25">
      <c r="A69" s="2">
        <v>65</v>
      </c>
      <c r="B69" s="3" t="s">
        <v>10</v>
      </c>
      <c r="C69" s="19" t="s">
        <v>35</v>
      </c>
      <c r="D69" s="400" t="s">
        <v>114</v>
      </c>
      <c r="E69" s="415">
        <f t="shared" ref="E69:E100" si="8">(U69*50+X69*25+AB69*25)/100</f>
        <v>52.930321425499415</v>
      </c>
      <c r="F69" s="402">
        <v>7.5987927500000003</v>
      </c>
      <c r="G69" s="402">
        <v>326.10026190000002</v>
      </c>
      <c r="H69" s="402">
        <v>47.615713650000004</v>
      </c>
      <c r="I69" s="402">
        <v>45.285109890000001</v>
      </c>
      <c r="J69" s="402">
        <v>52.0241331</v>
      </c>
      <c r="K69" s="402">
        <v>85.166395260000002</v>
      </c>
      <c r="L69" s="402">
        <v>395.07263749999998</v>
      </c>
      <c r="M69" s="402">
        <v>307.86843950000002</v>
      </c>
      <c r="N69" s="402">
        <v>212.46922309999999</v>
      </c>
      <c r="O69" s="402">
        <v>856.24552570000003</v>
      </c>
      <c r="P69" s="402">
        <v>996.15794510000001</v>
      </c>
      <c r="Q69" s="402">
        <v>567.92665320000003</v>
      </c>
      <c r="R69" s="402">
        <v>740.95555639999998</v>
      </c>
      <c r="S69" s="402">
        <v>2000.6406649999999</v>
      </c>
      <c r="T69" s="402">
        <v>1120.7510910000001</v>
      </c>
      <c r="U69" s="407">
        <f t="shared" ref="U69:U100" si="9">((LN(1500)-LN(MAX(MIN(F69,1500),10)))/(LN(1500)-LN(10))*100*2+(LN(700)-LN(MAX(MIN(G69,700),200)))/(LN(700)-LN(200))*100*2+(LN(200)-LN(MAX(MIN(H69,200),10)))/(LN(200)-LN(10))*100*2+(LN(1000)-LN(MAX(MIN(I69,1000),10)))/(LN(1000)-LN(10))*100*2+(LN(150)-LN(MAX(MIN(J69,150),20)))/(LN(150)-LN(20))*100*2+(LN(300)-LN(MAX(MIN(K69,300),20)))/(LN(300)-LN(20))*100*0.5+(LN(800)-LN(MAX(MIN(L69,800),250)))/(LN(800)-LN(250))*100*0.5+(LN(800)-LN(MAX(MIN(M69,800),200)))/(LN(800)-LN(200))*100*0.5+(LN(350)-LN(MAX(MIN(N69,350),100)))/(LN(350)-LN(100))*100*0.5+(LN(1500)-LN(MAX(MIN(O69,1500),550)))/(LN(1500)-LN(550))*100*0.5+(LN(2000)-LN(MAX(MIN(P69,2000),200)))/(LN(2000)-LN(200))*100*0.5+(LN(600)-LN(MAX(MIN(Q69,600),200)))/(LN(600)-LN(200))*100*0.5+(LN(1300)-LN(MAX(MIN(R69,1300),300)))/(LN(1300)-LN(300))*100*0.5+(LN(3000)-LN(MAX(MIN(S69,3000),1000)))/(LN(3000)-LN(1000))*100*0.5+(LN(1500)-LN(MAX(MIN(T69,1500),550)))/(LN(1500)-LN(550))*100*0.5)/15</f>
        <v>57.528604338955397</v>
      </c>
      <c r="V69" s="402">
        <v>1.040133900913</v>
      </c>
      <c r="W69" s="402">
        <v>857.93711143506903</v>
      </c>
      <c r="X69" s="407">
        <f t="shared" ref="X69:X100" si="10">((LN(30)-LN(MAX(MIN(V69,30),1)))/(LN(30)-LN(1))*100+(LN(1500)-LN(MAX(MIN(W69,1500),300)))/(LN(1500)-LN(300))*100)/2</f>
        <v>66.778203150141891</v>
      </c>
      <c r="Y69" s="402">
        <v>90.655702602575801</v>
      </c>
      <c r="Z69" s="402">
        <v>1156.06285418982</v>
      </c>
      <c r="AA69" s="402">
        <v>444.084731015194</v>
      </c>
      <c r="AB69" s="407">
        <f t="shared" ref="AB69:AB100" si="11">((LN(500)-LN(MAX(MIN(Y69,500),30)))/(LN(500)-LN(30))*100+(LN(1600)-LN(MAX(MIN(Z69,1600),100)))/(LN(1600)-LN(100))*100+(LN(700)-LN(MAX(MIN(AA69,700),50)))/(LN(700)-LN(50))*100)/3</f>
        <v>29.885873873944998</v>
      </c>
      <c r="AC69" s="399"/>
      <c r="AD69" s="121"/>
    </row>
    <row r="70" spans="1:30" s="5" customFormat="1" ht="15.75" customHeight="1" x14ac:dyDescent="0.25">
      <c r="A70" s="2">
        <v>66</v>
      </c>
      <c r="B70" s="6" t="s">
        <v>13</v>
      </c>
      <c r="C70" s="10" t="s">
        <v>19</v>
      </c>
      <c r="D70" s="400" t="s">
        <v>87</v>
      </c>
      <c r="E70" s="415">
        <f t="shared" si="8"/>
        <v>52.852500487665012</v>
      </c>
      <c r="F70" s="402">
        <v>11.23977038</v>
      </c>
      <c r="G70" s="402">
        <v>279.63991759999999</v>
      </c>
      <c r="H70" s="402">
        <v>29.612686270000001</v>
      </c>
      <c r="I70" s="402">
        <v>16.1549108</v>
      </c>
      <c r="J70" s="402">
        <v>25.879174760000001</v>
      </c>
      <c r="K70" s="402">
        <v>181.46168449999999</v>
      </c>
      <c r="L70" s="402">
        <v>410.27476760000002</v>
      </c>
      <c r="M70" s="402">
        <v>463.93699090000001</v>
      </c>
      <c r="N70" s="402">
        <v>254.8648857</v>
      </c>
      <c r="O70" s="402">
        <v>925.89888680000001</v>
      </c>
      <c r="P70" s="402">
        <v>545.08039759999997</v>
      </c>
      <c r="Q70" s="402">
        <v>313.80291419999998</v>
      </c>
      <c r="R70" s="402">
        <v>428.57819009999997</v>
      </c>
      <c r="S70" s="402">
        <v>1811.9954339999999</v>
      </c>
      <c r="T70" s="402">
        <v>945.3339727</v>
      </c>
      <c r="U70" s="407">
        <f t="shared" si="9"/>
        <v>70.586558331338253</v>
      </c>
      <c r="V70" s="402">
        <v>15.881284208060199</v>
      </c>
      <c r="W70" s="402">
        <v>504.96984904561998</v>
      </c>
      <c r="X70" s="407">
        <f t="shared" si="10"/>
        <v>43.173512823126615</v>
      </c>
      <c r="Y70" s="402">
        <v>258.95231900780902</v>
      </c>
      <c r="Z70" s="402">
        <v>699.68254182017301</v>
      </c>
      <c r="AA70" s="402">
        <v>334.59193174483897</v>
      </c>
      <c r="AB70" s="407">
        <f t="shared" si="11"/>
        <v>27.063372464856915</v>
      </c>
      <c r="AC70" s="399"/>
      <c r="AD70" s="121"/>
    </row>
    <row r="71" spans="1:30" s="5" customFormat="1" ht="15.75" customHeight="1" x14ac:dyDescent="0.25">
      <c r="A71" s="2">
        <v>67</v>
      </c>
      <c r="B71" s="14" t="s">
        <v>23</v>
      </c>
      <c r="C71" s="16" t="s">
        <v>26</v>
      </c>
      <c r="D71" s="400" t="s">
        <v>144</v>
      </c>
      <c r="E71" s="415">
        <f t="shared" si="8"/>
        <v>52.818807345719691</v>
      </c>
      <c r="F71" s="402">
        <v>31.766357079999999</v>
      </c>
      <c r="G71" s="402">
        <v>345.89828199999999</v>
      </c>
      <c r="H71" s="402">
        <v>17.632555499999999</v>
      </c>
      <c r="I71" s="402">
        <v>123.1251805</v>
      </c>
      <c r="J71" s="402">
        <v>34.657734050000002</v>
      </c>
      <c r="K71" s="402">
        <v>59.602122340000001</v>
      </c>
      <c r="L71" s="402">
        <v>379.7955824</v>
      </c>
      <c r="M71" s="402">
        <v>302.09446789999998</v>
      </c>
      <c r="N71" s="402">
        <v>308.2328071</v>
      </c>
      <c r="O71" s="402">
        <v>914.3480945</v>
      </c>
      <c r="P71" s="402">
        <v>1345.114118</v>
      </c>
      <c r="Q71" s="402">
        <v>334.06168430000002</v>
      </c>
      <c r="R71" s="402">
        <v>894.71539489999998</v>
      </c>
      <c r="S71" s="402">
        <v>2108.8548030000002</v>
      </c>
      <c r="T71" s="402">
        <v>989.30975509999996</v>
      </c>
      <c r="U71" s="407">
        <f t="shared" si="9"/>
        <v>58.430144418566435</v>
      </c>
      <c r="V71" s="402">
        <v>7.3539531526841797</v>
      </c>
      <c r="W71" s="402">
        <v>566.10935271569997</v>
      </c>
      <c r="X71" s="407">
        <f t="shared" si="10"/>
        <v>50.941061287933628</v>
      </c>
      <c r="Y71" s="402">
        <v>72.537505616065602</v>
      </c>
      <c r="Z71" s="402">
        <v>1238.07453612272</v>
      </c>
      <c r="AA71" s="402">
        <v>174.88710888182899</v>
      </c>
      <c r="AB71" s="407">
        <f t="shared" si="11"/>
        <v>43.47387925781225</v>
      </c>
      <c r="AC71" s="399"/>
      <c r="AD71" s="121"/>
    </row>
    <row r="72" spans="1:30" s="13" customFormat="1" ht="15.75" customHeight="1" x14ac:dyDescent="0.25">
      <c r="A72" s="2">
        <v>68</v>
      </c>
      <c r="B72" s="17" t="s">
        <v>29</v>
      </c>
      <c r="C72" s="18" t="s">
        <v>30</v>
      </c>
      <c r="D72" s="400" t="s">
        <v>156</v>
      </c>
      <c r="E72" s="415">
        <f t="shared" si="8"/>
        <v>52.802093371093925</v>
      </c>
      <c r="F72" s="402">
        <v>13.81691942</v>
      </c>
      <c r="G72" s="402">
        <v>181.12435120000001</v>
      </c>
      <c r="H72" s="402">
        <v>39.718711020000001</v>
      </c>
      <c r="I72" s="402">
        <v>13.775238829999999</v>
      </c>
      <c r="J72" s="402">
        <v>26.302805620000001</v>
      </c>
      <c r="K72" s="402">
        <v>214.87507840000001</v>
      </c>
      <c r="L72" s="402">
        <v>374.02761020000003</v>
      </c>
      <c r="M72" s="402">
        <v>714.00240399999996</v>
      </c>
      <c r="N72" s="402">
        <v>236.53832299999999</v>
      </c>
      <c r="O72" s="402">
        <v>810.57735639999999</v>
      </c>
      <c r="P72" s="402">
        <v>420.98030940000001</v>
      </c>
      <c r="Q72" s="402">
        <v>363.63629680000003</v>
      </c>
      <c r="R72" s="402">
        <v>536.70760819999998</v>
      </c>
      <c r="S72" s="402">
        <v>2066.890844</v>
      </c>
      <c r="T72" s="402">
        <v>1034.999763</v>
      </c>
      <c r="U72" s="407">
        <f t="shared" si="9"/>
        <v>71.027567026468063</v>
      </c>
      <c r="V72" s="402">
        <v>12.959065442523499</v>
      </c>
      <c r="W72" s="402">
        <v>608.72768028250005</v>
      </c>
      <c r="X72" s="407">
        <f t="shared" si="10"/>
        <v>40.357324679404833</v>
      </c>
      <c r="Y72" s="402">
        <v>186.031549328876</v>
      </c>
      <c r="Z72" s="402">
        <v>889.66018753859305</v>
      </c>
      <c r="AA72" s="402">
        <v>316.502503901095</v>
      </c>
      <c r="AB72" s="407">
        <f t="shared" si="11"/>
        <v>28.795914752034729</v>
      </c>
      <c r="AC72" s="399"/>
      <c r="AD72" s="354"/>
    </row>
    <row r="73" spans="1:30" s="5" customFormat="1" ht="15.75" customHeight="1" x14ac:dyDescent="0.25">
      <c r="A73" s="2">
        <v>69</v>
      </c>
      <c r="B73" s="3" t="s">
        <v>10</v>
      </c>
      <c r="C73" s="25" t="s">
        <v>115</v>
      </c>
      <c r="D73" s="400" t="s">
        <v>211</v>
      </c>
      <c r="E73" s="415">
        <f t="shared" si="8"/>
        <v>52.552079543086357</v>
      </c>
      <c r="F73" s="402">
        <v>20.373461129999999</v>
      </c>
      <c r="G73" s="402">
        <v>274.44406359999999</v>
      </c>
      <c r="H73" s="402">
        <v>13.220259739999999</v>
      </c>
      <c r="I73" s="402">
        <v>167.90899239999999</v>
      </c>
      <c r="J73" s="402">
        <v>38.879506540000001</v>
      </c>
      <c r="K73" s="402">
        <v>47.4899086</v>
      </c>
      <c r="L73" s="402">
        <v>763.03470110000001</v>
      </c>
      <c r="M73" s="402">
        <v>335.20691010000002</v>
      </c>
      <c r="N73" s="402">
        <v>291.30672010000001</v>
      </c>
      <c r="O73" s="402">
        <v>846.94697900000006</v>
      </c>
      <c r="P73" s="402">
        <v>592.95454910000001</v>
      </c>
      <c r="Q73" s="402">
        <v>322.79224779999998</v>
      </c>
      <c r="R73" s="402">
        <v>844.68391880000001</v>
      </c>
      <c r="S73" s="402">
        <v>1708.7526519999999</v>
      </c>
      <c r="T73" s="402">
        <v>893.12013950000005</v>
      </c>
      <c r="U73" s="407">
        <f t="shared" si="9"/>
        <v>62.531609864951065</v>
      </c>
      <c r="V73" s="402">
        <v>8.9638294714756803</v>
      </c>
      <c r="W73" s="402">
        <v>571.01847725290997</v>
      </c>
      <c r="X73" s="407">
        <f t="shared" si="10"/>
        <v>47.762676942824115</v>
      </c>
      <c r="Y73" s="402">
        <v>135.971405906923</v>
      </c>
      <c r="Z73" s="402">
        <v>683.58034936209697</v>
      </c>
      <c r="AA73" s="402">
        <v>276.54481008882698</v>
      </c>
      <c r="AB73" s="407">
        <f t="shared" si="11"/>
        <v>37.382421499619191</v>
      </c>
      <c r="AC73" s="399"/>
      <c r="AD73" s="121"/>
    </row>
    <row r="74" spans="1:30" s="5" customFormat="1" ht="15.75" customHeight="1" x14ac:dyDescent="0.25">
      <c r="A74" s="2">
        <v>70</v>
      </c>
      <c r="B74" s="6" t="s">
        <v>13</v>
      </c>
      <c r="C74" s="10" t="s">
        <v>19</v>
      </c>
      <c r="D74" s="400" t="s">
        <v>94</v>
      </c>
      <c r="E74" s="415">
        <f t="shared" si="8"/>
        <v>52.551076602978625</v>
      </c>
      <c r="F74" s="402">
        <v>12.1861655</v>
      </c>
      <c r="G74" s="402">
        <v>258.88028350000002</v>
      </c>
      <c r="H74" s="402">
        <v>35.133166959999997</v>
      </c>
      <c r="I74" s="402">
        <v>21.985603300000001</v>
      </c>
      <c r="J74" s="402">
        <v>28.1165749</v>
      </c>
      <c r="K74" s="402">
        <v>147.46759320000001</v>
      </c>
      <c r="L74" s="402">
        <v>327.9738547</v>
      </c>
      <c r="M74" s="402">
        <v>415.92204279999999</v>
      </c>
      <c r="N74" s="402">
        <v>226.57597730000001</v>
      </c>
      <c r="O74" s="402">
        <v>959.3867894</v>
      </c>
      <c r="P74" s="402">
        <v>425.34576090000002</v>
      </c>
      <c r="Q74" s="402">
        <v>308.15134039999998</v>
      </c>
      <c r="R74" s="402">
        <v>475.5636925</v>
      </c>
      <c r="S74" s="402">
        <v>2009.394771</v>
      </c>
      <c r="T74" s="402">
        <v>998.17558670000005</v>
      </c>
      <c r="U74" s="407">
        <f t="shared" si="9"/>
        <v>70.028583123222191</v>
      </c>
      <c r="V74" s="402">
        <v>4.6231201097660302</v>
      </c>
      <c r="W74" s="402">
        <v>972.11784548071</v>
      </c>
      <c r="X74" s="407">
        <f t="shared" si="10"/>
        <v>40.967188661494824</v>
      </c>
      <c r="Y74" s="402">
        <v>143.37340915151199</v>
      </c>
      <c r="Z74" s="402">
        <v>678.23754205295495</v>
      </c>
      <c r="AA74" s="402">
        <v>507.51303466118702</v>
      </c>
      <c r="AB74" s="407">
        <f t="shared" si="11"/>
        <v>29.179951503975307</v>
      </c>
      <c r="AC74" s="399"/>
      <c r="AD74" s="121"/>
    </row>
    <row r="75" spans="1:30" s="5" customFormat="1" ht="15.75" customHeight="1" x14ac:dyDescent="0.25">
      <c r="A75" s="2">
        <v>71</v>
      </c>
      <c r="B75" s="8" t="s">
        <v>16</v>
      </c>
      <c r="C75" s="11" t="s">
        <v>21</v>
      </c>
      <c r="D75" s="400" t="s">
        <v>183</v>
      </c>
      <c r="E75" s="415">
        <f t="shared" si="8"/>
        <v>52.527442183744618</v>
      </c>
      <c r="F75" s="402">
        <v>19.179449869999999</v>
      </c>
      <c r="G75" s="402">
        <v>277.65289519999999</v>
      </c>
      <c r="H75" s="402">
        <v>78.817819499999999</v>
      </c>
      <c r="I75" s="402">
        <v>224.1606879</v>
      </c>
      <c r="J75" s="402">
        <v>41.424395009999998</v>
      </c>
      <c r="K75" s="402">
        <v>107.60302059999999</v>
      </c>
      <c r="L75" s="402">
        <v>430.46272399999998</v>
      </c>
      <c r="M75" s="402">
        <v>329.10438110000001</v>
      </c>
      <c r="N75" s="402">
        <v>149.10726729999999</v>
      </c>
      <c r="O75" s="402">
        <v>878.4089467</v>
      </c>
      <c r="P75" s="402">
        <v>892.00243620000003</v>
      </c>
      <c r="Q75" s="402">
        <v>488.94398869999998</v>
      </c>
      <c r="R75" s="402">
        <v>941.91911560000005</v>
      </c>
      <c r="S75" s="402">
        <v>1558.6669959999999</v>
      </c>
      <c r="T75" s="402">
        <v>747.70694920000005</v>
      </c>
      <c r="U75" s="407">
        <f t="shared" si="9"/>
        <v>54.475394019611635</v>
      </c>
      <c r="V75" s="402">
        <v>7.8638687007231498</v>
      </c>
      <c r="W75" s="402">
        <v>456.66573022587897</v>
      </c>
      <c r="X75" s="407">
        <f t="shared" si="10"/>
        <v>56.629758739844632</v>
      </c>
      <c r="Y75" s="402">
        <v>80.141475190648904</v>
      </c>
      <c r="Z75" s="402">
        <v>672.30114835119105</v>
      </c>
      <c r="AA75" s="402">
        <v>261.98161182563501</v>
      </c>
      <c r="AB75" s="407">
        <f t="shared" si="11"/>
        <v>44.529221955910572</v>
      </c>
      <c r="AC75" s="399"/>
      <c r="AD75" s="121"/>
    </row>
    <row r="76" spans="1:30" s="5" customFormat="1" ht="15.75" customHeight="1" x14ac:dyDescent="0.25">
      <c r="A76" s="2">
        <v>72</v>
      </c>
      <c r="B76" s="3" t="s">
        <v>10</v>
      </c>
      <c r="C76" s="19" t="s">
        <v>35</v>
      </c>
      <c r="D76" s="400" t="s">
        <v>165</v>
      </c>
      <c r="E76" s="415">
        <f t="shared" si="8"/>
        <v>52.483269048257917</v>
      </c>
      <c r="F76" s="402">
        <v>12.4677902</v>
      </c>
      <c r="G76" s="402">
        <v>330.63526380000002</v>
      </c>
      <c r="H76" s="402">
        <v>45.521775349999999</v>
      </c>
      <c r="I76" s="402">
        <v>46.836459220000002</v>
      </c>
      <c r="J76" s="402">
        <v>48.104119650000001</v>
      </c>
      <c r="K76" s="402">
        <v>76.847874910000002</v>
      </c>
      <c r="L76" s="402">
        <v>478.05627249999998</v>
      </c>
      <c r="M76" s="402">
        <v>358.53926089999999</v>
      </c>
      <c r="N76" s="402">
        <v>211.7957778</v>
      </c>
      <c r="O76" s="402">
        <v>885.87910309999995</v>
      </c>
      <c r="P76" s="402">
        <v>1063.5893779999999</v>
      </c>
      <c r="Q76" s="402">
        <v>560.40343600000006</v>
      </c>
      <c r="R76" s="402">
        <v>837.98706830000003</v>
      </c>
      <c r="S76" s="402">
        <v>1845.3587829999999</v>
      </c>
      <c r="T76" s="402">
        <v>1140.48792</v>
      </c>
      <c r="U76" s="407">
        <f t="shared" si="9"/>
        <v>56.377935334762697</v>
      </c>
      <c r="V76" s="402">
        <v>0.766054640215873</v>
      </c>
      <c r="W76" s="402">
        <v>906.00202900484999</v>
      </c>
      <c r="X76" s="407">
        <f t="shared" si="10"/>
        <v>65.663196375423141</v>
      </c>
      <c r="Y76" s="402">
        <v>89.155532727890602</v>
      </c>
      <c r="Z76" s="402">
        <v>1229.10886231311</v>
      </c>
      <c r="AA76" s="402">
        <v>374.07151490772901</v>
      </c>
      <c r="AB76" s="407">
        <f t="shared" si="11"/>
        <v>31.514009148083147</v>
      </c>
      <c r="AC76" s="399"/>
      <c r="AD76" s="121"/>
    </row>
    <row r="77" spans="1:30" s="13" customFormat="1" ht="15.75" customHeight="1" x14ac:dyDescent="0.25">
      <c r="A77" s="2">
        <v>73</v>
      </c>
      <c r="B77" s="6" t="s">
        <v>13</v>
      </c>
      <c r="C77" s="10" t="s">
        <v>19</v>
      </c>
      <c r="D77" s="400" t="s">
        <v>88</v>
      </c>
      <c r="E77" s="415">
        <f t="shared" si="8"/>
        <v>52.40727189219313</v>
      </c>
      <c r="F77" s="402">
        <v>31.741942699999999</v>
      </c>
      <c r="G77" s="402">
        <v>265.08839749999999</v>
      </c>
      <c r="H77" s="402">
        <v>45.900927250000002</v>
      </c>
      <c r="I77" s="402">
        <v>10.31114399</v>
      </c>
      <c r="J77" s="402">
        <v>20.285955510000001</v>
      </c>
      <c r="K77" s="402">
        <v>235.34989630000001</v>
      </c>
      <c r="L77" s="402">
        <v>575.63058860000001</v>
      </c>
      <c r="M77" s="402">
        <v>395.32437909999999</v>
      </c>
      <c r="N77" s="402">
        <v>212.90959000000001</v>
      </c>
      <c r="O77" s="402">
        <v>920.28598280000006</v>
      </c>
      <c r="P77" s="402">
        <v>325.72563989999998</v>
      </c>
      <c r="Q77" s="402">
        <v>279.80591099999998</v>
      </c>
      <c r="R77" s="402">
        <v>481.47580859999999</v>
      </c>
      <c r="S77" s="402">
        <v>1909.1349949999999</v>
      </c>
      <c r="T77" s="402">
        <v>887.26985079999997</v>
      </c>
      <c r="U77" s="407">
        <f t="shared" si="9"/>
        <v>69.827339666577458</v>
      </c>
      <c r="V77" s="402">
        <v>16.080973531257499</v>
      </c>
      <c r="W77" s="402">
        <v>707.33157584773005</v>
      </c>
      <c r="X77" s="407">
        <f t="shared" si="10"/>
        <v>32.520301192141233</v>
      </c>
      <c r="Y77" s="402">
        <v>120.604874832588</v>
      </c>
      <c r="Z77" s="402">
        <v>555.01455088074499</v>
      </c>
      <c r="AA77" s="402">
        <v>375.21746818347702</v>
      </c>
      <c r="AB77" s="407">
        <f t="shared" si="11"/>
        <v>37.454107043476384</v>
      </c>
      <c r="AC77" s="399"/>
      <c r="AD77" s="354"/>
    </row>
    <row r="78" spans="1:30" s="5" customFormat="1" ht="15.75" customHeight="1" x14ac:dyDescent="0.25">
      <c r="A78" s="2">
        <v>74</v>
      </c>
      <c r="B78" s="3" t="s">
        <v>10</v>
      </c>
      <c r="C78" s="4" t="s">
        <v>11</v>
      </c>
      <c r="D78" s="400" t="s">
        <v>44</v>
      </c>
      <c r="E78" s="415">
        <f t="shared" si="8"/>
        <v>52.403846164601198</v>
      </c>
      <c r="F78" s="402">
        <v>22.466222952179901</v>
      </c>
      <c r="G78" s="402">
        <v>315.66187351515998</v>
      </c>
      <c r="H78" s="402">
        <v>112.26029042368999</v>
      </c>
      <c r="I78" s="402">
        <v>105.62884455496</v>
      </c>
      <c r="J78" s="402">
        <v>91.082767409520002</v>
      </c>
      <c r="K78" s="402">
        <v>44.511960731160002</v>
      </c>
      <c r="L78" s="402">
        <v>329.51892026069999</v>
      </c>
      <c r="M78" s="402">
        <v>378.18418220153001</v>
      </c>
      <c r="N78" s="402">
        <v>197.06127575788901</v>
      </c>
      <c r="O78" s="402">
        <v>743.49706485459001</v>
      </c>
      <c r="P78" s="402">
        <v>595.64382065917903</v>
      </c>
      <c r="Q78" s="402">
        <v>320.16496401890998</v>
      </c>
      <c r="R78" s="402">
        <v>928.27893906349902</v>
      </c>
      <c r="S78" s="402">
        <v>2038.15004190587</v>
      </c>
      <c r="T78" s="402">
        <v>863.03278016614001</v>
      </c>
      <c r="U78" s="407">
        <f t="shared" si="9"/>
        <v>50.021734920616481</v>
      </c>
      <c r="V78" s="402">
        <v>8.1464640412717308</v>
      </c>
      <c r="W78" s="402">
        <v>569.03239054589005</v>
      </c>
      <c r="X78" s="407">
        <f t="shared" si="10"/>
        <v>49.27650677583901</v>
      </c>
      <c r="Y78" s="402">
        <v>48.351927566735903</v>
      </c>
      <c r="Z78" s="402">
        <v>494.23370505430103</v>
      </c>
      <c r="AA78" s="402">
        <v>161.885717745721</v>
      </c>
      <c r="AB78" s="407">
        <f t="shared" si="11"/>
        <v>60.295408041332848</v>
      </c>
      <c r="AC78" s="399"/>
      <c r="AD78" s="121"/>
    </row>
    <row r="79" spans="1:30" s="13" customFormat="1" ht="15.75" customHeight="1" x14ac:dyDescent="0.25">
      <c r="A79" s="2">
        <v>75</v>
      </c>
      <c r="B79" s="6" t="s">
        <v>13</v>
      </c>
      <c r="C79" s="10" t="s">
        <v>19</v>
      </c>
      <c r="D79" s="400" t="s">
        <v>200</v>
      </c>
      <c r="E79" s="415">
        <f t="shared" si="8"/>
        <v>52.322634445014202</v>
      </c>
      <c r="F79" s="402">
        <v>19.096909270000001</v>
      </c>
      <c r="G79" s="402">
        <v>234.55027140000001</v>
      </c>
      <c r="H79" s="402">
        <v>44.889602570000001</v>
      </c>
      <c r="I79" s="402">
        <v>8.9915126319999992</v>
      </c>
      <c r="J79" s="402">
        <v>19.725249940000001</v>
      </c>
      <c r="K79" s="402">
        <v>158.97462920000001</v>
      </c>
      <c r="L79" s="402">
        <v>283.72895390000002</v>
      </c>
      <c r="M79" s="402">
        <v>388.27673149999998</v>
      </c>
      <c r="N79" s="402">
        <v>191.39371539999999</v>
      </c>
      <c r="O79" s="402">
        <v>864.17746780000004</v>
      </c>
      <c r="P79" s="402">
        <v>358.91720930000002</v>
      </c>
      <c r="Q79" s="402">
        <v>322.70553100000001</v>
      </c>
      <c r="R79" s="402">
        <v>419.01660559999999</v>
      </c>
      <c r="S79" s="402">
        <v>2079.7220889999999</v>
      </c>
      <c r="T79" s="402">
        <v>934.66548469999998</v>
      </c>
      <c r="U79" s="407">
        <f t="shared" si="9"/>
        <v>75.119928988129629</v>
      </c>
      <c r="V79" s="402">
        <v>12.661442554215199</v>
      </c>
      <c r="W79" s="402">
        <v>973.12699029700002</v>
      </c>
      <c r="X79" s="407">
        <f t="shared" si="10"/>
        <v>26.124119371251638</v>
      </c>
      <c r="Y79" s="402">
        <v>168.635564208776</v>
      </c>
      <c r="Z79" s="402">
        <v>535.18102966002095</v>
      </c>
      <c r="AA79" s="402">
        <v>405.91762150465399</v>
      </c>
      <c r="AB79" s="407">
        <f t="shared" si="11"/>
        <v>32.926560432545919</v>
      </c>
      <c r="AC79" s="399"/>
      <c r="AD79" s="354"/>
    </row>
    <row r="80" spans="1:30" s="13" customFormat="1" ht="15.75" customHeight="1" x14ac:dyDescent="0.25">
      <c r="A80" s="2">
        <v>76</v>
      </c>
      <c r="B80" s="17" t="s">
        <v>29</v>
      </c>
      <c r="C80" s="18" t="s">
        <v>30</v>
      </c>
      <c r="D80" s="400" t="s">
        <v>31</v>
      </c>
      <c r="E80" s="415">
        <f t="shared" si="8"/>
        <v>52.219846634122241</v>
      </c>
      <c r="F80" s="402">
        <v>15.743270531049999</v>
      </c>
      <c r="G80" s="402">
        <v>229.08725897901999</v>
      </c>
      <c r="H80" s="402">
        <v>46.11221589913</v>
      </c>
      <c r="I80" s="402">
        <v>10.0373617098199</v>
      </c>
      <c r="J80" s="402">
        <v>19.47381447826</v>
      </c>
      <c r="K80" s="402">
        <v>195.99862290018001</v>
      </c>
      <c r="L80" s="402">
        <v>391.22188702505002</v>
      </c>
      <c r="M80" s="402">
        <v>633.53382547242995</v>
      </c>
      <c r="N80" s="402">
        <v>228.30971464027999</v>
      </c>
      <c r="O80" s="402">
        <v>784.65372697548003</v>
      </c>
      <c r="P80" s="402">
        <v>287.01596431386997</v>
      </c>
      <c r="Q80" s="402">
        <v>347.44212277111899</v>
      </c>
      <c r="R80" s="402">
        <v>521.30427394512003</v>
      </c>
      <c r="S80" s="402">
        <v>2391.9762592611901</v>
      </c>
      <c r="T80" s="402">
        <v>809.37500165245001</v>
      </c>
      <c r="U80" s="407">
        <f t="shared" si="9"/>
        <v>72.906847055070585</v>
      </c>
      <c r="V80" s="402">
        <v>12.288986682032901</v>
      </c>
      <c r="W80" s="402">
        <v>717.21584631466999</v>
      </c>
      <c r="X80" s="407">
        <f t="shared" si="10"/>
        <v>36.042688606276663</v>
      </c>
      <c r="Y80" s="402">
        <v>273.98302208295701</v>
      </c>
      <c r="Z80" s="402">
        <v>675.26219773155697</v>
      </c>
      <c r="AA80" s="402">
        <v>329.30910882761299</v>
      </c>
      <c r="AB80" s="407">
        <f t="shared" si="11"/>
        <v>27.023003820071121</v>
      </c>
      <c r="AC80" s="399"/>
      <c r="AD80" s="354"/>
    </row>
    <row r="81" spans="1:30" s="13" customFormat="1" ht="15.75" customHeight="1" x14ac:dyDescent="0.25">
      <c r="A81" s="2">
        <v>77</v>
      </c>
      <c r="B81" s="3" t="s">
        <v>10</v>
      </c>
      <c r="C81" s="25" t="s">
        <v>115</v>
      </c>
      <c r="D81" s="400" t="s">
        <v>124</v>
      </c>
      <c r="E81" s="415">
        <f t="shared" si="8"/>
        <v>52.137614946566401</v>
      </c>
      <c r="F81" s="402">
        <v>28.352442029999999</v>
      </c>
      <c r="G81" s="402">
        <v>262.71500379999998</v>
      </c>
      <c r="H81" s="402">
        <v>14.814349440000001</v>
      </c>
      <c r="I81" s="402">
        <v>79.754093359999999</v>
      </c>
      <c r="J81" s="402">
        <v>65.141027120000004</v>
      </c>
      <c r="K81" s="402">
        <v>44.434955479999999</v>
      </c>
      <c r="L81" s="402">
        <v>656.40707110000005</v>
      </c>
      <c r="M81" s="402">
        <v>510.4784464</v>
      </c>
      <c r="N81" s="402">
        <v>271.86099940000003</v>
      </c>
      <c r="O81" s="402">
        <v>770.58882940000001</v>
      </c>
      <c r="P81" s="402">
        <v>531.00537099999997</v>
      </c>
      <c r="Q81" s="402">
        <v>321.21951030000002</v>
      </c>
      <c r="R81" s="402">
        <v>792.84609409999996</v>
      </c>
      <c r="S81" s="402">
        <v>1752.159238</v>
      </c>
      <c r="T81" s="402">
        <v>964.44676149999998</v>
      </c>
      <c r="U81" s="407">
        <f t="shared" si="9"/>
        <v>60.337463878548988</v>
      </c>
      <c r="V81" s="402">
        <v>5.5419142396248597</v>
      </c>
      <c r="W81" s="402">
        <v>625.78648750622995</v>
      </c>
      <c r="X81" s="407">
        <f t="shared" si="10"/>
        <v>51.986291226839612</v>
      </c>
      <c r="Y81" s="402">
        <v>117.971761248625</v>
      </c>
      <c r="Z81" s="402">
        <v>656.16002384388798</v>
      </c>
      <c r="AA81" s="402">
        <v>369.72432962839503</v>
      </c>
      <c r="AB81" s="407">
        <f t="shared" si="11"/>
        <v>35.889240802328032</v>
      </c>
      <c r="AC81" s="399"/>
      <c r="AD81" s="354"/>
    </row>
    <row r="82" spans="1:30" s="13" customFormat="1" ht="15.75" customHeight="1" x14ac:dyDescent="0.25">
      <c r="A82" s="2">
        <v>78</v>
      </c>
      <c r="B82" s="8" t="s">
        <v>16</v>
      </c>
      <c r="C82" s="9" t="s">
        <v>17</v>
      </c>
      <c r="D82" s="400" t="s">
        <v>18</v>
      </c>
      <c r="E82" s="415">
        <f t="shared" si="8"/>
        <v>52.067406313712105</v>
      </c>
      <c r="F82" s="402">
        <v>13.623579738399901</v>
      </c>
      <c r="G82" s="402">
        <v>173.81389423154999</v>
      </c>
      <c r="H82" s="402">
        <v>52.670808858400001</v>
      </c>
      <c r="I82" s="402">
        <v>74.102294436939999</v>
      </c>
      <c r="J82" s="402">
        <v>43.702659668960003</v>
      </c>
      <c r="K82" s="402">
        <v>53.497777437639897</v>
      </c>
      <c r="L82" s="402">
        <v>496.91142542489001</v>
      </c>
      <c r="M82" s="402">
        <v>368.371424404219</v>
      </c>
      <c r="N82" s="402">
        <v>211.87720963968999</v>
      </c>
      <c r="O82" s="402">
        <v>884.85408792886005</v>
      </c>
      <c r="P82" s="402">
        <v>940.90574962835899</v>
      </c>
      <c r="Q82" s="402">
        <v>562.18821050917995</v>
      </c>
      <c r="R82" s="402">
        <v>830.05693182982998</v>
      </c>
      <c r="S82" s="402">
        <v>1954.2618363891099</v>
      </c>
      <c r="T82" s="402">
        <v>1126.6919235549899</v>
      </c>
      <c r="U82" s="407">
        <f t="shared" si="9"/>
        <v>60.478343677396474</v>
      </c>
      <c r="V82" s="402">
        <v>3.5748582790633101</v>
      </c>
      <c r="W82" s="402">
        <v>835.33704832272997</v>
      </c>
      <c r="X82" s="407">
        <f t="shared" si="10"/>
        <v>49.458406726120273</v>
      </c>
      <c r="Y82" s="402">
        <v>98.762982409237196</v>
      </c>
      <c r="Z82" s="402">
        <v>967.68816267905697</v>
      </c>
      <c r="AA82" s="402">
        <v>258.288332742379</v>
      </c>
      <c r="AB82" s="407">
        <f t="shared" si="11"/>
        <v>37.854531173935207</v>
      </c>
      <c r="AC82" s="399"/>
      <c r="AD82" s="354"/>
    </row>
    <row r="83" spans="1:30" s="13" customFormat="1" ht="15.75" customHeight="1" x14ac:dyDescent="0.25">
      <c r="A83" s="2">
        <v>79</v>
      </c>
      <c r="B83" s="6" t="s">
        <v>13</v>
      </c>
      <c r="C83" s="10" t="s">
        <v>19</v>
      </c>
      <c r="D83" s="400" t="s">
        <v>192</v>
      </c>
      <c r="E83" s="415">
        <f t="shared" si="8"/>
        <v>52.06016182760338</v>
      </c>
      <c r="F83" s="402">
        <v>29.922445119999999</v>
      </c>
      <c r="G83" s="402">
        <v>256.77761149999998</v>
      </c>
      <c r="H83" s="402">
        <v>36.014373259999999</v>
      </c>
      <c r="I83" s="402">
        <v>29.135722569999999</v>
      </c>
      <c r="J83" s="402">
        <v>26.847190569999999</v>
      </c>
      <c r="K83" s="402">
        <v>175.18907730000001</v>
      </c>
      <c r="L83" s="402">
        <v>366.5685034</v>
      </c>
      <c r="M83" s="402">
        <v>458.16530019999999</v>
      </c>
      <c r="N83" s="402">
        <v>208.85247480000001</v>
      </c>
      <c r="O83" s="402">
        <v>939.08909819999997</v>
      </c>
      <c r="P83" s="402">
        <v>497.45795290000001</v>
      </c>
      <c r="Q83" s="402">
        <v>306.9142195</v>
      </c>
      <c r="R83" s="402">
        <v>570.79337299999997</v>
      </c>
      <c r="S83" s="402">
        <v>1729.995619</v>
      </c>
      <c r="T83" s="402">
        <v>827.6036527</v>
      </c>
      <c r="U83" s="407">
        <f t="shared" si="9"/>
        <v>67.076921755872476</v>
      </c>
      <c r="V83" s="402">
        <v>8.4379059275951604</v>
      </c>
      <c r="W83" s="402">
        <v>714.78319020948004</v>
      </c>
      <c r="X83" s="407">
        <f t="shared" si="10"/>
        <v>41.675253958523975</v>
      </c>
      <c r="Y83" s="402">
        <v>161.63431149780899</v>
      </c>
      <c r="Z83" s="402">
        <v>667.10190169849898</v>
      </c>
      <c r="AA83" s="402">
        <v>356.72821244462602</v>
      </c>
      <c r="AB83" s="407">
        <f t="shared" si="11"/>
        <v>32.411549840144602</v>
      </c>
      <c r="AC83" s="399"/>
      <c r="AD83" s="354"/>
    </row>
    <row r="84" spans="1:30" s="13" customFormat="1" ht="15.75" customHeight="1" x14ac:dyDescent="0.25">
      <c r="A84" s="2">
        <v>80</v>
      </c>
      <c r="B84" s="6" t="s">
        <v>13</v>
      </c>
      <c r="C84" s="10" t="s">
        <v>19</v>
      </c>
      <c r="D84" s="400" t="s">
        <v>92</v>
      </c>
      <c r="E84" s="415">
        <f t="shared" si="8"/>
        <v>51.978979072035685</v>
      </c>
      <c r="F84" s="402">
        <v>15.47739796588</v>
      </c>
      <c r="G84" s="402">
        <v>233.62786533354</v>
      </c>
      <c r="H84" s="402">
        <v>44.189119992830001</v>
      </c>
      <c r="I84" s="402">
        <v>8.0321274897800006</v>
      </c>
      <c r="J84" s="402">
        <v>19.599369065699999</v>
      </c>
      <c r="K84" s="402">
        <v>177.73444935819001</v>
      </c>
      <c r="L84" s="402">
        <v>485.89484342971002</v>
      </c>
      <c r="M84" s="402">
        <v>350.13742975471001</v>
      </c>
      <c r="N84" s="402">
        <v>269.31225397247999</v>
      </c>
      <c r="O84" s="402">
        <v>1107.3007310289199</v>
      </c>
      <c r="P84" s="402">
        <v>393.30066845561998</v>
      </c>
      <c r="Q84" s="402">
        <v>259.61548747981999</v>
      </c>
      <c r="R84" s="402">
        <v>410.51371327972998</v>
      </c>
      <c r="S84" s="402">
        <v>2141.1832832095101</v>
      </c>
      <c r="T84" s="402">
        <v>953.84518139564</v>
      </c>
      <c r="U84" s="407">
        <f t="shared" si="9"/>
        <v>73.046633743404172</v>
      </c>
      <c r="V84" s="402">
        <v>14.9971758387747</v>
      </c>
      <c r="W84" s="402">
        <v>797.03917113686998</v>
      </c>
      <c r="X84" s="407">
        <f t="shared" si="10"/>
        <v>29.836538887109043</v>
      </c>
      <c r="Y84" s="402">
        <v>145.186998230071</v>
      </c>
      <c r="Z84" s="402">
        <v>630.24692902980996</v>
      </c>
      <c r="AA84" s="402">
        <v>430.70114930256398</v>
      </c>
      <c r="AB84" s="407">
        <f t="shared" si="11"/>
        <v>31.986109914225349</v>
      </c>
      <c r="AC84" s="399"/>
      <c r="AD84" s="354"/>
    </row>
    <row r="85" spans="1:30" s="13" customFormat="1" ht="15.75" customHeight="1" x14ac:dyDescent="0.25">
      <c r="A85" s="2">
        <v>81</v>
      </c>
      <c r="B85" s="6" t="s">
        <v>13</v>
      </c>
      <c r="C85" s="10" t="s">
        <v>19</v>
      </c>
      <c r="D85" s="400" t="s">
        <v>104</v>
      </c>
      <c r="E85" s="415">
        <f t="shared" si="8"/>
        <v>51.948706817252067</v>
      </c>
      <c r="F85" s="402">
        <v>12.77883276</v>
      </c>
      <c r="G85" s="402">
        <v>195.31162839999999</v>
      </c>
      <c r="H85" s="402">
        <v>39.617181559999999</v>
      </c>
      <c r="I85" s="402">
        <v>10.493366699999999</v>
      </c>
      <c r="J85" s="402">
        <v>23.048649449999999</v>
      </c>
      <c r="K85" s="402">
        <v>199.57791169999999</v>
      </c>
      <c r="L85" s="402">
        <v>283.65152810000001</v>
      </c>
      <c r="M85" s="402">
        <v>479.44445180000002</v>
      </c>
      <c r="N85" s="402">
        <v>238.77495690000001</v>
      </c>
      <c r="O85" s="402">
        <v>922.58372659999998</v>
      </c>
      <c r="P85" s="402">
        <v>400.4767435</v>
      </c>
      <c r="Q85" s="402">
        <v>391.41444089999999</v>
      </c>
      <c r="R85" s="402">
        <v>441.72072500000002</v>
      </c>
      <c r="S85" s="402">
        <v>2044.500485</v>
      </c>
      <c r="T85" s="402">
        <v>856.63533050000001</v>
      </c>
      <c r="U85" s="407">
        <f t="shared" si="9"/>
        <v>75.247868202123044</v>
      </c>
      <c r="V85" s="402">
        <v>13.0066765703803</v>
      </c>
      <c r="W85" s="402">
        <v>891.62279717756996</v>
      </c>
      <c r="X85" s="407">
        <f t="shared" si="10"/>
        <v>28.44610144112691</v>
      </c>
      <c r="Y85" s="402">
        <v>248.795576141737</v>
      </c>
      <c r="Z85" s="402">
        <v>630.55387476969804</v>
      </c>
      <c r="AA85" s="402">
        <v>332.87775788319698</v>
      </c>
      <c r="AB85" s="407">
        <f t="shared" si="11"/>
        <v>28.852989423635254</v>
      </c>
      <c r="AC85" s="399"/>
      <c r="AD85" s="354"/>
    </row>
    <row r="86" spans="1:30" s="5" customFormat="1" ht="15.75" customHeight="1" x14ac:dyDescent="0.25">
      <c r="A86" s="2">
        <v>82</v>
      </c>
      <c r="B86" s="6" t="s">
        <v>13</v>
      </c>
      <c r="C86" s="7" t="s">
        <v>14</v>
      </c>
      <c r="D86" s="400" t="s">
        <v>103</v>
      </c>
      <c r="E86" s="415">
        <f t="shared" si="8"/>
        <v>51.919670937899639</v>
      </c>
      <c r="F86" s="402">
        <v>9.6446166279999996</v>
      </c>
      <c r="G86" s="402">
        <v>310.08259070000003</v>
      </c>
      <c r="H86" s="402">
        <v>26.726446079999999</v>
      </c>
      <c r="I86" s="402">
        <v>37.539183389999998</v>
      </c>
      <c r="J86" s="402">
        <v>26.870160609999999</v>
      </c>
      <c r="K86" s="402">
        <v>127.89121</v>
      </c>
      <c r="L86" s="402">
        <v>471.62757720000002</v>
      </c>
      <c r="M86" s="402">
        <v>413.24775140000003</v>
      </c>
      <c r="N86" s="402">
        <v>309.30570010000002</v>
      </c>
      <c r="O86" s="402">
        <v>791.00566270000002</v>
      </c>
      <c r="P86" s="402">
        <v>421.75485629999997</v>
      </c>
      <c r="Q86" s="402">
        <v>323.99851690000003</v>
      </c>
      <c r="R86" s="402">
        <v>720.92041270000004</v>
      </c>
      <c r="S86" s="402">
        <v>2236.7677199999998</v>
      </c>
      <c r="T86" s="402">
        <v>793.05369020000001</v>
      </c>
      <c r="U86" s="407">
        <f t="shared" si="9"/>
        <v>66.918463825329951</v>
      </c>
      <c r="V86" s="402">
        <v>18.280323814905099</v>
      </c>
      <c r="W86" s="402">
        <v>511.62210173243</v>
      </c>
      <c r="X86" s="407">
        <f t="shared" si="10"/>
        <v>40.698771913884862</v>
      </c>
      <c r="Y86" s="402">
        <v>90.117181689041502</v>
      </c>
      <c r="Z86" s="402">
        <v>690.09877367601302</v>
      </c>
      <c r="AA86" s="402">
        <v>563.87097001794905</v>
      </c>
      <c r="AB86" s="407">
        <f t="shared" si="11"/>
        <v>33.142984187053763</v>
      </c>
      <c r="AC86" s="399"/>
      <c r="AD86" s="121"/>
    </row>
    <row r="87" spans="1:30" s="13" customFormat="1" ht="15.75" customHeight="1" x14ac:dyDescent="0.25">
      <c r="A87" s="2">
        <v>83</v>
      </c>
      <c r="B87" s="6" t="s">
        <v>13</v>
      </c>
      <c r="C87" s="10" t="s">
        <v>19</v>
      </c>
      <c r="D87" s="400" t="s">
        <v>172</v>
      </c>
      <c r="E87" s="415">
        <f t="shared" si="8"/>
        <v>51.897073457009562</v>
      </c>
      <c r="F87" s="402">
        <v>50.079492649999999</v>
      </c>
      <c r="G87" s="402">
        <v>274.66630509999999</v>
      </c>
      <c r="H87" s="402">
        <v>22.652203660000001</v>
      </c>
      <c r="I87" s="402">
        <v>27.145200930000001</v>
      </c>
      <c r="J87" s="402">
        <v>24.960982829999999</v>
      </c>
      <c r="K87" s="402">
        <v>199.2110136</v>
      </c>
      <c r="L87" s="402">
        <v>339.95778749999999</v>
      </c>
      <c r="M87" s="402">
        <v>489.79041169999999</v>
      </c>
      <c r="N87" s="402">
        <v>198.40815950000001</v>
      </c>
      <c r="O87" s="402">
        <v>888.11931449999997</v>
      </c>
      <c r="P87" s="402">
        <v>437.62162890000002</v>
      </c>
      <c r="Q87" s="402">
        <v>305.80180289999998</v>
      </c>
      <c r="R87" s="402">
        <v>458.00330489999999</v>
      </c>
      <c r="S87" s="402">
        <v>2067.8864330000001</v>
      </c>
      <c r="T87" s="402">
        <v>871.98817580000002</v>
      </c>
      <c r="U87" s="407">
        <f t="shared" si="9"/>
        <v>67.941647629316265</v>
      </c>
      <c r="V87" s="402">
        <v>13.3193439655973</v>
      </c>
      <c r="W87" s="402">
        <v>765.07593383135998</v>
      </c>
      <c r="X87" s="407">
        <f t="shared" si="10"/>
        <v>32.852219320455347</v>
      </c>
      <c r="Y87" s="402">
        <v>97.482168852208403</v>
      </c>
      <c r="Z87" s="402">
        <v>665.79544652295499</v>
      </c>
      <c r="AA87" s="402">
        <v>344.88345035220999</v>
      </c>
      <c r="AB87" s="407">
        <f t="shared" si="11"/>
        <v>38.852779248950377</v>
      </c>
      <c r="AC87" s="399"/>
      <c r="AD87" s="354"/>
    </row>
    <row r="88" spans="1:30" s="13" customFormat="1" ht="15.75" customHeight="1" x14ac:dyDescent="0.25">
      <c r="A88" s="2">
        <v>84</v>
      </c>
      <c r="B88" s="6" t="s">
        <v>13</v>
      </c>
      <c r="C88" s="10" t="s">
        <v>19</v>
      </c>
      <c r="D88" s="400" t="s">
        <v>146</v>
      </c>
      <c r="E88" s="415">
        <f t="shared" si="8"/>
        <v>51.804337676602103</v>
      </c>
      <c r="F88" s="402">
        <v>11.645170390000001</v>
      </c>
      <c r="G88" s="402">
        <v>311.2342185</v>
      </c>
      <c r="H88" s="402">
        <v>35.683279110000001</v>
      </c>
      <c r="I88" s="402">
        <v>22.35653482</v>
      </c>
      <c r="J88" s="402">
        <v>19.276599149999999</v>
      </c>
      <c r="K88" s="402">
        <v>249.31317559999999</v>
      </c>
      <c r="L88" s="402">
        <v>293.53149839999998</v>
      </c>
      <c r="M88" s="402">
        <v>421.30800649999998</v>
      </c>
      <c r="N88" s="402">
        <v>219.54240189999999</v>
      </c>
      <c r="O88" s="402">
        <v>925.651297</v>
      </c>
      <c r="P88" s="402">
        <v>365.8873668</v>
      </c>
      <c r="Q88" s="402">
        <v>320.99259990000002</v>
      </c>
      <c r="R88" s="402">
        <v>451.22700759999998</v>
      </c>
      <c r="S88" s="402">
        <v>2032.200092</v>
      </c>
      <c r="T88" s="402">
        <v>902.52023050000003</v>
      </c>
      <c r="U88" s="407">
        <f t="shared" si="9"/>
        <v>70.683102768538845</v>
      </c>
      <c r="V88" s="402">
        <v>17.7210924703781</v>
      </c>
      <c r="W88" s="402">
        <v>731.50760274437005</v>
      </c>
      <c r="X88" s="407">
        <f t="shared" si="10"/>
        <v>30.048493154689503</v>
      </c>
      <c r="Y88" s="402">
        <v>115.12545031219</v>
      </c>
      <c r="Z88" s="402">
        <v>650.18209357527303</v>
      </c>
      <c r="AA88" s="402">
        <v>384.22712192467998</v>
      </c>
      <c r="AB88" s="407">
        <f t="shared" si="11"/>
        <v>35.802652014641211</v>
      </c>
      <c r="AC88" s="399"/>
      <c r="AD88" s="354"/>
    </row>
    <row r="89" spans="1:30" s="13" customFormat="1" ht="15.75" customHeight="1" x14ac:dyDescent="0.25">
      <c r="A89" s="2">
        <v>85</v>
      </c>
      <c r="B89" s="14" t="s">
        <v>23</v>
      </c>
      <c r="C89" s="15" t="s">
        <v>24</v>
      </c>
      <c r="D89" s="400" t="s">
        <v>196</v>
      </c>
      <c r="E89" s="415">
        <f t="shared" si="8"/>
        <v>51.589783589665487</v>
      </c>
      <c r="F89" s="402">
        <v>51.5091368</v>
      </c>
      <c r="G89" s="402">
        <v>275.10539770000003</v>
      </c>
      <c r="H89" s="402">
        <v>37.858561479999999</v>
      </c>
      <c r="I89" s="402">
        <v>95.108283499999999</v>
      </c>
      <c r="J89" s="402">
        <v>50.740153100000001</v>
      </c>
      <c r="K89" s="402">
        <v>103.056833</v>
      </c>
      <c r="L89" s="402">
        <v>504.29901310000002</v>
      </c>
      <c r="M89" s="402">
        <v>418.42508450000003</v>
      </c>
      <c r="N89" s="402">
        <v>281.72955899999999</v>
      </c>
      <c r="O89" s="402">
        <v>843.11681999999996</v>
      </c>
      <c r="P89" s="402">
        <v>1312.6635309999999</v>
      </c>
      <c r="Q89" s="402">
        <v>409.26214119999997</v>
      </c>
      <c r="R89" s="402">
        <v>770.91589690000001</v>
      </c>
      <c r="S89" s="402">
        <v>1577.3213189999999</v>
      </c>
      <c r="T89" s="402">
        <v>984.18083639999998</v>
      </c>
      <c r="U89" s="407">
        <f t="shared" si="9"/>
        <v>53.30038281818026</v>
      </c>
      <c r="V89" s="402">
        <v>4.8773205155756099</v>
      </c>
      <c r="W89" s="402">
        <v>627.61613984492999</v>
      </c>
      <c r="X89" s="407">
        <f t="shared" si="10"/>
        <v>53.773518451871027</v>
      </c>
      <c r="Y89" s="402">
        <v>87.298674675219004</v>
      </c>
      <c r="Z89" s="402">
        <v>920.44094622015302</v>
      </c>
      <c r="AA89" s="402">
        <v>159.775929463908</v>
      </c>
      <c r="AB89" s="407">
        <f t="shared" si="11"/>
        <v>45.984850270430407</v>
      </c>
      <c r="AC89" s="399"/>
      <c r="AD89" s="354"/>
    </row>
    <row r="90" spans="1:30" s="5" customFormat="1" ht="15.75" customHeight="1" x14ac:dyDescent="0.25">
      <c r="A90" s="2">
        <v>86</v>
      </c>
      <c r="B90" s="8" t="s">
        <v>16</v>
      </c>
      <c r="C90" s="9" t="s">
        <v>17</v>
      </c>
      <c r="D90" s="400" t="s">
        <v>78</v>
      </c>
      <c r="E90" s="415">
        <f t="shared" si="8"/>
        <v>51.57641959179746</v>
      </c>
      <c r="F90" s="402">
        <v>12.821874727060001</v>
      </c>
      <c r="G90" s="402">
        <v>273.82083347015998</v>
      </c>
      <c r="H90" s="402">
        <v>53.450714933869897</v>
      </c>
      <c r="I90" s="402">
        <v>81.266236980329893</v>
      </c>
      <c r="J90" s="402">
        <v>42.199260349669999</v>
      </c>
      <c r="K90" s="402">
        <v>60.108360260989997</v>
      </c>
      <c r="L90" s="402">
        <v>572.48668578677996</v>
      </c>
      <c r="M90" s="402">
        <v>365.45063889628</v>
      </c>
      <c r="N90" s="402">
        <v>250.65789338398</v>
      </c>
      <c r="O90" s="402">
        <v>904.29989244355897</v>
      </c>
      <c r="P90" s="402">
        <v>1228.6632244920499</v>
      </c>
      <c r="Q90" s="402">
        <v>561.22340058446002</v>
      </c>
      <c r="R90" s="402">
        <v>950.78649267453</v>
      </c>
      <c r="S90" s="402">
        <v>1948.94461711292</v>
      </c>
      <c r="T90" s="402">
        <v>1097.9726210793399</v>
      </c>
      <c r="U90" s="407">
        <f t="shared" si="9"/>
        <v>55.549983647865432</v>
      </c>
      <c r="V90" s="402">
        <v>0.868539553463897</v>
      </c>
      <c r="W90" s="402">
        <v>880.319858690969</v>
      </c>
      <c r="X90" s="407">
        <f t="shared" si="10"/>
        <v>66.55655883823971</v>
      </c>
      <c r="Y90" s="402">
        <v>95.729738422251003</v>
      </c>
      <c r="Z90" s="402">
        <v>1428.0102284879099</v>
      </c>
      <c r="AA90" s="402">
        <v>380.60282554794901</v>
      </c>
      <c r="AB90" s="407">
        <f t="shared" si="11"/>
        <v>28.649152233219297</v>
      </c>
      <c r="AC90" s="399"/>
      <c r="AD90" s="121"/>
    </row>
    <row r="91" spans="1:30" s="5" customFormat="1" ht="15.75" customHeight="1" x14ac:dyDescent="0.25">
      <c r="A91" s="2">
        <v>87</v>
      </c>
      <c r="B91" s="8" t="s">
        <v>16</v>
      </c>
      <c r="C91" s="9" t="s">
        <v>17</v>
      </c>
      <c r="D91" s="400" t="s">
        <v>149</v>
      </c>
      <c r="E91" s="415">
        <f t="shared" si="8"/>
        <v>51.505252605600141</v>
      </c>
      <c r="F91" s="402">
        <v>14.654832069999999</v>
      </c>
      <c r="G91" s="402">
        <v>300.18654839999999</v>
      </c>
      <c r="H91" s="402">
        <v>35.950166439999997</v>
      </c>
      <c r="I91" s="402">
        <v>66.194890990000005</v>
      </c>
      <c r="J91" s="402">
        <v>53.462515410000002</v>
      </c>
      <c r="K91" s="402">
        <v>49.80273158</v>
      </c>
      <c r="L91" s="402">
        <v>416.31441949999999</v>
      </c>
      <c r="M91" s="402">
        <v>318.02870960000001</v>
      </c>
      <c r="N91" s="402">
        <v>215.7803552</v>
      </c>
      <c r="O91" s="402">
        <v>880.24469880000004</v>
      </c>
      <c r="P91" s="402">
        <v>825.58932500000003</v>
      </c>
      <c r="Q91" s="402">
        <v>559.76353640000002</v>
      </c>
      <c r="R91" s="402">
        <v>847.09431900000004</v>
      </c>
      <c r="S91" s="402">
        <v>2041.1712050000001</v>
      </c>
      <c r="T91" s="402">
        <v>1191.493275</v>
      </c>
      <c r="U91" s="407">
        <f t="shared" si="9"/>
        <v>57.410621112332009</v>
      </c>
      <c r="V91" s="402">
        <v>3.8273906883164299</v>
      </c>
      <c r="W91" s="402">
        <v>838.87062856944999</v>
      </c>
      <c r="X91" s="407">
        <f t="shared" si="10"/>
        <v>48.32383053221352</v>
      </c>
      <c r="Y91" s="402">
        <v>100.18039434723801</v>
      </c>
      <c r="Z91" s="402">
        <v>893.48604912228802</v>
      </c>
      <c r="AA91" s="402">
        <v>184.76661436423501</v>
      </c>
      <c r="AB91" s="407">
        <f t="shared" si="11"/>
        <v>42.875937665523033</v>
      </c>
      <c r="AC91" s="399"/>
      <c r="AD91" s="121"/>
    </row>
    <row r="92" spans="1:30" s="5" customFormat="1" ht="15.75" customHeight="1" x14ac:dyDescent="0.25">
      <c r="A92" s="2">
        <v>88</v>
      </c>
      <c r="B92" s="14" t="s">
        <v>23</v>
      </c>
      <c r="C92" s="16" t="s">
        <v>26</v>
      </c>
      <c r="D92" s="400" t="s">
        <v>157</v>
      </c>
      <c r="E92" s="415">
        <f t="shared" si="8"/>
        <v>51.447309451438976</v>
      </c>
      <c r="F92" s="402">
        <v>32.244922289999998</v>
      </c>
      <c r="G92" s="402">
        <v>333.49515280000003</v>
      </c>
      <c r="H92" s="402">
        <v>44.517116940000001</v>
      </c>
      <c r="I92" s="402">
        <v>712.63960480000003</v>
      </c>
      <c r="J92" s="402">
        <v>33.765123180000003</v>
      </c>
      <c r="K92" s="402">
        <v>66.082869909999999</v>
      </c>
      <c r="L92" s="402">
        <v>337.54002539999999</v>
      </c>
      <c r="M92" s="402">
        <v>440.82260109999999</v>
      </c>
      <c r="N92" s="402">
        <v>284.94873580000001</v>
      </c>
      <c r="O92" s="402">
        <v>818.3222078</v>
      </c>
      <c r="P92" s="402">
        <v>838.03878320000001</v>
      </c>
      <c r="Q92" s="402">
        <v>314.96250149999997</v>
      </c>
      <c r="R92" s="402">
        <v>830.75980579999998</v>
      </c>
      <c r="S92" s="402">
        <v>1991.7656509999999</v>
      </c>
      <c r="T92" s="402">
        <v>860.49110229999997</v>
      </c>
      <c r="U92" s="407">
        <f t="shared" si="9"/>
        <v>51.295133116683218</v>
      </c>
      <c r="V92" s="402">
        <v>8.6333055743881904</v>
      </c>
      <c r="W92" s="402">
        <v>578.39420987375001</v>
      </c>
      <c r="X92" s="407">
        <f t="shared" si="10"/>
        <v>47.916269953257611</v>
      </c>
      <c r="Y92" s="402">
        <v>62.921728481735002</v>
      </c>
      <c r="Z92" s="402">
        <v>761.64480408200404</v>
      </c>
      <c r="AA92" s="402">
        <v>124.59256466165699</v>
      </c>
      <c r="AB92" s="407">
        <f t="shared" si="11"/>
        <v>55.282701619131842</v>
      </c>
      <c r="AC92" s="399"/>
      <c r="AD92" s="121"/>
    </row>
    <row r="93" spans="1:30" s="5" customFormat="1" ht="15.75" customHeight="1" x14ac:dyDescent="0.25">
      <c r="A93" s="2">
        <v>89</v>
      </c>
      <c r="B93" s="6" t="s">
        <v>13</v>
      </c>
      <c r="C93" s="10" t="s">
        <v>19</v>
      </c>
      <c r="D93" s="400" t="s">
        <v>40</v>
      </c>
      <c r="E93" s="415">
        <f t="shared" si="8"/>
        <v>51.400746587556135</v>
      </c>
      <c r="F93" s="402">
        <v>21.641452204749999</v>
      </c>
      <c r="G93" s="402">
        <v>270.68486408972001</v>
      </c>
      <c r="H93" s="402">
        <v>41.094722111789999</v>
      </c>
      <c r="I93" s="402">
        <v>13.12586186017</v>
      </c>
      <c r="J93" s="402">
        <v>23.09732884144</v>
      </c>
      <c r="K93" s="402">
        <v>161.45902715301</v>
      </c>
      <c r="L93" s="402">
        <v>337.20005130060002</v>
      </c>
      <c r="M93" s="402">
        <v>371.72539039488998</v>
      </c>
      <c r="N93" s="402">
        <v>239.23210974033</v>
      </c>
      <c r="O93" s="402">
        <v>1055.3049393250001</v>
      </c>
      <c r="P93" s="402">
        <v>395.06339697069001</v>
      </c>
      <c r="Q93" s="402">
        <v>315.15694889893001</v>
      </c>
      <c r="R93" s="402">
        <v>463.69254489103997</v>
      </c>
      <c r="S93" s="402">
        <v>1973.1084972671999</v>
      </c>
      <c r="T93" s="402">
        <v>1059.3109766641601</v>
      </c>
      <c r="U93" s="407">
        <f t="shared" si="9"/>
        <v>69.694644943905004</v>
      </c>
      <c r="V93" s="402">
        <v>18.242025059355399</v>
      </c>
      <c r="W93" s="402">
        <v>743.37121994621998</v>
      </c>
      <c r="X93" s="407">
        <f t="shared" si="10"/>
        <v>29.122778726406068</v>
      </c>
      <c r="Y93" s="402">
        <v>123.493063912138</v>
      </c>
      <c r="Z93" s="402">
        <v>564.37934690971497</v>
      </c>
      <c r="AA93" s="402">
        <v>371.71779574740299</v>
      </c>
      <c r="AB93" s="407">
        <f t="shared" si="11"/>
        <v>37.090917736008443</v>
      </c>
      <c r="AC93" s="399"/>
      <c r="AD93" s="121"/>
    </row>
    <row r="94" spans="1:30" s="5" customFormat="1" ht="15.75" customHeight="1" x14ac:dyDescent="0.25">
      <c r="A94" s="2">
        <v>90</v>
      </c>
      <c r="B94" s="14" t="s">
        <v>23</v>
      </c>
      <c r="C94" s="15" t="s">
        <v>24</v>
      </c>
      <c r="D94" s="400" t="s">
        <v>75</v>
      </c>
      <c r="E94" s="415">
        <f t="shared" si="8"/>
        <v>51.397153280122247</v>
      </c>
      <c r="F94" s="402">
        <v>40.871487220420001</v>
      </c>
      <c r="G94" s="402">
        <v>228.20833527088999</v>
      </c>
      <c r="H94" s="402">
        <v>35.405284711619998</v>
      </c>
      <c r="I94" s="402">
        <v>95.102307271409998</v>
      </c>
      <c r="J94" s="402">
        <v>52.985702618809903</v>
      </c>
      <c r="K94" s="402">
        <v>105.34539207469901</v>
      </c>
      <c r="L94" s="402">
        <v>438.87291187226998</v>
      </c>
      <c r="M94" s="402">
        <v>438.77323111804998</v>
      </c>
      <c r="N94" s="402">
        <v>265.65804986066001</v>
      </c>
      <c r="O94" s="402">
        <v>892.34174645332996</v>
      </c>
      <c r="P94" s="402">
        <v>1290.11360902618</v>
      </c>
      <c r="Q94" s="402">
        <v>413.98848748456999</v>
      </c>
      <c r="R94" s="402">
        <v>758.45745761659998</v>
      </c>
      <c r="S94" s="402">
        <v>1652.3447786106599</v>
      </c>
      <c r="T94" s="402">
        <v>956.33423952231999</v>
      </c>
      <c r="U94" s="407">
        <f t="shared" si="9"/>
        <v>56.12333682509599</v>
      </c>
      <c r="V94" s="402">
        <v>4.59139977429649</v>
      </c>
      <c r="W94" s="402">
        <v>637.68893046813002</v>
      </c>
      <c r="X94" s="407">
        <f t="shared" si="10"/>
        <v>54.166963253325903</v>
      </c>
      <c r="Y94" s="402">
        <v>89.793547920332799</v>
      </c>
      <c r="Z94" s="402">
        <v>1170.4185665024299</v>
      </c>
      <c r="AA94" s="402">
        <v>212.25699494458101</v>
      </c>
      <c r="AB94" s="407">
        <f t="shared" si="11"/>
        <v>39.174976216971082</v>
      </c>
      <c r="AC94" s="399"/>
      <c r="AD94" s="121"/>
    </row>
    <row r="95" spans="1:30" s="5" customFormat="1" ht="15.75" customHeight="1" x14ac:dyDescent="0.25">
      <c r="A95" s="2">
        <v>91</v>
      </c>
      <c r="B95" s="14" t="s">
        <v>23</v>
      </c>
      <c r="C95" s="16" t="s">
        <v>26</v>
      </c>
      <c r="D95" s="400" t="s">
        <v>45</v>
      </c>
      <c r="E95" s="415">
        <f t="shared" si="8"/>
        <v>51.266457251571367</v>
      </c>
      <c r="F95" s="402">
        <v>33.671133852220002</v>
      </c>
      <c r="G95" s="402">
        <v>469.56624663555999</v>
      </c>
      <c r="H95" s="402">
        <v>30.736707968179999</v>
      </c>
      <c r="I95" s="402">
        <v>350.18685833976002</v>
      </c>
      <c r="J95" s="402">
        <v>53.646327557579902</v>
      </c>
      <c r="K95" s="402">
        <v>101.32348022521001</v>
      </c>
      <c r="L95" s="402">
        <v>337.68333613355998</v>
      </c>
      <c r="M95" s="402">
        <v>357.00321108102997</v>
      </c>
      <c r="N95" s="402">
        <v>317.98491577069001</v>
      </c>
      <c r="O95" s="402">
        <v>734.01829491409001</v>
      </c>
      <c r="P95" s="402">
        <v>582.70251322982995</v>
      </c>
      <c r="Q95" s="402">
        <v>377.29547869972998</v>
      </c>
      <c r="R95" s="402">
        <v>832.38780822723004</v>
      </c>
      <c r="S95" s="402">
        <v>1744.9841907969901</v>
      </c>
      <c r="T95" s="402">
        <v>1125.88713324475</v>
      </c>
      <c r="U95" s="407">
        <f t="shared" si="9"/>
        <v>47.711183893543151</v>
      </c>
      <c r="V95" s="402">
        <v>6.3695467096711198</v>
      </c>
      <c r="W95" s="402">
        <v>560.36946468178996</v>
      </c>
      <c r="X95" s="407">
        <f t="shared" si="10"/>
        <v>53.370294583517364</v>
      </c>
      <c r="Y95" s="402">
        <v>76.617141760556507</v>
      </c>
      <c r="Z95" s="402">
        <v>686.15168235902399</v>
      </c>
      <c r="AA95" s="402">
        <v>105.76941800978599</v>
      </c>
      <c r="AB95" s="407">
        <f t="shared" si="11"/>
        <v>56.273166635681811</v>
      </c>
      <c r="AC95" s="399"/>
      <c r="AD95" s="121"/>
    </row>
    <row r="96" spans="1:30" s="5" customFormat="1" ht="15.75" customHeight="1" x14ac:dyDescent="0.25">
      <c r="A96" s="2">
        <v>92</v>
      </c>
      <c r="B96" s="6" t="s">
        <v>13</v>
      </c>
      <c r="C96" s="10" t="s">
        <v>19</v>
      </c>
      <c r="D96" s="400" t="s">
        <v>199</v>
      </c>
      <c r="E96" s="415">
        <f t="shared" si="8"/>
        <v>51.264815069309734</v>
      </c>
      <c r="F96" s="402">
        <v>12.24061182</v>
      </c>
      <c r="G96" s="402">
        <v>214.53591510000001</v>
      </c>
      <c r="H96" s="402">
        <v>36.291530559999998</v>
      </c>
      <c r="I96" s="402">
        <v>15.369273679999999</v>
      </c>
      <c r="J96" s="402">
        <v>23.872386039999999</v>
      </c>
      <c r="K96" s="402">
        <v>177.6247649</v>
      </c>
      <c r="L96" s="402">
        <v>508.53240260000001</v>
      </c>
      <c r="M96" s="402">
        <v>478.87482340000003</v>
      </c>
      <c r="N96" s="402">
        <v>232.78159579999999</v>
      </c>
      <c r="O96" s="402">
        <v>856.54912879999995</v>
      </c>
      <c r="P96" s="402">
        <v>510.5105289</v>
      </c>
      <c r="Q96" s="402">
        <v>320.98266530000001</v>
      </c>
      <c r="R96" s="402">
        <v>343.83504909999999</v>
      </c>
      <c r="S96" s="402">
        <v>1829.258656</v>
      </c>
      <c r="T96" s="402">
        <v>876.25260860000003</v>
      </c>
      <c r="U96" s="407">
        <f t="shared" si="9"/>
        <v>73.538549202793547</v>
      </c>
      <c r="V96" s="402">
        <v>14.1349040085905</v>
      </c>
      <c r="W96" s="402">
        <v>855.47121646819903</v>
      </c>
      <c r="X96" s="407">
        <f t="shared" si="10"/>
        <v>28.509107310007888</v>
      </c>
      <c r="Y96" s="402">
        <v>235.991913817306</v>
      </c>
      <c r="Z96" s="402">
        <v>611.28917178803499</v>
      </c>
      <c r="AA96" s="402">
        <v>343.01617576298997</v>
      </c>
      <c r="AB96" s="407">
        <f t="shared" si="11"/>
        <v>29.473054561643931</v>
      </c>
      <c r="AC96" s="399"/>
      <c r="AD96" s="121"/>
    </row>
    <row r="97" spans="1:30" s="5" customFormat="1" ht="15.75" customHeight="1" x14ac:dyDescent="0.25">
      <c r="A97" s="2">
        <v>93</v>
      </c>
      <c r="B97" s="3" t="s">
        <v>10</v>
      </c>
      <c r="C97" s="22" t="s">
        <v>49</v>
      </c>
      <c r="D97" s="400" t="s">
        <v>147</v>
      </c>
      <c r="E97" s="415">
        <f t="shared" si="8"/>
        <v>51.177545220622179</v>
      </c>
      <c r="F97" s="402">
        <v>17.40154368</v>
      </c>
      <c r="G97" s="402">
        <v>366.69302269999997</v>
      </c>
      <c r="H97" s="402">
        <v>5.0676929580000003</v>
      </c>
      <c r="I97" s="402">
        <v>66.316311850000005</v>
      </c>
      <c r="J97" s="402">
        <v>48.235496650000002</v>
      </c>
      <c r="K97" s="402">
        <v>68.884132210000004</v>
      </c>
      <c r="L97" s="402">
        <v>549.48707060000004</v>
      </c>
      <c r="M97" s="402">
        <v>371.15565709999998</v>
      </c>
      <c r="N97" s="402">
        <v>293.50728709999999</v>
      </c>
      <c r="O97" s="402">
        <v>780.186555</v>
      </c>
      <c r="P97" s="402">
        <v>560.25504409999996</v>
      </c>
      <c r="Q97" s="402">
        <v>323.241602</v>
      </c>
      <c r="R97" s="402">
        <v>813.04875240000001</v>
      </c>
      <c r="S97" s="402">
        <v>1690.649461</v>
      </c>
      <c r="T97" s="402">
        <v>923.00809140000001</v>
      </c>
      <c r="U97" s="407">
        <f t="shared" si="9"/>
        <v>62.950879863830309</v>
      </c>
      <c r="V97" s="402">
        <v>14.4848442026122</v>
      </c>
      <c r="W97" s="402">
        <v>544.57412213990995</v>
      </c>
      <c r="X97" s="407">
        <f t="shared" si="10"/>
        <v>42.180837641609706</v>
      </c>
      <c r="Y97" s="402">
        <v>110.110778047433</v>
      </c>
      <c r="Z97" s="402">
        <v>659.63268138484</v>
      </c>
      <c r="AA97" s="402">
        <v>370.17002837160197</v>
      </c>
      <c r="AB97" s="407">
        <f t="shared" si="11"/>
        <v>36.627583513218426</v>
      </c>
      <c r="AC97" s="399"/>
      <c r="AD97" s="121"/>
    </row>
    <row r="98" spans="1:30" s="5" customFormat="1" ht="15.75" customHeight="1" x14ac:dyDescent="0.25">
      <c r="A98" s="2">
        <v>94</v>
      </c>
      <c r="B98" s="3" t="s">
        <v>10</v>
      </c>
      <c r="C98" s="22" t="s">
        <v>49</v>
      </c>
      <c r="D98" s="400" t="s">
        <v>151</v>
      </c>
      <c r="E98" s="415">
        <f t="shared" si="8"/>
        <v>50.950029910631564</v>
      </c>
      <c r="F98" s="402">
        <v>68.344269191980004</v>
      </c>
      <c r="G98" s="402">
        <v>368.91327449654</v>
      </c>
      <c r="H98" s="402">
        <v>79.155687630689997</v>
      </c>
      <c r="I98" s="402">
        <v>181.44231563834001</v>
      </c>
      <c r="J98" s="402">
        <v>66.786272426389999</v>
      </c>
      <c r="K98" s="402">
        <v>57.960426502330002</v>
      </c>
      <c r="L98" s="402">
        <v>457.90601110607997</v>
      </c>
      <c r="M98" s="402">
        <v>367.82165546004001</v>
      </c>
      <c r="N98" s="402">
        <v>169.59379619545001</v>
      </c>
      <c r="O98" s="402">
        <v>827.07388960234903</v>
      </c>
      <c r="P98" s="402">
        <v>678.12626177696995</v>
      </c>
      <c r="Q98" s="402">
        <v>479.44423192973898</v>
      </c>
      <c r="R98" s="402">
        <v>1120.9200310203901</v>
      </c>
      <c r="S98" s="402">
        <v>1427.77797385034</v>
      </c>
      <c r="T98" s="402">
        <v>852.45659839556902</v>
      </c>
      <c r="U98" s="407">
        <f t="shared" si="9"/>
        <v>45.56771014469583</v>
      </c>
      <c r="V98" s="402">
        <v>5.3671423403995799</v>
      </c>
      <c r="W98" s="402">
        <v>526.046701440079</v>
      </c>
      <c r="X98" s="407">
        <f t="shared" si="10"/>
        <v>57.851150954273209</v>
      </c>
      <c r="Y98" s="402">
        <v>76.271379421852501</v>
      </c>
      <c r="Z98" s="402">
        <v>346.42473510186397</v>
      </c>
      <c r="AA98" s="402">
        <v>228.51064678416299</v>
      </c>
      <c r="AB98" s="407">
        <f t="shared" si="11"/>
        <v>54.813548398861371</v>
      </c>
      <c r="AC98" s="399"/>
      <c r="AD98" s="121"/>
    </row>
    <row r="99" spans="1:30" s="5" customFormat="1" ht="15.75" customHeight="1" x14ac:dyDescent="0.25">
      <c r="A99" s="2">
        <v>95</v>
      </c>
      <c r="B99" s="14" t="s">
        <v>23</v>
      </c>
      <c r="C99" s="15" t="s">
        <v>24</v>
      </c>
      <c r="D99" s="400" t="s">
        <v>38</v>
      </c>
      <c r="E99" s="415">
        <f t="shared" si="8"/>
        <v>50.883304141116113</v>
      </c>
      <c r="F99" s="402">
        <v>62.945716841489997</v>
      </c>
      <c r="G99" s="402">
        <v>297.03046423581998</v>
      </c>
      <c r="H99" s="402">
        <v>55.711617397609999</v>
      </c>
      <c r="I99" s="402">
        <v>72.666301546019994</v>
      </c>
      <c r="J99" s="402">
        <v>42.130226483919998</v>
      </c>
      <c r="K99" s="402">
        <v>156.89483069465001</v>
      </c>
      <c r="L99" s="402">
        <v>423.89892920346898</v>
      </c>
      <c r="M99" s="402">
        <v>433.81571981738898</v>
      </c>
      <c r="N99" s="402">
        <v>259.02648512239</v>
      </c>
      <c r="O99" s="402">
        <v>814.98865608451001</v>
      </c>
      <c r="P99" s="402">
        <v>1258.1057788836399</v>
      </c>
      <c r="Q99" s="402">
        <v>416.41099440405998</v>
      </c>
      <c r="R99" s="402">
        <v>685.32307076816903</v>
      </c>
      <c r="S99" s="402">
        <v>1696.08727751372</v>
      </c>
      <c r="T99" s="402">
        <v>952.78373342456996</v>
      </c>
      <c r="U99" s="407">
        <f t="shared" si="9"/>
        <v>52.634665857477138</v>
      </c>
      <c r="V99" s="402">
        <v>5.2683532826998798</v>
      </c>
      <c r="W99" s="402">
        <v>644.96372023748995</v>
      </c>
      <c r="X99" s="407">
        <f t="shared" si="10"/>
        <v>51.792727773800905</v>
      </c>
      <c r="Y99" s="402">
        <v>88.911972460273702</v>
      </c>
      <c r="Z99" s="402">
        <v>1140.9143576912099</v>
      </c>
      <c r="AA99" s="402">
        <v>123.186968624491</v>
      </c>
      <c r="AB99" s="407">
        <f t="shared" si="11"/>
        <v>46.471157075709279</v>
      </c>
      <c r="AC99" s="399"/>
      <c r="AD99" s="121"/>
    </row>
    <row r="100" spans="1:30" s="5" customFormat="1" ht="15.75" customHeight="1" x14ac:dyDescent="0.25">
      <c r="A100" s="2">
        <v>96</v>
      </c>
      <c r="B100" s="14" t="s">
        <v>23</v>
      </c>
      <c r="C100" s="16" t="s">
        <v>26</v>
      </c>
      <c r="D100" s="400" t="s">
        <v>67</v>
      </c>
      <c r="E100" s="415">
        <f t="shared" si="8"/>
        <v>50.638200444140629</v>
      </c>
      <c r="F100" s="402">
        <v>31.51864774929</v>
      </c>
      <c r="G100" s="402">
        <v>293.23000201137</v>
      </c>
      <c r="H100" s="402">
        <v>41.485610404029998</v>
      </c>
      <c r="I100" s="402">
        <v>133.76581638729999</v>
      </c>
      <c r="J100" s="402">
        <v>38.374621781160002</v>
      </c>
      <c r="K100" s="402">
        <v>118.65231896726</v>
      </c>
      <c r="L100" s="402">
        <v>317.18854019590998</v>
      </c>
      <c r="M100" s="402">
        <v>679.03332227529995</v>
      </c>
      <c r="N100" s="402">
        <v>276.61823291517999</v>
      </c>
      <c r="O100" s="402">
        <v>839.11439267852995</v>
      </c>
      <c r="P100" s="402">
        <v>994.76966328133994</v>
      </c>
      <c r="Q100" s="402">
        <v>325.06480289231899</v>
      </c>
      <c r="R100" s="402">
        <v>784.89392238529001</v>
      </c>
      <c r="S100" s="402">
        <v>2057.1409133963598</v>
      </c>
      <c r="T100" s="402">
        <v>860.32893710495</v>
      </c>
      <c r="U100" s="407">
        <f t="shared" si="9"/>
        <v>55.138128402181479</v>
      </c>
      <c r="V100" s="402">
        <v>9.3127706079401893</v>
      </c>
      <c r="W100" s="402">
        <v>618.68692182147902</v>
      </c>
      <c r="X100" s="407">
        <f t="shared" si="10"/>
        <v>44.710406830229502</v>
      </c>
      <c r="Y100" s="402">
        <v>70.027590843759199</v>
      </c>
      <c r="Z100" s="402">
        <v>1019.40988206067</v>
      </c>
      <c r="AA100" s="402">
        <v>157.300144701568</v>
      </c>
      <c r="AB100" s="407">
        <f t="shared" si="11"/>
        <v>47.566138141970043</v>
      </c>
      <c r="AC100" s="399"/>
      <c r="AD100" s="121"/>
    </row>
    <row r="101" spans="1:30" s="5" customFormat="1" ht="15.75" customHeight="1" x14ac:dyDescent="0.25">
      <c r="A101" s="2">
        <v>97</v>
      </c>
      <c r="B101" s="3" t="s">
        <v>10</v>
      </c>
      <c r="C101" s="4" t="s">
        <v>11</v>
      </c>
      <c r="D101" s="400" t="s">
        <v>37</v>
      </c>
      <c r="E101" s="415">
        <f t="shared" ref="E101:E132" si="12">(U101*50+X101*25+AB101*25)/100</f>
        <v>50.57856885486401</v>
      </c>
      <c r="F101" s="402">
        <v>11.530100105340001</v>
      </c>
      <c r="G101" s="402">
        <v>334.53967338421</v>
      </c>
      <c r="H101" s="402">
        <v>88.3948577572</v>
      </c>
      <c r="I101" s="402">
        <v>119.64592572103</v>
      </c>
      <c r="J101" s="402">
        <v>71.88362296935</v>
      </c>
      <c r="K101" s="402">
        <v>63.565335914709998</v>
      </c>
      <c r="L101" s="402">
        <v>360.47007086606999</v>
      </c>
      <c r="M101" s="402">
        <v>389.441780813989</v>
      </c>
      <c r="N101" s="402">
        <v>178.16133771830999</v>
      </c>
      <c r="O101" s="402">
        <v>715.39806663898003</v>
      </c>
      <c r="P101" s="402">
        <v>692.67052040778003</v>
      </c>
      <c r="Q101" s="402">
        <v>326.26562820788899</v>
      </c>
      <c r="R101" s="402">
        <v>1077.2693122334899</v>
      </c>
      <c r="S101" s="402">
        <v>2196.5348720286502</v>
      </c>
      <c r="T101" s="402">
        <v>878.62691216517999</v>
      </c>
      <c r="U101" s="407">
        <f t="shared" ref="U101:U132" si="13">((LN(1500)-LN(MAX(MIN(F101,1500),10)))/(LN(1500)-LN(10))*100*2+(LN(700)-LN(MAX(MIN(G101,700),200)))/(LN(700)-LN(200))*100*2+(LN(200)-LN(MAX(MIN(H101,200),10)))/(LN(200)-LN(10))*100*2+(LN(1000)-LN(MAX(MIN(I101,1000),10)))/(LN(1000)-LN(10))*100*2+(LN(150)-LN(MAX(MIN(J101,150),20)))/(LN(150)-LN(20))*100*2+(LN(300)-LN(MAX(MIN(K101,300),20)))/(LN(300)-LN(20))*100*0.5+(LN(800)-LN(MAX(MIN(L101,800),250)))/(LN(800)-LN(250))*100*0.5+(LN(800)-LN(MAX(MIN(M101,800),200)))/(LN(800)-LN(200))*100*0.5+(LN(350)-LN(MAX(MIN(N101,350),100)))/(LN(350)-LN(100))*100*0.5+(LN(1500)-LN(MAX(MIN(O101,1500),550)))/(LN(1500)-LN(550))*100*0.5+(LN(2000)-LN(MAX(MIN(P101,2000),200)))/(LN(2000)-LN(200))*100*0.5+(LN(600)-LN(MAX(MIN(Q101,600),200)))/(LN(600)-LN(200))*100*0.5+(LN(1300)-LN(MAX(MIN(R101,1300),300)))/(LN(1300)-LN(300))*100*0.5+(LN(3000)-LN(MAX(MIN(S101,3000),1000)))/(LN(3000)-LN(1000))*100*0.5+(LN(1500)-LN(MAX(MIN(T101,1500),550)))/(LN(1500)-LN(550))*100*0.5)/15</f>
        <v>52.177228219649592</v>
      </c>
      <c r="V101" s="402">
        <v>4.5204916275859297</v>
      </c>
      <c r="W101" s="402">
        <v>932.094533407109</v>
      </c>
      <c r="X101" s="407">
        <f t="shared" ref="X101:X132" si="14">((LN(30)-LN(MAX(MIN(V101,30),1)))/(LN(30)-LN(1))*100+(LN(1500)-LN(MAX(MIN(W101,1500),300)))/(LN(1500)-LN(300))*100)/2</f>
        <v>42.603338757202046</v>
      </c>
      <c r="Y101" s="402">
        <v>45.164167277493</v>
      </c>
      <c r="Z101" s="402">
        <v>392.19691750322801</v>
      </c>
      <c r="AA101" s="402">
        <v>317.98267546882698</v>
      </c>
      <c r="AB101" s="407">
        <f t="shared" ref="AB101:AB132" si="15">((LN(500)-LN(MAX(MIN(Y101,500),30)))/(LN(500)-LN(30))*100+(LN(1600)-LN(MAX(MIN(Z101,1600),100)))/(LN(1600)-LN(100))*100+(LN(700)-LN(MAX(MIN(AA101,700),50)))/(LN(700)-LN(50))*100)/3</f>
        <v>55.356480222954779</v>
      </c>
      <c r="AC101" s="399"/>
      <c r="AD101" s="121"/>
    </row>
    <row r="102" spans="1:30" s="5" customFormat="1" ht="15.75" customHeight="1" x14ac:dyDescent="0.25">
      <c r="A102" s="2">
        <v>98</v>
      </c>
      <c r="B102" s="3" t="s">
        <v>10</v>
      </c>
      <c r="C102" s="22" t="s">
        <v>49</v>
      </c>
      <c r="D102" s="400" t="s">
        <v>204</v>
      </c>
      <c r="E102" s="415">
        <f t="shared" si="12"/>
        <v>50.34185568090799</v>
      </c>
      <c r="F102" s="402">
        <v>72.503565559999998</v>
      </c>
      <c r="G102" s="402">
        <v>327.1596103</v>
      </c>
      <c r="H102" s="402">
        <v>134.5423739</v>
      </c>
      <c r="I102" s="402">
        <v>122.7467717</v>
      </c>
      <c r="J102" s="402">
        <v>47.292896980000002</v>
      </c>
      <c r="K102" s="402">
        <v>91.95285355</v>
      </c>
      <c r="L102" s="402">
        <v>409.9053768</v>
      </c>
      <c r="M102" s="402">
        <v>314.00035059999999</v>
      </c>
      <c r="N102" s="402">
        <v>150.29344699999999</v>
      </c>
      <c r="O102" s="402">
        <v>914.69097090000002</v>
      </c>
      <c r="P102" s="402">
        <v>620.40108250000003</v>
      </c>
      <c r="Q102" s="402">
        <v>488.0334469</v>
      </c>
      <c r="R102" s="402">
        <v>924.21259080000004</v>
      </c>
      <c r="S102" s="402">
        <v>1644.58752</v>
      </c>
      <c r="T102" s="402">
        <v>875.05522310000003</v>
      </c>
      <c r="U102" s="407">
        <f t="shared" si="13"/>
        <v>47.857645101899472</v>
      </c>
      <c r="V102" s="402">
        <v>12.4820136497232</v>
      </c>
      <c r="W102" s="402">
        <v>371.10397192667</v>
      </c>
      <c r="X102" s="407">
        <f t="shared" si="14"/>
        <v>56.283285300493723</v>
      </c>
      <c r="Y102" s="402">
        <v>109.904771099172</v>
      </c>
      <c r="Z102" s="402">
        <v>435.26729580525102</v>
      </c>
      <c r="AA102" s="402">
        <v>200.87289869437501</v>
      </c>
      <c r="AB102" s="407">
        <f t="shared" si="15"/>
        <v>49.368847219339308</v>
      </c>
      <c r="AC102" s="399"/>
      <c r="AD102" s="121"/>
    </row>
    <row r="103" spans="1:30" s="5" customFormat="1" ht="15.75" customHeight="1" x14ac:dyDescent="0.25">
      <c r="A103" s="2">
        <v>99</v>
      </c>
      <c r="B103" s="14" t="s">
        <v>23</v>
      </c>
      <c r="C103" s="15" t="s">
        <v>24</v>
      </c>
      <c r="D103" s="400" t="s">
        <v>95</v>
      </c>
      <c r="E103" s="415">
        <f t="shared" si="12"/>
        <v>50.303105713778805</v>
      </c>
      <c r="F103" s="402">
        <v>35.159157970000003</v>
      </c>
      <c r="G103" s="402">
        <v>302.5879625</v>
      </c>
      <c r="H103" s="402">
        <v>73.863489459999997</v>
      </c>
      <c r="I103" s="402">
        <v>85.647285780000004</v>
      </c>
      <c r="J103" s="402">
        <v>46.210765899999998</v>
      </c>
      <c r="K103" s="402">
        <v>102.68496500000001</v>
      </c>
      <c r="L103" s="402">
        <v>465.60616429999999</v>
      </c>
      <c r="M103" s="402">
        <v>434.5354916</v>
      </c>
      <c r="N103" s="402">
        <v>278.82779060000001</v>
      </c>
      <c r="O103" s="402">
        <v>843.25938240000005</v>
      </c>
      <c r="P103" s="402">
        <v>1327.129623</v>
      </c>
      <c r="Q103" s="402">
        <v>408.10224219999998</v>
      </c>
      <c r="R103" s="402">
        <v>765.89869669999996</v>
      </c>
      <c r="S103" s="402">
        <v>1605.6889060000001</v>
      </c>
      <c r="T103" s="402">
        <v>942.41061500000001</v>
      </c>
      <c r="U103" s="407">
        <f t="shared" si="13"/>
        <v>51.517486943845107</v>
      </c>
      <c r="V103" s="402">
        <v>3.8915790975909399</v>
      </c>
      <c r="W103" s="402">
        <v>647.01976021207997</v>
      </c>
      <c r="X103" s="407">
        <f t="shared" si="14"/>
        <v>56.146734747975515</v>
      </c>
      <c r="Y103" s="402">
        <v>106.45490683131</v>
      </c>
      <c r="Z103" s="402">
        <v>1034.07341475053</v>
      </c>
      <c r="AA103" s="402">
        <v>162.379232065671</v>
      </c>
      <c r="AB103" s="407">
        <f t="shared" si="15"/>
        <v>42.030714219449486</v>
      </c>
      <c r="AC103" s="399"/>
      <c r="AD103" s="121"/>
    </row>
    <row r="104" spans="1:30" s="5" customFormat="1" ht="15.75" customHeight="1" x14ac:dyDescent="0.25">
      <c r="A104" s="2">
        <v>100</v>
      </c>
      <c r="B104" s="3" t="s">
        <v>10</v>
      </c>
      <c r="C104" s="19" t="s">
        <v>35</v>
      </c>
      <c r="D104" s="400" t="s">
        <v>180</v>
      </c>
      <c r="E104" s="415">
        <f t="shared" si="12"/>
        <v>50.156153280319046</v>
      </c>
      <c r="F104" s="402">
        <v>15.28111760208</v>
      </c>
      <c r="G104" s="402">
        <v>255.01224361739</v>
      </c>
      <c r="H104" s="402">
        <v>89.350896253469998</v>
      </c>
      <c r="I104" s="402">
        <v>68.674354292350003</v>
      </c>
      <c r="J104" s="402">
        <v>30.168382844589999</v>
      </c>
      <c r="K104" s="402">
        <v>59.1477241698</v>
      </c>
      <c r="L104" s="402">
        <v>415.60519391566999</v>
      </c>
      <c r="M104" s="402">
        <v>421.34677461298998</v>
      </c>
      <c r="N104" s="402">
        <v>212.61822759768</v>
      </c>
      <c r="O104" s="402">
        <v>881.48766387115995</v>
      </c>
      <c r="P104" s="402">
        <v>1652.3134963120799</v>
      </c>
      <c r="Q104" s="402">
        <v>568.57293061125995</v>
      </c>
      <c r="R104" s="402">
        <v>948.367440857779</v>
      </c>
      <c r="S104" s="402">
        <v>1781.35635837465</v>
      </c>
      <c r="T104" s="402">
        <v>939.82398669808902</v>
      </c>
      <c r="U104" s="407">
        <f t="shared" si="13"/>
        <v>57.707073069181583</v>
      </c>
      <c r="V104" s="402">
        <v>3.5811347954714901</v>
      </c>
      <c r="W104" s="402">
        <v>742.24249220099</v>
      </c>
      <c r="X104" s="407">
        <f t="shared" si="14"/>
        <v>53.103443667813835</v>
      </c>
      <c r="Y104" s="402">
        <v>91.064837175703502</v>
      </c>
      <c r="Z104" s="402">
        <v>1656.79799046891</v>
      </c>
      <c r="AA104" s="402">
        <v>272.21914895555398</v>
      </c>
      <c r="AB104" s="407">
        <f t="shared" si="15"/>
        <v>32.107023315099205</v>
      </c>
      <c r="AC104" s="399"/>
      <c r="AD104" s="121"/>
    </row>
    <row r="105" spans="1:30" s="5" customFormat="1" ht="15.75" customHeight="1" x14ac:dyDescent="0.25">
      <c r="A105" s="2">
        <v>101</v>
      </c>
      <c r="B105" s="14" t="s">
        <v>23</v>
      </c>
      <c r="C105" s="16" t="s">
        <v>26</v>
      </c>
      <c r="D105" s="400" t="s">
        <v>61</v>
      </c>
      <c r="E105" s="415">
        <f t="shared" si="12"/>
        <v>50.047186103611629</v>
      </c>
      <c r="F105" s="402">
        <v>39.501685808959998</v>
      </c>
      <c r="G105" s="402">
        <v>261.02595033787998</v>
      </c>
      <c r="H105" s="402">
        <v>33.95189638934</v>
      </c>
      <c r="I105" s="402">
        <v>51.487915741179997</v>
      </c>
      <c r="J105" s="402">
        <v>27.461801637680001</v>
      </c>
      <c r="K105" s="402">
        <v>102.69337608131001</v>
      </c>
      <c r="L105" s="402">
        <v>383.125029311719</v>
      </c>
      <c r="M105" s="402">
        <v>349.08608336626997</v>
      </c>
      <c r="N105" s="402">
        <v>273.71721932538998</v>
      </c>
      <c r="O105" s="402">
        <v>772.15967190996003</v>
      </c>
      <c r="P105" s="402">
        <v>255.48322059998</v>
      </c>
      <c r="Q105" s="402">
        <v>310.72333224655</v>
      </c>
      <c r="R105" s="402">
        <v>581.17256392416004</v>
      </c>
      <c r="S105" s="402">
        <v>2489.77726863103</v>
      </c>
      <c r="T105" s="402">
        <v>888.77236524851003</v>
      </c>
      <c r="U105" s="407">
        <f t="shared" si="13"/>
        <v>65.287334979191456</v>
      </c>
      <c r="V105" s="402">
        <v>10.8369466287426</v>
      </c>
      <c r="W105" s="402">
        <v>909.15352094749005</v>
      </c>
      <c r="X105" s="407">
        <f t="shared" si="14"/>
        <v>30.524108193369621</v>
      </c>
      <c r="Y105" s="402">
        <v>116.620475185096</v>
      </c>
      <c r="Z105" s="402">
        <v>656.11008598069895</v>
      </c>
      <c r="AA105" s="402">
        <v>290.10114971355603</v>
      </c>
      <c r="AB105" s="407">
        <f t="shared" si="15"/>
        <v>39.089966262693984</v>
      </c>
      <c r="AC105" s="399"/>
      <c r="AD105" s="121"/>
    </row>
    <row r="106" spans="1:30" s="5" customFormat="1" ht="15.75" customHeight="1" x14ac:dyDescent="0.25">
      <c r="A106" s="2">
        <v>102</v>
      </c>
      <c r="B106" s="8" t="s">
        <v>16</v>
      </c>
      <c r="C106" s="11" t="s">
        <v>21</v>
      </c>
      <c r="D106" s="400" t="s">
        <v>64</v>
      </c>
      <c r="E106" s="415">
        <f t="shared" si="12"/>
        <v>49.998819798398046</v>
      </c>
      <c r="F106" s="402">
        <v>29.00748454068</v>
      </c>
      <c r="G106" s="402">
        <v>461.41302336484</v>
      </c>
      <c r="H106" s="402">
        <v>119.67559323302</v>
      </c>
      <c r="I106" s="402">
        <v>194.98192979145</v>
      </c>
      <c r="J106" s="402">
        <v>101.980299918429</v>
      </c>
      <c r="K106" s="402">
        <v>28.907733723890001</v>
      </c>
      <c r="L106" s="402">
        <v>459.52277557669998</v>
      </c>
      <c r="M106" s="402">
        <v>287.05219026063997</v>
      </c>
      <c r="N106" s="402">
        <v>211.21941884251899</v>
      </c>
      <c r="O106" s="402">
        <v>716.35900042957996</v>
      </c>
      <c r="P106" s="402">
        <v>459.75040336899002</v>
      </c>
      <c r="Q106" s="402">
        <v>379.10694682643998</v>
      </c>
      <c r="R106" s="402">
        <v>982.44957471125997</v>
      </c>
      <c r="S106" s="402">
        <v>1551.50560251357</v>
      </c>
      <c r="T106" s="402">
        <v>928.76162255041004</v>
      </c>
      <c r="U106" s="407">
        <f t="shared" si="13"/>
        <v>42.991408112062359</v>
      </c>
      <c r="V106" s="402">
        <v>6.7562503362064597</v>
      </c>
      <c r="W106" s="402">
        <v>784.77526668542998</v>
      </c>
      <c r="X106" s="407">
        <f t="shared" si="14"/>
        <v>42.040525293779687</v>
      </c>
      <c r="Y106" s="402">
        <v>36.948518236929999</v>
      </c>
      <c r="Z106" s="402">
        <v>374.73487487044599</v>
      </c>
      <c r="AA106" s="402">
        <v>107.57734678830199</v>
      </c>
      <c r="AB106" s="407">
        <f t="shared" si="15"/>
        <v>71.971937675687769</v>
      </c>
      <c r="AC106" s="399"/>
      <c r="AD106" s="121"/>
    </row>
    <row r="107" spans="1:30" s="5" customFormat="1" ht="15.75" customHeight="1" x14ac:dyDescent="0.25">
      <c r="A107" s="2">
        <v>103</v>
      </c>
      <c r="B107" s="6" t="s">
        <v>13</v>
      </c>
      <c r="C107" s="7" t="s">
        <v>14</v>
      </c>
      <c r="D107" s="400" t="s">
        <v>575</v>
      </c>
      <c r="E107" s="415">
        <f t="shared" si="12"/>
        <v>49.977795333409219</v>
      </c>
      <c r="F107" s="402">
        <v>22.80897148</v>
      </c>
      <c r="G107" s="402">
        <v>273.7940092</v>
      </c>
      <c r="H107" s="402">
        <v>37.245903820000002</v>
      </c>
      <c r="I107" s="402">
        <v>42.608213210000002</v>
      </c>
      <c r="J107" s="402">
        <v>38.92142655</v>
      </c>
      <c r="K107" s="402">
        <v>89.685102369999996</v>
      </c>
      <c r="L107" s="402">
        <v>508.63962040000001</v>
      </c>
      <c r="M107" s="402">
        <v>267.51266070000003</v>
      </c>
      <c r="N107" s="402">
        <v>292.17654620000002</v>
      </c>
      <c r="O107" s="402">
        <v>788.13682989999995</v>
      </c>
      <c r="P107" s="402">
        <v>563.09545460000004</v>
      </c>
      <c r="Q107" s="402">
        <v>340.83752779999998</v>
      </c>
      <c r="R107" s="402">
        <v>839.81652150000002</v>
      </c>
      <c r="S107" s="402">
        <v>1873.3506070000001</v>
      </c>
      <c r="T107" s="402">
        <v>1044.170595</v>
      </c>
      <c r="U107" s="407">
        <f t="shared" si="13"/>
        <v>61.887648144895927</v>
      </c>
      <c r="V107" s="402">
        <v>13.8790186442312</v>
      </c>
      <c r="W107" s="402">
        <v>550.79820983512002</v>
      </c>
      <c r="X107" s="407">
        <f t="shared" si="14"/>
        <v>42.455863128791002</v>
      </c>
      <c r="Y107" s="402">
        <v>128.81664034274499</v>
      </c>
      <c r="Z107" s="402">
        <v>739.14894721575399</v>
      </c>
      <c r="AA107" s="402">
        <v>362.06065280124602</v>
      </c>
      <c r="AB107" s="407">
        <f t="shared" si="15"/>
        <v>33.680021915054006</v>
      </c>
      <c r="AC107" s="399"/>
      <c r="AD107" s="121"/>
    </row>
    <row r="108" spans="1:30" s="5" customFormat="1" ht="15.75" customHeight="1" x14ac:dyDescent="0.25">
      <c r="A108" s="2">
        <v>104</v>
      </c>
      <c r="B108" s="8" t="s">
        <v>16</v>
      </c>
      <c r="C108" s="11" t="s">
        <v>21</v>
      </c>
      <c r="D108" s="400" t="s">
        <v>84</v>
      </c>
      <c r="E108" s="415">
        <f t="shared" si="12"/>
        <v>49.324356567686394</v>
      </c>
      <c r="F108" s="402">
        <v>128.98056940000001</v>
      </c>
      <c r="G108" s="402">
        <v>535.09649560000003</v>
      </c>
      <c r="H108" s="402">
        <v>117.55065159999999</v>
      </c>
      <c r="I108" s="402">
        <v>455.53150119999998</v>
      </c>
      <c r="J108" s="402">
        <v>79.546233770000001</v>
      </c>
      <c r="K108" s="402">
        <v>93.652149640000005</v>
      </c>
      <c r="L108" s="402">
        <v>375.89952190000002</v>
      </c>
      <c r="M108" s="402">
        <v>219.56004060000001</v>
      </c>
      <c r="N108" s="402">
        <v>203.28098700000001</v>
      </c>
      <c r="O108" s="402">
        <v>632.97183189999998</v>
      </c>
      <c r="P108" s="402">
        <v>349.00203859999999</v>
      </c>
      <c r="Q108" s="402">
        <v>444.1594273</v>
      </c>
      <c r="R108" s="402">
        <v>1115.4760900000001</v>
      </c>
      <c r="S108" s="402">
        <v>1576.059317</v>
      </c>
      <c r="T108" s="402">
        <v>943.52184309999996</v>
      </c>
      <c r="U108" s="407">
        <f t="shared" si="13"/>
        <v>36.527128036329664</v>
      </c>
      <c r="V108" s="402">
        <v>8.9771256482359298</v>
      </c>
      <c r="W108" s="402">
        <v>969.64654860648</v>
      </c>
      <c r="X108" s="407">
        <f t="shared" si="14"/>
        <v>31.290732606785674</v>
      </c>
      <c r="Y108" s="402">
        <v>36.417788888841798</v>
      </c>
      <c r="Z108" s="402">
        <v>144.02072952172401</v>
      </c>
      <c r="AA108" s="402">
        <v>51.466244765802301</v>
      </c>
      <c r="AB108" s="407">
        <f t="shared" si="15"/>
        <v>92.952437591300551</v>
      </c>
      <c r="AC108" s="399"/>
      <c r="AD108" s="121"/>
    </row>
    <row r="109" spans="1:30" s="5" customFormat="1" ht="15.75" customHeight="1" x14ac:dyDescent="0.25">
      <c r="A109" s="2">
        <v>105</v>
      </c>
      <c r="B109" s="14" t="s">
        <v>23</v>
      </c>
      <c r="C109" s="23" t="s">
        <v>57</v>
      </c>
      <c r="D109" s="400" t="s">
        <v>58</v>
      </c>
      <c r="E109" s="415">
        <f t="shared" si="12"/>
        <v>49.158200844791367</v>
      </c>
      <c r="F109" s="402">
        <v>25.127531012499901</v>
      </c>
      <c r="G109" s="402">
        <v>272.89189403829999</v>
      </c>
      <c r="H109" s="402">
        <v>11.10847287639</v>
      </c>
      <c r="I109" s="402">
        <v>27.452061125779998</v>
      </c>
      <c r="J109" s="402">
        <v>36.175614752450002</v>
      </c>
      <c r="K109" s="402">
        <v>180.9803475633</v>
      </c>
      <c r="L109" s="402">
        <v>515.40346264719994</v>
      </c>
      <c r="M109" s="402">
        <v>621.71379718761</v>
      </c>
      <c r="N109" s="402">
        <v>226.69749060609001</v>
      </c>
      <c r="O109" s="402">
        <v>940.07559686607999</v>
      </c>
      <c r="P109" s="402">
        <v>356.60725283308</v>
      </c>
      <c r="Q109" s="402">
        <v>304.55008458432002</v>
      </c>
      <c r="R109" s="402">
        <v>573.65485862638002</v>
      </c>
      <c r="S109" s="402">
        <v>2442.5635204595201</v>
      </c>
      <c r="T109" s="402">
        <v>714.47658830784997</v>
      </c>
      <c r="U109" s="407">
        <f t="shared" si="13"/>
        <v>68.291340519950936</v>
      </c>
      <c r="V109" s="402">
        <v>12.4909066970965</v>
      </c>
      <c r="W109" s="402">
        <v>626.65399236041003</v>
      </c>
      <c r="X109" s="407">
        <f t="shared" si="14"/>
        <v>39.996565406856121</v>
      </c>
      <c r="Y109" s="402">
        <v>462.203118198487</v>
      </c>
      <c r="Z109" s="402">
        <v>619.88340914075002</v>
      </c>
      <c r="AA109" s="402">
        <v>379.82013413309602</v>
      </c>
      <c r="AB109" s="407">
        <f t="shared" si="15"/>
        <v>20.053556932407453</v>
      </c>
      <c r="AC109" s="399"/>
      <c r="AD109" s="121"/>
    </row>
    <row r="110" spans="1:30" s="5" customFormat="1" ht="15.75" customHeight="1" x14ac:dyDescent="0.25">
      <c r="A110" s="2">
        <v>106</v>
      </c>
      <c r="B110" s="14" t="s">
        <v>23</v>
      </c>
      <c r="C110" s="16" t="s">
        <v>26</v>
      </c>
      <c r="D110" s="400" t="s">
        <v>96</v>
      </c>
      <c r="E110" s="415">
        <f t="shared" si="12"/>
        <v>49.138218854965636</v>
      </c>
      <c r="F110" s="402">
        <v>34.454358810000002</v>
      </c>
      <c r="G110" s="402">
        <v>347.58280200000002</v>
      </c>
      <c r="H110" s="402">
        <v>81.751355279999999</v>
      </c>
      <c r="I110" s="402">
        <v>227.44484750000001</v>
      </c>
      <c r="J110" s="402">
        <v>47.205083170000002</v>
      </c>
      <c r="K110" s="402">
        <v>55.498335179999998</v>
      </c>
      <c r="L110" s="402">
        <v>328.17840330000001</v>
      </c>
      <c r="M110" s="402">
        <v>347.95696980000002</v>
      </c>
      <c r="N110" s="402">
        <v>325.04707189999999</v>
      </c>
      <c r="O110" s="402">
        <v>869.93255509999995</v>
      </c>
      <c r="P110" s="402">
        <v>1178.1710049999999</v>
      </c>
      <c r="Q110" s="402">
        <v>315.20038690000001</v>
      </c>
      <c r="R110" s="402">
        <v>856.95089410000003</v>
      </c>
      <c r="S110" s="402">
        <v>2017.7507579999999</v>
      </c>
      <c r="T110" s="402">
        <v>898.91971530000001</v>
      </c>
      <c r="U110" s="407">
        <f t="shared" si="13"/>
        <v>48.622810120276611</v>
      </c>
      <c r="V110" s="402">
        <v>5.0657162440717096</v>
      </c>
      <c r="W110" s="402">
        <v>759.05984326380997</v>
      </c>
      <c r="X110" s="407">
        <f t="shared" si="14"/>
        <v>47.308968077912468</v>
      </c>
      <c r="Y110" s="402">
        <v>65.908890642858196</v>
      </c>
      <c r="Z110" s="402">
        <v>1023.98014028365</v>
      </c>
      <c r="AA110" s="402">
        <v>116.729180848393</v>
      </c>
      <c r="AB110" s="407">
        <f t="shared" si="15"/>
        <v>51.998287101396869</v>
      </c>
      <c r="AC110" s="399"/>
      <c r="AD110" s="121"/>
    </row>
    <row r="111" spans="1:30" s="5" customFormat="1" ht="15.75" customHeight="1" x14ac:dyDescent="0.25">
      <c r="A111" s="2">
        <v>107</v>
      </c>
      <c r="B111" s="3" t="s">
        <v>10</v>
      </c>
      <c r="C111" s="19" t="s">
        <v>35</v>
      </c>
      <c r="D111" s="400" t="s">
        <v>127</v>
      </c>
      <c r="E111" s="415">
        <f t="shared" si="12"/>
        <v>49.130283191244189</v>
      </c>
      <c r="F111" s="402">
        <v>11.379718889999999</v>
      </c>
      <c r="G111" s="402">
        <v>295.64376650000003</v>
      </c>
      <c r="H111" s="402">
        <v>74.413630650000002</v>
      </c>
      <c r="I111" s="402">
        <v>23.71245991</v>
      </c>
      <c r="J111" s="402">
        <v>40.14964209</v>
      </c>
      <c r="K111" s="402">
        <v>111.9657648</v>
      </c>
      <c r="L111" s="402">
        <v>433.25819940000002</v>
      </c>
      <c r="M111" s="402">
        <v>446.80769120000002</v>
      </c>
      <c r="N111" s="402">
        <v>226.31213249999999</v>
      </c>
      <c r="O111" s="402">
        <v>896.43472770000005</v>
      </c>
      <c r="P111" s="402">
        <v>1110.3357639999999</v>
      </c>
      <c r="Q111" s="402">
        <v>565.6484365</v>
      </c>
      <c r="R111" s="402">
        <v>788.85949410000001</v>
      </c>
      <c r="S111" s="402">
        <v>1963.2202130000001</v>
      </c>
      <c r="T111" s="402">
        <v>1111.079743</v>
      </c>
      <c r="U111" s="407">
        <f t="shared" si="13"/>
        <v>57.810488304842693</v>
      </c>
      <c r="V111" s="402">
        <v>1.2892211990646101</v>
      </c>
      <c r="W111" s="402">
        <v>1019.04495600456</v>
      </c>
      <c r="X111" s="407">
        <f t="shared" si="14"/>
        <v>58.275838216430039</v>
      </c>
      <c r="Y111" s="402">
        <v>128.537552198518</v>
      </c>
      <c r="Z111" s="402">
        <v>1197.19604405368</v>
      </c>
      <c r="AA111" s="402">
        <v>550.11784225899203</v>
      </c>
      <c r="AB111" s="407">
        <f t="shared" si="15"/>
        <v>22.624317938861324</v>
      </c>
      <c r="AC111" s="399"/>
      <c r="AD111" s="121"/>
    </row>
    <row r="112" spans="1:30" s="5" customFormat="1" ht="15.75" customHeight="1" x14ac:dyDescent="0.25">
      <c r="A112" s="2">
        <v>108</v>
      </c>
      <c r="B112" s="14" t="s">
        <v>23</v>
      </c>
      <c r="C112" s="16" t="s">
        <v>26</v>
      </c>
      <c r="D112" s="400" t="s">
        <v>27</v>
      </c>
      <c r="E112" s="415">
        <f t="shared" si="12"/>
        <v>48.92922637113611</v>
      </c>
      <c r="F112" s="402">
        <v>43.649845796519998</v>
      </c>
      <c r="G112" s="402">
        <v>300.42273468108999</v>
      </c>
      <c r="H112" s="402">
        <v>42.626434956440001</v>
      </c>
      <c r="I112" s="402">
        <v>73.575478442030004</v>
      </c>
      <c r="J112" s="402">
        <v>30.037975397749999</v>
      </c>
      <c r="K112" s="402">
        <v>105.58460378557</v>
      </c>
      <c r="L112" s="402">
        <v>405.95851879075002</v>
      </c>
      <c r="M112" s="402">
        <v>357.53799114749</v>
      </c>
      <c r="N112" s="402">
        <v>274.69375224282999</v>
      </c>
      <c r="O112" s="402">
        <v>699.66396721830995</v>
      </c>
      <c r="P112" s="402">
        <v>359.27885670022999</v>
      </c>
      <c r="Q112" s="402">
        <v>309.28080697498001</v>
      </c>
      <c r="R112" s="402">
        <v>578.75762425037999</v>
      </c>
      <c r="S112" s="402">
        <v>2469.99889913676</v>
      </c>
      <c r="T112" s="402">
        <v>873.72892182399903</v>
      </c>
      <c r="U112" s="407">
        <f t="shared" si="13"/>
        <v>60.557361180748323</v>
      </c>
      <c r="V112" s="402">
        <v>11.4805809439511</v>
      </c>
      <c r="W112" s="402">
        <v>781.31117718905</v>
      </c>
      <c r="X112" s="407">
        <f t="shared" si="14"/>
        <v>34.383809751390658</v>
      </c>
      <c r="Y112" s="402">
        <v>104.19559004601901</v>
      </c>
      <c r="Z112" s="402">
        <v>706.19573746972401</v>
      </c>
      <c r="AA112" s="402">
        <v>274.93765417314398</v>
      </c>
      <c r="AB112" s="407">
        <f t="shared" si="15"/>
        <v>40.218373371657144</v>
      </c>
      <c r="AC112" s="399"/>
      <c r="AD112" s="121"/>
    </row>
    <row r="113" spans="1:30" s="5" customFormat="1" ht="15.75" customHeight="1" x14ac:dyDescent="0.25">
      <c r="A113" s="2">
        <v>109</v>
      </c>
      <c r="B113" s="14" t="s">
        <v>23</v>
      </c>
      <c r="C113" s="16" t="s">
        <v>26</v>
      </c>
      <c r="D113" s="400" t="s">
        <v>221</v>
      </c>
      <c r="E113" s="415">
        <f t="shared" si="12"/>
        <v>48.908723377516452</v>
      </c>
      <c r="F113" s="402">
        <v>51.083924879999998</v>
      </c>
      <c r="G113" s="402">
        <v>296.18802269999998</v>
      </c>
      <c r="H113" s="402">
        <v>82.703423900000004</v>
      </c>
      <c r="I113" s="402">
        <v>184.18526230000001</v>
      </c>
      <c r="J113" s="402">
        <v>42.225920379999998</v>
      </c>
      <c r="K113" s="402">
        <v>96.566991590000001</v>
      </c>
      <c r="L113" s="402">
        <v>323.30111360000001</v>
      </c>
      <c r="M113" s="402">
        <v>426.52548330000002</v>
      </c>
      <c r="N113" s="402">
        <v>279.51240080000002</v>
      </c>
      <c r="O113" s="402">
        <v>889.68154619999996</v>
      </c>
      <c r="P113" s="402">
        <v>886.73954860000003</v>
      </c>
      <c r="Q113" s="402">
        <v>315.54480619999998</v>
      </c>
      <c r="R113" s="402">
        <v>808.21905240000001</v>
      </c>
      <c r="S113" s="402">
        <v>2038.832811</v>
      </c>
      <c r="T113" s="402">
        <v>899.46691999999996</v>
      </c>
      <c r="U113" s="407">
        <f t="shared" si="13"/>
        <v>50.280886067350508</v>
      </c>
      <c r="V113" s="402">
        <v>7.4770784820489498</v>
      </c>
      <c r="W113" s="402">
        <v>702.90354120709003</v>
      </c>
      <c r="X113" s="407">
        <f t="shared" si="14"/>
        <v>43.973118064897108</v>
      </c>
      <c r="Y113" s="402">
        <v>59.233179609854801</v>
      </c>
      <c r="Z113" s="402">
        <v>941.66297078560297</v>
      </c>
      <c r="AA113" s="402">
        <v>150.04232801086701</v>
      </c>
      <c r="AB113" s="407">
        <f t="shared" si="15"/>
        <v>51.100003310467706</v>
      </c>
      <c r="AC113" s="399"/>
      <c r="AD113" s="121"/>
    </row>
    <row r="114" spans="1:30" s="5" customFormat="1" ht="15.75" customHeight="1" x14ac:dyDescent="0.25">
      <c r="A114" s="2">
        <v>110</v>
      </c>
      <c r="B114" s="8" t="s">
        <v>16</v>
      </c>
      <c r="C114" s="9" t="s">
        <v>17</v>
      </c>
      <c r="D114" s="400" t="s">
        <v>209</v>
      </c>
      <c r="E114" s="415">
        <f t="shared" si="12"/>
        <v>48.873562809001854</v>
      </c>
      <c r="F114" s="402">
        <v>14.35100718</v>
      </c>
      <c r="G114" s="402">
        <v>296.6762741</v>
      </c>
      <c r="H114" s="402">
        <v>63.350384769999998</v>
      </c>
      <c r="I114" s="402">
        <v>91.196517099999994</v>
      </c>
      <c r="J114" s="402">
        <v>30.076457019999999</v>
      </c>
      <c r="K114" s="402">
        <v>134.1546893</v>
      </c>
      <c r="L114" s="402">
        <v>403.26804440000001</v>
      </c>
      <c r="M114" s="402">
        <v>380.63539420000001</v>
      </c>
      <c r="N114" s="402">
        <v>203.742695</v>
      </c>
      <c r="O114" s="402">
        <v>890.24631509999995</v>
      </c>
      <c r="P114" s="402">
        <v>867.58709350000004</v>
      </c>
      <c r="Q114" s="402">
        <v>564.7913294</v>
      </c>
      <c r="R114" s="402">
        <v>798.36515750000001</v>
      </c>
      <c r="S114" s="402">
        <v>1999.0226789999999</v>
      </c>
      <c r="T114" s="402">
        <v>1116.8756100000001</v>
      </c>
      <c r="U114" s="407">
        <f t="shared" si="13"/>
        <v>56.817371853072999</v>
      </c>
      <c r="V114" s="402">
        <v>2.4404179892864502</v>
      </c>
      <c r="W114" s="402">
        <v>1045.9126804742</v>
      </c>
      <c r="X114" s="407">
        <f t="shared" si="14"/>
        <v>48.086380879577433</v>
      </c>
      <c r="Y114" s="402">
        <v>99.672595920201204</v>
      </c>
      <c r="Z114" s="402">
        <v>991.34252619282302</v>
      </c>
      <c r="AA114" s="402">
        <v>345.71732916663399</v>
      </c>
      <c r="AB114" s="407">
        <f t="shared" si="15"/>
        <v>33.773126650283963</v>
      </c>
      <c r="AC114" s="399"/>
      <c r="AD114" s="121"/>
    </row>
    <row r="115" spans="1:30" s="5" customFormat="1" ht="15.75" customHeight="1" x14ac:dyDescent="0.25">
      <c r="A115" s="2">
        <v>111</v>
      </c>
      <c r="B115" s="14" t="s">
        <v>23</v>
      </c>
      <c r="C115" s="15" t="s">
        <v>24</v>
      </c>
      <c r="D115" s="400" t="s">
        <v>195</v>
      </c>
      <c r="E115" s="415">
        <f t="shared" si="12"/>
        <v>48.847941540009998</v>
      </c>
      <c r="F115" s="402">
        <v>32.122782219999998</v>
      </c>
      <c r="G115" s="402">
        <v>265.0425783</v>
      </c>
      <c r="H115" s="402">
        <v>66.895492759999996</v>
      </c>
      <c r="I115" s="402">
        <v>101.5115783</v>
      </c>
      <c r="J115" s="402">
        <v>47.445569409999997</v>
      </c>
      <c r="K115" s="402">
        <v>103.7246665</v>
      </c>
      <c r="L115" s="402">
        <v>407.92210310000002</v>
      </c>
      <c r="M115" s="402">
        <v>459.67101739999998</v>
      </c>
      <c r="N115" s="402">
        <v>266.38064300000002</v>
      </c>
      <c r="O115" s="402">
        <v>872.33321739999997</v>
      </c>
      <c r="P115" s="402">
        <v>1280.3770400000001</v>
      </c>
      <c r="Q115" s="402">
        <v>410.14009570000002</v>
      </c>
      <c r="R115" s="402">
        <v>760.70942549999995</v>
      </c>
      <c r="S115" s="402">
        <v>1639.6273180000001</v>
      </c>
      <c r="T115" s="402">
        <v>941.52811550000001</v>
      </c>
      <c r="U115" s="407">
        <f t="shared" si="13"/>
        <v>53.174578073549128</v>
      </c>
      <c r="V115" s="402">
        <v>6.4701001221892698</v>
      </c>
      <c r="W115" s="402">
        <v>649.68158666985903</v>
      </c>
      <c r="X115" s="407">
        <f t="shared" si="14"/>
        <v>48.545694864024057</v>
      </c>
      <c r="Y115" s="402">
        <v>94.959327615253997</v>
      </c>
      <c r="Z115" s="402">
        <v>1081.44638535486</v>
      </c>
      <c r="AA115" s="402">
        <v>195.57087037121201</v>
      </c>
      <c r="AB115" s="407">
        <f t="shared" si="15"/>
        <v>40.496915148917701</v>
      </c>
      <c r="AC115" s="399"/>
      <c r="AD115" s="121"/>
    </row>
    <row r="116" spans="1:30" s="5" customFormat="1" ht="15.75" customHeight="1" x14ac:dyDescent="0.25">
      <c r="A116" s="2">
        <v>112</v>
      </c>
      <c r="B116" s="3" t="s">
        <v>10</v>
      </c>
      <c r="C116" s="25" t="s">
        <v>115</v>
      </c>
      <c r="D116" s="400" t="s">
        <v>116</v>
      </c>
      <c r="E116" s="415">
        <f t="shared" si="12"/>
        <v>48.805386395726472</v>
      </c>
      <c r="F116" s="402">
        <v>25.59717277</v>
      </c>
      <c r="G116" s="402">
        <v>250.41660089999999</v>
      </c>
      <c r="H116" s="402">
        <v>16.378046909999998</v>
      </c>
      <c r="I116" s="402">
        <v>70.136400069999993</v>
      </c>
      <c r="J116" s="402">
        <v>55.217148350000002</v>
      </c>
      <c r="K116" s="402">
        <v>55.377998159999997</v>
      </c>
      <c r="L116" s="402">
        <v>585.04992809999999</v>
      </c>
      <c r="M116" s="402">
        <v>474.61338869999997</v>
      </c>
      <c r="N116" s="402">
        <v>276.1889491</v>
      </c>
      <c r="O116" s="402">
        <v>777.11851279999996</v>
      </c>
      <c r="P116" s="402">
        <v>624.00680620000003</v>
      </c>
      <c r="Q116" s="402">
        <v>332.33870730000001</v>
      </c>
      <c r="R116" s="402">
        <v>795.63463660000002</v>
      </c>
      <c r="S116" s="402">
        <v>1774.2247600000001</v>
      </c>
      <c r="T116" s="402">
        <v>969.97395040000004</v>
      </c>
      <c r="U116" s="407">
        <f t="shared" si="13"/>
        <v>61.901040848998228</v>
      </c>
      <c r="V116" s="402">
        <v>15.419989754855999</v>
      </c>
      <c r="W116" s="402">
        <v>498.29161570054998</v>
      </c>
      <c r="X116" s="407">
        <f t="shared" si="14"/>
        <v>44.020439056949016</v>
      </c>
      <c r="Y116" s="402">
        <v>226.38543699430099</v>
      </c>
      <c r="Z116" s="402">
        <v>742.37927088946799</v>
      </c>
      <c r="AA116" s="402">
        <v>349.33532464052502</v>
      </c>
      <c r="AB116" s="407">
        <f t="shared" si="15"/>
        <v>27.399024827960407</v>
      </c>
      <c r="AC116" s="399"/>
      <c r="AD116" s="121"/>
    </row>
    <row r="117" spans="1:30" s="5" customFormat="1" ht="15.75" customHeight="1" x14ac:dyDescent="0.25">
      <c r="A117" s="2">
        <v>113</v>
      </c>
      <c r="B117" s="8" t="s">
        <v>16</v>
      </c>
      <c r="C117" s="21" t="s">
        <v>42</v>
      </c>
      <c r="D117" s="400" t="s">
        <v>142</v>
      </c>
      <c r="E117" s="415">
        <f t="shared" si="12"/>
        <v>48.517515300862172</v>
      </c>
      <c r="F117" s="402">
        <v>111.26455869999999</v>
      </c>
      <c r="G117" s="402">
        <v>387.52174380000002</v>
      </c>
      <c r="H117" s="402">
        <v>162.97256519999999</v>
      </c>
      <c r="I117" s="402">
        <v>147.7024673</v>
      </c>
      <c r="J117" s="402">
        <v>90.564808189999994</v>
      </c>
      <c r="K117" s="402">
        <v>69.481104990000006</v>
      </c>
      <c r="L117" s="402">
        <v>574.56750539999996</v>
      </c>
      <c r="M117" s="402">
        <v>316.27249310000002</v>
      </c>
      <c r="N117" s="402">
        <v>189.31004949999999</v>
      </c>
      <c r="O117" s="402">
        <v>819.44839219999994</v>
      </c>
      <c r="P117" s="402">
        <v>615.73272970000005</v>
      </c>
      <c r="Q117" s="402">
        <v>389.9503259</v>
      </c>
      <c r="R117" s="402">
        <v>987.78891269999997</v>
      </c>
      <c r="S117" s="402">
        <v>1570.331901</v>
      </c>
      <c r="T117" s="402">
        <v>1173.2387409999999</v>
      </c>
      <c r="U117" s="407">
        <f t="shared" si="13"/>
        <v>38.044904555919544</v>
      </c>
      <c r="V117" s="402">
        <v>6.0101067873384304</v>
      </c>
      <c r="W117" s="402">
        <v>578.50008074840002</v>
      </c>
      <c r="X117" s="407">
        <f t="shared" si="14"/>
        <v>53.234958075836715</v>
      </c>
      <c r="Y117" s="402">
        <v>44.409301016584898</v>
      </c>
      <c r="Z117" s="402">
        <v>599.83066126606195</v>
      </c>
      <c r="AA117" s="402">
        <v>102.520060580158</v>
      </c>
      <c r="AB117" s="407">
        <f t="shared" si="15"/>
        <v>64.745294015772899</v>
      </c>
      <c r="AC117" s="399"/>
      <c r="AD117" s="121"/>
    </row>
    <row r="118" spans="1:30" s="5" customFormat="1" ht="15.75" customHeight="1" x14ac:dyDescent="0.25">
      <c r="A118" s="2">
        <v>114</v>
      </c>
      <c r="B118" s="6" t="s">
        <v>13</v>
      </c>
      <c r="C118" s="7" t="s">
        <v>14</v>
      </c>
      <c r="D118" s="400" t="s">
        <v>126</v>
      </c>
      <c r="E118" s="415">
        <f t="shared" si="12"/>
        <v>48.508139816502627</v>
      </c>
      <c r="F118" s="402">
        <v>37.390625389999997</v>
      </c>
      <c r="G118" s="402">
        <v>302.69268749999998</v>
      </c>
      <c r="H118" s="402">
        <v>33.71230542</v>
      </c>
      <c r="I118" s="402">
        <v>37.33685139</v>
      </c>
      <c r="J118" s="402">
        <v>29.904641949999998</v>
      </c>
      <c r="K118" s="402">
        <v>136.92709339999999</v>
      </c>
      <c r="L118" s="402">
        <v>434.16536880000001</v>
      </c>
      <c r="M118" s="402">
        <v>251.18982370000001</v>
      </c>
      <c r="N118" s="402">
        <v>286.49931270000002</v>
      </c>
      <c r="O118" s="402">
        <v>806.76651800000002</v>
      </c>
      <c r="P118" s="402">
        <v>544.14968950000002</v>
      </c>
      <c r="Q118" s="402">
        <v>344.0244965</v>
      </c>
      <c r="R118" s="402">
        <v>784.68806010000003</v>
      </c>
      <c r="S118" s="402">
        <v>1894.1730889999999</v>
      </c>
      <c r="T118" s="402">
        <v>990.42805510000005</v>
      </c>
      <c r="U118" s="407">
        <f t="shared" si="13"/>
        <v>62.450839925829982</v>
      </c>
      <c r="V118" s="402">
        <v>18.032100038963002</v>
      </c>
      <c r="W118" s="402">
        <v>518.59018976164998</v>
      </c>
      <c r="X118" s="407">
        <f t="shared" si="14"/>
        <v>40.479495445506743</v>
      </c>
      <c r="Y118" s="402">
        <v>195.39787770615601</v>
      </c>
      <c r="Z118" s="402">
        <v>712.07953277568402</v>
      </c>
      <c r="AA118" s="402">
        <v>377.89763227152997</v>
      </c>
      <c r="AB118" s="407">
        <f t="shared" si="15"/>
        <v>28.651383968843792</v>
      </c>
      <c r="AC118" s="399"/>
      <c r="AD118" s="121"/>
    </row>
    <row r="119" spans="1:30" s="5" customFormat="1" ht="15.75" customHeight="1" x14ac:dyDescent="0.25">
      <c r="A119" s="2">
        <v>115</v>
      </c>
      <c r="B119" s="17" t="s">
        <v>29</v>
      </c>
      <c r="C119" s="26" t="s">
        <v>118</v>
      </c>
      <c r="D119" s="400" t="s">
        <v>207</v>
      </c>
      <c r="E119" s="415">
        <f t="shared" si="12"/>
        <v>48.428572118025443</v>
      </c>
      <c r="F119" s="402">
        <v>41.914674230000003</v>
      </c>
      <c r="G119" s="402">
        <v>300.5468717</v>
      </c>
      <c r="H119" s="402">
        <v>50.811744990000001</v>
      </c>
      <c r="I119" s="402">
        <v>77.584427480000002</v>
      </c>
      <c r="J119" s="402">
        <v>59.135877829999998</v>
      </c>
      <c r="K119" s="402">
        <v>84.10780432</v>
      </c>
      <c r="L119" s="402">
        <v>503.3156831</v>
      </c>
      <c r="M119" s="402">
        <v>411.7496367</v>
      </c>
      <c r="N119" s="402">
        <v>180.1649875</v>
      </c>
      <c r="O119" s="402">
        <v>750.48742760000005</v>
      </c>
      <c r="P119" s="402">
        <v>1292.833329</v>
      </c>
      <c r="Q119" s="402">
        <v>534.27970449999998</v>
      </c>
      <c r="R119" s="402">
        <v>892.97567279999998</v>
      </c>
      <c r="S119" s="402">
        <v>1669.2232570000001</v>
      </c>
      <c r="T119" s="402">
        <v>806.71484020000003</v>
      </c>
      <c r="U119" s="407">
        <f t="shared" si="13"/>
        <v>52.412653511954517</v>
      </c>
      <c r="V119" s="402">
        <v>3.4698986023804901</v>
      </c>
      <c r="W119" s="402">
        <v>697.34566425322998</v>
      </c>
      <c r="X119" s="407">
        <f t="shared" si="14"/>
        <v>55.505717816523813</v>
      </c>
      <c r="Y119" s="402">
        <v>69.734468402559699</v>
      </c>
      <c r="Z119" s="402">
        <v>1469.7641678575601</v>
      </c>
      <c r="AA119" s="402">
        <v>342.652239537291</v>
      </c>
      <c r="AB119" s="407">
        <f t="shared" si="15"/>
        <v>33.383263631668925</v>
      </c>
      <c r="AC119" s="399"/>
      <c r="AD119" s="121"/>
    </row>
    <row r="120" spans="1:30" s="5" customFormat="1" ht="15.75" customHeight="1" x14ac:dyDescent="0.25">
      <c r="A120" s="2">
        <v>116</v>
      </c>
      <c r="B120" s="8" t="s">
        <v>16</v>
      </c>
      <c r="C120" s="21" t="s">
        <v>42</v>
      </c>
      <c r="D120" s="400" t="s">
        <v>54</v>
      </c>
      <c r="E120" s="415">
        <f t="shared" si="12"/>
        <v>48.24272826832452</v>
      </c>
      <c r="F120" s="402">
        <v>70.085086631829995</v>
      </c>
      <c r="G120" s="402">
        <v>396.16188670136899</v>
      </c>
      <c r="H120" s="402">
        <v>119.89630695935</v>
      </c>
      <c r="I120" s="402">
        <v>142.76775267783</v>
      </c>
      <c r="J120" s="402">
        <v>81.815895101699994</v>
      </c>
      <c r="K120" s="402">
        <v>56.835908921109997</v>
      </c>
      <c r="L120" s="402">
        <v>646.11711832613003</v>
      </c>
      <c r="M120" s="402">
        <v>254.66301994865901</v>
      </c>
      <c r="N120" s="402">
        <v>182.01993109694999</v>
      </c>
      <c r="O120" s="402">
        <v>834.01129460730999</v>
      </c>
      <c r="P120" s="402">
        <v>581.12612683041004</v>
      </c>
      <c r="Q120" s="402">
        <v>390.21798271381999</v>
      </c>
      <c r="R120" s="402">
        <v>975.96345955177901</v>
      </c>
      <c r="S120" s="402">
        <v>1588.6739252070099</v>
      </c>
      <c r="T120" s="402">
        <v>1045.5583764186799</v>
      </c>
      <c r="U120" s="407">
        <f t="shared" si="13"/>
        <v>42.111443909270676</v>
      </c>
      <c r="V120" s="402">
        <v>13.196552600635</v>
      </c>
      <c r="W120" s="402">
        <v>584.48675504246</v>
      </c>
      <c r="X120" s="407">
        <f t="shared" si="14"/>
        <v>41.35281504131212</v>
      </c>
      <c r="Y120" s="402">
        <v>43.478389032251201</v>
      </c>
      <c r="Z120" s="402">
        <v>555.72818638931005</v>
      </c>
      <c r="AA120" s="402">
        <v>91.178781453264307</v>
      </c>
      <c r="AB120" s="407">
        <f t="shared" si="15"/>
        <v>67.395210213444585</v>
      </c>
      <c r="AC120" s="399"/>
      <c r="AD120" s="121"/>
    </row>
    <row r="121" spans="1:30" s="5" customFormat="1" ht="15.75" customHeight="1" x14ac:dyDescent="0.25">
      <c r="A121" s="2">
        <v>117</v>
      </c>
      <c r="B121" s="8" t="s">
        <v>16</v>
      </c>
      <c r="C121" s="21" t="s">
        <v>42</v>
      </c>
      <c r="D121" s="400" t="s">
        <v>52</v>
      </c>
      <c r="E121" s="415">
        <f t="shared" si="12"/>
        <v>48.232128324918719</v>
      </c>
      <c r="F121" s="402">
        <v>101.03356128009</v>
      </c>
      <c r="G121" s="402">
        <v>533.43623783866997</v>
      </c>
      <c r="H121" s="402">
        <v>107.57904888834</v>
      </c>
      <c r="I121" s="402">
        <v>439.96823814078999</v>
      </c>
      <c r="J121" s="402">
        <v>115.928472146099</v>
      </c>
      <c r="K121" s="402">
        <v>41.492420015880001</v>
      </c>
      <c r="L121" s="402">
        <v>552.17087036220005</v>
      </c>
      <c r="M121" s="402">
        <v>296.44885771606999</v>
      </c>
      <c r="N121" s="402">
        <v>193.53976690951001</v>
      </c>
      <c r="O121" s="402">
        <v>838.78928749041995</v>
      </c>
      <c r="P121" s="402">
        <v>328.98775443956998</v>
      </c>
      <c r="Q121" s="402">
        <v>379.20401542334997</v>
      </c>
      <c r="R121" s="402">
        <v>1009.3912648095099</v>
      </c>
      <c r="S121" s="402">
        <v>1562.9698542932099</v>
      </c>
      <c r="T121" s="402">
        <v>1308.6052769232001</v>
      </c>
      <c r="U121" s="407">
        <f t="shared" si="13"/>
        <v>33.317262742039802</v>
      </c>
      <c r="V121" s="402">
        <v>6.3757606752932396</v>
      </c>
      <c r="W121" s="402">
        <v>766.42545695165995</v>
      </c>
      <c r="X121" s="407">
        <f t="shared" si="14"/>
        <v>43.627684147651124</v>
      </c>
      <c r="Y121" s="402">
        <v>40.201131376516102</v>
      </c>
      <c r="Z121" s="402">
        <v>211.06430619870699</v>
      </c>
      <c r="AA121" s="402">
        <v>73.610404582595393</v>
      </c>
      <c r="AB121" s="407">
        <f t="shared" si="15"/>
        <v>82.666303667944177</v>
      </c>
      <c r="AC121" s="399"/>
      <c r="AD121" s="121"/>
    </row>
    <row r="122" spans="1:30" s="5" customFormat="1" ht="15.75" customHeight="1" x14ac:dyDescent="0.25">
      <c r="A122" s="2">
        <v>118</v>
      </c>
      <c r="B122" s="3" t="s">
        <v>10</v>
      </c>
      <c r="C122" s="19" t="s">
        <v>35</v>
      </c>
      <c r="D122" s="400" t="s">
        <v>107</v>
      </c>
      <c r="E122" s="415">
        <f t="shared" si="12"/>
        <v>48.195389591885871</v>
      </c>
      <c r="F122" s="402">
        <v>13.37972551</v>
      </c>
      <c r="G122" s="402">
        <v>266.40048769999999</v>
      </c>
      <c r="H122" s="402">
        <v>55.476283459999998</v>
      </c>
      <c r="I122" s="402">
        <v>86.833062420000005</v>
      </c>
      <c r="J122" s="402">
        <v>34.585262999999998</v>
      </c>
      <c r="K122" s="402">
        <v>76.763998349999994</v>
      </c>
      <c r="L122" s="402">
        <v>506.87722810000002</v>
      </c>
      <c r="M122" s="402">
        <v>325.91381000000001</v>
      </c>
      <c r="N122" s="402">
        <v>203.3871053</v>
      </c>
      <c r="O122" s="402">
        <v>947.61688590000006</v>
      </c>
      <c r="P122" s="402">
        <v>796.36775060000002</v>
      </c>
      <c r="Q122" s="402">
        <v>575.50846750000005</v>
      </c>
      <c r="R122" s="402">
        <v>905.05809820000002</v>
      </c>
      <c r="S122" s="402">
        <v>2067.2299739999999</v>
      </c>
      <c r="T122" s="402">
        <v>1098.0931989999999</v>
      </c>
      <c r="U122" s="407">
        <f t="shared" si="13"/>
        <v>57.896409310291233</v>
      </c>
      <c r="V122" s="402">
        <v>5.5045795463429403</v>
      </c>
      <c r="W122" s="402">
        <v>757.50396609147003</v>
      </c>
      <c r="X122" s="407">
        <f t="shared" si="14"/>
        <v>46.151306338226</v>
      </c>
      <c r="Y122" s="402">
        <v>189.42424437722499</v>
      </c>
      <c r="Z122" s="402">
        <v>965.48178860826101</v>
      </c>
      <c r="AA122" s="402">
        <v>244.91202500797499</v>
      </c>
      <c r="AB122" s="407">
        <f t="shared" si="15"/>
        <v>30.837433408735013</v>
      </c>
      <c r="AC122" s="399"/>
      <c r="AD122" s="121"/>
    </row>
    <row r="123" spans="1:30" s="5" customFormat="1" ht="15.75" customHeight="1" x14ac:dyDescent="0.25">
      <c r="A123" s="2">
        <v>119</v>
      </c>
      <c r="B123" s="8" t="s">
        <v>16</v>
      </c>
      <c r="C123" s="21" t="s">
        <v>42</v>
      </c>
      <c r="D123" s="400" t="s">
        <v>43</v>
      </c>
      <c r="E123" s="415">
        <f t="shared" si="12"/>
        <v>48.187721927348754</v>
      </c>
      <c r="F123" s="402">
        <v>103.6320766194</v>
      </c>
      <c r="G123" s="402">
        <v>366.11886701489999</v>
      </c>
      <c r="H123" s="402">
        <v>186.07895519382001</v>
      </c>
      <c r="I123" s="402">
        <v>570.60774486234902</v>
      </c>
      <c r="J123" s="402">
        <v>78.123327509600003</v>
      </c>
      <c r="K123" s="402">
        <v>43.008038018299999</v>
      </c>
      <c r="L123" s="402">
        <v>512.49331496317996</v>
      </c>
      <c r="M123" s="402">
        <v>308.46823508397</v>
      </c>
      <c r="N123" s="402">
        <v>201.52552834436</v>
      </c>
      <c r="O123" s="402">
        <v>839.49259754694901</v>
      </c>
      <c r="P123" s="402">
        <v>505.44610271337001</v>
      </c>
      <c r="Q123" s="402">
        <v>382.47573717566002</v>
      </c>
      <c r="R123" s="402">
        <v>1098.45516877149</v>
      </c>
      <c r="S123" s="402">
        <v>1603.7087260078499</v>
      </c>
      <c r="T123" s="402">
        <v>1210.0940179305501</v>
      </c>
      <c r="U123" s="407">
        <f t="shared" si="13"/>
        <v>35.981405037101446</v>
      </c>
      <c r="V123" s="402">
        <v>7.2044738961506303</v>
      </c>
      <c r="W123" s="402">
        <v>626.01659698054902</v>
      </c>
      <c r="X123" s="407">
        <f t="shared" si="14"/>
        <v>48.117959815785397</v>
      </c>
      <c r="Y123" s="402">
        <v>41.990812823554599</v>
      </c>
      <c r="Z123" s="402">
        <v>437.78834617246099</v>
      </c>
      <c r="AA123" s="402">
        <v>77.8597848291394</v>
      </c>
      <c r="AB123" s="407">
        <f t="shared" si="15"/>
        <v>72.670117819406741</v>
      </c>
      <c r="AC123" s="399"/>
      <c r="AD123" s="121"/>
    </row>
    <row r="124" spans="1:30" s="5" customFormat="1" ht="15.75" customHeight="1" x14ac:dyDescent="0.25">
      <c r="A124" s="2">
        <v>120</v>
      </c>
      <c r="B124" s="8" t="s">
        <v>16</v>
      </c>
      <c r="C124" s="21" t="s">
        <v>42</v>
      </c>
      <c r="D124" s="400" t="s">
        <v>158</v>
      </c>
      <c r="E124" s="415">
        <f t="shared" si="12"/>
        <v>48.062351732152564</v>
      </c>
      <c r="F124" s="402">
        <v>65.12203221</v>
      </c>
      <c r="G124" s="402">
        <v>544.20230749999996</v>
      </c>
      <c r="H124" s="402">
        <v>188.2356063</v>
      </c>
      <c r="I124" s="402">
        <v>318.0790624</v>
      </c>
      <c r="J124" s="402">
        <v>105.6205739</v>
      </c>
      <c r="K124" s="402">
        <v>38.851278729999997</v>
      </c>
      <c r="L124" s="402">
        <v>539.23731250000003</v>
      </c>
      <c r="M124" s="402">
        <v>312.85084260000002</v>
      </c>
      <c r="N124" s="402">
        <v>215.4567371</v>
      </c>
      <c r="O124" s="402">
        <v>798.33149830000002</v>
      </c>
      <c r="P124" s="402">
        <v>465.7315863</v>
      </c>
      <c r="Q124" s="402">
        <v>384.80388340000002</v>
      </c>
      <c r="R124" s="402">
        <v>1138.828679</v>
      </c>
      <c r="S124" s="402">
        <v>1543.6560039999999</v>
      </c>
      <c r="T124" s="402">
        <v>1187.415786</v>
      </c>
      <c r="U124" s="407">
        <f t="shared" si="13"/>
        <v>32.775525909229756</v>
      </c>
      <c r="V124" s="402">
        <v>5.6132477849033302</v>
      </c>
      <c r="W124" s="402">
        <v>674.78946614054996</v>
      </c>
      <c r="X124" s="407">
        <f t="shared" si="14"/>
        <v>49.456107754195671</v>
      </c>
      <c r="Y124" s="402">
        <v>40.244796338096698</v>
      </c>
      <c r="Z124" s="402">
        <v>271.76163723461002</v>
      </c>
      <c r="AA124" s="402">
        <v>88.819908667748393</v>
      </c>
      <c r="AB124" s="407">
        <f t="shared" si="15"/>
        <v>77.242247355955058</v>
      </c>
      <c r="AC124" s="399"/>
      <c r="AD124" s="121"/>
    </row>
    <row r="125" spans="1:30" s="5" customFormat="1" ht="15.75" customHeight="1" x14ac:dyDescent="0.25">
      <c r="A125" s="2">
        <v>121</v>
      </c>
      <c r="B125" s="3" t="s">
        <v>10</v>
      </c>
      <c r="C125" s="19" t="s">
        <v>35</v>
      </c>
      <c r="D125" s="400" t="s">
        <v>210</v>
      </c>
      <c r="E125" s="415">
        <f t="shared" si="12"/>
        <v>48.061169885335566</v>
      </c>
      <c r="F125" s="402">
        <v>9.0198148479999993</v>
      </c>
      <c r="G125" s="402">
        <v>298.22092420000001</v>
      </c>
      <c r="H125" s="402">
        <v>52.806349670000003</v>
      </c>
      <c r="I125" s="402">
        <v>44.881903749999999</v>
      </c>
      <c r="J125" s="402">
        <v>43.247739920000001</v>
      </c>
      <c r="K125" s="402">
        <v>91.013458319999998</v>
      </c>
      <c r="L125" s="402">
        <v>432.06218330000002</v>
      </c>
      <c r="M125" s="402">
        <v>387.43365180000001</v>
      </c>
      <c r="N125" s="402">
        <v>227.7699288</v>
      </c>
      <c r="O125" s="402">
        <v>968.62379620000002</v>
      </c>
      <c r="P125" s="402">
        <v>838.40846429999999</v>
      </c>
      <c r="Q125" s="402">
        <v>565.47869089999995</v>
      </c>
      <c r="R125" s="402">
        <v>754.35694290000004</v>
      </c>
      <c r="S125" s="402">
        <v>2044.4189759999999</v>
      </c>
      <c r="T125" s="402">
        <v>1163.4828649999999</v>
      </c>
      <c r="U125" s="407">
        <f t="shared" si="13"/>
        <v>57.814058875611536</v>
      </c>
      <c r="V125" s="402">
        <v>4.4552794381750402</v>
      </c>
      <c r="W125" s="402">
        <v>905.58329839900898</v>
      </c>
      <c r="X125" s="407">
        <f t="shared" si="14"/>
        <v>43.713384502522288</v>
      </c>
      <c r="Y125" s="402">
        <v>88.856479522180805</v>
      </c>
      <c r="Z125" s="402">
        <v>1031.20938471971</v>
      </c>
      <c r="AA125" s="402">
        <v>397.31044176350503</v>
      </c>
      <c r="AB125" s="407">
        <f t="shared" si="15"/>
        <v>32.903177287596911</v>
      </c>
      <c r="AC125" s="399"/>
      <c r="AD125" s="121"/>
    </row>
    <row r="126" spans="1:30" s="5" customFormat="1" ht="15.75" customHeight="1" x14ac:dyDescent="0.25">
      <c r="A126" s="2">
        <v>122</v>
      </c>
      <c r="B126" s="8" t="s">
        <v>16</v>
      </c>
      <c r="C126" s="11" t="s">
        <v>21</v>
      </c>
      <c r="D126" s="400" t="s">
        <v>176</v>
      </c>
      <c r="E126" s="415">
        <f t="shared" si="12"/>
        <v>47.814904252168965</v>
      </c>
      <c r="F126" s="402">
        <v>237.13158429999999</v>
      </c>
      <c r="G126" s="402">
        <v>420.949367</v>
      </c>
      <c r="H126" s="402">
        <v>106.28451800000001</v>
      </c>
      <c r="I126" s="402">
        <v>293.67882959999997</v>
      </c>
      <c r="J126" s="402">
        <v>70.358881069999995</v>
      </c>
      <c r="K126" s="402">
        <v>85.368170140000004</v>
      </c>
      <c r="L126" s="402">
        <v>402.99039269999997</v>
      </c>
      <c r="M126" s="402">
        <v>333.61905000000002</v>
      </c>
      <c r="N126" s="402">
        <v>222.03021100000001</v>
      </c>
      <c r="O126" s="402">
        <v>709.86742890000005</v>
      </c>
      <c r="P126" s="402">
        <v>315.45110440000002</v>
      </c>
      <c r="Q126" s="402">
        <v>364.3907284</v>
      </c>
      <c r="R126" s="402">
        <v>897.68658589999995</v>
      </c>
      <c r="S126" s="402">
        <v>1497.256016</v>
      </c>
      <c r="T126" s="402">
        <v>902.00235039999995</v>
      </c>
      <c r="U126" s="407">
        <f t="shared" si="13"/>
        <v>39.830688631620824</v>
      </c>
      <c r="V126" s="402">
        <v>9.6701355995754099</v>
      </c>
      <c r="W126" s="402">
        <v>654.13614970859999</v>
      </c>
      <c r="X126" s="407">
        <f t="shared" si="14"/>
        <v>42.425922245019976</v>
      </c>
      <c r="Y126" s="402">
        <v>40.484685540322303</v>
      </c>
      <c r="Z126" s="402">
        <v>230.453544660804</v>
      </c>
      <c r="AA126" s="402">
        <v>195.75848977650099</v>
      </c>
      <c r="AB126" s="407">
        <f t="shared" si="15"/>
        <v>69.172317500414209</v>
      </c>
      <c r="AC126" s="399"/>
      <c r="AD126" s="121"/>
    </row>
    <row r="127" spans="1:30" s="5" customFormat="1" ht="15.75" customHeight="1" x14ac:dyDescent="0.25">
      <c r="A127" s="2">
        <v>123</v>
      </c>
      <c r="B127" s="3" t="s">
        <v>10</v>
      </c>
      <c r="C127" s="4" t="s">
        <v>11</v>
      </c>
      <c r="D127" s="400" t="s">
        <v>154</v>
      </c>
      <c r="E127" s="415">
        <f t="shared" si="12"/>
        <v>47.384443308855936</v>
      </c>
      <c r="F127" s="402">
        <v>21.49202872</v>
      </c>
      <c r="G127" s="402">
        <v>425.29417330000001</v>
      </c>
      <c r="H127" s="402">
        <v>55.41224356</v>
      </c>
      <c r="I127" s="402">
        <v>187.48333310000001</v>
      </c>
      <c r="J127" s="402">
        <v>78.759425429999993</v>
      </c>
      <c r="K127" s="402">
        <v>31.322842519999998</v>
      </c>
      <c r="L127" s="402">
        <v>341.26211910000001</v>
      </c>
      <c r="M127" s="402">
        <v>427.94522439999997</v>
      </c>
      <c r="N127" s="402">
        <v>188.4681368</v>
      </c>
      <c r="O127" s="402">
        <v>836.77717559999996</v>
      </c>
      <c r="P127" s="402">
        <v>666.00933429999998</v>
      </c>
      <c r="Q127" s="402">
        <v>313.115612</v>
      </c>
      <c r="R127" s="402">
        <v>1141.4354499999999</v>
      </c>
      <c r="S127" s="402">
        <v>2170.2200499999999</v>
      </c>
      <c r="T127" s="402">
        <v>783.36822940000002</v>
      </c>
      <c r="U127" s="407">
        <f t="shared" si="13"/>
        <v>48.738180761253098</v>
      </c>
      <c r="V127" s="402">
        <v>15.3359990688199</v>
      </c>
      <c r="W127" s="402">
        <v>562.21682306942</v>
      </c>
      <c r="X127" s="407">
        <f t="shared" si="14"/>
        <v>40.350909119045113</v>
      </c>
      <c r="Y127" s="402">
        <v>48.933461711327297</v>
      </c>
      <c r="Z127" s="402">
        <v>402.04502730328198</v>
      </c>
      <c r="AA127" s="402">
        <v>384.46766331460702</v>
      </c>
      <c r="AB127" s="407">
        <f t="shared" si="15"/>
        <v>51.710502593872413</v>
      </c>
      <c r="AC127" s="399"/>
      <c r="AD127" s="121"/>
    </row>
    <row r="128" spans="1:30" s="5" customFormat="1" ht="15.75" customHeight="1" x14ac:dyDescent="0.25">
      <c r="A128" s="2">
        <v>124</v>
      </c>
      <c r="B128" s="3" t="s">
        <v>10</v>
      </c>
      <c r="C128" s="19" t="s">
        <v>35</v>
      </c>
      <c r="D128" s="400" t="s">
        <v>201</v>
      </c>
      <c r="E128" s="415">
        <f t="shared" si="12"/>
        <v>47.342373644947727</v>
      </c>
      <c r="F128" s="402">
        <v>9.6049005459999997</v>
      </c>
      <c r="G128" s="402">
        <v>228.98995070000001</v>
      </c>
      <c r="H128" s="402">
        <v>48.549415250000003</v>
      </c>
      <c r="I128" s="402">
        <v>489.67819179999998</v>
      </c>
      <c r="J128" s="402">
        <v>52.107284999999997</v>
      </c>
      <c r="K128" s="402">
        <v>44.796780980000001</v>
      </c>
      <c r="L128" s="402">
        <v>535.33141079999996</v>
      </c>
      <c r="M128" s="402">
        <v>420.64110720000002</v>
      </c>
      <c r="N128" s="402">
        <v>206.45939440000001</v>
      </c>
      <c r="O128" s="402">
        <v>861.3263604</v>
      </c>
      <c r="P128" s="402">
        <v>1045.350297</v>
      </c>
      <c r="Q128" s="402">
        <v>554.00567320000005</v>
      </c>
      <c r="R128" s="402">
        <v>833.14809000000002</v>
      </c>
      <c r="S128" s="402">
        <v>1846.636422</v>
      </c>
      <c r="T128" s="402">
        <v>1192.6884399999999</v>
      </c>
      <c r="U128" s="407">
        <f t="shared" si="13"/>
        <v>53.302868567331799</v>
      </c>
      <c r="V128" s="402">
        <v>0.94349153035916</v>
      </c>
      <c r="W128" s="402">
        <v>1482.83788179015</v>
      </c>
      <c r="X128" s="407">
        <f t="shared" si="14"/>
        <v>50.357496507943864</v>
      </c>
      <c r="Y128" s="402">
        <v>87.663901676578405</v>
      </c>
      <c r="Z128" s="402">
        <v>1222.84580232334</v>
      </c>
      <c r="AA128" s="402">
        <v>355.84494120377298</v>
      </c>
      <c r="AB128" s="407">
        <f t="shared" si="15"/>
        <v>32.406260937183454</v>
      </c>
      <c r="AC128" s="399"/>
      <c r="AD128" s="121"/>
    </row>
    <row r="129" spans="1:30" s="5" customFormat="1" ht="15.75" customHeight="1" x14ac:dyDescent="0.25">
      <c r="A129" s="2">
        <v>125</v>
      </c>
      <c r="B129" s="14" t="s">
        <v>23</v>
      </c>
      <c r="C129" s="15" t="s">
        <v>24</v>
      </c>
      <c r="D129" s="400" t="s">
        <v>41</v>
      </c>
      <c r="E129" s="415">
        <f t="shared" si="12"/>
        <v>47.305780240805504</v>
      </c>
      <c r="F129" s="402">
        <v>89.21956901163</v>
      </c>
      <c r="G129" s="402">
        <v>352.95052486310999</v>
      </c>
      <c r="H129" s="402">
        <v>35.989985342620002</v>
      </c>
      <c r="I129" s="402">
        <v>117.301446379399</v>
      </c>
      <c r="J129" s="402">
        <v>40.779702435579999</v>
      </c>
      <c r="K129" s="402">
        <v>73.711267469340001</v>
      </c>
      <c r="L129" s="402">
        <v>450.19734716116</v>
      </c>
      <c r="M129" s="402">
        <v>464.38886676185001</v>
      </c>
      <c r="N129" s="402">
        <v>283.20307040161998</v>
      </c>
      <c r="O129" s="402">
        <v>808.75255007897999</v>
      </c>
      <c r="P129" s="402">
        <v>1249.36184341272</v>
      </c>
      <c r="Q129" s="402">
        <v>415.11727984088998</v>
      </c>
      <c r="R129" s="402">
        <v>772.25827236094005</v>
      </c>
      <c r="S129" s="402">
        <v>1611.40350610106</v>
      </c>
      <c r="T129" s="402">
        <v>929.12383566049004</v>
      </c>
      <c r="U129" s="407">
        <f t="shared" si="13"/>
        <v>51.013134344306977</v>
      </c>
      <c r="V129" s="402">
        <v>6.2194657164766802</v>
      </c>
      <c r="W129" s="402">
        <v>724.78566681068003</v>
      </c>
      <c r="X129" s="407">
        <f t="shared" si="14"/>
        <v>45.72798076186659</v>
      </c>
      <c r="Y129" s="402">
        <v>88.210999538941707</v>
      </c>
      <c r="Z129" s="402">
        <v>1053.81942170709</v>
      </c>
      <c r="AA129" s="402">
        <v>198.890000538588</v>
      </c>
      <c r="AB129" s="407">
        <f t="shared" si="15"/>
        <v>41.468871512741494</v>
      </c>
      <c r="AC129" s="399"/>
      <c r="AD129" s="121"/>
    </row>
    <row r="130" spans="1:30" s="5" customFormat="1" ht="15.75" customHeight="1" x14ac:dyDescent="0.25">
      <c r="A130" s="2">
        <v>126</v>
      </c>
      <c r="B130" s="8" t="s">
        <v>16</v>
      </c>
      <c r="C130" s="11" t="s">
        <v>21</v>
      </c>
      <c r="D130" s="400" t="s">
        <v>74</v>
      </c>
      <c r="E130" s="415">
        <f t="shared" si="12"/>
        <v>47.247369760785062</v>
      </c>
      <c r="F130" s="402">
        <v>129.68273579999999</v>
      </c>
      <c r="G130" s="402">
        <v>462.04235629999999</v>
      </c>
      <c r="H130" s="402">
        <v>132.92811420000001</v>
      </c>
      <c r="I130" s="402">
        <v>141.34470039999999</v>
      </c>
      <c r="J130" s="402">
        <v>95.267828159999993</v>
      </c>
      <c r="K130" s="402">
        <v>63.485896740000001</v>
      </c>
      <c r="L130" s="402">
        <v>440.76531119999999</v>
      </c>
      <c r="M130" s="402">
        <v>256.99437499999999</v>
      </c>
      <c r="N130" s="402">
        <v>206.08017939999999</v>
      </c>
      <c r="O130" s="402">
        <v>730.75955899999997</v>
      </c>
      <c r="P130" s="402">
        <v>392.0986059</v>
      </c>
      <c r="Q130" s="402">
        <v>385.86148839999998</v>
      </c>
      <c r="R130" s="402">
        <v>984.80272939999998</v>
      </c>
      <c r="S130" s="402">
        <v>1504.9135960000001</v>
      </c>
      <c r="T130" s="402">
        <v>931.4452771</v>
      </c>
      <c r="U130" s="407">
        <f t="shared" si="13"/>
        <v>39.577278796920119</v>
      </c>
      <c r="V130" s="402">
        <v>11.0311543229533</v>
      </c>
      <c r="W130" s="402">
        <v>688.30846450331001</v>
      </c>
      <c r="X130" s="407">
        <f t="shared" si="14"/>
        <v>38.908148754794453</v>
      </c>
      <c r="Y130" s="402">
        <v>39.5738075182541</v>
      </c>
      <c r="Z130" s="402">
        <v>198.68084456799599</v>
      </c>
      <c r="AA130" s="402">
        <v>200.442888639475</v>
      </c>
      <c r="AB130" s="407">
        <f t="shared" si="15"/>
        <v>70.926772694505544</v>
      </c>
      <c r="AC130" s="399"/>
      <c r="AD130" s="121"/>
    </row>
    <row r="131" spans="1:30" s="5" customFormat="1" ht="15.75" customHeight="1" x14ac:dyDescent="0.25">
      <c r="A131" s="2">
        <v>127</v>
      </c>
      <c r="B131" s="8" t="s">
        <v>16</v>
      </c>
      <c r="C131" s="11" t="s">
        <v>21</v>
      </c>
      <c r="D131" s="400" t="s">
        <v>189</v>
      </c>
      <c r="E131" s="415">
        <f t="shared" si="12"/>
        <v>47.196930051298565</v>
      </c>
      <c r="F131" s="402">
        <v>57.508741790000002</v>
      </c>
      <c r="G131" s="402">
        <v>576.32702319999999</v>
      </c>
      <c r="H131" s="402">
        <v>136.73264209999999</v>
      </c>
      <c r="I131" s="402">
        <v>379.22777300000001</v>
      </c>
      <c r="J131" s="402">
        <v>145.4826477</v>
      </c>
      <c r="K131" s="402">
        <v>34.249971950000003</v>
      </c>
      <c r="L131" s="402">
        <v>398.09747809999999</v>
      </c>
      <c r="M131" s="402">
        <v>277.56837039999999</v>
      </c>
      <c r="N131" s="402">
        <v>216.02266499999999</v>
      </c>
      <c r="O131" s="402">
        <v>674.80393079999999</v>
      </c>
      <c r="P131" s="402">
        <v>373.46166390000002</v>
      </c>
      <c r="Q131" s="402">
        <v>372.93275069999999</v>
      </c>
      <c r="R131" s="402">
        <v>1031.846315</v>
      </c>
      <c r="S131" s="402">
        <v>1466.1455539999999</v>
      </c>
      <c r="T131" s="402">
        <v>1002.054006</v>
      </c>
      <c r="U131" s="407">
        <f t="shared" si="13"/>
        <v>34.513904620858433</v>
      </c>
      <c r="V131" s="402">
        <v>7.6154277900959304</v>
      </c>
      <c r="W131" s="402">
        <v>762.52846604609999</v>
      </c>
      <c r="X131" s="407">
        <f t="shared" si="14"/>
        <v>41.174135246307578</v>
      </c>
      <c r="Y131" s="402">
        <v>36.248588765855402</v>
      </c>
      <c r="Z131" s="402">
        <v>224.30428869364499</v>
      </c>
      <c r="AA131" s="402">
        <v>105.74379587967201</v>
      </c>
      <c r="AB131" s="407">
        <f t="shared" si="15"/>
        <v>78.585775717169824</v>
      </c>
      <c r="AC131" s="399"/>
      <c r="AD131" s="121"/>
    </row>
    <row r="132" spans="1:30" s="5" customFormat="1" ht="15.75" customHeight="1" x14ac:dyDescent="0.25">
      <c r="A132" s="2">
        <v>128</v>
      </c>
      <c r="B132" s="8" t="s">
        <v>16</v>
      </c>
      <c r="C132" s="11" t="s">
        <v>21</v>
      </c>
      <c r="D132" s="400" t="s">
        <v>213</v>
      </c>
      <c r="E132" s="415">
        <f t="shared" si="12"/>
        <v>47.186246756640514</v>
      </c>
      <c r="F132" s="402">
        <v>528.73906520000003</v>
      </c>
      <c r="G132" s="402">
        <v>402.72012519999998</v>
      </c>
      <c r="H132" s="402">
        <v>124.76721259999999</v>
      </c>
      <c r="I132" s="402">
        <v>564.75584700000002</v>
      </c>
      <c r="J132" s="402">
        <v>84.370083769999994</v>
      </c>
      <c r="K132" s="402">
        <v>105.18837329999999</v>
      </c>
      <c r="L132" s="402">
        <v>414.88038080000001</v>
      </c>
      <c r="M132" s="402">
        <v>312.82171090000003</v>
      </c>
      <c r="N132" s="402">
        <v>202.00160779999999</v>
      </c>
      <c r="O132" s="402">
        <v>759.53439089999995</v>
      </c>
      <c r="P132" s="402">
        <v>423.02499419999998</v>
      </c>
      <c r="Q132" s="402">
        <v>379.16913879999998</v>
      </c>
      <c r="R132" s="402">
        <v>782.1070416</v>
      </c>
      <c r="S132" s="402">
        <v>1560.2366259999999</v>
      </c>
      <c r="T132" s="402">
        <v>989.92244849999997</v>
      </c>
      <c r="U132" s="407">
        <f t="shared" si="13"/>
        <v>33.534677844958686</v>
      </c>
      <c r="V132" s="402">
        <v>7.7290852955018599</v>
      </c>
      <c r="W132" s="402">
        <v>618.04903422314999</v>
      </c>
      <c r="X132" s="407">
        <f t="shared" si="14"/>
        <v>47.482608623080338</v>
      </c>
      <c r="Y132" s="402">
        <v>41.4531600221339</v>
      </c>
      <c r="Z132" s="402">
        <v>316.36879532702602</v>
      </c>
      <c r="AA132" s="402">
        <v>95.164747645473398</v>
      </c>
      <c r="AB132" s="407">
        <f t="shared" si="15"/>
        <v>74.193022713564332</v>
      </c>
      <c r="AC132" s="399"/>
      <c r="AD132" s="121"/>
    </row>
    <row r="133" spans="1:30" s="5" customFormat="1" ht="15.75" customHeight="1" x14ac:dyDescent="0.25">
      <c r="A133" s="2">
        <v>129</v>
      </c>
      <c r="B133" s="8" t="s">
        <v>16</v>
      </c>
      <c r="C133" s="21" t="s">
        <v>42</v>
      </c>
      <c r="D133" s="400" t="s">
        <v>159</v>
      </c>
      <c r="E133" s="415">
        <f t="shared" ref="E133:E164" si="16">(U133*50+X133*25+AB133*25)/100</f>
        <v>47.154975686519528</v>
      </c>
      <c r="F133" s="402">
        <v>208.0460491</v>
      </c>
      <c r="G133" s="402">
        <v>451.5952332</v>
      </c>
      <c r="H133" s="402">
        <v>116.5418607</v>
      </c>
      <c r="I133" s="402">
        <v>783.44681009999999</v>
      </c>
      <c r="J133" s="402">
        <v>92.598081039999997</v>
      </c>
      <c r="K133" s="402">
        <v>63.023705309999997</v>
      </c>
      <c r="L133" s="402">
        <v>484.05346800000001</v>
      </c>
      <c r="M133" s="402">
        <v>292.56171080000001</v>
      </c>
      <c r="N133" s="402">
        <v>211.1323199</v>
      </c>
      <c r="O133" s="402">
        <v>852.25181429999998</v>
      </c>
      <c r="P133" s="402">
        <v>534.00479050000001</v>
      </c>
      <c r="Q133" s="402">
        <v>443.5403306</v>
      </c>
      <c r="R133" s="402">
        <v>1262.7692079999999</v>
      </c>
      <c r="S133" s="402">
        <v>1676.6902170000001</v>
      </c>
      <c r="T133" s="402">
        <v>1147.7109330000001</v>
      </c>
      <c r="U133" s="407">
        <f t="shared" ref="U133:U164" si="17">((LN(1500)-LN(MAX(MIN(F133,1500),10)))/(LN(1500)-LN(10))*100*2+(LN(700)-LN(MAX(MIN(G133,700),200)))/(LN(700)-LN(200))*100*2+(LN(200)-LN(MAX(MIN(H133,200),10)))/(LN(200)-LN(10))*100*2+(LN(1000)-LN(MAX(MIN(I133,1000),10)))/(LN(1000)-LN(10))*100*2+(LN(150)-LN(MAX(MIN(J133,150),20)))/(LN(150)-LN(20))*100*2+(LN(300)-LN(MAX(MIN(K133,300),20)))/(LN(300)-LN(20))*100*0.5+(LN(800)-LN(MAX(MIN(L133,800),250)))/(LN(800)-LN(250))*100*0.5+(LN(800)-LN(MAX(MIN(M133,800),200)))/(LN(800)-LN(200))*100*0.5+(LN(350)-LN(MAX(MIN(N133,350),100)))/(LN(350)-LN(100))*100*0.5+(LN(1500)-LN(MAX(MIN(O133,1500),550)))/(LN(1500)-LN(550))*100*0.5+(LN(2000)-LN(MAX(MIN(P133,2000),200)))/(LN(2000)-LN(200))*100*0.5+(LN(600)-LN(MAX(MIN(Q133,600),200)))/(LN(600)-LN(200))*100*0.5+(LN(1300)-LN(MAX(MIN(R133,1300),300)))/(LN(1300)-LN(300))*100*0.5+(LN(3000)-LN(MAX(MIN(S133,3000),1000)))/(LN(3000)-LN(1000))*100*0.5+(LN(1500)-LN(MAX(MIN(T133,1500),550)))/(LN(1500)-LN(550))*100*0.5)/15</f>
        <v>30.775131704048899</v>
      </c>
      <c r="V133" s="402">
        <v>3.0678362519609301</v>
      </c>
      <c r="W133" s="402">
        <v>767.96748225746001</v>
      </c>
      <c r="X133" s="407">
        <f t="shared" ref="X133:X164" si="18">((LN(30)-LN(MAX(MIN(V133,30),1)))/(LN(30)-LN(1))*100+(LN(1500)-LN(MAX(MIN(W133,1500),300)))/(LN(1500)-LN(300))*100)/2</f>
        <v>54.319261613692234</v>
      </c>
      <c r="Y133" s="402">
        <v>58.686761674551001</v>
      </c>
      <c r="Z133" s="402">
        <v>477.78493854918702</v>
      </c>
      <c r="AA133" s="402">
        <v>52.004140234797397</v>
      </c>
      <c r="AB133" s="407">
        <f t="shared" ref="AB133:AB164" si="19">((LN(500)-LN(MAX(MIN(Y133,500),30)))/(LN(500)-LN(30))*100+(LN(1600)-LN(MAX(MIN(Z133,1600),100)))/(LN(1600)-LN(100))*100+(LN(700)-LN(MAX(MIN(AA133,700),50)))/(LN(700)-LN(50))*100)/3</f>
        <v>72.750377724288072</v>
      </c>
      <c r="AC133" s="399"/>
      <c r="AD133" s="121"/>
    </row>
    <row r="134" spans="1:30" s="5" customFormat="1" ht="15.75" customHeight="1" x14ac:dyDescent="0.25">
      <c r="A134" s="2">
        <v>130</v>
      </c>
      <c r="B134" s="6" t="s">
        <v>13</v>
      </c>
      <c r="C134" s="10" t="s">
        <v>19</v>
      </c>
      <c r="D134" s="400" t="s">
        <v>216</v>
      </c>
      <c r="E134" s="415">
        <f t="shared" si="16"/>
        <v>47.141372765977678</v>
      </c>
      <c r="F134" s="402">
        <v>18.267883090000002</v>
      </c>
      <c r="G134" s="402">
        <v>252.0179957</v>
      </c>
      <c r="H134" s="402">
        <v>30.65563762</v>
      </c>
      <c r="I134" s="402">
        <v>6.7198833990000004</v>
      </c>
      <c r="J134" s="402">
        <v>19.457330089999999</v>
      </c>
      <c r="K134" s="402">
        <v>193.3186987</v>
      </c>
      <c r="L134" s="402">
        <v>385.65631689999998</v>
      </c>
      <c r="M134" s="402">
        <v>583.91058969999995</v>
      </c>
      <c r="N134" s="402">
        <v>261.52400979999999</v>
      </c>
      <c r="O134" s="402">
        <v>929.36609290000001</v>
      </c>
      <c r="P134" s="402">
        <v>485.85936939999999</v>
      </c>
      <c r="Q134" s="402">
        <v>321.95467380000002</v>
      </c>
      <c r="R134" s="402">
        <v>494.83665830000001</v>
      </c>
      <c r="S134" s="402">
        <v>2135.114752</v>
      </c>
      <c r="T134" s="402">
        <v>909.29453160000003</v>
      </c>
      <c r="U134" s="407">
        <f t="shared" si="17"/>
        <v>72.199538644389705</v>
      </c>
      <c r="V134" s="402">
        <v>9.3879262872733698</v>
      </c>
      <c r="W134" s="402">
        <v>1298.6363482863501</v>
      </c>
      <c r="X134" s="407">
        <f t="shared" si="18"/>
        <v>21.557164349378837</v>
      </c>
      <c r="Y134" s="402">
        <v>290.14303822029399</v>
      </c>
      <c r="Z134" s="402">
        <v>748.59515781910795</v>
      </c>
      <c r="AA134" s="402">
        <v>401.23729297140198</v>
      </c>
      <c r="AB134" s="407">
        <f t="shared" si="19"/>
        <v>22.609249425752452</v>
      </c>
      <c r="AC134" s="399"/>
      <c r="AD134" s="121"/>
    </row>
    <row r="135" spans="1:30" ht="15.75" customHeight="1" x14ac:dyDescent="0.25">
      <c r="A135" s="2">
        <v>131</v>
      </c>
      <c r="B135" s="14" t="s">
        <v>23</v>
      </c>
      <c r="C135" s="16" t="s">
        <v>26</v>
      </c>
      <c r="D135" s="400" t="s">
        <v>76</v>
      </c>
      <c r="E135" s="415">
        <f t="shared" si="16"/>
        <v>47.135653329577778</v>
      </c>
      <c r="F135" s="402">
        <v>80.956584599999999</v>
      </c>
      <c r="G135" s="402">
        <v>281.58288340000001</v>
      </c>
      <c r="H135" s="402">
        <v>37.713412460000001</v>
      </c>
      <c r="I135" s="402">
        <v>229.79742200000001</v>
      </c>
      <c r="J135" s="402">
        <v>53.202395160000002</v>
      </c>
      <c r="K135" s="402">
        <v>77.405147080000006</v>
      </c>
      <c r="L135" s="402">
        <v>466.94835269999999</v>
      </c>
      <c r="M135" s="402">
        <v>378.42385000000002</v>
      </c>
      <c r="N135" s="402">
        <v>264.8200769</v>
      </c>
      <c r="O135" s="402">
        <v>814.23994709999999</v>
      </c>
      <c r="P135" s="402">
        <v>1008.760223</v>
      </c>
      <c r="Q135" s="402">
        <v>413.98642439999998</v>
      </c>
      <c r="R135" s="402">
        <v>804.30795469999998</v>
      </c>
      <c r="S135" s="402">
        <v>1616.8389770000001</v>
      </c>
      <c r="T135" s="402">
        <v>974.8435839</v>
      </c>
      <c r="U135" s="407">
        <f t="shared" si="17"/>
        <v>50.300379951118074</v>
      </c>
      <c r="V135" s="402">
        <v>8.0171407953470002</v>
      </c>
      <c r="W135" s="402">
        <v>785.42029508763903</v>
      </c>
      <c r="X135" s="407">
        <f t="shared" si="18"/>
        <v>39.499507685993635</v>
      </c>
      <c r="Y135" s="402">
        <v>81.862321120212499</v>
      </c>
      <c r="Z135" s="402">
        <v>820.72601741819801</v>
      </c>
      <c r="AA135" s="402">
        <v>155.813733779129</v>
      </c>
      <c r="AB135" s="407">
        <f t="shared" si="19"/>
        <v>48.442345730081342</v>
      </c>
      <c r="AC135" s="399"/>
    </row>
    <row r="136" spans="1:30" ht="15.75" customHeight="1" x14ac:dyDescent="0.25">
      <c r="A136" s="2">
        <v>132</v>
      </c>
      <c r="B136" s="6" t="s">
        <v>13</v>
      </c>
      <c r="C136" s="7" t="s">
        <v>14</v>
      </c>
      <c r="D136" s="400" t="s">
        <v>39</v>
      </c>
      <c r="E136" s="415">
        <f t="shared" si="16"/>
        <v>46.832824414585993</v>
      </c>
      <c r="F136" s="402">
        <v>28.153905968770001</v>
      </c>
      <c r="G136" s="402">
        <v>420.77683034222002</v>
      </c>
      <c r="H136" s="402">
        <v>39.512358050659998</v>
      </c>
      <c r="I136" s="402">
        <v>28.951044394189999</v>
      </c>
      <c r="J136" s="402">
        <v>30.606500916489999</v>
      </c>
      <c r="K136" s="402">
        <v>147.07552744658</v>
      </c>
      <c r="L136" s="402">
        <v>526.97407631440001</v>
      </c>
      <c r="M136" s="402">
        <v>246.07398063701001</v>
      </c>
      <c r="N136" s="402">
        <v>265.72919382889</v>
      </c>
      <c r="O136" s="402">
        <v>777.70222792057996</v>
      </c>
      <c r="P136" s="402">
        <v>438.67597673359001</v>
      </c>
      <c r="Q136" s="402">
        <v>349.76651544243998</v>
      </c>
      <c r="R136" s="402">
        <v>788.86257701989996</v>
      </c>
      <c r="S136" s="402">
        <v>1899.89748948482</v>
      </c>
      <c r="T136" s="402">
        <v>1029.9344530457599</v>
      </c>
      <c r="U136" s="407">
        <f t="shared" si="17"/>
        <v>59.415550245041921</v>
      </c>
      <c r="V136" s="402">
        <v>18.322022280731701</v>
      </c>
      <c r="W136" s="402">
        <v>596.18639305241004</v>
      </c>
      <c r="X136" s="407">
        <f t="shared" si="18"/>
        <v>35.913087163072355</v>
      </c>
      <c r="Y136" s="402">
        <v>139.46087386740601</v>
      </c>
      <c r="Z136" s="402">
        <v>691.60013676616404</v>
      </c>
      <c r="AA136" s="402">
        <v>390.39333871089298</v>
      </c>
      <c r="AB136" s="407">
        <f t="shared" si="19"/>
        <v>32.58711000518776</v>
      </c>
      <c r="AC136" s="399"/>
    </row>
    <row r="137" spans="1:30" ht="15.75" customHeight="1" x14ac:dyDescent="0.25">
      <c r="A137" s="2">
        <v>133</v>
      </c>
      <c r="B137" s="8" t="s">
        <v>16</v>
      </c>
      <c r="C137" s="11" t="s">
        <v>21</v>
      </c>
      <c r="D137" s="400" t="s">
        <v>197</v>
      </c>
      <c r="E137" s="415">
        <f t="shared" si="16"/>
        <v>46.776439335289744</v>
      </c>
      <c r="F137" s="402">
        <v>50.4652253</v>
      </c>
      <c r="G137" s="402">
        <v>306.30596860000003</v>
      </c>
      <c r="H137" s="402">
        <v>50.682838320000002</v>
      </c>
      <c r="I137" s="402">
        <v>172.74473230000001</v>
      </c>
      <c r="J137" s="402">
        <v>62.343694829999997</v>
      </c>
      <c r="K137" s="402">
        <v>51.527010310000001</v>
      </c>
      <c r="L137" s="402">
        <v>563.75123359999998</v>
      </c>
      <c r="M137" s="402">
        <v>369.8397238</v>
      </c>
      <c r="N137" s="402">
        <v>224.12708960000001</v>
      </c>
      <c r="O137" s="402">
        <v>864.68321209999999</v>
      </c>
      <c r="P137" s="402">
        <v>681.11635530000001</v>
      </c>
      <c r="Q137" s="402">
        <v>557.64203250000003</v>
      </c>
      <c r="R137" s="402">
        <v>876.22953099999995</v>
      </c>
      <c r="S137" s="402">
        <v>1890.1658609999999</v>
      </c>
      <c r="T137" s="402">
        <v>1296.1432380000001</v>
      </c>
      <c r="U137" s="407">
        <f t="shared" si="17"/>
        <v>47.433943120843452</v>
      </c>
      <c r="V137" s="402">
        <v>3.9695699664198298</v>
      </c>
      <c r="W137" s="402">
        <v>961.168706669529</v>
      </c>
      <c r="X137" s="407">
        <f t="shared" si="18"/>
        <v>43.559649238942072</v>
      </c>
      <c r="Y137" s="402">
        <v>99.3720828703199</v>
      </c>
      <c r="Z137" s="402">
        <v>703.28580069000895</v>
      </c>
      <c r="AA137" s="402">
        <v>147.695840625073</v>
      </c>
      <c r="AB137" s="407">
        <f t="shared" si="19"/>
        <v>48.678221860530009</v>
      </c>
      <c r="AC137" s="399"/>
    </row>
    <row r="138" spans="1:30" ht="15.75" customHeight="1" x14ac:dyDescent="0.25">
      <c r="A138" s="2">
        <v>134</v>
      </c>
      <c r="B138" s="14" t="s">
        <v>23</v>
      </c>
      <c r="C138" s="16" t="s">
        <v>26</v>
      </c>
      <c r="D138" s="400" t="s">
        <v>70</v>
      </c>
      <c r="E138" s="415">
        <f t="shared" si="16"/>
        <v>46.762125099636698</v>
      </c>
      <c r="F138" s="402">
        <v>40.131775918449897</v>
      </c>
      <c r="G138" s="402">
        <v>209.71005026808999</v>
      </c>
      <c r="H138" s="402">
        <v>46.852727588979903</v>
      </c>
      <c r="I138" s="402">
        <v>70.341839349899999</v>
      </c>
      <c r="J138" s="402">
        <v>42.516765222799997</v>
      </c>
      <c r="K138" s="402">
        <v>132.20169535885</v>
      </c>
      <c r="L138" s="402">
        <v>463.41656134309</v>
      </c>
      <c r="M138" s="402">
        <v>524.14473517706006</v>
      </c>
      <c r="N138" s="402">
        <v>278.28695319140002</v>
      </c>
      <c r="O138" s="402">
        <v>736.45458697259903</v>
      </c>
      <c r="P138" s="402">
        <v>636.24854842305001</v>
      </c>
      <c r="Q138" s="402">
        <v>406.63098012681002</v>
      </c>
      <c r="R138" s="402">
        <v>810.92946002532994</v>
      </c>
      <c r="S138" s="402">
        <v>1623.23137917908</v>
      </c>
      <c r="T138" s="402">
        <v>908.51933208979005</v>
      </c>
      <c r="U138" s="407">
        <f t="shared" si="17"/>
        <v>58.955979885175488</v>
      </c>
      <c r="V138" s="402">
        <v>21.1323605534782</v>
      </c>
      <c r="W138" s="402">
        <v>665.12788694507901</v>
      </c>
      <c r="X138" s="407">
        <f t="shared" si="18"/>
        <v>30.41576099363407</v>
      </c>
      <c r="Y138" s="402">
        <v>87.825025472077698</v>
      </c>
      <c r="Z138" s="402">
        <v>715.37721700778695</v>
      </c>
      <c r="AA138" s="402">
        <v>358.93698369695301</v>
      </c>
      <c r="AB138" s="407">
        <f t="shared" si="19"/>
        <v>38.720779634561758</v>
      </c>
      <c r="AC138" s="399"/>
    </row>
    <row r="139" spans="1:30" s="28" customFormat="1" ht="15.75" customHeight="1" x14ac:dyDescent="0.25">
      <c r="A139" s="2">
        <v>135</v>
      </c>
      <c r="B139" s="17" t="s">
        <v>29</v>
      </c>
      <c r="C139" s="24" t="s">
        <v>85</v>
      </c>
      <c r="D139" s="400" t="s">
        <v>220</v>
      </c>
      <c r="E139" s="415">
        <f t="shared" si="16"/>
        <v>46.696303544442245</v>
      </c>
      <c r="F139" s="402">
        <v>44.191219949999997</v>
      </c>
      <c r="G139" s="402">
        <v>373.8311784</v>
      </c>
      <c r="H139" s="402">
        <v>79.822967399999996</v>
      </c>
      <c r="I139" s="402">
        <v>134.0210079</v>
      </c>
      <c r="J139" s="402">
        <v>51.756073979999996</v>
      </c>
      <c r="K139" s="402">
        <v>40.770012309999998</v>
      </c>
      <c r="L139" s="402">
        <v>667.54730170000005</v>
      </c>
      <c r="M139" s="402">
        <v>439.0786981</v>
      </c>
      <c r="N139" s="402">
        <v>192.0426866</v>
      </c>
      <c r="O139" s="402">
        <v>746.5966042</v>
      </c>
      <c r="P139" s="402">
        <v>909.2618976</v>
      </c>
      <c r="Q139" s="402">
        <v>541.30475950000005</v>
      </c>
      <c r="R139" s="402">
        <v>856.80676059999996</v>
      </c>
      <c r="S139" s="402">
        <v>1627.971963</v>
      </c>
      <c r="T139" s="402">
        <v>805.689795</v>
      </c>
      <c r="U139" s="407">
        <f t="shared" si="17"/>
        <v>47.657613352451285</v>
      </c>
      <c r="V139" s="402">
        <v>9.7386908682360005</v>
      </c>
      <c r="W139" s="402">
        <v>566.70144855032902</v>
      </c>
      <c r="X139" s="407">
        <f t="shared" si="18"/>
        <v>46.779617660932217</v>
      </c>
      <c r="Y139" s="402">
        <v>66.533517796603306</v>
      </c>
      <c r="Z139" s="402">
        <v>879.97580079733598</v>
      </c>
      <c r="AA139" s="402">
        <v>238.37564396671101</v>
      </c>
      <c r="AB139" s="407">
        <f t="shared" si="19"/>
        <v>44.690369811934168</v>
      </c>
      <c r="AC139" s="399"/>
      <c r="AD139" s="358"/>
    </row>
    <row r="140" spans="1:30" ht="15.75" customHeight="1" x14ac:dyDescent="0.25">
      <c r="A140" s="2">
        <v>136</v>
      </c>
      <c r="B140" s="8" t="s">
        <v>16</v>
      </c>
      <c r="C140" s="21" t="s">
        <v>42</v>
      </c>
      <c r="D140" s="400" t="s">
        <v>53</v>
      </c>
      <c r="E140" s="415">
        <f t="shared" si="16"/>
        <v>46.59278837196846</v>
      </c>
      <c r="F140" s="402">
        <v>161.28371016806</v>
      </c>
      <c r="G140" s="402">
        <v>600.65954949050001</v>
      </c>
      <c r="H140" s="402">
        <v>141.52091788498001</v>
      </c>
      <c r="I140" s="402">
        <v>504.88343216541</v>
      </c>
      <c r="J140" s="402">
        <v>88.841368035290003</v>
      </c>
      <c r="K140" s="402">
        <v>61.509758633520001</v>
      </c>
      <c r="L140" s="402">
        <v>436.35411255723</v>
      </c>
      <c r="M140" s="402">
        <v>277.62450744761998</v>
      </c>
      <c r="N140" s="402">
        <v>214.26683249979999</v>
      </c>
      <c r="O140" s="402">
        <v>677.511781992039</v>
      </c>
      <c r="P140" s="402">
        <v>364.07658813504997</v>
      </c>
      <c r="Q140" s="402">
        <v>375.41958777487997</v>
      </c>
      <c r="R140" s="402">
        <v>907.47223586941902</v>
      </c>
      <c r="S140" s="402">
        <v>1420.8172897462</v>
      </c>
      <c r="T140" s="402">
        <v>902.11063629138903</v>
      </c>
      <c r="U140" s="407">
        <f t="shared" si="17"/>
        <v>33.388870463252694</v>
      </c>
      <c r="V140" s="402">
        <v>9.8212402157448295</v>
      </c>
      <c r="W140" s="402">
        <v>720.09054028487003</v>
      </c>
      <c r="X140" s="407">
        <f t="shared" si="18"/>
        <v>39.213670102509028</v>
      </c>
      <c r="Y140" s="402">
        <v>37.347644838090197</v>
      </c>
      <c r="Z140" s="402">
        <v>188.04545764711199</v>
      </c>
      <c r="AA140" s="402">
        <v>105.509123952877</v>
      </c>
      <c r="AB140" s="407">
        <f t="shared" si="19"/>
        <v>80.37974245885944</v>
      </c>
      <c r="AC140" s="399"/>
    </row>
    <row r="141" spans="1:30" ht="15.75" customHeight="1" x14ac:dyDescent="0.25">
      <c r="A141" s="2">
        <v>137</v>
      </c>
      <c r="B141" s="6" t="s">
        <v>13</v>
      </c>
      <c r="C141" s="7" t="s">
        <v>14</v>
      </c>
      <c r="D141" s="400" t="s">
        <v>82</v>
      </c>
      <c r="E141" s="415">
        <f t="shared" si="16"/>
        <v>46.540868754186285</v>
      </c>
      <c r="F141" s="402">
        <v>38.773863110000001</v>
      </c>
      <c r="G141" s="402">
        <v>249.51452380000001</v>
      </c>
      <c r="H141" s="402">
        <v>57.023725779999999</v>
      </c>
      <c r="I141" s="402">
        <v>33.443048269999998</v>
      </c>
      <c r="J141" s="402">
        <v>27.993406050000001</v>
      </c>
      <c r="K141" s="402">
        <v>161.1951713</v>
      </c>
      <c r="L141" s="402">
        <v>429.17341779999998</v>
      </c>
      <c r="M141" s="402">
        <v>219.23527200000001</v>
      </c>
      <c r="N141" s="402">
        <v>265.94782659999998</v>
      </c>
      <c r="O141" s="402">
        <v>807.383242</v>
      </c>
      <c r="P141" s="402">
        <v>527.94655769999997</v>
      </c>
      <c r="Q141" s="402">
        <v>367.8861326</v>
      </c>
      <c r="R141" s="402">
        <v>739.47567430000004</v>
      </c>
      <c r="S141" s="402">
        <v>1938.016394</v>
      </c>
      <c r="T141" s="402">
        <v>1001.355333</v>
      </c>
      <c r="U141" s="407">
        <f t="shared" si="17"/>
        <v>63.051306881004095</v>
      </c>
      <c r="V141" s="402">
        <v>14.914049237891099</v>
      </c>
      <c r="W141" s="402">
        <v>525.0411923181</v>
      </c>
      <c r="X141" s="407">
        <f t="shared" si="18"/>
        <v>42.886351007228576</v>
      </c>
      <c r="Y141" s="402">
        <v>541.81802255975902</v>
      </c>
      <c r="Z141" s="402">
        <v>691.98784148704999</v>
      </c>
      <c r="AA141" s="402">
        <v>399.08204556109001</v>
      </c>
      <c r="AB141" s="407">
        <f t="shared" si="19"/>
        <v>17.174510247508376</v>
      </c>
      <c r="AC141" s="399"/>
    </row>
    <row r="142" spans="1:30" s="28" customFormat="1" ht="15.75" customHeight="1" x14ac:dyDescent="0.25">
      <c r="A142" s="2">
        <v>138</v>
      </c>
      <c r="B142" s="8" t="s">
        <v>16</v>
      </c>
      <c r="C142" s="21" t="s">
        <v>42</v>
      </c>
      <c r="D142" s="400" t="s">
        <v>181</v>
      </c>
      <c r="E142" s="415">
        <f t="shared" si="16"/>
        <v>46.483458714833858</v>
      </c>
      <c r="F142" s="402">
        <v>89.465345549999995</v>
      </c>
      <c r="G142" s="402">
        <v>501.0548938</v>
      </c>
      <c r="H142" s="402">
        <v>160.89990090000001</v>
      </c>
      <c r="I142" s="402">
        <v>258.38684690000002</v>
      </c>
      <c r="J142" s="402">
        <v>107.60908259999999</v>
      </c>
      <c r="K142" s="402">
        <v>47.215311669999998</v>
      </c>
      <c r="L142" s="402">
        <v>615.95793920000006</v>
      </c>
      <c r="M142" s="402">
        <v>263.32064070000001</v>
      </c>
      <c r="N142" s="402">
        <v>193.62370079999999</v>
      </c>
      <c r="O142" s="402">
        <v>845.50947440000004</v>
      </c>
      <c r="P142" s="402">
        <v>695.45295290000001</v>
      </c>
      <c r="Q142" s="402">
        <v>380.04432980000001</v>
      </c>
      <c r="R142" s="402">
        <v>1014.3450769999999</v>
      </c>
      <c r="S142" s="402">
        <v>1532.735032</v>
      </c>
      <c r="T142" s="402">
        <v>1191.258458</v>
      </c>
      <c r="U142" s="407">
        <f t="shared" si="17"/>
        <v>33.604339190245767</v>
      </c>
      <c r="V142" s="402">
        <v>6.4815642468138197</v>
      </c>
      <c r="W142" s="402">
        <v>628.90573770194999</v>
      </c>
      <c r="X142" s="407">
        <f t="shared" si="18"/>
        <v>49.529370357332425</v>
      </c>
      <c r="Y142" s="402">
        <v>41.848917937537102</v>
      </c>
      <c r="Z142" s="402">
        <v>486.353070727155</v>
      </c>
      <c r="AA142" s="402">
        <v>93.039188725380001</v>
      </c>
      <c r="AB142" s="407">
        <f t="shared" si="19"/>
        <v>69.195786121511489</v>
      </c>
      <c r="AC142" s="399"/>
      <c r="AD142" s="358"/>
    </row>
    <row r="143" spans="1:30" s="28" customFormat="1" ht="15.75" customHeight="1" x14ac:dyDescent="0.25">
      <c r="A143" s="2">
        <v>139</v>
      </c>
      <c r="B143" s="6" t="s">
        <v>13</v>
      </c>
      <c r="C143" s="7" t="s">
        <v>14</v>
      </c>
      <c r="D143" s="400" t="s">
        <v>91</v>
      </c>
      <c r="E143" s="415">
        <f t="shared" si="16"/>
        <v>46.255397142841929</v>
      </c>
      <c r="F143" s="402">
        <v>24.742784050000001</v>
      </c>
      <c r="G143" s="402">
        <v>390.26153770000002</v>
      </c>
      <c r="H143" s="402">
        <v>39.904857110000002</v>
      </c>
      <c r="I143" s="402">
        <v>62.257262990000001</v>
      </c>
      <c r="J143" s="402">
        <v>48.135511350000002</v>
      </c>
      <c r="K143" s="402">
        <v>94.833698350000006</v>
      </c>
      <c r="L143" s="402">
        <v>681.62139149999996</v>
      </c>
      <c r="M143" s="402">
        <v>366.11951779999998</v>
      </c>
      <c r="N143" s="402">
        <v>253.49659639999999</v>
      </c>
      <c r="O143" s="402">
        <v>776.30400250000002</v>
      </c>
      <c r="P143" s="402">
        <v>550.93492809999998</v>
      </c>
      <c r="Q143" s="402">
        <v>332.72402549999998</v>
      </c>
      <c r="R143" s="402">
        <v>786.85228229999996</v>
      </c>
      <c r="S143" s="402">
        <v>1579.9514799999999</v>
      </c>
      <c r="T143" s="402">
        <v>949.72741299999996</v>
      </c>
      <c r="U143" s="407">
        <f t="shared" si="17"/>
        <v>54.938373697760909</v>
      </c>
      <c r="V143" s="402">
        <v>7.6606822938288701</v>
      </c>
      <c r="W143" s="402">
        <v>740.07858524262997</v>
      </c>
      <c r="X143" s="407">
        <f t="shared" si="18"/>
        <v>42.015417175783</v>
      </c>
      <c r="Y143" s="402">
        <v>108.181897900701</v>
      </c>
      <c r="Z143" s="402">
        <v>708.11964949973606</v>
      </c>
      <c r="AA143" s="402">
        <v>464.04500072774903</v>
      </c>
      <c r="AB143" s="407">
        <f t="shared" si="19"/>
        <v>33.129424000062897</v>
      </c>
      <c r="AC143" s="399"/>
      <c r="AD143" s="358"/>
    </row>
    <row r="144" spans="1:30" ht="15.75" customHeight="1" x14ac:dyDescent="0.25">
      <c r="A144" s="2">
        <v>140</v>
      </c>
      <c r="B144" s="14" t="s">
        <v>23</v>
      </c>
      <c r="C144" s="16" t="s">
        <v>26</v>
      </c>
      <c r="D144" s="400" t="s">
        <v>218</v>
      </c>
      <c r="E144" s="415">
        <f t="shared" si="16"/>
        <v>45.929544416090614</v>
      </c>
      <c r="F144" s="402">
        <v>47.574352939999997</v>
      </c>
      <c r="G144" s="402">
        <v>296.4457956</v>
      </c>
      <c r="H144" s="402">
        <v>42.756113880000001</v>
      </c>
      <c r="I144" s="402">
        <v>55.20195949</v>
      </c>
      <c r="J144" s="402">
        <v>37.226437519999998</v>
      </c>
      <c r="K144" s="402">
        <v>144.35917710000001</v>
      </c>
      <c r="L144" s="402">
        <v>375.70733799999999</v>
      </c>
      <c r="M144" s="402">
        <v>349.62855949999999</v>
      </c>
      <c r="N144" s="402">
        <v>273.82570320000002</v>
      </c>
      <c r="O144" s="402">
        <v>759.14089060000003</v>
      </c>
      <c r="P144" s="402">
        <v>346.49612980000001</v>
      </c>
      <c r="Q144" s="402">
        <v>307.85817300000002</v>
      </c>
      <c r="R144" s="402">
        <v>569.68003580000004</v>
      </c>
      <c r="S144" s="402">
        <v>2447.982602</v>
      </c>
      <c r="T144" s="402">
        <v>917.70291029999998</v>
      </c>
      <c r="U144" s="407">
        <f t="shared" si="17"/>
        <v>59.463093280688419</v>
      </c>
      <c r="V144" s="402">
        <v>22.491642225638699</v>
      </c>
      <c r="W144" s="402">
        <v>672.92570962592902</v>
      </c>
      <c r="X144" s="407">
        <f t="shared" si="18"/>
        <v>29.137243193643585</v>
      </c>
      <c r="Y144" s="402">
        <v>132.26081095178799</v>
      </c>
      <c r="Z144" s="402">
        <v>631.30129271350302</v>
      </c>
      <c r="AA144" s="402">
        <v>351.01855146499202</v>
      </c>
      <c r="AB144" s="407">
        <f t="shared" si="19"/>
        <v>35.654747909342014</v>
      </c>
      <c r="AC144" s="399"/>
    </row>
    <row r="145" spans="1:30" ht="15.75" customHeight="1" x14ac:dyDescent="0.25">
      <c r="A145" s="2">
        <v>141</v>
      </c>
      <c r="B145" s="8" t="s">
        <v>16</v>
      </c>
      <c r="C145" s="11" t="s">
        <v>21</v>
      </c>
      <c r="D145" s="400" t="s">
        <v>81</v>
      </c>
      <c r="E145" s="415">
        <f t="shared" si="16"/>
        <v>45.909301913364708</v>
      </c>
      <c r="F145" s="402">
        <v>95.167600570000005</v>
      </c>
      <c r="G145" s="402">
        <v>704.09871320000002</v>
      </c>
      <c r="H145" s="402">
        <v>152.0215417</v>
      </c>
      <c r="I145" s="402">
        <v>200.7161198</v>
      </c>
      <c r="J145" s="402">
        <v>106.1651778</v>
      </c>
      <c r="K145" s="402">
        <v>72.613686639999997</v>
      </c>
      <c r="L145" s="402">
        <v>427.22144450000002</v>
      </c>
      <c r="M145" s="402">
        <v>268.35444319999999</v>
      </c>
      <c r="N145" s="402">
        <v>226.03976850000001</v>
      </c>
      <c r="O145" s="402">
        <v>714.58820060000005</v>
      </c>
      <c r="P145" s="402">
        <v>383.96155649999997</v>
      </c>
      <c r="Q145" s="402">
        <v>378.20226350000002</v>
      </c>
      <c r="R145" s="402">
        <v>1038.971515</v>
      </c>
      <c r="S145" s="402">
        <v>1351.1614689999999</v>
      </c>
      <c r="T145" s="402">
        <v>937.88883969999995</v>
      </c>
      <c r="U145" s="407">
        <f t="shared" si="17"/>
        <v>33.571933321622538</v>
      </c>
      <c r="V145" s="402">
        <v>15.1980667905662</v>
      </c>
      <c r="W145" s="402">
        <v>684.57957057995998</v>
      </c>
      <c r="X145" s="407">
        <f t="shared" si="18"/>
        <v>34.366145762625365</v>
      </c>
      <c r="Y145" s="402">
        <v>39.097083038961998</v>
      </c>
      <c r="Z145" s="402">
        <v>206.07507640770999</v>
      </c>
      <c r="AA145" s="402">
        <v>80.669472370417694</v>
      </c>
      <c r="AB145" s="407">
        <f t="shared" si="19"/>
        <v>82.127195247588389</v>
      </c>
      <c r="AC145" s="399"/>
    </row>
    <row r="146" spans="1:30" s="28" customFormat="1" ht="15.75" customHeight="1" x14ac:dyDescent="0.25">
      <c r="A146" s="2">
        <v>142</v>
      </c>
      <c r="B146" s="3" t="s">
        <v>10</v>
      </c>
      <c r="C146" s="4" t="s">
        <v>11</v>
      </c>
      <c r="D146" s="400" t="s">
        <v>12</v>
      </c>
      <c r="E146" s="415">
        <f t="shared" si="16"/>
        <v>45.852050307986829</v>
      </c>
      <c r="F146" s="402">
        <v>11.15085362108</v>
      </c>
      <c r="G146" s="402">
        <v>517.65189653698997</v>
      </c>
      <c r="H146" s="402">
        <v>53.634194423799997</v>
      </c>
      <c r="I146" s="402">
        <v>1449.30312228143</v>
      </c>
      <c r="J146" s="402">
        <v>66.506130227989999</v>
      </c>
      <c r="K146" s="402">
        <v>28.161018042390001</v>
      </c>
      <c r="L146" s="402">
        <v>529.38784378557</v>
      </c>
      <c r="M146" s="402">
        <v>357.16355499920002</v>
      </c>
      <c r="N146" s="402">
        <v>240.93638850752001</v>
      </c>
      <c r="O146" s="402">
        <v>855.69004445370001</v>
      </c>
      <c r="P146" s="402">
        <v>858.26810473757996</v>
      </c>
      <c r="Q146" s="402">
        <v>554.87549542488</v>
      </c>
      <c r="R146" s="402">
        <v>966.86263585900997</v>
      </c>
      <c r="S146" s="402">
        <v>1660.03572346541</v>
      </c>
      <c r="T146" s="402">
        <v>1205.4160582486099</v>
      </c>
      <c r="U146" s="407">
        <f t="shared" si="17"/>
        <v>41.044965818273333</v>
      </c>
      <c r="V146" s="402">
        <v>1.8429598150128299</v>
      </c>
      <c r="W146" s="402">
        <v>909.62964838296</v>
      </c>
      <c r="X146" s="407">
        <f t="shared" si="18"/>
        <v>56.551441538785177</v>
      </c>
      <c r="Y146" s="402">
        <v>114.63073566936001</v>
      </c>
      <c r="Z146" s="402">
        <v>768.71623969936195</v>
      </c>
      <c r="AA146" s="402">
        <v>161.76752453900201</v>
      </c>
      <c r="AB146" s="407">
        <f t="shared" si="19"/>
        <v>44.766828056615473</v>
      </c>
      <c r="AC146" s="399"/>
      <c r="AD146" s="358"/>
    </row>
    <row r="147" spans="1:30" ht="15.75" customHeight="1" x14ac:dyDescent="0.25">
      <c r="A147" s="2">
        <v>143</v>
      </c>
      <c r="B147" s="17" t="s">
        <v>29</v>
      </c>
      <c r="C147" s="26" t="s">
        <v>118</v>
      </c>
      <c r="D147" s="400" t="s">
        <v>164</v>
      </c>
      <c r="E147" s="415">
        <f t="shared" si="16"/>
        <v>45.835219407461054</v>
      </c>
      <c r="F147" s="402">
        <v>40.7688998</v>
      </c>
      <c r="G147" s="402">
        <v>299.48494319999998</v>
      </c>
      <c r="H147" s="402">
        <v>135.7870317</v>
      </c>
      <c r="I147" s="402">
        <v>58.769016319999999</v>
      </c>
      <c r="J147" s="402">
        <v>45.23675429</v>
      </c>
      <c r="K147" s="402">
        <v>96.834152040000006</v>
      </c>
      <c r="L147" s="402">
        <v>575.85065659999998</v>
      </c>
      <c r="M147" s="402">
        <v>400.08286770000001</v>
      </c>
      <c r="N147" s="402">
        <v>169.31265049999999</v>
      </c>
      <c r="O147" s="402">
        <v>781.81567800000005</v>
      </c>
      <c r="P147" s="402">
        <v>1152.790442</v>
      </c>
      <c r="Q147" s="402">
        <v>537.86379769999996</v>
      </c>
      <c r="R147" s="402">
        <v>854.90514529999996</v>
      </c>
      <c r="S147" s="402">
        <v>1616.496652</v>
      </c>
      <c r="T147" s="402">
        <v>764.08140260000005</v>
      </c>
      <c r="U147" s="407">
        <f t="shared" si="17"/>
        <v>50.788091283572264</v>
      </c>
      <c r="V147" s="402">
        <v>10.5932056599639</v>
      </c>
      <c r="W147" s="402">
        <v>572.57312164129996</v>
      </c>
      <c r="X147" s="407">
        <f t="shared" si="18"/>
        <v>45.222967609946494</v>
      </c>
      <c r="Y147" s="402">
        <v>74.086938279198705</v>
      </c>
      <c r="Z147" s="402">
        <v>1185.5206644306299</v>
      </c>
      <c r="AA147" s="402">
        <v>309.33711895913001</v>
      </c>
      <c r="AB147" s="407">
        <f t="shared" si="19"/>
        <v>36.541727452753186</v>
      </c>
      <c r="AC147" s="399"/>
    </row>
    <row r="148" spans="1:30" ht="15.75" customHeight="1" x14ac:dyDescent="0.25">
      <c r="A148" s="2">
        <v>144</v>
      </c>
      <c r="B148" s="3" t="s">
        <v>10</v>
      </c>
      <c r="C148" s="19" t="s">
        <v>35</v>
      </c>
      <c r="D148" s="400" t="s">
        <v>108</v>
      </c>
      <c r="E148" s="415">
        <f t="shared" si="16"/>
        <v>45.759989292491966</v>
      </c>
      <c r="F148" s="402">
        <v>13.70346668</v>
      </c>
      <c r="G148" s="402">
        <v>301.78624769999999</v>
      </c>
      <c r="H148" s="402">
        <v>58.941549709999997</v>
      </c>
      <c r="I148" s="402">
        <v>132.69593320000001</v>
      </c>
      <c r="J148" s="402">
        <v>41.052566970000001</v>
      </c>
      <c r="K148" s="402">
        <v>104.06477649999999</v>
      </c>
      <c r="L148" s="402">
        <v>543.40350669999998</v>
      </c>
      <c r="M148" s="402">
        <v>289.48410030000002</v>
      </c>
      <c r="N148" s="402">
        <v>204.00236939999999</v>
      </c>
      <c r="O148" s="402">
        <v>875.86852309999995</v>
      </c>
      <c r="P148" s="402">
        <v>1096.640069</v>
      </c>
      <c r="Q148" s="402">
        <v>557.22193230000005</v>
      </c>
      <c r="R148" s="402">
        <v>811.96252260000006</v>
      </c>
      <c r="S148" s="402">
        <v>1810.5566799999999</v>
      </c>
      <c r="T148" s="402">
        <v>1102.912521</v>
      </c>
      <c r="U148" s="407">
        <f t="shared" si="17"/>
        <v>54.107385192616988</v>
      </c>
      <c r="V148" s="402">
        <v>6.2162898034765703</v>
      </c>
      <c r="W148" s="402">
        <v>779.82230656957995</v>
      </c>
      <c r="X148" s="407">
        <f t="shared" si="18"/>
        <v>43.461711082435713</v>
      </c>
      <c r="Y148" s="402">
        <v>88.708692333531602</v>
      </c>
      <c r="Z148" s="402">
        <v>1205.59501718657</v>
      </c>
      <c r="AA148" s="402">
        <v>387.402423296986</v>
      </c>
      <c r="AB148" s="407">
        <f t="shared" si="19"/>
        <v>31.363475702298157</v>
      </c>
      <c r="AC148" s="399"/>
    </row>
    <row r="149" spans="1:30" ht="15.75" customHeight="1" x14ac:dyDescent="0.25">
      <c r="A149" s="2">
        <v>145</v>
      </c>
      <c r="B149" s="8" t="s">
        <v>16</v>
      </c>
      <c r="C149" s="11" t="s">
        <v>21</v>
      </c>
      <c r="D149" s="400" t="s">
        <v>135</v>
      </c>
      <c r="E149" s="415">
        <f t="shared" si="16"/>
        <v>45.759674623841292</v>
      </c>
      <c r="F149" s="402">
        <v>79.474496860000002</v>
      </c>
      <c r="G149" s="402">
        <v>586.40647639999997</v>
      </c>
      <c r="H149" s="402">
        <v>198.26757900000001</v>
      </c>
      <c r="I149" s="402">
        <v>392.49052929999999</v>
      </c>
      <c r="J149" s="402">
        <v>86.64373646</v>
      </c>
      <c r="K149" s="402">
        <v>79.606982740000007</v>
      </c>
      <c r="L149" s="402">
        <v>525.82277439999996</v>
      </c>
      <c r="M149" s="402">
        <v>306.07555459999998</v>
      </c>
      <c r="N149" s="402">
        <v>212.26259619999999</v>
      </c>
      <c r="O149" s="402">
        <v>682.46705599999996</v>
      </c>
      <c r="P149" s="402">
        <v>334.77990190000003</v>
      </c>
      <c r="Q149" s="402">
        <v>367.4980693</v>
      </c>
      <c r="R149" s="402">
        <v>981.36881530000005</v>
      </c>
      <c r="S149" s="402">
        <v>1556.9844189999999</v>
      </c>
      <c r="T149" s="402">
        <v>1004.4437820000001</v>
      </c>
      <c r="U149" s="407">
        <f t="shared" si="17"/>
        <v>33.209668149361953</v>
      </c>
      <c r="V149" s="402">
        <v>9.9629796690254704</v>
      </c>
      <c r="W149" s="402">
        <v>732.97997972175006</v>
      </c>
      <c r="X149" s="407">
        <f t="shared" si="18"/>
        <v>38.451858271774647</v>
      </c>
      <c r="Y149" s="402">
        <v>38.286592139908201</v>
      </c>
      <c r="Z149" s="402">
        <v>202.149715779297</v>
      </c>
      <c r="AA149" s="402">
        <v>114.641677511418</v>
      </c>
      <c r="AB149" s="407">
        <f t="shared" si="19"/>
        <v>78.167503924866608</v>
      </c>
      <c r="AC149" s="399"/>
    </row>
    <row r="150" spans="1:30" ht="15.75" customHeight="1" x14ac:dyDescent="0.25">
      <c r="A150" s="2">
        <v>146</v>
      </c>
      <c r="B150" s="17" t="s">
        <v>29</v>
      </c>
      <c r="C150" s="26" t="s">
        <v>118</v>
      </c>
      <c r="D150" s="400" t="s">
        <v>177</v>
      </c>
      <c r="E150" s="415">
        <f t="shared" si="16"/>
        <v>45.687475008898673</v>
      </c>
      <c r="F150" s="402">
        <v>44.961119699999998</v>
      </c>
      <c r="G150" s="402">
        <v>328.55794969999999</v>
      </c>
      <c r="H150" s="402">
        <v>63.490386860000001</v>
      </c>
      <c r="I150" s="402">
        <v>95.282574010000005</v>
      </c>
      <c r="J150" s="402">
        <v>50.287966689999998</v>
      </c>
      <c r="K150" s="402">
        <v>46.060373400000003</v>
      </c>
      <c r="L150" s="402">
        <v>581.70355619999998</v>
      </c>
      <c r="M150" s="402">
        <v>393.94558080000002</v>
      </c>
      <c r="N150" s="402">
        <v>164.20606670000001</v>
      </c>
      <c r="O150" s="402">
        <v>745.75501399999996</v>
      </c>
      <c r="P150" s="402">
        <v>1251.5106720000001</v>
      </c>
      <c r="Q150" s="402">
        <v>531.61881949999997</v>
      </c>
      <c r="R150" s="402">
        <v>889.25125170000001</v>
      </c>
      <c r="S150" s="402">
        <v>1647.262853</v>
      </c>
      <c r="T150" s="402">
        <v>768.9582001</v>
      </c>
      <c r="U150" s="407">
        <f t="shared" si="17"/>
        <v>51.735230651344601</v>
      </c>
      <c r="V150" s="402">
        <v>8.4946234480493796</v>
      </c>
      <c r="W150" s="402">
        <v>549.91307142670996</v>
      </c>
      <c r="X150" s="407">
        <f t="shared" si="18"/>
        <v>49.723062959976247</v>
      </c>
      <c r="Y150" s="402">
        <v>76.258187804213094</v>
      </c>
      <c r="Z150" s="402">
        <v>1350.4214857500899</v>
      </c>
      <c r="AA150" s="402">
        <v>462.39343315013701</v>
      </c>
      <c r="AB150" s="407">
        <f t="shared" si="19"/>
        <v>29.556375772929243</v>
      </c>
      <c r="AC150" s="399"/>
    </row>
    <row r="151" spans="1:30" ht="15.75" customHeight="1" x14ac:dyDescent="0.25">
      <c r="A151" s="2">
        <v>147</v>
      </c>
      <c r="B151" s="17" t="s">
        <v>29</v>
      </c>
      <c r="C151" s="24" t="s">
        <v>85</v>
      </c>
      <c r="D151" s="400" t="s">
        <v>167</v>
      </c>
      <c r="E151" s="415">
        <f t="shared" si="16"/>
        <v>45.630346854824076</v>
      </c>
      <c r="F151" s="402">
        <v>112.21015370000001</v>
      </c>
      <c r="G151" s="402">
        <v>458.40526039999997</v>
      </c>
      <c r="H151" s="402">
        <v>113.0867042</v>
      </c>
      <c r="I151" s="402">
        <v>621.78929000000005</v>
      </c>
      <c r="J151" s="402">
        <v>90.366677929999994</v>
      </c>
      <c r="K151" s="402">
        <v>59.767412819999997</v>
      </c>
      <c r="L151" s="402">
        <v>411.42465679999998</v>
      </c>
      <c r="M151" s="402">
        <v>435.1103511</v>
      </c>
      <c r="N151" s="402">
        <v>161.4180757</v>
      </c>
      <c r="O151" s="402">
        <v>729.14343959999997</v>
      </c>
      <c r="P151" s="402">
        <v>808.2074801</v>
      </c>
      <c r="Q151" s="402">
        <v>530.36525519999998</v>
      </c>
      <c r="R151" s="402">
        <v>993.18942270000002</v>
      </c>
      <c r="S151" s="402">
        <v>1487.099297</v>
      </c>
      <c r="T151" s="402">
        <v>871.36171060000004</v>
      </c>
      <c r="U151" s="407">
        <f t="shared" si="17"/>
        <v>34.715495079605809</v>
      </c>
      <c r="V151" s="402">
        <v>2.4495282073067699</v>
      </c>
      <c r="W151" s="402">
        <v>583.81417526224004</v>
      </c>
      <c r="X151" s="407">
        <f t="shared" si="18"/>
        <v>66.145457103029713</v>
      </c>
      <c r="Y151" s="402">
        <v>65.831130153773302</v>
      </c>
      <c r="Z151" s="402">
        <v>629.79227603175002</v>
      </c>
      <c r="AA151" s="402">
        <v>276.91180675444599</v>
      </c>
      <c r="AB151" s="407">
        <f t="shared" si="19"/>
        <v>46.944940157054965</v>
      </c>
      <c r="AC151" s="399"/>
    </row>
    <row r="152" spans="1:30" ht="15.75" customHeight="1" x14ac:dyDescent="0.25">
      <c r="A152" s="2">
        <v>148</v>
      </c>
      <c r="B152" s="14" t="s">
        <v>23</v>
      </c>
      <c r="C152" s="16" t="s">
        <v>26</v>
      </c>
      <c r="D152" s="400" t="s">
        <v>168</v>
      </c>
      <c r="E152" s="415">
        <f t="shared" si="16"/>
        <v>45.573159160342001</v>
      </c>
      <c r="F152" s="402">
        <v>35.862948660000001</v>
      </c>
      <c r="G152" s="402">
        <v>589.22382979999998</v>
      </c>
      <c r="H152" s="402">
        <v>29.44364861</v>
      </c>
      <c r="I152" s="402">
        <v>126.9285666</v>
      </c>
      <c r="J152" s="402">
        <v>41.058442630000002</v>
      </c>
      <c r="K152" s="402">
        <v>81.128038700000005</v>
      </c>
      <c r="L152" s="402">
        <v>361.9772375</v>
      </c>
      <c r="M152" s="402">
        <v>348.34894159999999</v>
      </c>
      <c r="N152" s="402">
        <v>277.46167450000002</v>
      </c>
      <c r="O152" s="402">
        <v>989.93927459999998</v>
      </c>
      <c r="P152" s="402">
        <v>842.84710600000005</v>
      </c>
      <c r="Q152" s="402">
        <v>469.01888400000001</v>
      </c>
      <c r="R152" s="402">
        <v>849.87826489999998</v>
      </c>
      <c r="S152" s="402">
        <v>2002.953782</v>
      </c>
      <c r="T152" s="402">
        <v>842.40723800000001</v>
      </c>
      <c r="U152" s="407">
        <f t="shared" si="17"/>
        <v>48.832538627277593</v>
      </c>
      <c r="V152" s="402">
        <v>10.1624016894135</v>
      </c>
      <c r="W152" s="402">
        <v>614.68296959966995</v>
      </c>
      <c r="X152" s="407">
        <f t="shared" si="18"/>
        <v>43.628623191942872</v>
      </c>
      <c r="Y152" s="402">
        <v>80.417685530277097</v>
      </c>
      <c r="Z152" s="402">
        <v>847.91838823551097</v>
      </c>
      <c r="AA152" s="402">
        <v>276.89680314237597</v>
      </c>
      <c r="AB152" s="407">
        <f t="shared" si="19"/>
        <v>40.998936194869948</v>
      </c>
      <c r="AC152" s="399"/>
    </row>
    <row r="153" spans="1:30" ht="15.75" customHeight="1" x14ac:dyDescent="0.25">
      <c r="A153" s="2">
        <v>149</v>
      </c>
      <c r="B153" s="3" t="s">
        <v>10</v>
      </c>
      <c r="C153" s="4" t="s">
        <v>11</v>
      </c>
      <c r="D153" s="400" t="s">
        <v>105</v>
      </c>
      <c r="E153" s="415">
        <f t="shared" si="16"/>
        <v>45.456294498824548</v>
      </c>
      <c r="F153" s="402">
        <v>22.14662822</v>
      </c>
      <c r="G153" s="402">
        <v>345.47769249999999</v>
      </c>
      <c r="H153" s="402">
        <v>189.8677103</v>
      </c>
      <c r="I153" s="402">
        <v>170.33794560000001</v>
      </c>
      <c r="J153" s="402">
        <v>107.74962669999999</v>
      </c>
      <c r="K153" s="402">
        <v>42.021880969999998</v>
      </c>
      <c r="L153" s="402">
        <v>354.95914240000002</v>
      </c>
      <c r="M153" s="402">
        <v>445.09323460000002</v>
      </c>
      <c r="N153" s="402">
        <v>194.11334819999999</v>
      </c>
      <c r="O153" s="402">
        <v>737.57683139999995</v>
      </c>
      <c r="P153" s="402">
        <v>766.64008539999998</v>
      </c>
      <c r="Q153" s="402">
        <v>347.74488129999997</v>
      </c>
      <c r="R153" s="402">
        <v>1150.931448</v>
      </c>
      <c r="S153" s="402">
        <v>1824.1006600000001</v>
      </c>
      <c r="T153" s="402">
        <v>1001.994776</v>
      </c>
      <c r="U153" s="407">
        <f t="shared" si="17"/>
        <v>42.533356469438658</v>
      </c>
      <c r="V153" s="402">
        <v>13.860499067266201</v>
      </c>
      <c r="W153" s="402">
        <v>650.90981351457003</v>
      </c>
      <c r="X153" s="407">
        <f t="shared" si="18"/>
        <v>37.287265355092963</v>
      </c>
      <c r="Y153" s="402">
        <v>61.368574345325897</v>
      </c>
      <c r="Z153" s="402">
        <v>365.82322423184002</v>
      </c>
      <c r="AA153" s="402">
        <v>183.99251245301599</v>
      </c>
      <c r="AB153" s="407">
        <f t="shared" si="19"/>
        <v>59.471199701327897</v>
      </c>
      <c r="AC153" s="399"/>
    </row>
    <row r="154" spans="1:30" ht="15.75" customHeight="1" x14ac:dyDescent="0.25">
      <c r="A154" s="2">
        <v>150</v>
      </c>
      <c r="B154" s="8" t="s">
        <v>16</v>
      </c>
      <c r="C154" s="21" t="s">
        <v>42</v>
      </c>
      <c r="D154" s="400" t="s">
        <v>90</v>
      </c>
      <c r="E154" s="415">
        <f t="shared" si="16"/>
        <v>45.326667554460066</v>
      </c>
      <c r="F154" s="402">
        <v>287.72499959999999</v>
      </c>
      <c r="G154" s="402">
        <v>528.96006629999999</v>
      </c>
      <c r="H154" s="402">
        <v>101.9497903</v>
      </c>
      <c r="I154" s="402">
        <v>176.4454839</v>
      </c>
      <c r="J154" s="402">
        <v>95.077130429999997</v>
      </c>
      <c r="K154" s="402">
        <v>30.92714647</v>
      </c>
      <c r="L154" s="402">
        <v>595.26569670000003</v>
      </c>
      <c r="M154" s="402">
        <v>309.15920030000001</v>
      </c>
      <c r="N154" s="402">
        <v>193.3398225</v>
      </c>
      <c r="O154" s="402">
        <v>813.49408310000001</v>
      </c>
      <c r="P154" s="402">
        <v>622.46444010000005</v>
      </c>
      <c r="Q154" s="402">
        <v>388.5668652</v>
      </c>
      <c r="R154" s="402">
        <v>990.56024869999999</v>
      </c>
      <c r="S154" s="402">
        <v>1565.8288669999999</v>
      </c>
      <c r="T154" s="402">
        <v>1214.0399150000001</v>
      </c>
      <c r="U154" s="407">
        <f t="shared" si="17"/>
        <v>34.258057307303524</v>
      </c>
      <c r="V154" s="402">
        <v>5.8178916221082098</v>
      </c>
      <c r="W154" s="402">
        <v>619.71632144085004</v>
      </c>
      <c r="X154" s="407">
        <f t="shared" si="18"/>
        <v>51.574687302126037</v>
      </c>
      <c r="Y154" s="402">
        <v>48.936068710853</v>
      </c>
      <c r="Z154" s="402">
        <v>531.93856617579695</v>
      </c>
      <c r="AA154" s="402">
        <v>138.76377995958299</v>
      </c>
      <c r="AB154" s="407">
        <f t="shared" si="19"/>
        <v>61.215868301107179</v>
      </c>
      <c r="AC154" s="399"/>
    </row>
    <row r="155" spans="1:30" ht="15.75" customHeight="1" x14ac:dyDescent="0.25">
      <c r="A155" s="2">
        <v>151</v>
      </c>
      <c r="B155" s="14" t="s">
        <v>23</v>
      </c>
      <c r="C155" s="16" t="s">
        <v>26</v>
      </c>
      <c r="D155" s="400" t="s">
        <v>48</v>
      </c>
      <c r="E155" s="415">
        <f t="shared" si="16"/>
        <v>45.101860046135052</v>
      </c>
      <c r="F155" s="402">
        <v>46.146820675099903</v>
      </c>
      <c r="G155" s="402">
        <v>380.16853008347999</v>
      </c>
      <c r="H155" s="402">
        <v>28.03375822536</v>
      </c>
      <c r="I155" s="402">
        <v>228.54125331645</v>
      </c>
      <c r="J155" s="402">
        <v>38.148438143900002</v>
      </c>
      <c r="K155" s="402">
        <v>69.699241409240003</v>
      </c>
      <c r="L155" s="402">
        <v>351.09820628454997</v>
      </c>
      <c r="M155" s="402">
        <v>488.82368510685001</v>
      </c>
      <c r="N155" s="402">
        <v>286.64170838024</v>
      </c>
      <c r="O155" s="402">
        <v>1022.05598658594</v>
      </c>
      <c r="P155" s="402">
        <v>625.47347338646</v>
      </c>
      <c r="Q155" s="402">
        <v>480.02059836927998</v>
      </c>
      <c r="R155" s="402">
        <v>921.92069017409995</v>
      </c>
      <c r="S155" s="402">
        <v>2191.9408611067201</v>
      </c>
      <c r="T155" s="402">
        <v>980.59716811590999</v>
      </c>
      <c r="U155" s="407">
        <f t="shared" si="17"/>
        <v>50.492798944681653</v>
      </c>
      <c r="V155" s="402">
        <v>9.4915222193401299</v>
      </c>
      <c r="W155" s="402">
        <v>706.39178896126998</v>
      </c>
      <c r="X155" s="407">
        <f t="shared" si="18"/>
        <v>40.312372567819367</v>
      </c>
      <c r="Y155" s="402">
        <v>124.505596576157</v>
      </c>
      <c r="Z155" s="402">
        <v>751.66994517250396</v>
      </c>
      <c r="AA155" s="402">
        <v>239.34212167344199</v>
      </c>
      <c r="AB155" s="407">
        <f t="shared" si="19"/>
        <v>39.109469727357535</v>
      </c>
      <c r="AC155" s="399"/>
    </row>
    <row r="156" spans="1:30" ht="15.75" customHeight="1" x14ac:dyDescent="0.25">
      <c r="A156" s="2">
        <v>152</v>
      </c>
      <c r="B156" s="14" t="s">
        <v>23</v>
      </c>
      <c r="C156" s="16" t="s">
        <v>26</v>
      </c>
      <c r="D156" s="400" t="s">
        <v>100</v>
      </c>
      <c r="E156" s="415">
        <f t="shared" si="16"/>
        <v>44.532686271153267</v>
      </c>
      <c r="F156" s="402">
        <v>278.13921260000001</v>
      </c>
      <c r="G156" s="402">
        <v>470.40064589999997</v>
      </c>
      <c r="H156" s="402">
        <v>24.666360139999998</v>
      </c>
      <c r="I156" s="402">
        <v>191.62482069999999</v>
      </c>
      <c r="J156" s="402">
        <v>83.920220310000005</v>
      </c>
      <c r="K156" s="402">
        <v>72.532897539999993</v>
      </c>
      <c r="L156" s="402">
        <v>503.19905820000002</v>
      </c>
      <c r="M156" s="402">
        <v>446.68813239999997</v>
      </c>
      <c r="N156" s="402">
        <v>311.9919352</v>
      </c>
      <c r="O156" s="402">
        <v>795.8715085</v>
      </c>
      <c r="P156" s="402">
        <v>996.60394120000001</v>
      </c>
      <c r="Q156" s="402">
        <v>432.7263888</v>
      </c>
      <c r="R156" s="402">
        <v>812.17603140000006</v>
      </c>
      <c r="S156" s="402">
        <v>1468.0156910000001</v>
      </c>
      <c r="T156" s="402">
        <v>1096.095734</v>
      </c>
      <c r="U156" s="407">
        <f t="shared" si="17"/>
        <v>39.825428519911135</v>
      </c>
      <c r="V156" s="402">
        <v>5.0504486448975197</v>
      </c>
      <c r="W156" s="402">
        <v>863.71398213288001</v>
      </c>
      <c r="X156" s="407">
        <f t="shared" si="18"/>
        <v>43.340727740542846</v>
      </c>
      <c r="Y156" s="402">
        <v>91.676112053370403</v>
      </c>
      <c r="Z156" s="402">
        <v>573.49131574398996</v>
      </c>
      <c r="AA156" s="402">
        <v>115.982569792392</v>
      </c>
      <c r="AB156" s="407">
        <f t="shared" si="19"/>
        <v>55.139160304247959</v>
      </c>
      <c r="AC156" s="399"/>
    </row>
    <row r="157" spans="1:30" ht="15.75" customHeight="1" x14ac:dyDescent="0.25">
      <c r="A157" s="2">
        <v>153</v>
      </c>
      <c r="B157" s="3" t="s">
        <v>10</v>
      </c>
      <c r="C157" s="19" t="s">
        <v>35</v>
      </c>
      <c r="D157" s="400" t="s">
        <v>223</v>
      </c>
      <c r="E157" s="415">
        <f t="shared" si="16"/>
        <v>44.524524218236458</v>
      </c>
      <c r="F157" s="402">
        <v>15.833877770000001</v>
      </c>
      <c r="G157" s="402">
        <v>336.80812359999999</v>
      </c>
      <c r="H157" s="402">
        <v>47.58594059</v>
      </c>
      <c r="I157" s="402">
        <v>364.2496415</v>
      </c>
      <c r="J157" s="402">
        <v>163.75226359999999</v>
      </c>
      <c r="K157" s="402">
        <v>37.490399029999999</v>
      </c>
      <c r="L157" s="402">
        <v>517.48014620000004</v>
      </c>
      <c r="M157" s="402">
        <v>370.94351920000003</v>
      </c>
      <c r="N157" s="402">
        <v>232.97116260000001</v>
      </c>
      <c r="O157" s="402">
        <v>847.55736249999995</v>
      </c>
      <c r="P157" s="402">
        <v>638.59367759999998</v>
      </c>
      <c r="Q157" s="402">
        <v>549.32864259999997</v>
      </c>
      <c r="R157" s="402">
        <v>828.59167349999996</v>
      </c>
      <c r="S157" s="402">
        <v>1827.336215</v>
      </c>
      <c r="T157" s="402">
        <v>1372.69193</v>
      </c>
      <c r="U157" s="407">
        <f t="shared" si="17"/>
        <v>42.58996644866712</v>
      </c>
      <c r="V157" s="402">
        <v>3.1661347336164898</v>
      </c>
      <c r="W157" s="402">
        <v>909.46962764454997</v>
      </c>
      <c r="X157" s="407">
        <f t="shared" si="18"/>
        <v>48.601787584728349</v>
      </c>
      <c r="Y157" s="402">
        <v>77.379509301966095</v>
      </c>
      <c r="Z157" s="402">
        <v>610.44746852468995</v>
      </c>
      <c r="AA157" s="402">
        <v>301.83774442166703</v>
      </c>
      <c r="AB157" s="407">
        <f t="shared" si="19"/>
        <v>44.316376390883228</v>
      </c>
      <c r="AC157" s="399"/>
    </row>
    <row r="158" spans="1:30" ht="15.75" customHeight="1" x14ac:dyDescent="0.25">
      <c r="A158" s="2">
        <v>154</v>
      </c>
      <c r="B158" s="6" t="s">
        <v>13</v>
      </c>
      <c r="C158" s="7" t="s">
        <v>14</v>
      </c>
      <c r="D158" s="400" t="s">
        <v>132</v>
      </c>
      <c r="E158" s="415">
        <f t="shared" si="16"/>
        <v>44.461384188018656</v>
      </c>
      <c r="F158" s="402">
        <v>19.59408852</v>
      </c>
      <c r="G158" s="402">
        <v>270.77943820000002</v>
      </c>
      <c r="H158" s="402">
        <v>46.594635269999998</v>
      </c>
      <c r="I158" s="402">
        <v>38.526393810000002</v>
      </c>
      <c r="J158" s="402">
        <v>30.77313397</v>
      </c>
      <c r="K158" s="402">
        <v>147.5799633</v>
      </c>
      <c r="L158" s="402">
        <v>526.0231374</v>
      </c>
      <c r="M158" s="402">
        <v>241.9342757</v>
      </c>
      <c r="N158" s="402">
        <v>310.35403989999998</v>
      </c>
      <c r="O158" s="402">
        <v>779.55128190000005</v>
      </c>
      <c r="P158" s="402">
        <v>469.1317267</v>
      </c>
      <c r="Q158" s="402">
        <v>353.17800499999998</v>
      </c>
      <c r="R158" s="402">
        <v>779.86292739999999</v>
      </c>
      <c r="S158" s="402">
        <v>1905.325623</v>
      </c>
      <c r="T158" s="402">
        <v>1038.4876159999999</v>
      </c>
      <c r="U158" s="407">
        <f t="shared" si="17"/>
        <v>62.958644011004594</v>
      </c>
      <c r="V158" s="402">
        <v>24.7644553990486</v>
      </c>
      <c r="W158" s="402">
        <v>680.22936786597995</v>
      </c>
      <c r="X158" s="407">
        <f t="shared" si="18"/>
        <v>27.386702155297396</v>
      </c>
      <c r="Y158" s="402">
        <v>272.90510701243801</v>
      </c>
      <c r="Z158" s="402">
        <v>664.25060567937805</v>
      </c>
      <c r="AA158" s="402">
        <v>408.62812273080999</v>
      </c>
      <c r="AB158" s="407">
        <f t="shared" si="19"/>
        <v>24.541546574768038</v>
      </c>
      <c r="AC158" s="399"/>
    </row>
    <row r="159" spans="1:30" ht="15.75" customHeight="1" x14ac:dyDescent="0.25">
      <c r="A159" s="2">
        <v>155</v>
      </c>
      <c r="B159" s="8" t="s">
        <v>16</v>
      </c>
      <c r="C159" s="9" t="s">
        <v>17</v>
      </c>
      <c r="D159" s="400" t="s">
        <v>130</v>
      </c>
      <c r="E159" s="415">
        <f t="shared" si="16"/>
        <v>44.409458026040873</v>
      </c>
      <c r="F159" s="402">
        <v>11.962991410000001</v>
      </c>
      <c r="G159" s="402">
        <v>308.14844019999998</v>
      </c>
      <c r="H159" s="402">
        <v>55.87300295</v>
      </c>
      <c r="I159" s="402">
        <v>164.1413282</v>
      </c>
      <c r="J159" s="402">
        <v>39.415543800000002</v>
      </c>
      <c r="K159" s="402">
        <v>68.496874169999998</v>
      </c>
      <c r="L159" s="402">
        <v>579.22567230000004</v>
      </c>
      <c r="M159" s="402">
        <v>361.96601149999998</v>
      </c>
      <c r="N159" s="402">
        <v>214.45809159999999</v>
      </c>
      <c r="O159" s="402">
        <v>877.52464480000003</v>
      </c>
      <c r="P159" s="402">
        <v>1140.6400639999999</v>
      </c>
      <c r="Q159" s="402">
        <v>567.10964909999996</v>
      </c>
      <c r="R159" s="402">
        <v>778.04626519999999</v>
      </c>
      <c r="S159" s="402">
        <v>1930.539591</v>
      </c>
      <c r="T159" s="402">
        <v>1203.198116</v>
      </c>
      <c r="U159" s="407">
        <f t="shared" si="17"/>
        <v>53.296435444415224</v>
      </c>
      <c r="V159" s="402">
        <v>4.4518829206713297</v>
      </c>
      <c r="W159" s="402">
        <v>902.77383836245997</v>
      </c>
      <c r="X159" s="407">
        <f t="shared" si="18"/>
        <v>43.821126524492641</v>
      </c>
      <c r="Y159" s="402">
        <v>124.575880165885</v>
      </c>
      <c r="Z159" s="402">
        <v>1297.0841691835401</v>
      </c>
      <c r="AA159" s="402">
        <v>364.69803703568698</v>
      </c>
      <c r="AB159" s="407">
        <f t="shared" si="19"/>
        <v>27.223834690840409</v>
      </c>
      <c r="AC159" s="399"/>
    </row>
    <row r="160" spans="1:30" ht="15.75" customHeight="1" x14ac:dyDescent="0.25">
      <c r="A160" s="2">
        <v>156</v>
      </c>
      <c r="B160" s="8" t="s">
        <v>16</v>
      </c>
      <c r="C160" s="11" t="s">
        <v>21</v>
      </c>
      <c r="D160" s="400" t="s">
        <v>684</v>
      </c>
      <c r="E160" s="415">
        <f t="shared" si="16"/>
        <v>44.342466047702246</v>
      </c>
      <c r="F160" s="402">
        <v>464.86850670000001</v>
      </c>
      <c r="G160" s="402">
        <v>405.83421470000002</v>
      </c>
      <c r="H160" s="402">
        <v>127.02582150000001</v>
      </c>
      <c r="I160" s="402">
        <v>406.30646610000002</v>
      </c>
      <c r="J160" s="402">
        <v>107.3225624</v>
      </c>
      <c r="K160" s="402">
        <v>56.981728940000004</v>
      </c>
      <c r="L160" s="402">
        <v>448.7744975</v>
      </c>
      <c r="M160" s="402">
        <v>284.59720299999998</v>
      </c>
      <c r="N160" s="402">
        <v>196.88562690000001</v>
      </c>
      <c r="O160" s="402">
        <v>714.36136729999998</v>
      </c>
      <c r="P160" s="402">
        <v>342.33354939999998</v>
      </c>
      <c r="Q160" s="402">
        <v>362.08325120000001</v>
      </c>
      <c r="R160" s="402">
        <v>1188.4110450000001</v>
      </c>
      <c r="S160" s="402">
        <v>1569.433178</v>
      </c>
      <c r="T160" s="402">
        <v>1048.781058</v>
      </c>
      <c r="U160" s="407">
        <f t="shared" si="17"/>
        <v>33.390835996086047</v>
      </c>
      <c r="V160" s="402">
        <v>6.0811261639707404</v>
      </c>
      <c r="W160" s="402">
        <v>738.92765751245997</v>
      </c>
      <c r="X160" s="407">
        <f t="shared" si="18"/>
        <v>45.45832472817392</v>
      </c>
      <c r="Y160" s="402">
        <v>52.900909215460103</v>
      </c>
      <c r="Z160" s="402">
        <v>301.50084314650297</v>
      </c>
      <c r="AA160" s="402">
        <v>162.42698802551899</v>
      </c>
      <c r="AB160" s="407">
        <f t="shared" si="19"/>
        <v>65.129867470462955</v>
      </c>
      <c r="AC160" s="399"/>
    </row>
    <row r="161" spans="1:31" x14ac:dyDescent="0.25">
      <c r="A161" s="2">
        <v>157</v>
      </c>
      <c r="B161" s="8" t="s">
        <v>16</v>
      </c>
      <c r="C161" s="11" t="s">
        <v>21</v>
      </c>
      <c r="D161" s="400" t="s">
        <v>117</v>
      </c>
      <c r="E161" s="415">
        <f t="shared" si="16"/>
        <v>44.273043728946249</v>
      </c>
      <c r="F161" s="402">
        <v>462.49704379999997</v>
      </c>
      <c r="G161" s="402">
        <v>501.40234809999998</v>
      </c>
      <c r="H161" s="402">
        <v>125.3227839</v>
      </c>
      <c r="I161" s="402">
        <v>308.69425649999999</v>
      </c>
      <c r="J161" s="402">
        <v>75.155355229999998</v>
      </c>
      <c r="K161" s="402">
        <v>60.753905330000002</v>
      </c>
      <c r="L161" s="402">
        <v>423.1084578</v>
      </c>
      <c r="M161" s="402">
        <v>271.37392310000001</v>
      </c>
      <c r="N161" s="402">
        <v>228.8788017</v>
      </c>
      <c r="O161" s="402">
        <v>719.57725679999999</v>
      </c>
      <c r="P161" s="402">
        <v>391.40844829999998</v>
      </c>
      <c r="Q161" s="402">
        <v>431.88110030000001</v>
      </c>
      <c r="R161" s="402">
        <v>1135.73235</v>
      </c>
      <c r="S161" s="402">
        <v>1711.470139</v>
      </c>
      <c r="T161" s="402">
        <v>1037.1779120000001</v>
      </c>
      <c r="U161" s="407">
        <f t="shared" si="17"/>
        <v>33.29486379912921</v>
      </c>
      <c r="V161" s="402">
        <v>8.9269130576483899</v>
      </c>
      <c r="W161" s="402">
        <v>650.08184873477001</v>
      </c>
      <c r="X161" s="407">
        <f t="shared" si="18"/>
        <v>43.794711548301095</v>
      </c>
      <c r="Y161" s="402">
        <v>68.789947513801096</v>
      </c>
      <c r="Z161" s="402">
        <v>304.92413990252197</v>
      </c>
      <c r="AA161" s="402">
        <v>110.85230213203801</v>
      </c>
      <c r="AB161" s="407">
        <f t="shared" si="19"/>
        <v>66.707735769225494</v>
      </c>
      <c r="AC161" s="399"/>
    </row>
    <row r="162" spans="1:31" s="30" customFormat="1" x14ac:dyDescent="0.2">
      <c r="A162" s="2">
        <v>158</v>
      </c>
      <c r="B162" s="8" t="s">
        <v>16</v>
      </c>
      <c r="C162" s="21" t="s">
        <v>42</v>
      </c>
      <c r="D162" s="400" t="s">
        <v>97</v>
      </c>
      <c r="E162" s="415">
        <f t="shared" si="16"/>
        <v>44.129029112575132</v>
      </c>
      <c r="F162" s="402">
        <v>195.27584659999999</v>
      </c>
      <c r="G162" s="402">
        <v>537.91896139999994</v>
      </c>
      <c r="H162" s="402">
        <v>128.53868560000001</v>
      </c>
      <c r="I162" s="402">
        <v>411.98671460000003</v>
      </c>
      <c r="J162" s="402">
        <v>105.9273297</v>
      </c>
      <c r="K162" s="402">
        <v>52.384728090000003</v>
      </c>
      <c r="L162" s="402">
        <v>543.79458439999996</v>
      </c>
      <c r="M162" s="402">
        <v>319.2323887</v>
      </c>
      <c r="N162" s="402">
        <v>202.7007634</v>
      </c>
      <c r="O162" s="402">
        <v>836.12135750000004</v>
      </c>
      <c r="P162" s="402">
        <v>436.2322034</v>
      </c>
      <c r="Q162" s="402">
        <v>380.81227230000002</v>
      </c>
      <c r="R162" s="402">
        <v>1051.3898389999999</v>
      </c>
      <c r="S162" s="402">
        <v>1587.2020480000001</v>
      </c>
      <c r="T162" s="402">
        <v>1313.774167</v>
      </c>
      <c r="U162" s="407">
        <f t="shared" si="17"/>
        <v>30.362335531576345</v>
      </c>
      <c r="V162" s="402">
        <v>6.8598276234548301</v>
      </c>
      <c r="W162" s="402">
        <v>648.04746613515999</v>
      </c>
      <c r="X162" s="407">
        <f t="shared" si="18"/>
        <v>47.764079379053747</v>
      </c>
      <c r="Y162" s="402">
        <v>41.0003562844703</v>
      </c>
      <c r="Z162" s="402">
        <v>356.39071906957599</v>
      </c>
      <c r="AA162" s="402">
        <v>139.86473732538201</v>
      </c>
      <c r="AB162" s="407">
        <f t="shared" si="19"/>
        <v>68.027366008094106</v>
      </c>
      <c r="AC162" s="399"/>
      <c r="AD162" s="359"/>
      <c r="AE162" s="360"/>
    </row>
    <row r="163" spans="1:31" s="30" customFormat="1" x14ac:dyDescent="0.2">
      <c r="A163" s="2">
        <v>159</v>
      </c>
      <c r="B163" s="8" t="s">
        <v>16</v>
      </c>
      <c r="C163" s="11" t="s">
        <v>21</v>
      </c>
      <c r="D163" s="400" t="s">
        <v>150</v>
      </c>
      <c r="E163" s="415">
        <f t="shared" si="16"/>
        <v>43.781932268469426</v>
      </c>
      <c r="F163" s="402">
        <v>1062.8619570000001</v>
      </c>
      <c r="G163" s="402">
        <v>479.33039889999998</v>
      </c>
      <c r="H163" s="402">
        <v>119.9662726</v>
      </c>
      <c r="I163" s="402">
        <v>542.94305640000005</v>
      </c>
      <c r="J163" s="402">
        <v>145.39730420000001</v>
      </c>
      <c r="K163" s="402">
        <v>38.600859569999997</v>
      </c>
      <c r="L163" s="402">
        <v>512.15754089999996</v>
      </c>
      <c r="M163" s="402">
        <v>273.66744069999999</v>
      </c>
      <c r="N163" s="402">
        <v>228.91749680000001</v>
      </c>
      <c r="O163" s="402">
        <v>749.10903729999995</v>
      </c>
      <c r="P163" s="402">
        <v>331.04187889999997</v>
      </c>
      <c r="Q163" s="402">
        <v>379.05910829999999</v>
      </c>
      <c r="R163" s="402">
        <v>1047.9371269999999</v>
      </c>
      <c r="S163" s="402">
        <v>1555.8473389999999</v>
      </c>
      <c r="T163" s="402">
        <v>1013.38033</v>
      </c>
      <c r="U163" s="407">
        <f t="shared" si="17"/>
        <v>26.796708967868579</v>
      </c>
      <c r="V163" s="402">
        <v>5.3350483567280502</v>
      </c>
      <c r="W163" s="402">
        <v>657.57696105246998</v>
      </c>
      <c r="X163" s="407">
        <f t="shared" si="18"/>
        <v>51.006098661797594</v>
      </c>
      <c r="Y163" s="402">
        <v>55.141098576574798</v>
      </c>
      <c r="Z163" s="402">
        <v>278.19730813428902</v>
      </c>
      <c r="AA163" s="402">
        <v>110.001701308101</v>
      </c>
      <c r="AB163" s="407">
        <f t="shared" si="19"/>
        <v>70.528212476342958</v>
      </c>
      <c r="AC163" s="399"/>
      <c r="AD163" s="120"/>
    </row>
    <row r="164" spans="1:31" s="30" customFormat="1" x14ac:dyDescent="0.2">
      <c r="A164" s="2">
        <v>160</v>
      </c>
      <c r="B164" s="8" t="s">
        <v>16</v>
      </c>
      <c r="C164" s="21" t="s">
        <v>42</v>
      </c>
      <c r="D164" s="400" t="s">
        <v>139</v>
      </c>
      <c r="E164" s="415">
        <f t="shared" si="16"/>
        <v>43.76956865355038</v>
      </c>
      <c r="F164" s="402">
        <v>154.87826670000001</v>
      </c>
      <c r="G164" s="402">
        <v>498.57876060000001</v>
      </c>
      <c r="H164" s="402">
        <v>136.7222936</v>
      </c>
      <c r="I164" s="402">
        <v>427.44824440000002</v>
      </c>
      <c r="J164" s="402">
        <v>130.4741023</v>
      </c>
      <c r="K164" s="402">
        <v>65.035984470000002</v>
      </c>
      <c r="L164" s="402">
        <v>493.53536350000002</v>
      </c>
      <c r="M164" s="402">
        <v>325.51304570000002</v>
      </c>
      <c r="N164" s="402">
        <v>222.67229119999999</v>
      </c>
      <c r="O164" s="402">
        <v>779.12853370000005</v>
      </c>
      <c r="P164" s="402">
        <v>781.41517720000002</v>
      </c>
      <c r="Q164" s="402">
        <v>411.32728739999999</v>
      </c>
      <c r="R164" s="402">
        <v>1167.609553</v>
      </c>
      <c r="S164" s="402">
        <v>1458.185806</v>
      </c>
      <c r="T164" s="402">
        <v>1221.087896</v>
      </c>
      <c r="U164" s="407">
        <f t="shared" si="17"/>
        <v>29.160329887889812</v>
      </c>
      <c r="V164" s="402">
        <v>5.1635392172533496</v>
      </c>
      <c r="W164" s="402">
        <v>620.61130791589903</v>
      </c>
      <c r="X164" s="407">
        <f t="shared" si="18"/>
        <v>53.283878288322079</v>
      </c>
      <c r="Y164" s="402">
        <v>41.271606306710197</v>
      </c>
      <c r="Z164" s="402">
        <v>573.63682147433894</v>
      </c>
      <c r="AA164" s="402">
        <v>126.717923729235</v>
      </c>
      <c r="AB164" s="407">
        <f t="shared" si="19"/>
        <v>63.473736550099837</v>
      </c>
      <c r="AC164" s="399"/>
      <c r="AD164" s="120"/>
    </row>
    <row r="165" spans="1:31" s="30" customFormat="1" x14ac:dyDescent="0.2">
      <c r="A165" s="2">
        <v>161</v>
      </c>
      <c r="B165" s="8" t="s">
        <v>16</v>
      </c>
      <c r="C165" s="21" t="s">
        <v>42</v>
      </c>
      <c r="D165" s="400" t="s">
        <v>93</v>
      </c>
      <c r="E165" s="415">
        <f t="shared" ref="E165:E196" si="20">(U165*50+X165*25+AB165*25)/100</f>
        <v>43.641011672771477</v>
      </c>
      <c r="F165" s="402">
        <v>224.66444300000001</v>
      </c>
      <c r="G165" s="402">
        <v>459.43137410000003</v>
      </c>
      <c r="H165" s="402">
        <v>114.3029141</v>
      </c>
      <c r="I165" s="402">
        <v>441.16938490000001</v>
      </c>
      <c r="J165" s="402">
        <v>84.618949839999999</v>
      </c>
      <c r="K165" s="402">
        <v>52.159894479999998</v>
      </c>
      <c r="L165" s="402">
        <v>538.56060709999997</v>
      </c>
      <c r="M165" s="402">
        <v>255.99788789999999</v>
      </c>
      <c r="N165" s="402">
        <v>193.8784953</v>
      </c>
      <c r="O165" s="402">
        <v>834.78144740000005</v>
      </c>
      <c r="P165" s="402">
        <v>512.74871959999996</v>
      </c>
      <c r="Q165" s="402">
        <v>368.60642560000002</v>
      </c>
      <c r="R165" s="402">
        <v>1000.231993</v>
      </c>
      <c r="S165" s="402">
        <v>1583.437128</v>
      </c>
      <c r="T165" s="402">
        <v>1200.4704489999999</v>
      </c>
      <c r="U165" s="407">
        <f t="shared" ref="U165:U196" si="21">((LN(1500)-LN(MAX(MIN(F165,1500),10)))/(LN(1500)-LN(10))*100*2+(LN(700)-LN(MAX(MIN(G165,700),200)))/(LN(700)-LN(200))*100*2+(LN(200)-LN(MAX(MIN(H165,200),10)))/(LN(200)-LN(10))*100*2+(LN(1000)-LN(MAX(MIN(I165,1000),10)))/(LN(1000)-LN(10))*100*2+(LN(150)-LN(MAX(MIN(J165,150),20)))/(LN(150)-LN(20))*100*2+(LN(300)-LN(MAX(MIN(K165,300),20)))/(LN(300)-LN(20))*100*0.5+(LN(800)-LN(MAX(MIN(L165,800),250)))/(LN(800)-LN(250))*100*0.5+(LN(800)-LN(MAX(MIN(M165,800),200)))/(LN(800)-LN(200))*100*0.5+(LN(350)-LN(MAX(MIN(N165,350),100)))/(LN(350)-LN(100))*100*0.5+(LN(1500)-LN(MAX(MIN(O165,1500),550)))/(LN(1500)-LN(550))*100*0.5+(LN(2000)-LN(MAX(MIN(P165,2000),200)))/(LN(2000)-LN(200))*100*0.5+(LN(600)-LN(MAX(MIN(Q165,600),200)))/(LN(600)-LN(200))*100*0.5+(LN(1300)-LN(MAX(MIN(R165,1300),300)))/(LN(1300)-LN(300))*100*0.5+(LN(3000)-LN(MAX(MIN(S165,3000),1000)))/(LN(3000)-LN(1000))*100*0.5+(LN(1500)-LN(MAX(MIN(T165,1500),550)))/(LN(1500)-LN(550))*100*0.5)/15</f>
        <v>34.451058774919147</v>
      </c>
      <c r="V165" s="402">
        <v>9.3209586507141609</v>
      </c>
      <c r="W165" s="402">
        <v>867.83263384553902</v>
      </c>
      <c r="X165" s="407">
        <f t="shared" ref="X165:X196" si="22">((LN(30)-LN(MAX(MIN(V165,30),1)))/(LN(30)-LN(1))*100+(LN(1500)-LN(MAX(MIN(W165,1500),300)))/(LN(1500)-LN(300))*100)/2</f>
        <v>34.184515259771217</v>
      </c>
      <c r="Y165" s="402">
        <v>52.700502818577903</v>
      </c>
      <c r="Z165" s="402">
        <v>458.28348109893898</v>
      </c>
      <c r="AA165" s="402">
        <v>66.200860411109304</v>
      </c>
      <c r="AB165" s="407">
        <f t="shared" ref="AB165:AB196" si="23">((LN(500)-LN(MAX(MIN(Y165,500),30)))/(LN(500)-LN(30))*100+(LN(1600)-LN(MAX(MIN(Z165,1600),100)))/(LN(1600)-LN(100))*100+(LN(700)-LN(MAX(MIN(AA165,700),50)))/(LN(700)-LN(50))*100)/3</f>
        <v>71.477413881476366</v>
      </c>
      <c r="AC165" s="399"/>
      <c r="AD165" s="120"/>
    </row>
    <row r="166" spans="1:31" s="30" customFormat="1" x14ac:dyDescent="0.2">
      <c r="A166" s="2">
        <v>162</v>
      </c>
      <c r="B166" s="8" t="s">
        <v>16</v>
      </c>
      <c r="C166" s="11" t="s">
        <v>21</v>
      </c>
      <c r="D166" s="400" t="s">
        <v>136</v>
      </c>
      <c r="E166" s="415">
        <f t="shared" si="20"/>
        <v>43.635161400667585</v>
      </c>
      <c r="F166" s="402">
        <v>730.42933789999995</v>
      </c>
      <c r="G166" s="402">
        <v>448.21559860000002</v>
      </c>
      <c r="H166" s="402">
        <v>150.80146859999999</v>
      </c>
      <c r="I166" s="402">
        <v>365.82807980000001</v>
      </c>
      <c r="J166" s="402">
        <v>90.088508660000002</v>
      </c>
      <c r="K166" s="402">
        <v>85.425684660000002</v>
      </c>
      <c r="L166" s="402">
        <v>413.12250289999997</v>
      </c>
      <c r="M166" s="402">
        <v>251.55148209999999</v>
      </c>
      <c r="N166" s="402">
        <v>214.04427910000001</v>
      </c>
      <c r="O166" s="402">
        <v>724.28778850000003</v>
      </c>
      <c r="P166" s="402">
        <v>302.6708592</v>
      </c>
      <c r="Q166" s="402">
        <v>378.78107820000002</v>
      </c>
      <c r="R166" s="402">
        <v>1176.467774</v>
      </c>
      <c r="S166" s="402">
        <v>1572.1088609999999</v>
      </c>
      <c r="T166" s="402">
        <v>937.6515885</v>
      </c>
      <c r="U166" s="407">
        <f t="shared" si="21"/>
        <v>32.028550105000562</v>
      </c>
      <c r="V166" s="402">
        <v>11.197958631457199</v>
      </c>
      <c r="W166" s="402">
        <v>678.82458078047</v>
      </c>
      <c r="X166" s="407">
        <f t="shared" si="22"/>
        <v>39.118551014191773</v>
      </c>
      <c r="Y166" s="402">
        <v>45.274489910438497</v>
      </c>
      <c r="Z166" s="402">
        <v>284.16718268147099</v>
      </c>
      <c r="AA166" s="402">
        <v>121.385382968234</v>
      </c>
      <c r="AB166" s="407">
        <f t="shared" si="23"/>
        <v>71.364994378477419</v>
      </c>
      <c r="AC166" s="399"/>
      <c r="AD166" s="120"/>
    </row>
    <row r="167" spans="1:31" s="30" customFormat="1" x14ac:dyDescent="0.2">
      <c r="A167" s="2">
        <v>163</v>
      </c>
      <c r="B167" s="14" t="s">
        <v>23</v>
      </c>
      <c r="C167" s="15" t="s">
        <v>24</v>
      </c>
      <c r="D167" s="400" t="s">
        <v>208</v>
      </c>
      <c r="E167" s="415">
        <f t="shared" si="20"/>
        <v>43.623081483830184</v>
      </c>
      <c r="F167" s="402">
        <v>76.210520250000002</v>
      </c>
      <c r="G167" s="402">
        <v>287.38113010000001</v>
      </c>
      <c r="H167" s="402">
        <v>31.192509250000001</v>
      </c>
      <c r="I167" s="402">
        <v>79.085463739999994</v>
      </c>
      <c r="J167" s="402">
        <v>46.243049599999999</v>
      </c>
      <c r="K167" s="402">
        <v>121.6545201</v>
      </c>
      <c r="L167" s="402">
        <v>437.30800219999998</v>
      </c>
      <c r="M167" s="402">
        <v>390.68018160000003</v>
      </c>
      <c r="N167" s="402">
        <v>276.35242069999998</v>
      </c>
      <c r="O167" s="402">
        <v>862.14828799999998</v>
      </c>
      <c r="P167" s="402">
        <v>1699.045588</v>
      </c>
      <c r="Q167" s="402">
        <v>411.72631130000002</v>
      </c>
      <c r="R167" s="402">
        <v>765.12780290000001</v>
      </c>
      <c r="S167" s="402">
        <v>1680.3196600000001</v>
      </c>
      <c r="T167" s="402">
        <v>969.57098580000002</v>
      </c>
      <c r="U167" s="407">
        <f t="shared" si="21"/>
        <v>53.633143365993284</v>
      </c>
      <c r="V167" s="402">
        <v>15.060549048388699</v>
      </c>
      <c r="W167" s="402">
        <v>713.73851778066</v>
      </c>
      <c r="X167" s="407">
        <f t="shared" si="22"/>
        <v>33.203919045874571</v>
      </c>
      <c r="Y167" s="402">
        <v>85.867625148812195</v>
      </c>
      <c r="Z167" s="402">
        <v>1355.64902979524</v>
      </c>
      <c r="AA167" s="402">
        <v>289.41188225093998</v>
      </c>
      <c r="AB167" s="407">
        <f t="shared" si="23"/>
        <v>34.02212015745959</v>
      </c>
      <c r="AC167" s="399"/>
      <c r="AD167" s="120"/>
    </row>
    <row r="168" spans="1:31" s="30" customFormat="1" x14ac:dyDescent="0.2">
      <c r="A168" s="2">
        <v>164</v>
      </c>
      <c r="B168" s="17" t="s">
        <v>29</v>
      </c>
      <c r="C168" s="24" t="s">
        <v>85</v>
      </c>
      <c r="D168" s="400" t="s">
        <v>86</v>
      </c>
      <c r="E168" s="415">
        <f t="shared" si="20"/>
        <v>43.501565509978718</v>
      </c>
      <c r="F168" s="402">
        <v>38.295489979999999</v>
      </c>
      <c r="G168" s="402">
        <v>359.04483540000001</v>
      </c>
      <c r="H168" s="402">
        <v>91.32628579</v>
      </c>
      <c r="I168" s="402">
        <v>408.12177869999999</v>
      </c>
      <c r="J168" s="402">
        <v>69.338723200000004</v>
      </c>
      <c r="K168" s="402">
        <v>71.162119660000002</v>
      </c>
      <c r="L168" s="402">
        <v>541.62659670000005</v>
      </c>
      <c r="M168" s="402">
        <v>347.14505120000001</v>
      </c>
      <c r="N168" s="402">
        <v>153.12275819999999</v>
      </c>
      <c r="O168" s="402">
        <v>806.55867269999999</v>
      </c>
      <c r="P168" s="402">
        <v>1616.600183</v>
      </c>
      <c r="Q168" s="402">
        <v>547.39124460000005</v>
      </c>
      <c r="R168" s="402">
        <v>905.06652080000003</v>
      </c>
      <c r="S168" s="402">
        <v>1617.3433230000001</v>
      </c>
      <c r="T168" s="402">
        <v>802.63409200000001</v>
      </c>
      <c r="U168" s="407">
        <f t="shared" si="21"/>
        <v>42.574778169011488</v>
      </c>
      <c r="V168" s="402">
        <v>8.4235828961548496</v>
      </c>
      <c r="W168" s="402">
        <v>504.47418697148998</v>
      </c>
      <c r="X168" s="407">
        <f t="shared" si="22"/>
        <v>52.525828192640276</v>
      </c>
      <c r="Y168" s="402">
        <v>62.859179124023498</v>
      </c>
      <c r="Z168" s="402">
        <v>1426.8913150804001</v>
      </c>
      <c r="AA168" s="402">
        <v>307.62810179269098</v>
      </c>
      <c r="AB168" s="407">
        <f t="shared" si="23"/>
        <v>36.330877509251643</v>
      </c>
      <c r="AC168" s="399"/>
      <c r="AD168" s="120"/>
    </row>
    <row r="169" spans="1:31" s="30" customFormat="1" x14ac:dyDescent="0.2">
      <c r="A169" s="2">
        <v>165</v>
      </c>
      <c r="B169" s="14" t="s">
        <v>23</v>
      </c>
      <c r="C169" s="23" t="s">
        <v>57</v>
      </c>
      <c r="D169" s="400" t="s">
        <v>217</v>
      </c>
      <c r="E169" s="415">
        <f t="shared" si="20"/>
        <v>43.496890878737844</v>
      </c>
      <c r="F169" s="402">
        <v>43.491029640000001</v>
      </c>
      <c r="G169" s="402">
        <v>326.5076775</v>
      </c>
      <c r="H169" s="402">
        <v>3.2323858080000001</v>
      </c>
      <c r="I169" s="402">
        <v>26.216127910000001</v>
      </c>
      <c r="J169" s="402">
        <v>19.995492209999998</v>
      </c>
      <c r="K169" s="402">
        <v>200.7822989</v>
      </c>
      <c r="L169" s="402">
        <v>549.57925230000001</v>
      </c>
      <c r="M169" s="402">
        <v>661.24708469999996</v>
      </c>
      <c r="N169" s="402">
        <v>225.9283207</v>
      </c>
      <c r="O169" s="402">
        <v>936.81343500000003</v>
      </c>
      <c r="P169" s="402">
        <v>717.44361809999998</v>
      </c>
      <c r="Q169" s="402">
        <v>323.02465510000002</v>
      </c>
      <c r="R169" s="402">
        <v>559.35075259999996</v>
      </c>
      <c r="S169" s="402">
        <v>2711.4185229999998</v>
      </c>
      <c r="T169" s="402">
        <v>777.16349909999997</v>
      </c>
      <c r="U169" s="407">
        <f t="shared" si="21"/>
        <v>67.276480849588424</v>
      </c>
      <c r="V169" s="402">
        <v>15.281942290356699</v>
      </c>
      <c r="W169" s="402">
        <v>817.6173047515</v>
      </c>
      <c r="X169" s="407">
        <f t="shared" si="22"/>
        <v>28.768110141574645</v>
      </c>
      <c r="Y169" s="402">
        <v>1036.3952340841099</v>
      </c>
      <c r="Z169" s="402">
        <v>1023.41453566708</v>
      </c>
      <c r="AA169" s="402">
        <v>460.325365396162</v>
      </c>
      <c r="AB169" s="407">
        <f t="shared" si="23"/>
        <v>10.666491674199856</v>
      </c>
      <c r="AC169" s="399"/>
      <c r="AD169" s="120"/>
    </row>
    <row r="170" spans="1:31" s="30" customFormat="1" x14ac:dyDescent="0.2">
      <c r="A170" s="2">
        <v>166</v>
      </c>
      <c r="B170" s="8" t="s">
        <v>16</v>
      </c>
      <c r="C170" s="11" t="s">
        <v>21</v>
      </c>
      <c r="D170" s="400" t="s">
        <v>191</v>
      </c>
      <c r="E170" s="415">
        <f t="shared" si="20"/>
        <v>43.472557082280488</v>
      </c>
      <c r="F170" s="402">
        <v>233.82719030000001</v>
      </c>
      <c r="G170" s="402">
        <v>573.10460030000002</v>
      </c>
      <c r="H170" s="402">
        <v>241.5678149</v>
      </c>
      <c r="I170" s="402">
        <v>1445.679568</v>
      </c>
      <c r="J170" s="402">
        <v>112.394567</v>
      </c>
      <c r="K170" s="402">
        <v>81.587920139999994</v>
      </c>
      <c r="L170" s="402">
        <v>419.66880320000001</v>
      </c>
      <c r="M170" s="402">
        <v>275.17379829999999</v>
      </c>
      <c r="N170" s="402">
        <v>208.44255949999999</v>
      </c>
      <c r="O170" s="402">
        <v>671.23404970000001</v>
      </c>
      <c r="P170" s="402">
        <v>347.14202069999999</v>
      </c>
      <c r="Q170" s="402">
        <v>377.0440567</v>
      </c>
      <c r="R170" s="402">
        <v>958.83056910000005</v>
      </c>
      <c r="S170" s="402">
        <v>1483.5076180000001</v>
      </c>
      <c r="T170" s="402">
        <v>975.19305259999999</v>
      </c>
      <c r="U170" s="407">
        <f t="shared" si="21"/>
        <v>27.256546597460762</v>
      </c>
      <c r="V170" s="402">
        <v>10.732685655371601</v>
      </c>
      <c r="W170" s="402">
        <v>713.58611452954995</v>
      </c>
      <c r="X170" s="407">
        <f t="shared" si="22"/>
        <v>38.190929723885745</v>
      </c>
      <c r="Y170" s="402">
        <v>39.0002357087074</v>
      </c>
      <c r="Z170" s="402">
        <v>226.85896829197901</v>
      </c>
      <c r="AA170" s="402">
        <v>79.497549967356704</v>
      </c>
      <c r="AB170" s="407">
        <f t="shared" si="23"/>
        <v>81.186205410314699</v>
      </c>
      <c r="AC170" s="399"/>
      <c r="AD170" s="120"/>
    </row>
    <row r="171" spans="1:31" s="30" customFormat="1" x14ac:dyDescent="0.2">
      <c r="A171" s="2">
        <v>167</v>
      </c>
      <c r="B171" s="17" t="s">
        <v>29</v>
      </c>
      <c r="C171" s="24" t="s">
        <v>85</v>
      </c>
      <c r="D171" s="400" t="s">
        <v>188</v>
      </c>
      <c r="E171" s="415">
        <f t="shared" si="20"/>
        <v>43.42067532874367</v>
      </c>
      <c r="F171" s="402">
        <v>45.426725859999998</v>
      </c>
      <c r="G171" s="402">
        <v>382.5205886</v>
      </c>
      <c r="H171" s="402">
        <v>53.397741590000003</v>
      </c>
      <c r="I171" s="402">
        <v>190.89116129999999</v>
      </c>
      <c r="J171" s="402">
        <v>51.562401999999999</v>
      </c>
      <c r="K171" s="402">
        <v>80.132510670000002</v>
      </c>
      <c r="L171" s="402">
        <v>579.32747949999998</v>
      </c>
      <c r="M171" s="402">
        <v>481.5732208</v>
      </c>
      <c r="N171" s="402">
        <v>171.47516400000001</v>
      </c>
      <c r="O171" s="402">
        <v>741.42485509999995</v>
      </c>
      <c r="P171" s="402">
        <v>919.14450099999999</v>
      </c>
      <c r="Q171" s="402">
        <v>510.36323700000003</v>
      </c>
      <c r="R171" s="402">
        <v>939.23044130000005</v>
      </c>
      <c r="S171" s="402">
        <v>1545.3846639999999</v>
      </c>
      <c r="T171" s="402">
        <v>780.1379551</v>
      </c>
      <c r="U171" s="407">
        <f t="shared" si="21"/>
        <v>48.025806331882727</v>
      </c>
      <c r="V171" s="402">
        <v>10.884957953826101</v>
      </c>
      <c r="W171" s="402">
        <v>640.57842532053996</v>
      </c>
      <c r="X171" s="407">
        <f t="shared" si="22"/>
        <v>41.336908598673794</v>
      </c>
      <c r="Y171" s="402">
        <v>68.327151046286602</v>
      </c>
      <c r="Z171" s="402">
        <v>877.21047158038095</v>
      </c>
      <c r="AA171" s="402">
        <v>453.33510497473702</v>
      </c>
      <c r="AB171" s="407">
        <f t="shared" si="23"/>
        <v>36.294180052535445</v>
      </c>
      <c r="AC171" s="399"/>
      <c r="AD171" s="120"/>
    </row>
    <row r="172" spans="1:31" s="30" customFormat="1" x14ac:dyDescent="0.2">
      <c r="A172" s="2">
        <v>168</v>
      </c>
      <c r="B172" s="8" t="s">
        <v>16</v>
      </c>
      <c r="C172" s="21" t="s">
        <v>42</v>
      </c>
      <c r="D172" s="400" t="s">
        <v>68</v>
      </c>
      <c r="E172" s="415">
        <f t="shared" si="20"/>
        <v>42.972281592424771</v>
      </c>
      <c r="F172" s="402">
        <v>339.13714995928899</v>
      </c>
      <c r="G172" s="402">
        <v>504.41201541177003</v>
      </c>
      <c r="H172" s="402">
        <v>138.23042795414</v>
      </c>
      <c r="I172" s="402">
        <v>493.80998875671003</v>
      </c>
      <c r="J172" s="402">
        <v>90.832429240470006</v>
      </c>
      <c r="K172" s="402">
        <v>65.128695785320005</v>
      </c>
      <c r="L172" s="402">
        <v>557.52794029387996</v>
      </c>
      <c r="M172" s="402">
        <v>296.18443934736001</v>
      </c>
      <c r="N172" s="402">
        <v>193.96180784403001</v>
      </c>
      <c r="O172" s="402">
        <v>833.39546904611996</v>
      </c>
      <c r="P172" s="402">
        <v>527.61866644252996</v>
      </c>
      <c r="Q172" s="402">
        <v>369.50559222758</v>
      </c>
      <c r="R172" s="402">
        <v>1023.09796010014</v>
      </c>
      <c r="S172" s="402">
        <v>1606.81771534625</v>
      </c>
      <c r="T172" s="402">
        <v>1198.40285538476</v>
      </c>
      <c r="U172" s="407">
        <f t="shared" si="21"/>
        <v>29.862288607183658</v>
      </c>
      <c r="V172" s="402">
        <v>8.5352945218058593</v>
      </c>
      <c r="W172" s="402">
        <v>616.81846279272997</v>
      </c>
      <c r="X172" s="407">
        <f t="shared" si="22"/>
        <v>46.085931719628945</v>
      </c>
      <c r="Y172" s="402">
        <v>48.7383317154802</v>
      </c>
      <c r="Z172" s="402">
        <v>412.408510567375</v>
      </c>
      <c r="AA172" s="402">
        <v>120.763580633179</v>
      </c>
      <c r="AB172" s="407">
        <f t="shared" si="23"/>
        <v>66.078617435702824</v>
      </c>
      <c r="AC172" s="399"/>
      <c r="AD172" s="120"/>
    </row>
    <row r="173" spans="1:31" s="30" customFormat="1" x14ac:dyDescent="0.2">
      <c r="A173" s="2">
        <v>169</v>
      </c>
      <c r="B173" s="8" t="s">
        <v>16</v>
      </c>
      <c r="C173" s="11" t="s">
        <v>21</v>
      </c>
      <c r="D173" s="400" t="s">
        <v>143</v>
      </c>
      <c r="E173" s="415">
        <f t="shared" si="20"/>
        <v>42.958995698854736</v>
      </c>
      <c r="F173" s="402">
        <v>33.435171369999999</v>
      </c>
      <c r="G173" s="402">
        <v>261.54052819999998</v>
      </c>
      <c r="H173" s="402">
        <v>108.36373639999999</v>
      </c>
      <c r="I173" s="402">
        <v>302.97912120000001</v>
      </c>
      <c r="J173" s="402">
        <v>42.116706860000001</v>
      </c>
      <c r="K173" s="402">
        <v>76.668139800000006</v>
      </c>
      <c r="L173" s="402">
        <v>453.1076564</v>
      </c>
      <c r="M173" s="402">
        <v>308.71362379999999</v>
      </c>
      <c r="N173" s="402">
        <v>137.9563086</v>
      </c>
      <c r="O173" s="402">
        <v>959.13711139999998</v>
      </c>
      <c r="P173" s="402">
        <v>1327.0271230000001</v>
      </c>
      <c r="Q173" s="402">
        <v>488.8729755</v>
      </c>
      <c r="R173" s="402">
        <v>930.3098847</v>
      </c>
      <c r="S173" s="402">
        <v>1620.4490069999999</v>
      </c>
      <c r="T173" s="402">
        <v>821.29982949999999</v>
      </c>
      <c r="U173" s="407">
        <f t="shared" si="21"/>
        <v>50.596361181742175</v>
      </c>
      <c r="V173" s="402">
        <v>10.790950063966999</v>
      </c>
      <c r="W173" s="402">
        <v>855.93782626577899</v>
      </c>
      <c r="X173" s="407">
        <f t="shared" si="22"/>
        <v>32.460465986256786</v>
      </c>
      <c r="Y173" s="402">
        <v>105.879055104469</v>
      </c>
      <c r="Z173" s="402">
        <v>951.33663171082605</v>
      </c>
      <c r="AA173" s="402">
        <v>239.617911163223</v>
      </c>
      <c r="AB173" s="407">
        <f t="shared" si="23"/>
        <v>38.182794445677793</v>
      </c>
      <c r="AC173" s="399"/>
      <c r="AD173" s="120"/>
    </row>
    <row r="174" spans="1:31" s="30" customFormat="1" x14ac:dyDescent="0.2">
      <c r="A174" s="2">
        <v>170</v>
      </c>
      <c r="B174" s="8" t="s">
        <v>16</v>
      </c>
      <c r="C174" s="21" t="s">
        <v>42</v>
      </c>
      <c r="D174" s="400" t="s">
        <v>129</v>
      </c>
      <c r="E174" s="415">
        <f t="shared" si="20"/>
        <v>42.922000649045273</v>
      </c>
      <c r="F174" s="402">
        <v>173.72696120000001</v>
      </c>
      <c r="G174" s="402">
        <v>495.3134106</v>
      </c>
      <c r="H174" s="402">
        <v>111.8899614</v>
      </c>
      <c r="I174" s="402">
        <v>1154.5049019999999</v>
      </c>
      <c r="J174" s="402">
        <v>99.209739499999998</v>
      </c>
      <c r="K174" s="402">
        <v>65.374915119999997</v>
      </c>
      <c r="L174" s="402">
        <v>556.46086730000002</v>
      </c>
      <c r="M174" s="402">
        <v>302.03785640000001</v>
      </c>
      <c r="N174" s="402">
        <v>199.12713009999999</v>
      </c>
      <c r="O174" s="402">
        <v>806.99447699999996</v>
      </c>
      <c r="P174" s="402">
        <v>554.09702230000005</v>
      </c>
      <c r="Q174" s="402">
        <v>381.10574759999997</v>
      </c>
      <c r="R174" s="402">
        <v>1009.33804</v>
      </c>
      <c r="S174" s="402">
        <v>1538.363703</v>
      </c>
      <c r="T174" s="402">
        <v>1252.3053379999999</v>
      </c>
      <c r="U174" s="407">
        <f t="shared" si="21"/>
        <v>29.993067784054855</v>
      </c>
      <c r="V174" s="402">
        <v>8.5182935352276807</v>
      </c>
      <c r="W174" s="402">
        <v>636.20299656449902</v>
      </c>
      <c r="X174" s="407">
        <f t="shared" si="22"/>
        <v>45.153946145297169</v>
      </c>
      <c r="Y174" s="402">
        <v>46.195700569054203</v>
      </c>
      <c r="Z174" s="402">
        <v>523.28088902682998</v>
      </c>
      <c r="AA174" s="402">
        <v>97.543775008934503</v>
      </c>
      <c r="AB174" s="407">
        <f t="shared" si="23"/>
        <v>66.547920882774221</v>
      </c>
      <c r="AC174" s="399"/>
      <c r="AD174" s="120"/>
    </row>
    <row r="175" spans="1:31" s="30" customFormat="1" x14ac:dyDescent="0.2">
      <c r="A175" s="2">
        <v>171</v>
      </c>
      <c r="B175" s="3" t="s">
        <v>10</v>
      </c>
      <c r="C175" s="4" t="s">
        <v>11</v>
      </c>
      <c r="D175" s="400" t="s">
        <v>163</v>
      </c>
      <c r="E175" s="415">
        <f t="shared" si="20"/>
        <v>42.338431826873922</v>
      </c>
      <c r="F175" s="402">
        <v>21.86272331</v>
      </c>
      <c r="G175" s="402">
        <v>480.07534809999999</v>
      </c>
      <c r="H175" s="402">
        <v>122.1113368</v>
      </c>
      <c r="I175" s="402">
        <v>129.04086340000001</v>
      </c>
      <c r="J175" s="402">
        <v>107.6847152</v>
      </c>
      <c r="K175" s="402">
        <v>63.470000749999997</v>
      </c>
      <c r="L175" s="402">
        <v>356.98131050000001</v>
      </c>
      <c r="M175" s="402">
        <v>453.52022369999997</v>
      </c>
      <c r="N175" s="402">
        <v>193.2693707</v>
      </c>
      <c r="O175" s="402">
        <v>762.26154810000003</v>
      </c>
      <c r="P175" s="402">
        <v>894.36595509999995</v>
      </c>
      <c r="Q175" s="402">
        <v>334.25854700000002</v>
      </c>
      <c r="R175" s="402">
        <v>1231.7262900000001</v>
      </c>
      <c r="S175" s="402">
        <v>1790.0302569999999</v>
      </c>
      <c r="T175" s="402">
        <v>992.87502219999999</v>
      </c>
      <c r="U175" s="407">
        <f t="shared" si="21"/>
        <v>41.001906888603074</v>
      </c>
      <c r="V175" s="402">
        <v>6.7944026225381897</v>
      </c>
      <c r="W175" s="402">
        <v>863.47690011612997</v>
      </c>
      <c r="X175" s="407">
        <f t="shared" si="22"/>
        <v>38.988703161094151</v>
      </c>
      <c r="Y175" s="402">
        <v>55.251531789219399</v>
      </c>
      <c r="Z175" s="402">
        <v>624.23727333039801</v>
      </c>
      <c r="AA175" s="402">
        <v>294.22440678049298</v>
      </c>
      <c r="AB175" s="407">
        <f t="shared" si="23"/>
        <v>48.361210369195383</v>
      </c>
      <c r="AC175" s="399"/>
      <c r="AD175" s="120"/>
    </row>
    <row r="176" spans="1:31" s="30" customFormat="1" x14ac:dyDescent="0.2">
      <c r="A176" s="2">
        <v>172</v>
      </c>
      <c r="B176" s="8" t="s">
        <v>16</v>
      </c>
      <c r="C176" s="21" t="s">
        <v>42</v>
      </c>
      <c r="D176" s="400" t="s">
        <v>98</v>
      </c>
      <c r="E176" s="415">
        <f t="shared" si="20"/>
        <v>42.041682041970915</v>
      </c>
      <c r="F176" s="402">
        <v>366.31279319999999</v>
      </c>
      <c r="G176" s="402">
        <v>647.17005010000003</v>
      </c>
      <c r="H176" s="402">
        <v>136.4504211</v>
      </c>
      <c r="I176" s="402">
        <v>284.99284169999999</v>
      </c>
      <c r="J176" s="402">
        <v>127.52190330000001</v>
      </c>
      <c r="K176" s="402">
        <v>51.465543140000001</v>
      </c>
      <c r="L176" s="402">
        <v>558.92064789999995</v>
      </c>
      <c r="M176" s="402">
        <v>314.78042360000001</v>
      </c>
      <c r="N176" s="402">
        <v>214.4653003</v>
      </c>
      <c r="O176" s="402">
        <v>852.62393840000004</v>
      </c>
      <c r="P176" s="402">
        <v>549.84162419999996</v>
      </c>
      <c r="Q176" s="402">
        <v>383.4041072</v>
      </c>
      <c r="R176" s="402">
        <v>975.08162870000001</v>
      </c>
      <c r="S176" s="402">
        <v>1547.6966399999999</v>
      </c>
      <c r="T176" s="402">
        <v>1178.4766870000001</v>
      </c>
      <c r="U176" s="407">
        <f t="shared" si="21"/>
        <v>26.308902108620892</v>
      </c>
      <c r="V176" s="402">
        <v>8.3331554712351394</v>
      </c>
      <c r="W176" s="402">
        <v>630.82521750811998</v>
      </c>
      <c r="X176" s="407">
        <f t="shared" si="22"/>
        <v>45.740698278019956</v>
      </c>
      <c r="Y176" s="402">
        <v>48.385718305908</v>
      </c>
      <c r="Z176" s="402">
        <v>423.21730275058002</v>
      </c>
      <c r="AA176" s="402">
        <v>88.300080172272501</v>
      </c>
      <c r="AB176" s="407">
        <f t="shared" si="23"/>
        <v>69.808225672621916</v>
      </c>
      <c r="AC176" s="399"/>
      <c r="AD176" s="120"/>
    </row>
    <row r="177" spans="1:30" s="30" customFormat="1" x14ac:dyDescent="0.2">
      <c r="A177" s="2">
        <v>173</v>
      </c>
      <c r="B177" s="17" t="s">
        <v>29</v>
      </c>
      <c r="C177" s="26" t="s">
        <v>118</v>
      </c>
      <c r="D177" s="400" t="s">
        <v>145</v>
      </c>
      <c r="E177" s="415">
        <f t="shared" si="20"/>
        <v>41.956697394446572</v>
      </c>
      <c r="F177" s="402">
        <v>44.888808089999998</v>
      </c>
      <c r="G177" s="402">
        <v>317.14027349999998</v>
      </c>
      <c r="H177" s="402">
        <v>76.555444929999993</v>
      </c>
      <c r="I177" s="402">
        <v>108.7949746</v>
      </c>
      <c r="J177" s="402">
        <v>48.807537320000002</v>
      </c>
      <c r="K177" s="402">
        <v>64.336920730000003</v>
      </c>
      <c r="L177" s="402">
        <v>589.08365260000005</v>
      </c>
      <c r="M177" s="402">
        <v>418.71196140000001</v>
      </c>
      <c r="N177" s="402">
        <v>185.79840530000001</v>
      </c>
      <c r="O177" s="402">
        <v>773.05584429999999</v>
      </c>
      <c r="P177" s="402">
        <v>1743.5706769999999</v>
      </c>
      <c r="Q177" s="402">
        <v>533.25553630000002</v>
      </c>
      <c r="R177" s="402">
        <v>892.47807239999997</v>
      </c>
      <c r="S177" s="402">
        <v>1616.019865</v>
      </c>
      <c r="T177" s="402">
        <v>780.8447079</v>
      </c>
      <c r="U177" s="407">
        <f t="shared" si="21"/>
        <v>49.564174238767627</v>
      </c>
      <c r="V177" s="402">
        <v>12.795565054432</v>
      </c>
      <c r="W177" s="402">
        <v>569.00113715277996</v>
      </c>
      <c r="X177" s="407">
        <f t="shared" si="22"/>
        <v>42.640629254372705</v>
      </c>
      <c r="Y177" s="402">
        <v>75.211876853757303</v>
      </c>
      <c r="Z177" s="402">
        <v>1665.7920864336299</v>
      </c>
      <c r="AA177" s="402">
        <v>525.81189437389696</v>
      </c>
      <c r="AB177" s="407">
        <f t="shared" si="23"/>
        <v>26.057811845878344</v>
      </c>
      <c r="AC177" s="399"/>
      <c r="AD177" s="120"/>
    </row>
    <row r="178" spans="1:30" s="30" customFormat="1" x14ac:dyDescent="0.2">
      <c r="A178" s="2">
        <v>174</v>
      </c>
      <c r="B178" s="6" t="s">
        <v>13</v>
      </c>
      <c r="C178" s="7" t="s">
        <v>14</v>
      </c>
      <c r="D178" s="400" t="s">
        <v>214</v>
      </c>
      <c r="E178" s="415">
        <f t="shared" si="20"/>
        <v>41.82657480458677</v>
      </c>
      <c r="F178" s="402">
        <v>78.599325899999997</v>
      </c>
      <c r="G178" s="402">
        <v>278.13453390000001</v>
      </c>
      <c r="H178" s="402">
        <v>20.066203120000001</v>
      </c>
      <c r="I178" s="402">
        <v>71.337052659999998</v>
      </c>
      <c r="J178" s="402">
        <v>35.781832489999999</v>
      </c>
      <c r="K178" s="402">
        <v>89.916724849999994</v>
      </c>
      <c r="L178" s="402">
        <v>566.85346249999998</v>
      </c>
      <c r="M178" s="402">
        <v>304.49367530000001</v>
      </c>
      <c r="N178" s="402">
        <v>274.39721780000002</v>
      </c>
      <c r="O178" s="402">
        <v>787.60645060000002</v>
      </c>
      <c r="P178" s="402">
        <v>331.5797326</v>
      </c>
      <c r="Q178" s="402">
        <v>354.41688210000001</v>
      </c>
      <c r="R178" s="402">
        <v>812.57687759999999</v>
      </c>
      <c r="S178" s="402">
        <v>2079.2113680000002</v>
      </c>
      <c r="T178" s="402">
        <v>1093.151359</v>
      </c>
      <c r="U178" s="407">
        <f t="shared" si="21"/>
        <v>60.043905559800535</v>
      </c>
      <c r="V178" s="402">
        <v>21.281164828666299</v>
      </c>
      <c r="W178" s="402">
        <v>965.28240729259005</v>
      </c>
      <c r="X178" s="407">
        <f t="shared" si="22"/>
        <v>18.742066328217284</v>
      </c>
      <c r="Y178" s="402">
        <v>226.58273374971699</v>
      </c>
      <c r="Z178" s="402">
        <v>640.21693288828499</v>
      </c>
      <c r="AA178" s="402">
        <v>369.01545191639002</v>
      </c>
      <c r="AB178" s="407">
        <f t="shared" si="23"/>
        <v>28.476421770528731</v>
      </c>
      <c r="AC178" s="399"/>
      <c r="AD178" s="120"/>
    </row>
    <row r="179" spans="1:30" s="30" customFormat="1" x14ac:dyDescent="0.2">
      <c r="A179" s="2">
        <v>175</v>
      </c>
      <c r="B179" s="8" t="s">
        <v>16</v>
      </c>
      <c r="C179" s="21" t="s">
        <v>42</v>
      </c>
      <c r="D179" s="400" t="s">
        <v>56</v>
      </c>
      <c r="E179" s="415">
        <f t="shared" si="20"/>
        <v>41.754992898425932</v>
      </c>
      <c r="F179" s="402">
        <v>392.57963955416</v>
      </c>
      <c r="G179" s="402">
        <v>447.56111993589002</v>
      </c>
      <c r="H179" s="402">
        <v>172.13779151386899</v>
      </c>
      <c r="I179" s="402">
        <v>657.29582959179902</v>
      </c>
      <c r="J179" s="402">
        <v>79.886757085170004</v>
      </c>
      <c r="K179" s="402">
        <v>62.885289608859999</v>
      </c>
      <c r="L179" s="402">
        <v>576.62745340410004</v>
      </c>
      <c r="M179" s="402">
        <v>298.47684844670999</v>
      </c>
      <c r="N179" s="402">
        <v>193.72944182019</v>
      </c>
      <c r="O179" s="402">
        <v>821.70319045345002</v>
      </c>
      <c r="P179" s="402">
        <v>566.90045071968996</v>
      </c>
      <c r="Q179" s="402">
        <v>411.362607843239</v>
      </c>
      <c r="R179" s="402">
        <v>960.74055165133996</v>
      </c>
      <c r="S179" s="402">
        <v>1644.63597497153</v>
      </c>
      <c r="T179" s="402">
        <v>1175.5488436457899</v>
      </c>
      <c r="U179" s="407">
        <f t="shared" si="21"/>
        <v>29.475928314250176</v>
      </c>
      <c r="V179" s="402">
        <v>9.3040606247902993</v>
      </c>
      <c r="W179" s="402">
        <v>672.52940613789997</v>
      </c>
      <c r="X179" s="407">
        <f t="shared" si="22"/>
        <v>42.131751995976884</v>
      </c>
      <c r="Y179" s="402">
        <v>47.264029304052798</v>
      </c>
      <c r="Z179" s="402">
        <v>568.97928033199003</v>
      </c>
      <c r="AA179" s="402">
        <v>92.534367325642805</v>
      </c>
      <c r="AB179" s="407">
        <f t="shared" si="23"/>
        <v>65.936362969226494</v>
      </c>
      <c r="AC179" s="399"/>
      <c r="AD179" s="120"/>
    </row>
    <row r="180" spans="1:30" s="30" customFormat="1" x14ac:dyDescent="0.2">
      <c r="A180" s="2">
        <v>176</v>
      </c>
      <c r="B180" s="8" t="s">
        <v>16</v>
      </c>
      <c r="C180" s="21" t="s">
        <v>42</v>
      </c>
      <c r="D180" s="400" t="s">
        <v>206</v>
      </c>
      <c r="E180" s="415">
        <f t="shared" si="20"/>
        <v>41.505181948025658</v>
      </c>
      <c r="F180" s="402">
        <v>231.79602249999999</v>
      </c>
      <c r="G180" s="402">
        <v>489.617952</v>
      </c>
      <c r="H180" s="402">
        <v>210.08592519999999</v>
      </c>
      <c r="I180" s="402">
        <v>411.48623090000001</v>
      </c>
      <c r="J180" s="402">
        <v>107.9959393</v>
      </c>
      <c r="K180" s="402">
        <v>51.17900401</v>
      </c>
      <c r="L180" s="402">
        <v>575.91842989999998</v>
      </c>
      <c r="M180" s="402">
        <v>332.53804659999997</v>
      </c>
      <c r="N180" s="402">
        <v>201.85126289999999</v>
      </c>
      <c r="O180" s="402">
        <v>846.14311929999997</v>
      </c>
      <c r="P180" s="402">
        <v>412.84800990000002</v>
      </c>
      <c r="Q180" s="402">
        <v>381.94682979999999</v>
      </c>
      <c r="R180" s="402">
        <v>1003.573115</v>
      </c>
      <c r="S180" s="402">
        <v>1588.7234759999999</v>
      </c>
      <c r="T180" s="402">
        <v>1224.6474189999999</v>
      </c>
      <c r="U180" s="407">
        <f t="shared" si="21"/>
        <v>28.95997902632913</v>
      </c>
      <c r="V180" s="402">
        <v>7.7833506597509796</v>
      </c>
      <c r="W180" s="402">
        <v>815.50169913665002</v>
      </c>
      <c r="X180" s="407">
        <f t="shared" si="22"/>
        <v>38.766945121924408</v>
      </c>
      <c r="Y180" s="402">
        <v>44.282957114659901</v>
      </c>
      <c r="Z180" s="402">
        <v>402.44597368683799</v>
      </c>
      <c r="AA180" s="402">
        <v>104.513382250251</v>
      </c>
      <c r="AB180" s="407">
        <f t="shared" si="23"/>
        <v>69.333824617519952</v>
      </c>
      <c r="AC180" s="399"/>
      <c r="AD180" s="120"/>
    </row>
    <row r="181" spans="1:30" s="30" customFormat="1" x14ac:dyDescent="0.2">
      <c r="A181" s="2">
        <v>177</v>
      </c>
      <c r="B181" s="8" t="s">
        <v>16</v>
      </c>
      <c r="C181" s="11" t="s">
        <v>21</v>
      </c>
      <c r="D181" s="400" t="s">
        <v>224</v>
      </c>
      <c r="E181" s="415">
        <f t="shared" si="20"/>
        <v>41.486369177612843</v>
      </c>
      <c r="F181" s="402">
        <v>887.99575970000001</v>
      </c>
      <c r="G181" s="402">
        <v>475.30904570000001</v>
      </c>
      <c r="H181" s="402">
        <v>112.2001657</v>
      </c>
      <c r="I181" s="402">
        <v>387.98013509999998</v>
      </c>
      <c r="J181" s="402">
        <v>112.533956</v>
      </c>
      <c r="K181" s="402">
        <v>83.549233150000006</v>
      </c>
      <c r="L181" s="402">
        <v>446.64881989999998</v>
      </c>
      <c r="M181" s="402">
        <v>239.2095984</v>
      </c>
      <c r="N181" s="402">
        <v>210.1820142</v>
      </c>
      <c r="O181" s="402">
        <v>830.95092450000004</v>
      </c>
      <c r="P181" s="402">
        <v>535.54511119999995</v>
      </c>
      <c r="Q181" s="402">
        <v>376.72104460000003</v>
      </c>
      <c r="R181" s="402">
        <v>977.83259840000005</v>
      </c>
      <c r="S181" s="402">
        <v>1519.6079110000001</v>
      </c>
      <c r="T181" s="402">
        <v>1078.652151</v>
      </c>
      <c r="U181" s="407">
        <f t="shared" si="21"/>
        <v>29.322980367906037</v>
      </c>
      <c r="V181" s="402">
        <v>11.1485814878212</v>
      </c>
      <c r="W181" s="402">
        <v>688.71593155574999</v>
      </c>
      <c r="X181" s="407">
        <f t="shared" si="22"/>
        <v>38.734100550696681</v>
      </c>
      <c r="Y181" s="402">
        <v>48.591540712944997</v>
      </c>
      <c r="Z181" s="402">
        <v>394.08779612416402</v>
      </c>
      <c r="AA181" s="402">
        <v>103.858802106071</v>
      </c>
      <c r="AB181" s="407">
        <f t="shared" si="23"/>
        <v>68.565415423942625</v>
      </c>
      <c r="AC181" s="399"/>
      <c r="AD181" s="120"/>
    </row>
    <row r="182" spans="1:30" s="30" customFormat="1" x14ac:dyDescent="0.2">
      <c r="A182" s="2">
        <v>178</v>
      </c>
      <c r="B182" s="8" t="s">
        <v>16</v>
      </c>
      <c r="C182" s="21" t="s">
        <v>42</v>
      </c>
      <c r="D182" s="400" t="s">
        <v>184</v>
      </c>
      <c r="E182" s="415">
        <f t="shared" si="20"/>
        <v>41.439733477289344</v>
      </c>
      <c r="F182" s="402">
        <v>154.0234604</v>
      </c>
      <c r="G182" s="402">
        <v>522.79859469999997</v>
      </c>
      <c r="H182" s="402">
        <v>180.02106319999999</v>
      </c>
      <c r="I182" s="402">
        <v>711.11425359999998</v>
      </c>
      <c r="J182" s="402">
        <v>115.2972153</v>
      </c>
      <c r="K182" s="402">
        <v>55.866075129999999</v>
      </c>
      <c r="L182" s="402">
        <v>555.02922409999996</v>
      </c>
      <c r="M182" s="402">
        <v>293.27609360000002</v>
      </c>
      <c r="N182" s="402">
        <v>208.07286730000001</v>
      </c>
      <c r="O182" s="402">
        <v>854.98048879999999</v>
      </c>
      <c r="P182" s="402">
        <v>496.1599281</v>
      </c>
      <c r="Q182" s="402">
        <v>378.82651079999999</v>
      </c>
      <c r="R182" s="402">
        <v>936.32658149999997</v>
      </c>
      <c r="S182" s="402">
        <v>1538.3517730000001</v>
      </c>
      <c r="T182" s="402">
        <v>1384.6667239999999</v>
      </c>
      <c r="U182" s="407">
        <f t="shared" si="21"/>
        <v>27.592431454983423</v>
      </c>
      <c r="V182" s="402">
        <v>9.9112808637617107</v>
      </c>
      <c r="W182" s="402">
        <v>632.01364669855002</v>
      </c>
      <c r="X182" s="407">
        <f t="shared" si="22"/>
        <v>43.13266199127041</v>
      </c>
      <c r="Y182" s="402">
        <v>43.0764569582688</v>
      </c>
      <c r="Z182" s="402">
        <v>364.42247479000201</v>
      </c>
      <c r="AA182" s="402">
        <v>136.93679728129899</v>
      </c>
      <c r="AB182" s="407">
        <f t="shared" si="23"/>
        <v>67.441409007920129</v>
      </c>
      <c r="AC182" s="399"/>
      <c r="AD182" s="120"/>
    </row>
    <row r="183" spans="1:30" s="30" customFormat="1" x14ac:dyDescent="0.2">
      <c r="A183" s="2">
        <v>179</v>
      </c>
      <c r="B183" s="6" t="s">
        <v>13</v>
      </c>
      <c r="C183" s="7" t="s">
        <v>14</v>
      </c>
      <c r="D183" s="400" t="s">
        <v>175</v>
      </c>
      <c r="E183" s="415">
        <f t="shared" si="20"/>
        <v>40.984087468814735</v>
      </c>
      <c r="F183" s="402">
        <v>82.635205069999998</v>
      </c>
      <c r="G183" s="402">
        <v>386.8544847</v>
      </c>
      <c r="H183" s="402">
        <v>34.558665470000001</v>
      </c>
      <c r="I183" s="402">
        <v>41.799328080000002</v>
      </c>
      <c r="J183" s="402">
        <v>30.646424289999999</v>
      </c>
      <c r="K183" s="402">
        <v>124.7154305</v>
      </c>
      <c r="L183" s="402">
        <v>528.98098570000002</v>
      </c>
      <c r="M183" s="402">
        <v>308.7985003</v>
      </c>
      <c r="N183" s="402">
        <v>255.15270810000001</v>
      </c>
      <c r="O183" s="402">
        <v>829.77384900000004</v>
      </c>
      <c r="P183" s="402">
        <v>416.18238029999998</v>
      </c>
      <c r="Q183" s="402">
        <v>366.2557956</v>
      </c>
      <c r="R183" s="402">
        <v>850.55120020000004</v>
      </c>
      <c r="S183" s="402">
        <v>1938.332494</v>
      </c>
      <c r="T183" s="402">
        <v>1102.555423</v>
      </c>
      <c r="U183" s="407">
        <f t="shared" si="21"/>
        <v>55.986144064615083</v>
      </c>
      <c r="V183" s="402">
        <v>24.284148488348801</v>
      </c>
      <c r="W183" s="402">
        <v>676.02847711835</v>
      </c>
      <c r="X183" s="407">
        <f t="shared" si="22"/>
        <v>27.867077453906603</v>
      </c>
      <c r="Y183" s="402">
        <v>274.420256738756</v>
      </c>
      <c r="Z183" s="402">
        <v>656.78816365451905</v>
      </c>
      <c r="AA183" s="402">
        <v>425.62668827229197</v>
      </c>
      <c r="AB183" s="407">
        <f t="shared" si="23"/>
        <v>24.096984292122169</v>
      </c>
      <c r="AC183" s="399"/>
      <c r="AD183" s="120"/>
    </row>
    <row r="184" spans="1:30" s="30" customFormat="1" x14ac:dyDescent="0.2">
      <c r="A184" s="2">
        <v>180</v>
      </c>
      <c r="B184" s="17" t="s">
        <v>29</v>
      </c>
      <c r="C184" s="26" t="s">
        <v>118</v>
      </c>
      <c r="D184" s="400" t="s">
        <v>212</v>
      </c>
      <c r="E184" s="415">
        <f t="shared" si="20"/>
        <v>40.801204181566312</v>
      </c>
      <c r="F184" s="402">
        <v>48.439060230000003</v>
      </c>
      <c r="G184" s="402">
        <v>517.93681059999994</v>
      </c>
      <c r="H184" s="402">
        <v>96.585528679999996</v>
      </c>
      <c r="I184" s="402">
        <v>79.934422290000001</v>
      </c>
      <c r="J184" s="402">
        <v>54.775071869999998</v>
      </c>
      <c r="K184" s="402">
        <v>83.9448285</v>
      </c>
      <c r="L184" s="402">
        <v>618.92483330000005</v>
      </c>
      <c r="M184" s="402">
        <v>391.44248019999998</v>
      </c>
      <c r="N184" s="402">
        <v>181.38869030000001</v>
      </c>
      <c r="O184" s="402">
        <v>776.83778610000002</v>
      </c>
      <c r="P184" s="402">
        <v>1077.01028</v>
      </c>
      <c r="Q184" s="402">
        <v>532.21303809999995</v>
      </c>
      <c r="R184" s="402">
        <v>902.60362369999996</v>
      </c>
      <c r="S184" s="402">
        <v>1603.5498720000001</v>
      </c>
      <c r="T184" s="402">
        <v>820.77542740000001</v>
      </c>
      <c r="U184" s="407">
        <f t="shared" si="21"/>
        <v>43.511889999659275</v>
      </c>
      <c r="V184" s="402">
        <v>12.8427464558591</v>
      </c>
      <c r="W184" s="402">
        <v>569.31730974136997</v>
      </c>
      <c r="X184" s="407">
        <f t="shared" si="22"/>
        <v>42.569264844462381</v>
      </c>
      <c r="Y184" s="402">
        <v>71.352934317614</v>
      </c>
      <c r="Z184" s="402">
        <v>1297.8599719716101</v>
      </c>
      <c r="AA184" s="402">
        <v>370.73868642983001</v>
      </c>
      <c r="AB184" s="407">
        <f t="shared" si="23"/>
        <v>33.611771882484341</v>
      </c>
      <c r="AC184" s="399"/>
      <c r="AD184" s="120"/>
    </row>
    <row r="185" spans="1:30" s="30" customFormat="1" x14ac:dyDescent="0.2">
      <c r="A185" s="2">
        <v>182</v>
      </c>
      <c r="B185" s="14" t="s">
        <v>23</v>
      </c>
      <c r="C185" s="15" t="s">
        <v>24</v>
      </c>
      <c r="D185" s="400" t="s">
        <v>99</v>
      </c>
      <c r="E185" s="415">
        <f t="shared" si="20"/>
        <v>40.40899985577866</v>
      </c>
      <c r="F185" s="402">
        <v>103.8040658</v>
      </c>
      <c r="G185" s="402">
        <v>397.27021400000001</v>
      </c>
      <c r="H185" s="402">
        <v>24.773715490000001</v>
      </c>
      <c r="I185" s="402">
        <v>369.04398600000002</v>
      </c>
      <c r="J185" s="402">
        <v>60.173481870000003</v>
      </c>
      <c r="K185" s="402">
        <v>84.412273650000003</v>
      </c>
      <c r="L185" s="402">
        <v>416.34451389999998</v>
      </c>
      <c r="M185" s="402">
        <v>419.30543249999999</v>
      </c>
      <c r="N185" s="402">
        <v>291.69559989999999</v>
      </c>
      <c r="O185" s="402">
        <v>880.96426299999996</v>
      </c>
      <c r="P185" s="402">
        <v>1260.6793479999999</v>
      </c>
      <c r="Q185" s="402">
        <v>414.2222367</v>
      </c>
      <c r="R185" s="402">
        <v>771.93703700000003</v>
      </c>
      <c r="S185" s="402">
        <v>1518.9041830000001</v>
      </c>
      <c r="T185" s="402">
        <v>1021.285623</v>
      </c>
      <c r="U185" s="407">
        <f t="shared" si="21"/>
        <v>44.920049598102011</v>
      </c>
      <c r="V185" s="402">
        <v>25.364897394116301</v>
      </c>
      <c r="W185" s="402">
        <v>654.36755916628999</v>
      </c>
      <c r="X185" s="407">
        <f t="shared" si="22"/>
        <v>28.238692639578634</v>
      </c>
      <c r="Y185" s="402">
        <v>81.087654717203606</v>
      </c>
      <c r="Z185" s="402">
        <v>1018.28604737271</v>
      </c>
      <c r="AA185" s="402">
        <v>188.490172064474</v>
      </c>
      <c r="AB185" s="407">
        <f t="shared" si="23"/>
        <v>43.557207587331966</v>
      </c>
      <c r="AC185" s="399"/>
      <c r="AD185" s="120"/>
    </row>
    <row r="186" spans="1:30" s="30" customFormat="1" x14ac:dyDescent="0.2">
      <c r="A186" s="2">
        <v>181</v>
      </c>
      <c r="B186" s="8" t="s">
        <v>16</v>
      </c>
      <c r="C186" s="21" t="s">
        <v>42</v>
      </c>
      <c r="D186" s="400" t="s">
        <v>60</v>
      </c>
      <c r="E186" s="415">
        <f t="shared" si="20"/>
        <v>40.043639805432711</v>
      </c>
      <c r="F186" s="402">
        <v>224.72618934898</v>
      </c>
      <c r="G186" s="402">
        <v>540.91463052075005</v>
      </c>
      <c r="H186" s="402">
        <v>253.92812072784</v>
      </c>
      <c r="I186" s="402">
        <v>528.88362723216005</v>
      </c>
      <c r="J186" s="402">
        <v>98.006611411240002</v>
      </c>
      <c r="K186" s="402">
        <v>49.140473430919997</v>
      </c>
      <c r="L186" s="402">
        <v>531.26964193961999</v>
      </c>
      <c r="M186" s="402">
        <v>294.18779134455002</v>
      </c>
      <c r="N186" s="402">
        <v>212.85701195034</v>
      </c>
      <c r="O186" s="402">
        <v>813.21865923088899</v>
      </c>
      <c r="P186" s="402">
        <v>458.15051044796002</v>
      </c>
      <c r="Q186" s="402">
        <v>381.15068038556001</v>
      </c>
      <c r="R186" s="402">
        <v>1022.26138028184</v>
      </c>
      <c r="S186" s="402">
        <v>1600.48226664969</v>
      </c>
      <c r="T186" s="402">
        <v>1139.5843053103899</v>
      </c>
      <c r="U186" s="407">
        <f t="shared" si="21"/>
        <v>28.494525209421017</v>
      </c>
      <c r="V186" s="402">
        <v>8.2235774699147992</v>
      </c>
      <c r="W186" s="402">
        <v>900.79257661273903</v>
      </c>
      <c r="X186" s="407">
        <f t="shared" si="22"/>
        <v>34.867879488926356</v>
      </c>
      <c r="Y186" s="402">
        <v>44.704421272509997</v>
      </c>
      <c r="Z186" s="402">
        <v>387.55208935038502</v>
      </c>
      <c r="AA186" s="402">
        <v>116.37037286559099</v>
      </c>
      <c r="AB186" s="407">
        <f t="shared" si="23"/>
        <v>68.31762931396247</v>
      </c>
      <c r="AC186" s="399"/>
      <c r="AD186" s="120"/>
    </row>
    <row r="187" spans="1:30" s="30" customFormat="1" x14ac:dyDescent="0.2">
      <c r="A187" s="2">
        <v>183</v>
      </c>
      <c r="B187" s="17" t="s">
        <v>29</v>
      </c>
      <c r="C187" s="26" t="s">
        <v>118</v>
      </c>
      <c r="D187" s="400" t="s">
        <v>332</v>
      </c>
      <c r="E187" s="415">
        <f t="shared" si="20"/>
        <v>39.646070066002807</v>
      </c>
      <c r="F187" s="402">
        <v>51.511576249999997</v>
      </c>
      <c r="G187" s="402">
        <v>443.78995049999997</v>
      </c>
      <c r="H187" s="402">
        <v>65.700196869999999</v>
      </c>
      <c r="I187" s="402">
        <v>82.464275970000003</v>
      </c>
      <c r="J187" s="402">
        <v>51.510844540000001</v>
      </c>
      <c r="K187" s="402">
        <v>116.0201546</v>
      </c>
      <c r="L187" s="402">
        <v>606.80025269999999</v>
      </c>
      <c r="M187" s="402">
        <v>387.1611747</v>
      </c>
      <c r="N187" s="402">
        <v>180.4973306</v>
      </c>
      <c r="O187" s="402">
        <v>801.86069029999999</v>
      </c>
      <c r="P187" s="402">
        <v>1387.1437109999999</v>
      </c>
      <c r="Q187" s="402">
        <v>533.70789260000004</v>
      </c>
      <c r="R187" s="402">
        <v>892.69502139999997</v>
      </c>
      <c r="S187" s="402">
        <v>1638.1281349999999</v>
      </c>
      <c r="T187" s="402">
        <v>822.81579769999996</v>
      </c>
      <c r="U187" s="407">
        <f t="shared" si="21"/>
        <v>46.193861917244959</v>
      </c>
      <c r="V187" s="402">
        <v>16.0504829218578</v>
      </c>
      <c r="W187" s="402">
        <v>574.68322854100995</v>
      </c>
      <c r="X187" s="407">
        <f t="shared" si="22"/>
        <v>39.000160652026871</v>
      </c>
      <c r="Y187" s="402">
        <v>73.217816845510399</v>
      </c>
      <c r="Z187" s="402">
        <v>1583.4496397835401</v>
      </c>
      <c r="AA187" s="402">
        <v>497.65253141330902</v>
      </c>
      <c r="AB187" s="407">
        <f t="shared" si="23"/>
        <v>27.196395777494445</v>
      </c>
      <c r="AC187" s="399"/>
      <c r="AD187" s="120"/>
    </row>
    <row r="188" spans="1:30" s="30" customFormat="1" x14ac:dyDescent="0.2">
      <c r="A188" s="2">
        <v>184</v>
      </c>
      <c r="B188" s="8" t="s">
        <v>16</v>
      </c>
      <c r="C188" s="11" t="s">
        <v>21</v>
      </c>
      <c r="D188" s="400" t="s">
        <v>152</v>
      </c>
      <c r="E188" s="415">
        <f t="shared" si="20"/>
        <v>39.595443802588086</v>
      </c>
      <c r="F188" s="402">
        <v>833.47247230000005</v>
      </c>
      <c r="G188" s="402">
        <v>519.48058470000001</v>
      </c>
      <c r="H188" s="402">
        <v>175.58285029999999</v>
      </c>
      <c r="I188" s="402">
        <v>232.44430539999999</v>
      </c>
      <c r="J188" s="402">
        <v>56.292130350000001</v>
      </c>
      <c r="K188" s="402">
        <v>66.869048759999998</v>
      </c>
      <c r="L188" s="402">
        <v>447.88453270000002</v>
      </c>
      <c r="M188" s="402">
        <v>353.41845180000001</v>
      </c>
      <c r="N188" s="402">
        <v>235.26132999999999</v>
      </c>
      <c r="O188" s="402">
        <v>798.75041699999997</v>
      </c>
      <c r="P188" s="402">
        <v>589.31285390000005</v>
      </c>
      <c r="Q188" s="402">
        <v>387.88761410000001</v>
      </c>
      <c r="R188" s="402">
        <v>912.37142240000003</v>
      </c>
      <c r="S188" s="402">
        <v>1593.475324</v>
      </c>
      <c r="T188" s="402">
        <v>1069.923233</v>
      </c>
      <c r="U188" s="407">
        <f t="shared" si="21"/>
        <v>31.592186541329838</v>
      </c>
      <c r="V188" s="402">
        <v>12.951691574566</v>
      </c>
      <c r="W188" s="402">
        <v>535.75937692231003</v>
      </c>
      <c r="X188" s="407">
        <f t="shared" si="22"/>
        <v>44.332476597128711</v>
      </c>
      <c r="Y188" s="402">
        <v>97.920553547659694</v>
      </c>
      <c r="Z188" s="402">
        <v>504.63813150719199</v>
      </c>
      <c r="AA188" s="402">
        <v>172.736749653196</v>
      </c>
      <c r="AB188" s="407">
        <f t="shared" si="23"/>
        <v>50.864925530563944</v>
      </c>
      <c r="AC188" s="399"/>
      <c r="AD188" s="120"/>
    </row>
    <row r="189" spans="1:30" s="30" customFormat="1" x14ac:dyDescent="0.2">
      <c r="A189" s="2">
        <v>185</v>
      </c>
      <c r="B189" s="17" t="s">
        <v>29</v>
      </c>
      <c r="C189" s="26" t="s">
        <v>118</v>
      </c>
      <c r="D189" s="400" t="s">
        <v>141</v>
      </c>
      <c r="E189" s="415">
        <f t="shared" si="20"/>
        <v>39.496587461816418</v>
      </c>
      <c r="F189" s="402">
        <v>48.334776740000002</v>
      </c>
      <c r="G189" s="402">
        <v>602.72941849999995</v>
      </c>
      <c r="H189" s="402">
        <v>65.334736460000002</v>
      </c>
      <c r="I189" s="402">
        <v>134.50051110000001</v>
      </c>
      <c r="J189" s="402">
        <v>66.207606600000005</v>
      </c>
      <c r="K189" s="402">
        <v>82.541254609999996</v>
      </c>
      <c r="L189" s="402">
        <v>561.30924049999999</v>
      </c>
      <c r="M189" s="402">
        <v>402.30291879999999</v>
      </c>
      <c r="N189" s="402">
        <v>176.92477840000001</v>
      </c>
      <c r="O189" s="402">
        <v>754.87301460000003</v>
      </c>
      <c r="P189" s="402">
        <v>1572.3086069999999</v>
      </c>
      <c r="Q189" s="402">
        <v>532.947947</v>
      </c>
      <c r="R189" s="402">
        <v>881.41555760000006</v>
      </c>
      <c r="S189" s="402">
        <v>1539.366174</v>
      </c>
      <c r="T189" s="402">
        <v>803.00124889999995</v>
      </c>
      <c r="U189" s="407">
        <f t="shared" si="21"/>
        <v>40.978136083230048</v>
      </c>
      <c r="V189" s="402">
        <v>11.6840646024866</v>
      </c>
      <c r="W189" s="402">
        <v>570.25736715555001</v>
      </c>
      <c r="X189" s="407">
        <f t="shared" si="22"/>
        <v>43.908009302689472</v>
      </c>
      <c r="Y189" s="402">
        <v>73.158390182683306</v>
      </c>
      <c r="Z189" s="402">
        <v>1552.1299930636001</v>
      </c>
      <c r="AA189" s="402">
        <v>343.67802518673898</v>
      </c>
      <c r="AB189" s="407">
        <f t="shared" si="23"/>
        <v>32.12206837811609</v>
      </c>
      <c r="AC189" s="399"/>
      <c r="AD189" s="120"/>
    </row>
    <row r="190" spans="1:30" s="30" customFormat="1" x14ac:dyDescent="0.2">
      <c r="A190" s="2">
        <v>186</v>
      </c>
      <c r="B190" s="8" t="s">
        <v>16</v>
      </c>
      <c r="C190" s="11" t="s">
        <v>21</v>
      </c>
      <c r="D190" s="400" t="s">
        <v>225</v>
      </c>
      <c r="E190" s="415">
        <f t="shared" si="20"/>
        <v>39.369657210765489</v>
      </c>
      <c r="F190" s="402">
        <v>939.89262010000004</v>
      </c>
      <c r="G190" s="402">
        <v>562.73454509999999</v>
      </c>
      <c r="H190" s="402">
        <v>182.54870980000001</v>
      </c>
      <c r="I190" s="402">
        <v>238.86995189999999</v>
      </c>
      <c r="J190" s="402">
        <v>75.260841679999999</v>
      </c>
      <c r="K190" s="402">
        <v>46.798176699999999</v>
      </c>
      <c r="L190" s="402">
        <v>534.0770569</v>
      </c>
      <c r="M190" s="402">
        <v>341.74580689999999</v>
      </c>
      <c r="N190" s="402">
        <v>253.3025523</v>
      </c>
      <c r="O190" s="402">
        <v>810.63802020000003</v>
      </c>
      <c r="P190" s="402">
        <v>508.50542350000001</v>
      </c>
      <c r="Q190" s="402">
        <v>382.46991170000001</v>
      </c>
      <c r="R190" s="402">
        <v>904.79138690000002</v>
      </c>
      <c r="S190" s="402">
        <v>1618.4345169999999</v>
      </c>
      <c r="T190" s="402">
        <v>1086.3797300000001</v>
      </c>
      <c r="U190" s="407">
        <f t="shared" si="21"/>
        <v>28.194632577452332</v>
      </c>
      <c r="V190" s="402">
        <v>5.6915325495974303</v>
      </c>
      <c r="W190" s="402">
        <v>657.47944125745903</v>
      </c>
      <c r="X190" s="407">
        <f t="shared" si="22"/>
        <v>50.059841064096759</v>
      </c>
      <c r="Y190" s="402">
        <v>99.655186720256495</v>
      </c>
      <c r="Z190" s="402">
        <v>476.44837815141801</v>
      </c>
      <c r="AA190" s="402">
        <v>177.14696724095299</v>
      </c>
      <c r="AB190" s="407">
        <f t="shared" si="23"/>
        <v>51.029522624060519</v>
      </c>
      <c r="AC190" s="399"/>
      <c r="AD190" s="120"/>
    </row>
    <row r="191" spans="1:30" s="30" customFormat="1" x14ac:dyDescent="0.2">
      <c r="A191" s="2">
        <v>187</v>
      </c>
      <c r="B191" s="14" t="s">
        <v>23</v>
      </c>
      <c r="C191" s="15" t="s">
        <v>24</v>
      </c>
      <c r="D191" s="400" t="s">
        <v>198</v>
      </c>
      <c r="E191" s="415">
        <f t="shared" si="20"/>
        <v>39.034422638829874</v>
      </c>
      <c r="F191" s="402">
        <v>85.87672397</v>
      </c>
      <c r="G191" s="402">
        <v>329.38294860000002</v>
      </c>
      <c r="H191" s="402">
        <v>42.149482319999997</v>
      </c>
      <c r="I191" s="402">
        <v>265.13401049999999</v>
      </c>
      <c r="J191" s="402">
        <v>60.560925769999997</v>
      </c>
      <c r="K191" s="402">
        <v>71.823066679999997</v>
      </c>
      <c r="L191" s="402">
        <v>457.3386208</v>
      </c>
      <c r="M191" s="402">
        <v>438.64268499999997</v>
      </c>
      <c r="N191" s="402">
        <v>290.47646179999998</v>
      </c>
      <c r="O191" s="402">
        <v>876.59552670000005</v>
      </c>
      <c r="P191" s="402">
        <v>1336.38615</v>
      </c>
      <c r="Q191" s="402">
        <v>408.25700699999999</v>
      </c>
      <c r="R191" s="402">
        <v>795.96625110000002</v>
      </c>
      <c r="S191" s="402">
        <v>1635.1382799999999</v>
      </c>
      <c r="T191" s="402">
        <v>974.82563990000006</v>
      </c>
      <c r="U191" s="407">
        <f t="shared" si="21"/>
        <v>45.638446460384998</v>
      </c>
      <c r="V191" s="402">
        <v>28.686823632236699</v>
      </c>
      <c r="W191" s="402">
        <v>647.71378735390999</v>
      </c>
      <c r="X191" s="407">
        <f t="shared" si="22"/>
        <v>26.746963498131159</v>
      </c>
      <c r="Y191" s="402">
        <v>89.137160038765998</v>
      </c>
      <c r="Z191" s="402">
        <v>998.98522923401299</v>
      </c>
      <c r="AA191" s="402">
        <v>270.27540491009</v>
      </c>
      <c r="AB191" s="407">
        <f t="shared" si="23"/>
        <v>38.113834136418355</v>
      </c>
      <c r="AC191" s="399"/>
      <c r="AD191" s="120"/>
    </row>
    <row r="192" spans="1:30" s="30" customFormat="1" x14ac:dyDescent="0.2">
      <c r="A192" s="2">
        <v>188</v>
      </c>
      <c r="B192" s="8" t="s">
        <v>16</v>
      </c>
      <c r="C192" s="21" t="s">
        <v>42</v>
      </c>
      <c r="D192" s="400" t="s">
        <v>80</v>
      </c>
      <c r="E192" s="415">
        <f t="shared" si="20"/>
        <v>38.96144379210925</v>
      </c>
      <c r="F192" s="402">
        <v>667.63740110000003</v>
      </c>
      <c r="G192" s="402">
        <v>398.79406189999997</v>
      </c>
      <c r="H192" s="402">
        <v>84.837464760000003</v>
      </c>
      <c r="I192" s="402">
        <v>561.1444927</v>
      </c>
      <c r="J192" s="402">
        <v>62.44526948</v>
      </c>
      <c r="K192" s="402">
        <v>89.014832260000006</v>
      </c>
      <c r="L192" s="402">
        <v>450.95027160000001</v>
      </c>
      <c r="M192" s="402">
        <v>340.97615180000003</v>
      </c>
      <c r="N192" s="402">
        <v>195.84342240000001</v>
      </c>
      <c r="O192" s="402">
        <v>929.73462219999999</v>
      </c>
      <c r="P192" s="402">
        <v>764.54240779999998</v>
      </c>
      <c r="Q192" s="402">
        <v>378.18534870000002</v>
      </c>
      <c r="R192" s="402">
        <v>935.40552500000001</v>
      </c>
      <c r="S192" s="402">
        <v>1706.7620119999999</v>
      </c>
      <c r="T192" s="402">
        <v>1101.088851</v>
      </c>
      <c r="U192" s="407">
        <f t="shared" si="21"/>
        <v>34.033133239689306</v>
      </c>
      <c r="V192" s="402">
        <v>11.4529464710743</v>
      </c>
      <c r="W192" s="402">
        <v>919.11127968099004</v>
      </c>
      <c r="X192" s="407">
        <f t="shared" si="22"/>
        <v>29.372951362971612</v>
      </c>
      <c r="Y192" s="402">
        <v>61.069333641346702</v>
      </c>
      <c r="Z192" s="402">
        <v>696.657636600096</v>
      </c>
      <c r="AA192" s="402">
        <v>108.923812826844</v>
      </c>
      <c r="AB192" s="407">
        <f t="shared" si="23"/>
        <v>58.406557326086784</v>
      </c>
      <c r="AC192" s="399"/>
      <c r="AD192" s="120"/>
    </row>
    <row r="193" spans="1:30" s="30" customFormat="1" x14ac:dyDescent="0.2">
      <c r="A193" s="2">
        <v>189</v>
      </c>
      <c r="B193" s="8" t="s">
        <v>16</v>
      </c>
      <c r="C193" s="11" t="s">
        <v>21</v>
      </c>
      <c r="D193" s="400" t="s">
        <v>47</v>
      </c>
      <c r="E193" s="415">
        <f t="shared" si="20"/>
        <v>38.430284650944159</v>
      </c>
      <c r="F193" s="402">
        <v>1461.0330915756199</v>
      </c>
      <c r="G193" s="402">
        <v>439.41445216429997</v>
      </c>
      <c r="H193" s="402">
        <v>106.16556188601</v>
      </c>
      <c r="I193" s="402">
        <v>275.39658625826002</v>
      </c>
      <c r="J193" s="402">
        <v>66.680506815439998</v>
      </c>
      <c r="K193" s="402">
        <v>39.813438786319999</v>
      </c>
      <c r="L193" s="402">
        <v>423.670478603719</v>
      </c>
      <c r="M193" s="402">
        <v>369.92075299026999</v>
      </c>
      <c r="N193" s="402">
        <v>220.93664418788001</v>
      </c>
      <c r="O193" s="402">
        <v>771.96168964380001</v>
      </c>
      <c r="P193" s="402">
        <v>559.19966047012997</v>
      </c>
      <c r="Q193" s="402">
        <v>395.14351832980998</v>
      </c>
      <c r="R193" s="402">
        <v>926.54473062483999</v>
      </c>
      <c r="S193" s="402">
        <v>1597.1081032232701</v>
      </c>
      <c r="T193" s="402">
        <v>1052.9819924859</v>
      </c>
      <c r="U193" s="407">
        <f t="shared" si="21"/>
        <v>33.506758094615101</v>
      </c>
      <c r="V193" s="402">
        <v>10.6939906380408</v>
      </c>
      <c r="W193" s="402">
        <v>633.38190744182998</v>
      </c>
      <c r="X193" s="407">
        <f t="shared" si="22"/>
        <v>41.948100920803732</v>
      </c>
      <c r="Y193" s="402">
        <v>109.349536824865</v>
      </c>
      <c r="Z193" s="402">
        <v>540.65650405854603</v>
      </c>
      <c r="AA193" s="402">
        <v>236.505194824603</v>
      </c>
      <c r="AB193" s="407">
        <f t="shared" si="23"/>
        <v>44.759521493742675</v>
      </c>
      <c r="AC193" s="399"/>
      <c r="AD193" s="120"/>
    </row>
    <row r="194" spans="1:30" s="30" customFormat="1" x14ac:dyDescent="0.2">
      <c r="A194" s="2">
        <v>190</v>
      </c>
      <c r="B194" s="8" t="s">
        <v>16</v>
      </c>
      <c r="C194" s="21" t="s">
        <v>42</v>
      </c>
      <c r="D194" s="400" t="s">
        <v>65</v>
      </c>
      <c r="E194" s="415">
        <f t="shared" si="20"/>
        <v>38.107577487832756</v>
      </c>
      <c r="F194" s="402">
        <v>98.858718339999996</v>
      </c>
      <c r="G194" s="402">
        <v>794.00430819999997</v>
      </c>
      <c r="H194" s="402">
        <v>78.655090650000005</v>
      </c>
      <c r="I194" s="402">
        <v>1024.6171449999999</v>
      </c>
      <c r="J194" s="402">
        <v>89.135364839999994</v>
      </c>
      <c r="K194" s="402">
        <v>78.803523589999998</v>
      </c>
      <c r="L194" s="402">
        <v>476.62460129999999</v>
      </c>
      <c r="M194" s="402">
        <v>419.13566370000001</v>
      </c>
      <c r="N194" s="402">
        <v>207.90185700000001</v>
      </c>
      <c r="O194" s="402">
        <v>819.31597950000003</v>
      </c>
      <c r="P194" s="402">
        <v>639.81201080000005</v>
      </c>
      <c r="Q194" s="402">
        <v>367.56957349999999</v>
      </c>
      <c r="R194" s="402">
        <v>967.92070079999996</v>
      </c>
      <c r="S194" s="402">
        <v>1579.994312</v>
      </c>
      <c r="T194" s="402">
        <v>1167.2239239999999</v>
      </c>
      <c r="U194" s="407">
        <f t="shared" si="21"/>
        <v>29.499662054251321</v>
      </c>
      <c r="V194" s="402">
        <v>10.2310437820346</v>
      </c>
      <c r="W194" s="402">
        <v>1073.7506137504499</v>
      </c>
      <c r="X194" s="407">
        <f t="shared" si="22"/>
        <v>26.200430550598021</v>
      </c>
      <c r="Y194" s="402">
        <v>42.536653101414501</v>
      </c>
      <c r="Z194" s="402">
        <v>522.47418588553205</v>
      </c>
      <c r="AA194" s="402">
        <v>99.996085234627799</v>
      </c>
      <c r="AB194" s="407">
        <f t="shared" si="23"/>
        <v>67.230555292230378</v>
      </c>
      <c r="AC194" s="399"/>
      <c r="AD194" s="120"/>
    </row>
    <row r="195" spans="1:30" s="30" customFormat="1" x14ac:dyDescent="0.2">
      <c r="A195" s="2">
        <v>191</v>
      </c>
      <c r="B195" s="8" t="s">
        <v>16</v>
      </c>
      <c r="C195" s="11" t="s">
        <v>21</v>
      </c>
      <c r="D195" s="400" t="s">
        <v>22</v>
      </c>
      <c r="E195" s="415">
        <f t="shared" si="20"/>
        <v>37.297700980474488</v>
      </c>
      <c r="F195" s="402">
        <v>299.84719887629899</v>
      </c>
      <c r="G195" s="402">
        <v>574.04838980507998</v>
      </c>
      <c r="H195" s="402">
        <v>111.41465951791</v>
      </c>
      <c r="I195" s="402">
        <v>436.24919555517903</v>
      </c>
      <c r="J195" s="402">
        <v>73.311856201959998</v>
      </c>
      <c r="K195" s="402">
        <v>60.833261873909997</v>
      </c>
      <c r="L195" s="402">
        <v>472.51616200941999</v>
      </c>
      <c r="M195" s="402">
        <v>400.72509249602001</v>
      </c>
      <c r="N195" s="402">
        <v>216.33469624915901</v>
      </c>
      <c r="O195" s="402">
        <v>920.99367097584002</v>
      </c>
      <c r="P195" s="402">
        <v>772.96368431275005</v>
      </c>
      <c r="Q195" s="402">
        <v>369.62045222908</v>
      </c>
      <c r="R195" s="402">
        <v>1001.11056391893</v>
      </c>
      <c r="S195" s="402">
        <v>1628.9823294796099</v>
      </c>
      <c r="T195" s="402">
        <v>1158.03380696469</v>
      </c>
      <c r="U195" s="407">
        <f t="shared" si="21"/>
        <v>30.326974952375046</v>
      </c>
      <c r="V195" s="402">
        <v>8.8657852637360204</v>
      </c>
      <c r="W195" s="402">
        <v>1056.91230007935</v>
      </c>
      <c r="X195" s="407">
        <f t="shared" si="22"/>
        <v>28.797011807752099</v>
      </c>
      <c r="Y195" s="402">
        <v>49.064378316632599</v>
      </c>
      <c r="Z195" s="402">
        <v>565.16732241328305</v>
      </c>
      <c r="AA195" s="402">
        <v>146.86308522426</v>
      </c>
      <c r="AB195" s="407">
        <f t="shared" si="23"/>
        <v>59.739842209395761</v>
      </c>
      <c r="AC195" s="399"/>
      <c r="AD195" s="120"/>
    </row>
    <row r="196" spans="1:30" s="30" customFormat="1" x14ac:dyDescent="0.2">
      <c r="A196" s="2">
        <v>192</v>
      </c>
      <c r="B196" s="8" t="s">
        <v>16</v>
      </c>
      <c r="C196" s="21" t="s">
        <v>42</v>
      </c>
      <c r="D196" s="400" t="s">
        <v>66</v>
      </c>
      <c r="E196" s="415">
        <f t="shared" si="20"/>
        <v>36.320759759483956</v>
      </c>
      <c r="F196" s="402">
        <v>344.92464702993999</v>
      </c>
      <c r="G196" s="402">
        <v>545.00365559808995</v>
      </c>
      <c r="H196" s="402">
        <v>127.92455655614</v>
      </c>
      <c r="I196" s="402">
        <v>539.88983681046</v>
      </c>
      <c r="J196" s="402">
        <v>75.420962602749995</v>
      </c>
      <c r="K196" s="402">
        <v>63.884612718789903</v>
      </c>
      <c r="L196" s="402">
        <v>491.90455895884998</v>
      </c>
      <c r="M196" s="402">
        <v>353.10050723080002</v>
      </c>
      <c r="N196" s="402">
        <v>208.95094888742901</v>
      </c>
      <c r="O196" s="402">
        <v>885.56054995843999</v>
      </c>
      <c r="P196" s="402">
        <v>757.98157202717005</v>
      </c>
      <c r="Q196" s="402">
        <v>369.98739240879001</v>
      </c>
      <c r="R196" s="402">
        <v>972.65062795337997</v>
      </c>
      <c r="S196" s="402">
        <v>1625.7167591150401</v>
      </c>
      <c r="T196" s="402">
        <v>1108.4490585180899</v>
      </c>
      <c r="U196" s="407">
        <f t="shared" si="21"/>
        <v>29.680908929456027</v>
      </c>
      <c r="V196" s="402">
        <v>9.6392554635176406</v>
      </c>
      <c r="W196" s="402">
        <v>1078.7705463211501</v>
      </c>
      <c r="X196" s="407">
        <f t="shared" si="22"/>
        <v>26.931435888526536</v>
      </c>
      <c r="Y196" s="402">
        <v>50.831791992794301</v>
      </c>
      <c r="Z196" s="402">
        <v>573.03396306927004</v>
      </c>
      <c r="AA196" s="402">
        <v>148.78927656547199</v>
      </c>
      <c r="AB196" s="407">
        <f t="shared" si="23"/>
        <v>58.989785290497231</v>
      </c>
      <c r="AC196" s="399"/>
      <c r="AD196" s="120"/>
    </row>
    <row r="197" spans="1:30" s="30" customFormat="1" x14ac:dyDescent="0.2">
      <c r="A197" s="2">
        <v>193</v>
      </c>
      <c r="B197" s="8" t="s">
        <v>16</v>
      </c>
      <c r="C197" s="11" t="s">
        <v>21</v>
      </c>
      <c r="D197" s="400" t="s">
        <v>83</v>
      </c>
      <c r="E197" s="415">
        <f t="shared" ref="E197:E202" si="24">(U197*50+X197*25+AB197*25)/100</f>
        <v>35.971501615434825</v>
      </c>
      <c r="F197" s="402">
        <v>1803.195119</v>
      </c>
      <c r="G197" s="402">
        <v>549.53995450000002</v>
      </c>
      <c r="H197" s="402">
        <v>114.6538422</v>
      </c>
      <c r="I197" s="402">
        <v>174.40522290000001</v>
      </c>
      <c r="J197" s="402">
        <v>53.408955040000002</v>
      </c>
      <c r="K197" s="402">
        <v>88.150236719999995</v>
      </c>
      <c r="L197" s="402">
        <v>430.1605586</v>
      </c>
      <c r="M197" s="402">
        <v>389.67482510000002</v>
      </c>
      <c r="N197" s="402">
        <v>226.79781510000001</v>
      </c>
      <c r="O197" s="402">
        <v>795.68355599999995</v>
      </c>
      <c r="P197" s="402">
        <v>712.07886169999995</v>
      </c>
      <c r="Q197" s="402">
        <v>391.45795149999998</v>
      </c>
      <c r="R197" s="402">
        <v>921.95030729999996</v>
      </c>
      <c r="S197" s="402">
        <v>1493.361157</v>
      </c>
      <c r="T197" s="402">
        <v>994.71047269999997</v>
      </c>
      <c r="U197" s="407">
        <f t="shared" ref="U197:U202" si="25">((LN(1500)-LN(MAX(MIN(F197,1500),10)))/(LN(1500)-LN(10))*100*2+(LN(700)-LN(MAX(MIN(G197,700),200)))/(LN(700)-LN(200))*100*2+(LN(200)-LN(MAX(MIN(H197,200),10)))/(LN(200)-LN(10))*100*2+(LN(1000)-LN(MAX(MIN(I197,1000),10)))/(LN(1000)-LN(10))*100*2+(LN(150)-LN(MAX(MIN(J197,150),20)))/(LN(150)-LN(20))*100*2+(LN(300)-LN(MAX(MIN(K197,300),20)))/(LN(300)-LN(20))*100*0.5+(LN(800)-LN(MAX(MIN(L197,800),250)))/(LN(800)-LN(250))*100*0.5+(LN(800)-LN(MAX(MIN(M197,800),200)))/(LN(800)-LN(200))*100*0.5+(LN(350)-LN(MAX(MIN(N197,350),100)))/(LN(350)-LN(100))*100*0.5+(LN(1500)-LN(MAX(MIN(O197,1500),550)))/(LN(1500)-LN(550))*100*0.5+(LN(2000)-LN(MAX(MIN(P197,2000),200)))/(LN(2000)-LN(200))*100*0.5+(LN(600)-LN(MAX(MIN(Q197,600),200)))/(LN(600)-LN(200))*100*0.5+(LN(1300)-LN(MAX(MIN(R197,1300),300)))/(LN(1300)-LN(300))*100*0.5+(LN(3000)-LN(MAX(MIN(S197,3000),1000)))/(LN(3000)-LN(1000))*100*0.5+(LN(1500)-LN(MAX(MIN(T197,1500),550)))/(LN(1500)-LN(550))*100*0.5)/15</f>
        <v>32.270981110699168</v>
      </c>
      <c r="V197" s="402">
        <v>17.034508981087399</v>
      </c>
      <c r="W197" s="402">
        <v>765.00077724157995</v>
      </c>
      <c r="X197" s="407">
        <f t="shared" ref="X197:X202" si="26">((LN(30)-LN(MAX(MIN(V197,30),1)))/(LN(30)-LN(1))*100+(LN(1500)-LN(MAX(MIN(W197,1500),300)))/(LN(1500)-LN(300))*100)/2</f>
        <v>29.238547719302016</v>
      </c>
      <c r="Y197" s="402">
        <v>119.48509252625099</v>
      </c>
      <c r="Z197" s="402">
        <v>783.65640829594099</v>
      </c>
      <c r="AA197" s="402">
        <v>100.109208646958</v>
      </c>
      <c r="AB197" s="407">
        <f t="shared" ref="AB197:AB202" si="27">((LN(500)-LN(MAX(MIN(Y197,500),30)))/(LN(500)-LN(30))*100+(LN(1600)-LN(MAX(MIN(Z197,1600),100)))/(LN(1600)-LN(100))*100+(LN(700)-LN(MAX(MIN(AA197,700),50)))/(LN(700)-LN(50))*100)/3</f>
        <v>50.105496521038937</v>
      </c>
      <c r="AC197" s="399"/>
      <c r="AD197" s="120"/>
    </row>
    <row r="198" spans="1:30" s="30" customFormat="1" x14ac:dyDescent="0.2">
      <c r="A198" s="2">
        <v>194</v>
      </c>
      <c r="B198" s="17" t="s">
        <v>29</v>
      </c>
      <c r="C198" s="26" t="s">
        <v>118</v>
      </c>
      <c r="D198" s="400" t="s">
        <v>119</v>
      </c>
      <c r="E198" s="415">
        <f t="shared" si="24"/>
        <v>35.887139599347449</v>
      </c>
      <c r="F198" s="402">
        <v>30.56156073</v>
      </c>
      <c r="G198" s="402">
        <v>559.84687389999999</v>
      </c>
      <c r="H198" s="402">
        <v>88.544443970000003</v>
      </c>
      <c r="I198" s="402">
        <v>216.56474600000001</v>
      </c>
      <c r="J198" s="402">
        <v>78.088303400000001</v>
      </c>
      <c r="K198" s="402">
        <v>41.096020039999999</v>
      </c>
      <c r="L198" s="402">
        <v>579.44448790000001</v>
      </c>
      <c r="M198" s="402">
        <v>416.95786829999997</v>
      </c>
      <c r="N198" s="402">
        <v>182.23355359999999</v>
      </c>
      <c r="O198" s="402">
        <v>793.31564890000004</v>
      </c>
      <c r="P198" s="402">
        <v>1347.5075810000001</v>
      </c>
      <c r="Q198" s="402">
        <v>534.48241389999998</v>
      </c>
      <c r="R198" s="402">
        <v>912.29415349999999</v>
      </c>
      <c r="S198" s="402">
        <v>1649.736279</v>
      </c>
      <c r="T198" s="402">
        <v>833.53902249999999</v>
      </c>
      <c r="U198" s="407">
        <f t="shared" si="25"/>
        <v>39.399094470637394</v>
      </c>
      <c r="V198" s="402">
        <v>11.717746415969399</v>
      </c>
      <c r="W198" s="402">
        <v>688.92803420356995</v>
      </c>
      <c r="X198" s="407">
        <f t="shared" si="26"/>
        <v>37.992553831979137</v>
      </c>
      <c r="Y198" s="402">
        <v>75.039299815967297</v>
      </c>
      <c r="Z198" s="402">
        <v>1361.6116017258601</v>
      </c>
      <c r="AA198" s="402">
        <v>581.28571472088902</v>
      </c>
      <c r="AB198" s="407">
        <f t="shared" si="27"/>
        <v>26.757815624135887</v>
      </c>
      <c r="AC198" s="399"/>
      <c r="AD198" s="120"/>
    </row>
    <row r="199" spans="1:30" s="30" customFormat="1" x14ac:dyDescent="0.2">
      <c r="A199" s="2">
        <v>195</v>
      </c>
      <c r="B199" s="8" t="s">
        <v>16</v>
      </c>
      <c r="C199" s="21" t="s">
        <v>42</v>
      </c>
      <c r="D199" s="400" t="s">
        <v>89</v>
      </c>
      <c r="E199" s="415">
        <f t="shared" si="24"/>
        <v>34.742788908194896</v>
      </c>
      <c r="F199" s="402">
        <v>411.0110234</v>
      </c>
      <c r="G199" s="402">
        <v>479.21192059999998</v>
      </c>
      <c r="H199" s="402">
        <v>111.2677023</v>
      </c>
      <c r="I199" s="402">
        <v>552.48682250000002</v>
      </c>
      <c r="J199" s="402">
        <v>83.367820120000005</v>
      </c>
      <c r="K199" s="402">
        <v>85.370360419999997</v>
      </c>
      <c r="L199" s="402">
        <v>466.04768589999998</v>
      </c>
      <c r="M199" s="402">
        <v>321.06683889999999</v>
      </c>
      <c r="N199" s="402">
        <v>198.21348119999999</v>
      </c>
      <c r="O199" s="402">
        <v>937.51755219999995</v>
      </c>
      <c r="P199" s="402">
        <v>829.89323409999997</v>
      </c>
      <c r="Q199" s="402">
        <v>374.46760269999999</v>
      </c>
      <c r="R199" s="402">
        <v>957.59056940000005</v>
      </c>
      <c r="S199" s="402">
        <v>1650.315906</v>
      </c>
      <c r="T199" s="402">
        <v>1177.4020869999999</v>
      </c>
      <c r="U199" s="407">
        <f t="shared" si="25"/>
        <v>30.07406703365503</v>
      </c>
      <c r="V199" s="402">
        <v>12.9381691286329</v>
      </c>
      <c r="W199" s="402">
        <v>1031.0077291305499</v>
      </c>
      <c r="X199" s="407">
        <f t="shared" si="26"/>
        <v>24.011328118123402</v>
      </c>
      <c r="Y199" s="402">
        <v>55.955538381629303</v>
      </c>
      <c r="Z199" s="402">
        <v>772.57684705026702</v>
      </c>
      <c r="AA199" s="402">
        <v>142.42810014829601</v>
      </c>
      <c r="AB199" s="407">
        <f t="shared" si="27"/>
        <v>54.811693447346137</v>
      </c>
      <c r="AC199" s="399"/>
      <c r="AD199" s="120"/>
    </row>
    <row r="200" spans="1:30" s="30" customFormat="1" x14ac:dyDescent="0.2">
      <c r="A200" s="2">
        <v>196</v>
      </c>
      <c r="B200" s="8" t="s">
        <v>16</v>
      </c>
      <c r="C200" s="11" t="s">
        <v>21</v>
      </c>
      <c r="D200" s="400" t="s">
        <v>128</v>
      </c>
      <c r="E200" s="415">
        <f t="shared" si="24"/>
        <v>33.77224939720103</v>
      </c>
      <c r="F200" s="402">
        <v>1846.841463</v>
      </c>
      <c r="G200" s="402">
        <v>635.77522929999998</v>
      </c>
      <c r="H200" s="402">
        <v>182.57148419999999</v>
      </c>
      <c r="I200" s="402">
        <v>298.66381560000002</v>
      </c>
      <c r="J200" s="402">
        <v>68.450605260000003</v>
      </c>
      <c r="K200" s="402">
        <v>52.800390530000001</v>
      </c>
      <c r="L200" s="402">
        <v>437.060588</v>
      </c>
      <c r="M200" s="402">
        <v>379.34050769999999</v>
      </c>
      <c r="N200" s="402">
        <v>245.05241219999999</v>
      </c>
      <c r="O200" s="402">
        <v>777.113744</v>
      </c>
      <c r="P200" s="402">
        <v>520.23854210000002</v>
      </c>
      <c r="Q200" s="402">
        <v>393.94457319999998</v>
      </c>
      <c r="R200" s="402">
        <v>948.31936900000005</v>
      </c>
      <c r="S200" s="402">
        <v>1509.338933</v>
      </c>
      <c r="T200" s="402">
        <v>1071.4457540000001</v>
      </c>
      <c r="U200" s="407">
        <f t="shared" si="25"/>
        <v>26.063795012313882</v>
      </c>
      <c r="V200" s="402">
        <v>20.8029429879936</v>
      </c>
      <c r="W200" s="402">
        <v>613.68794438060002</v>
      </c>
      <c r="X200" s="407">
        <f t="shared" si="26"/>
        <v>33.147373316544559</v>
      </c>
      <c r="Y200" s="402">
        <v>117.277223898537</v>
      </c>
      <c r="Z200" s="402">
        <v>516.31538370374994</v>
      </c>
      <c r="AA200" s="402">
        <v>155.087566096562</v>
      </c>
      <c r="AB200" s="407">
        <f t="shared" si="27"/>
        <v>49.81403424763181</v>
      </c>
      <c r="AC200" s="399"/>
      <c r="AD200" s="120"/>
    </row>
    <row r="201" spans="1:30" s="30" customFormat="1" x14ac:dyDescent="0.2">
      <c r="A201" s="2">
        <v>197</v>
      </c>
      <c r="B201" s="8" t="s">
        <v>16</v>
      </c>
      <c r="C201" s="11" t="s">
        <v>21</v>
      </c>
      <c r="D201" s="400" t="s">
        <v>190</v>
      </c>
      <c r="E201" s="415">
        <f t="shared" si="24"/>
        <v>32.531892612654744</v>
      </c>
      <c r="F201" s="402">
        <v>1325.5156999999999</v>
      </c>
      <c r="G201" s="402">
        <v>509.3344171</v>
      </c>
      <c r="H201" s="402">
        <v>200.47179700000001</v>
      </c>
      <c r="I201" s="402">
        <v>214.16008489999999</v>
      </c>
      <c r="J201" s="402">
        <v>66.122171519999995</v>
      </c>
      <c r="K201" s="402">
        <v>76.414652669999995</v>
      </c>
      <c r="L201" s="402">
        <v>439.0375464</v>
      </c>
      <c r="M201" s="402">
        <v>392.68542819999999</v>
      </c>
      <c r="N201" s="402">
        <v>219.0548474</v>
      </c>
      <c r="O201" s="402">
        <v>797.14299970000002</v>
      </c>
      <c r="P201" s="402">
        <v>817.49023030000001</v>
      </c>
      <c r="Q201" s="402">
        <v>411.18272739999998</v>
      </c>
      <c r="R201" s="402">
        <v>950.30516050000006</v>
      </c>
      <c r="S201" s="402">
        <v>1642.845615</v>
      </c>
      <c r="T201" s="402">
        <v>1047.538456</v>
      </c>
      <c r="U201" s="407">
        <f t="shared" si="25"/>
        <v>28.23067489063493</v>
      </c>
      <c r="V201" s="402">
        <v>15.4901371878431</v>
      </c>
      <c r="W201" s="402">
        <v>647.42753695164902</v>
      </c>
      <c r="X201" s="407">
        <f t="shared" si="26"/>
        <v>35.819776395074591</v>
      </c>
      <c r="Y201" s="402">
        <v>134.73651045552401</v>
      </c>
      <c r="Z201" s="402">
        <v>793.79405944363998</v>
      </c>
      <c r="AA201" s="402">
        <v>233.20380891641901</v>
      </c>
      <c r="AB201" s="407">
        <f t="shared" si="27"/>
        <v>37.846444274274525</v>
      </c>
      <c r="AC201" s="399"/>
      <c r="AD201" s="120"/>
    </row>
    <row r="202" spans="1:30" s="30" customFormat="1" x14ac:dyDescent="0.2">
      <c r="A202" s="2">
        <v>198</v>
      </c>
      <c r="B202" s="8" t="s">
        <v>16</v>
      </c>
      <c r="C202" s="21" t="s">
        <v>42</v>
      </c>
      <c r="D202" s="400" t="s">
        <v>59</v>
      </c>
      <c r="E202" s="415">
        <f t="shared" si="24"/>
        <v>31.668711735765307</v>
      </c>
      <c r="F202" s="402">
        <v>526.73848969999995</v>
      </c>
      <c r="G202" s="402">
        <v>915.91685099999995</v>
      </c>
      <c r="H202" s="402">
        <v>182.6894739</v>
      </c>
      <c r="I202" s="402">
        <v>1676.986899</v>
      </c>
      <c r="J202" s="402">
        <v>116.28887880000001</v>
      </c>
      <c r="K202" s="402">
        <v>51.120860329999999</v>
      </c>
      <c r="L202" s="402">
        <v>470.89947690000002</v>
      </c>
      <c r="M202" s="402">
        <v>403.1404015</v>
      </c>
      <c r="N202" s="402">
        <v>233.0474365</v>
      </c>
      <c r="O202" s="402">
        <v>841.89171080000006</v>
      </c>
      <c r="P202" s="402">
        <v>695.76529479999999</v>
      </c>
      <c r="Q202" s="402">
        <v>361.07879689999999</v>
      </c>
      <c r="R202" s="402">
        <v>913.09596610000006</v>
      </c>
      <c r="S202" s="402">
        <v>1540.10843</v>
      </c>
      <c r="T202" s="402">
        <v>1183.801033</v>
      </c>
      <c r="U202" s="407">
        <f t="shared" si="25"/>
        <v>19.900070999902763</v>
      </c>
      <c r="V202" s="402">
        <v>11.1189948833934</v>
      </c>
      <c r="W202" s="402">
        <v>1051.30305065672</v>
      </c>
      <c r="X202" s="407">
        <f t="shared" si="26"/>
        <v>25.633274660244695</v>
      </c>
      <c r="Y202" s="402">
        <v>51.745776268733501</v>
      </c>
      <c r="Z202" s="402">
        <v>482.11970476220898</v>
      </c>
      <c r="AA202" s="402">
        <v>144.31242826170501</v>
      </c>
      <c r="AB202" s="407">
        <f t="shared" si="27"/>
        <v>61.241430283010999</v>
      </c>
      <c r="AC202" s="32"/>
      <c r="AD202" s="120"/>
    </row>
    <row r="203" spans="1:30" ht="4.5" customHeight="1" x14ac:dyDescent="0.25">
      <c r="A203" s="318"/>
      <c r="B203" s="319"/>
      <c r="C203" s="319"/>
      <c r="D203" s="320"/>
      <c r="E203" s="39"/>
      <c r="F203" s="1"/>
      <c r="G203" s="1"/>
      <c r="H203" s="1"/>
      <c r="I203" s="1"/>
      <c r="J203" s="1"/>
      <c r="K203" s="1"/>
      <c r="L203" s="1"/>
      <c r="M203" s="1"/>
      <c r="N203" s="1"/>
      <c r="O203" s="1"/>
      <c r="P203" s="1"/>
      <c r="Q203" s="1"/>
      <c r="R203" s="1"/>
      <c r="S203" s="410"/>
      <c r="T203" s="1"/>
      <c r="U203" s="1"/>
      <c r="V203" s="1"/>
      <c r="W203" s="1"/>
      <c r="X203" s="1"/>
      <c r="Y203" s="1"/>
      <c r="Z203" s="1"/>
      <c r="AA203" s="1"/>
      <c r="AB203" s="1"/>
      <c r="AC203" s="1"/>
      <c r="AD203"/>
    </row>
    <row r="204" spans="1:30" x14ac:dyDescent="0.25">
      <c r="AC204" s="365"/>
    </row>
    <row r="205" spans="1:30" ht="15" customHeight="1" x14ac:dyDescent="0.25">
      <c r="B205" s="50"/>
      <c r="C205" s="50"/>
      <c r="D205" s="50"/>
      <c r="E205" s="420"/>
      <c r="F205" s="413">
        <v>2023</v>
      </c>
      <c r="G205" s="413">
        <v>2023</v>
      </c>
      <c r="H205" s="413">
        <v>2023</v>
      </c>
      <c r="I205" s="413">
        <v>2023</v>
      </c>
      <c r="J205" s="413">
        <v>2023</v>
      </c>
      <c r="K205" s="413">
        <v>2023</v>
      </c>
      <c r="L205" s="413">
        <v>2023</v>
      </c>
      <c r="M205" s="413">
        <v>2023</v>
      </c>
      <c r="N205" s="413">
        <v>2023</v>
      </c>
      <c r="O205" s="413">
        <v>2023</v>
      </c>
      <c r="P205" s="413">
        <v>2023</v>
      </c>
      <c r="Q205" s="413">
        <v>2023</v>
      </c>
      <c r="R205" s="413">
        <v>2023</v>
      </c>
      <c r="S205" s="413">
        <v>2023</v>
      </c>
      <c r="T205" s="413">
        <v>2023</v>
      </c>
      <c r="U205" s="376"/>
      <c r="V205" s="413">
        <v>2023</v>
      </c>
      <c r="W205" s="413">
        <v>2023</v>
      </c>
      <c r="X205" s="380"/>
      <c r="Y205" s="413">
        <v>2023</v>
      </c>
      <c r="Z205" s="413">
        <v>2023</v>
      </c>
      <c r="AA205" s="413">
        <v>2023</v>
      </c>
      <c r="AB205" s="380"/>
      <c r="AC205" s="50"/>
    </row>
    <row r="206" spans="1:30" s="43" customFormat="1" ht="14.25" customHeight="1" x14ac:dyDescent="0.25">
      <c r="A206" s="372"/>
      <c r="B206" s="370"/>
      <c r="C206" s="370"/>
      <c r="D206" s="370"/>
      <c r="E206" s="421"/>
      <c r="F206" s="378" t="s">
        <v>954</v>
      </c>
      <c r="G206" s="378" t="s">
        <v>954</v>
      </c>
      <c r="H206" s="378" t="s">
        <v>954</v>
      </c>
      <c r="I206" s="378" t="s">
        <v>954</v>
      </c>
      <c r="J206" s="378" t="s">
        <v>954</v>
      </c>
      <c r="K206" s="378" t="s">
        <v>954</v>
      </c>
      <c r="L206" s="378" t="s">
        <v>954</v>
      </c>
      <c r="M206" s="378" t="s">
        <v>954</v>
      </c>
      <c r="N206" s="378" t="s">
        <v>954</v>
      </c>
      <c r="O206" s="378" t="s">
        <v>954</v>
      </c>
      <c r="P206" s="378" t="s">
        <v>954</v>
      </c>
      <c r="Q206" s="378" t="s">
        <v>954</v>
      </c>
      <c r="R206" s="378" t="s">
        <v>954</v>
      </c>
      <c r="S206" s="378" t="s">
        <v>954</v>
      </c>
      <c r="T206" s="378" t="s">
        <v>954</v>
      </c>
      <c r="U206" s="370"/>
      <c r="V206" s="378" t="s">
        <v>954</v>
      </c>
      <c r="W206" s="378" t="s">
        <v>954</v>
      </c>
      <c r="X206" s="370"/>
      <c r="Y206" s="378" t="s">
        <v>954</v>
      </c>
      <c r="Z206" s="378" t="s">
        <v>954</v>
      </c>
      <c r="AA206" s="378" t="s">
        <v>954</v>
      </c>
      <c r="AB206" s="370"/>
      <c r="AC206" s="370"/>
      <c r="AD206" s="375"/>
    </row>
    <row r="207" spans="1:30" ht="26.25" customHeight="1" x14ac:dyDescent="0.25">
      <c r="A207" s="597" t="s">
        <v>1068</v>
      </c>
      <c r="B207" s="597"/>
      <c r="C207" s="597"/>
      <c r="D207" s="597"/>
      <c r="E207" s="420"/>
      <c r="F207" s="379"/>
      <c r="G207" s="379"/>
      <c r="H207" s="379"/>
      <c r="I207" s="379"/>
      <c r="J207" s="379"/>
      <c r="K207" s="379"/>
      <c r="L207" s="379"/>
      <c r="M207" s="379"/>
      <c r="N207" s="379"/>
      <c r="O207" s="379"/>
      <c r="P207" s="379"/>
      <c r="Q207" s="379"/>
      <c r="R207" s="413"/>
      <c r="S207" s="414"/>
      <c r="T207" s="413"/>
      <c r="U207" s="379"/>
      <c r="V207" s="50"/>
      <c r="W207" s="413" t="s">
        <v>990</v>
      </c>
      <c r="X207" s="377"/>
      <c r="Y207" s="50"/>
      <c r="Z207" s="413"/>
      <c r="AA207" s="413"/>
      <c r="AB207" s="377"/>
      <c r="AC207" s="50"/>
    </row>
    <row r="208" spans="1:30" x14ac:dyDescent="0.25">
      <c r="B208" s="50"/>
      <c r="C208" s="50"/>
      <c r="D208" s="50"/>
      <c r="E208" s="420"/>
      <c r="F208" s="50"/>
      <c r="G208" s="50"/>
      <c r="H208" s="50"/>
      <c r="I208" s="50"/>
      <c r="J208" s="50"/>
      <c r="K208" s="50"/>
      <c r="L208" s="50"/>
      <c r="M208" s="50"/>
      <c r="N208" s="50"/>
      <c r="O208" s="50"/>
      <c r="P208" s="50"/>
      <c r="Q208" s="50"/>
      <c r="R208" s="50"/>
      <c r="S208" s="370"/>
      <c r="T208" s="50"/>
      <c r="U208" s="50"/>
      <c r="V208" s="50"/>
      <c r="W208" s="369"/>
      <c r="X208" s="369"/>
      <c r="Y208" s="369"/>
      <c r="Z208" s="369"/>
      <c r="AA208" s="369"/>
      <c r="AB208" s="369"/>
      <c r="AC208" s="50"/>
    </row>
    <row r="209" spans="1:31" ht="15" customHeight="1" x14ac:dyDescent="0.25">
      <c r="A209"/>
      <c r="B209" s="383"/>
      <c r="C209" s="383"/>
      <c r="D209" s="383"/>
      <c r="E209" s="420"/>
      <c r="F209" s="50"/>
      <c r="G209" s="50"/>
      <c r="H209" s="50"/>
      <c r="I209" s="50"/>
      <c r="J209" s="50"/>
      <c r="K209" s="50"/>
      <c r="L209" s="50"/>
      <c r="M209" s="50"/>
      <c r="N209" s="50"/>
      <c r="O209" s="50"/>
      <c r="P209" s="50"/>
      <c r="Q209" s="50"/>
      <c r="R209" s="50"/>
      <c r="S209" s="370"/>
      <c r="T209" s="50"/>
      <c r="U209" s="50"/>
      <c r="V209" s="370"/>
      <c r="W209" s="50"/>
      <c r="X209" s="50"/>
      <c r="Y209" s="370"/>
      <c r="Z209" s="50"/>
      <c r="AA209" s="50"/>
      <c r="AB209" s="50"/>
      <c r="AC209" s="50"/>
    </row>
    <row r="210" spans="1:31" x14ac:dyDescent="0.25">
      <c r="A210"/>
      <c r="B210" s="383"/>
      <c r="C210" s="383"/>
      <c r="D210" s="383"/>
      <c r="E210" s="420"/>
      <c r="F210" s="50"/>
      <c r="G210" s="50"/>
      <c r="H210" s="50"/>
      <c r="I210" s="50"/>
      <c r="J210" s="50"/>
      <c r="K210" s="50"/>
      <c r="L210" s="50"/>
      <c r="M210" s="50"/>
      <c r="N210" s="50"/>
      <c r="O210" s="50"/>
      <c r="P210" s="50"/>
      <c r="Q210" s="50"/>
      <c r="R210" s="50"/>
      <c r="S210" s="370"/>
      <c r="T210" s="50"/>
      <c r="U210" s="50"/>
      <c r="V210" s="370"/>
      <c r="W210" s="50"/>
      <c r="X210" s="50"/>
      <c r="Y210" s="370"/>
      <c r="Z210" s="50"/>
      <c r="AA210" s="50"/>
      <c r="AB210" s="50"/>
      <c r="AC210" s="50"/>
      <c r="AE210" s="385"/>
    </row>
    <row r="211" spans="1:31" x14ac:dyDescent="0.25">
      <c r="A211"/>
      <c r="B211" s="383"/>
      <c r="C211" s="383"/>
      <c r="D211" s="383"/>
      <c r="E211" s="420"/>
      <c r="F211" s="50"/>
      <c r="G211" s="50"/>
      <c r="H211" s="50"/>
      <c r="I211" s="50"/>
      <c r="J211" s="50"/>
      <c r="K211" s="50"/>
      <c r="L211" s="50"/>
      <c r="M211" s="50"/>
      <c r="N211" s="50"/>
      <c r="O211" s="50"/>
      <c r="P211" s="50"/>
      <c r="Q211" s="50"/>
      <c r="R211" s="50"/>
      <c r="S211" s="370"/>
      <c r="T211" s="50"/>
      <c r="U211" s="50"/>
      <c r="V211" s="50"/>
      <c r="W211" s="50"/>
      <c r="X211" s="50"/>
      <c r="Y211" s="50"/>
      <c r="Z211" s="50"/>
      <c r="AA211" s="50"/>
      <c r="AB211" s="50"/>
      <c r="AC211" s="50"/>
    </row>
    <row r="212" spans="1:31" x14ac:dyDescent="0.25">
      <c r="A212"/>
      <c r="B212" s="383"/>
      <c r="C212" s="383"/>
      <c r="D212" s="383"/>
      <c r="E212" s="420"/>
      <c r="F212" s="50"/>
      <c r="G212" s="50"/>
      <c r="H212" s="50"/>
      <c r="I212" s="50"/>
      <c r="J212" s="50"/>
      <c r="K212" s="50"/>
      <c r="L212" s="50"/>
      <c r="M212" s="50"/>
      <c r="N212" s="50"/>
      <c r="O212" s="50"/>
      <c r="P212" s="50"/>
      <c r="Q212" s="50"/>
      <c r="R212" s="50"/>
      <c r="S212" s="370"/>
      <c r="T212" s="50"/>
      <c r="U212" s="50"/>
      <c r="V212" s="50"/>
      <c r="W212" s="50"/>
      <c r="X212" s="50"/>
      <c r="Y212" s="50"/>
      <c r="Z212" s="50"/>
      <c r="AA212" s="50"/>
      <c r="AB212" s="50"/>
      <c r="AC212" s="50"/>
    </row>
    <row r="213" spans="1:31" x14ac:dyDescent="0.25">
      <c r="A213"/>
      <c r="B213" s="383"/>
      <c r="C213" s="383"/>
      <c r="D213" s="383"/>
      <c r="E213" s="420"/>
      <c r="F213" s="50"/>
      <c r="G213" s="50"/>
      <c r="H213" s="50"/>
      <c r="I213" s="50"/>
      <c r="J213" s="50"/>
      <c r="K213" s="50"/>
      <c r="L213" s="50"/>
      <c r="M213" s="50"/>
      <c r="N213" s="50"/>
      <c r="O213" s="50"/>
      <c r="P213" s="50"/>
      <c r="Q213" s="50"/>
      <c r="R213" s="50"/>
      <c r="S213" s="370"/>
      <c r="T213" s="50"/>
      <c r="U213" s="50"/>
      <c r="V213" s="50"/>
      <c r="W213" s="50"/>
      <c r="X213" s="50"/>
      <c r="Y213" s="50"/>
      <c r="Z213" s="50"/>
      <c r="AA213" s="50"/>
      <c r="AB213" s="50"/>
      <c r="AC213" s="50"/>
    </row>
    <row r="214" spans="1:31" x14ac:dyDescent="0.25">
      <c r="A214"/>
      <c r="B214" s="383"/>
      <c r="C214" s="383"/>
      <c r="D214" s="383"/>
      <c r="E214" s="420"/>
      <c r="F214" s="50"/>
      <c r="G214" s="50"/>
      <c r="H214" s="50"/>
      <c r="I214" s="50"/>
      <c r="J214" s="50"/>
      <c r="K214" s="50"/>
      <c r="L214" s="50"/>
      <c r="M214" s="50"/>
      <c r="N214" s="50"/>
      <c r="O214" s="50"/>
      <c r="P214" s="50"/>
      <c r="Q214" s="50"/>
      <c r="R214" s="50"/>
      <c r="S214" s="370"/>
      <c r="T214" s="50"/>
      <c r="U214" s="50"/>
      <c r="V214" s="50"/>
      <c r="W214" s="50"/>
      <c r="X214" s="50"/>
      <c r="Y214" s="50"/>
      <c r="Z214" s="50"/>
      <c r="AA214" s="50"/>
      <c r="AB214" s="50"/>
      <c r="AC214" s="50"/>
    </row>
    <row r="215" spans="1:31" x14ac:dyDescent="0.25">
      <c r="A215"/>
      <c r="B215" s="383"/>
      <c r="C215" s="383"/>
      <c r="D215" s="383"/>
      <c r="E215" s="420"/>
      <c r="F215" s="50"/>
      <c r="G215" s="50"/>
      <c r="H215" s="50"/>
      <c r="I215" s="50"/>
      <c r="J215" s="50"/>
      <c r="K215" s="50"/>
      <c r="L215" s="50"/>
      <c r="M215" s="50"/>
      <c r="N215" s="50"/>
      <c r="O215" s="50"/>
      <c r="P215" s="50"/>
      <c r="Q215" s="50"/>
      <c r="R215" s="50"/>
      <c r="S215" s="370"/>
      <c r="T215" s="50"/>
      <c r="U215" s="50"/>
      <c r="V215" s="50"/>
      <c r="W215" s="50"/>
      <c r="X215" s="50"/>
      <c r="Y215" s="50"/>
      <c r="Z215" s="50"/>
      <c r="AA215" s="50"/>
      <c r="AB215" s="50"/>
      <c r="AC215" s="50"/>
    </row>
    <row r="216" spans="1:31" x14ac:dyDescent="0.25">
      <c r="A216"/>
      <c r="B216" s="383"/>
      <c r="C216" s="383"/>
      <c r="D216" s="383"/>
      <c r="E216" s="420"/>
      <c r="F216" s="50"/>
      <c r="G216" s="50"/>
      <c r="H216" s="50"/>
      <c r="I216" s="50"/>
      <c r="J216" s="50"/>
      <c r="K216" s="50"/>
      <c r="L216" s="50"/>
      <c r="M216" s="50"/>
      <c r="N216" s="50"/>
      <c r="O216" s="50"/>
      <c r="P216" s="50"/>
      <c r="Q216" s="50"/>
      <c r="R216" s="50"/>
      <c r="S216" s="370"/>
      <c r="T216" s="50"/>
      <c r="U216" s="50"/>
      <c r="V216" s="50"/>
      <c r="W216" s="50"/>
      <c r="X216" s="50"/>
      <c r="Y216" s="50"/>
      <c r="Z216" s="50"/>
      <c r="AA216" s="50"/>
      <c r="AB216" s="50"/>
      <c r="AC216" s="50"/>
    </row>
    <row r="217" spans="1:31" x14ac:dyDescent="0.25">
      <c r="A217"/>
      <c r="B217" s="383"/>
      <c r="C217" s="383"/>
      <c r="D217" s="383"/>
      <c r="E217" s="420"/>
      <c r="F217" s="50"/>
      <c r="G217" s="50"/>
      <c r="H217" s="50"/>
      <c r="I217" s="50"/>
      <c r="J217" s="50"/>
      <c r="K217" s="50"/>
      <c r="L217" s="50"/>
      <c r="M217" s="50"/>
      <c r="N217" s="50"/>
      <c r="O217" s="50"/>
      <c r="P217" s="50"/>
      <c r="Q217" s="50"/>
      <c r="R217" s="50"/>
      <c r="S217" s="370"/>
      <c r="T217" s="50"/>
      <c r="U217" s="50"/>
      <c r="V217" s="50"/>
      <c r="W217" s="50"/>
      <c r="X217" s="50"/>
      <c r="Y217" s="50"/>
      <c r="Z217" s="50"/>
      <c r="AA217" s="50"/>
      <c r="AB217" s="50"/>
      <c r="AC217" s="50"/>
    </row>
    <row r="218" spans="1:31" x14ac:dyDescent="0.25">
      <c r="A218"/>
      <c r="B218" s="383"/>
      <c r="C218" s="383"/>
      <c r="D218" s="383"/>
      <c r="E218" s="420"/>
      <c r="F218" s="50"/>
      <c r="G218" s="50"/>
      <c r="H218" s="50"/>
      <c r="I218" s="50"/>
      <c r="J218" s="50"/>
      <c r="K218" s="50"/>
      <c r="L218" s="50"/>
      <c r="M218" s="50"/>
      <c r="N218" s="50"/>
      <c r="O218" s="50"/>
      <c r="P218" s="50"/>
      <c r="Q218" s="50"/>
      <c r="R218" s="50"/>
      <c r="S218" s="370"/>
      <c r="T218" s="50"/>
      <c r="U218" s="50"/>
      <c r="V218" s="50"/>
      <c r="W218" s="50"/>
      <c r="X218" s="50"/>
      <c r="Y218" s="50"/>
      <c r="Z218" s="50"/>
      <c r="AA218" s="50"/>
      <c r="AB218" s="50"/>
      <c r="AC218" s="50"/>
    </row>
    <row r="219" spans="1:31" x14ac:dyDescent="0.25">
      <c r="A219"/>
      <c r="B219" s="383"/>
      <c r="C219" s="383"/>
      <c r="D219" s="383"/>
      <c r="E219" s="420"/>
      <c r="F219" s="50"/>
      <c r="G219" s="50"/>
      <c r="H219" s="50"/>
      <c r="I219" s="50"/>
      <c r="J219" s="50"/>
      <c r="K219" s="50"/>
      <c r="L219" s="50"/>
      <c r="M219" s="50"/>
      <c r="N219" s="50"/>
      <c r="O219" s="50"/>
      <c r="P219" s="50"/>
      <c r="Q219" s="50"/>
      <c r="R219" s="50"/>
      <c r="S219" s="370"/>
      <c r="T219" s="50"/>
      <c r="U219" s="50"/>
      <c r="V219" s="50"/>
      <c r="W219" s="50"/>
      <c r="X219" s="50"/>
      <c r="Y219" s="50"/>
      <c r="Z219" s="50"/>
      <c r="AA219" s="50"/>
      <c r="AB219" s="50"/>
      <c r="AC219" s="50"/>
    </row>
    <row r="220" spans="1:31" x14ac:dyDescent="0.25">
      <c r="A220"/>
      <c r="B220" s="383"/>
      <c r="C220" s="383"/>
      <c r="D220" s="383"/>
      <c r="E220" s="420"/>
      <c r="F220" s="50"/>
      <c r="G220" s="50"/>
      <c r="H220" s="50"/>
      <c r="I220" s="50"/>
      <c r="J220" s="50"/>
      <c r="K220" s="50"/>
      <c r="L220" s="50"/>
      <c r="M220" s="50"/>
      <c r="N220" s="50"/>
      <c r="O220" s="50"/>
      <c r="P220" s="50"/>
      <c r="Q220" s="50"/>
      <c r="R220" s="50"/>
      <c r="S220" s="370"/>
      <c r="T220" s="50"/>
      <c r="U220" s="50"/>
      <c r="V220" s="50"/>
      <c r="W220" s="50"/>
      <c r="X220" s="50"/>
      <c r="Y220" s="50"/>
      <c r="Z220" s="50"/>
      <c r="AA220" s="50"/>
      <c r="AB220" s="50"/>
      <c r="AC220" s="50"/>
    </row>
    <row r="221" spans="1:31" x14ac:dyDescent="0.25">
      <c r="A221"/>
      <c r="B221" s="383"/>
      <c r="C221" s="383"/>
      <c r="D221" s="383"/>
      <c r="E221" s="420"/>
      <c r="F221" s="50"/>
      <c r="G221" s="50"/>
      <c r="H221" s="50"/>
      <c r="I221" s="50"/>
      <c r="J221" s="50"/>
      <c r="K221" s="50"/>
      <c r="L221" s="50"/>
      <c r="M221" s="50"/>
      <c r="N221" s="50"/>
      <c r="O221" s="50"/>
      <c r="P221" s="50"/>
      <c r="Q221" s="50"/>
      <c r="R221" s="50"/>
      <c r="S221" s="370"/>
      <c r="T221" s="50"/>
      <c r="U221" s="50"/>
      <c r="V221" s="50"/>
      <c r="W221" s="50"/>
      <c r="X221" s="50"/>
      <c r="Y221" s="50"/>
      <c r="Z221" s="50"/>
      <c r="AA221" s="50"/>
      <c r="AB221" s="50"/>
      <c r="AC221" s="50"/>
    </row>
    <row r="222" spans="1:31" ht="17.25" customHeight="1" x14ac:dyDescent="0.25">
      <c r="A222"/>
      <c r="B222" s="383"/>
      <c r="C222" s="383"/>
      <c r="D222" s="383"/>
      <c r="E222" s="420"/>
      <c r="F222" s="50"/>
      <c r="G222" s="50"/>
      <c r="H222" s="50"/>
      <c r="I222" s="50"/>
      <c r="J222" s="50"/>
      <c r="K222" s="50"/>
      <c r="L222" s="50"/>
      <c r="M222" s="50"/>
      <c r="N222" s="50"/>
      <c r="O222" s="50"/>
      <c r="P222" s="50"/>
      <c r="Q222" s="50"/>
      <c r="R222" s="50"/>
      <c r="S222" s="370"/>
      <c r="T222" s="50"/>
      <c r="U222" s="50"/>
      <c r="V222" s="50"/>
      <c r="W222" s="50"/>
      <c r="X222" s="50"/>
      <c r="Y222" s="50"/>
      <c r="Z222" s="50"/>
      <c r="AA222" s="50"/>
      <c r="AB222" s="50"/>
      <c r="AC222" s="50"/>
    </row>
    <row r="223" spans="1:31" ht="15" customHeight="1" x14ac:dyDescent="0.25">
      <c r="A223"/>
      <c r="B223" s="383"/>
      <c r="C223" s="383"/>
      <c r="D223" s="383"/>
      <c r="E223" s="420"/>
      <c r="F223" s="50"/>
      <c r="G223" s="50"/>
      <c r="H223" s="50"/>
      <c r="I223" s="50"/>
      <c r="J223" s="50"/>
      <c r="K223" s="50"/>
      <c r="L223" s="50"/>
      <c r="M223" s="50"/>
      <c r="N223" s="50"/>
      <c r="O223" s="50"/>
      <c r="P223" s="50"/>
      <c r="Q223" s="50"/>
      <c r="R223" s="50"/>
      <c r="S223" s="370"/>
      <c r="T223" s="50"/>
      <c r="U223" s="50"/>
      <c r="V223" s="50"/>
      <c r="W223" s="50"/>
      <c r="X223" s="50"/>
      <c r="Y223" s="50"/>
      <c r="Z223" s="50"/>
      <c r="AA223" s="50"/>
      <c r="AB223" s="50"/>
      <c r="AC223" s="50"/>
    </row>
    <row r="224" spans="1:31" ht="15" customHeight="1" x14ac:dyDescent="0.25">
      <c r="A224"/>
      <c r="B224" s="383"/>
      <c r="C224" s="383"/>
      <c r="D224" s="383"/>
      <c r="E224" s="420"/>
      <c r="F224" s="50"/>
      <c r="G224" s="50"/>
      <c r="H224" s="50"/>
      <c r="I224" s="50"/>
      <c r="J224" s="50"/>
      <c r="K224" s="50"/>
      <c r="L224" s="50"/>
      <c r="M224" s="50"/>
      <c r="N224" s="50"/>
      <c r="O224" s="50"/>
      <c r="P224" s="50"/>
      <c r="Q224" s="50"/>
      <c r="R224" s="50"/>
      <c r="S224" s="370"/>
      <c r="T224" s="50"/>
      <c r="U224" s="50"/>
      <c r="V224" s="50"/>
      <c r="W224" s="50"/>
      <c r="X224" s="50"/>
      <c r="Y224" s="50"/>
      <c r="Z224" s="50"/>
      <c r="AA224" s="50"/>
      <c r="AB224" s="50"/>
      <c r="AC224" s="50"/>
    </row>
    <row r="225" spans="1:30" x14ac:dyDescent="0.25">
      <c r="A225"/>
      <c r="B225" s="109"/>
      <c r="C225" s="109"/>
      <c r="D225" s="386"/>
      <c r="F225" s="50"/>
      <c r="G225" s="50"/>
      <c r="H225" s="50"/>
      <c r="I225" s="50"/>
      <c r="J225" s="50"/>
      <c r="K225" s="50"/>
      <c r="L225" s="50"/>
      <c r="M225" s="50"/>
      <c r="N225" s="50"/>
      <c r="O225" s="50"/>
      <c r="P225" s="50"/>
      <c r="Q225" s="50"/>
      <c r="R225" s="50"/>
      <c r="S225" s="370"/>
      <c r="T225" s="50"/>
      <c r="U225" s="50"/>
      <c r="V225" s="50"/>
      <c r="W225" s="50"/>
      <c r="X225" s="50"/>
      <c r="Y225" s="50"/>
      <c r="Z225" s="50"/>
      <c r="AA225" s="50"/>
      <c r="AB225" s="50"/>
      <c r="AC225" s="50"/>
      <c r="AD225"/>
    </row>
    <row r="226" spans="1:30" x14ac:dyDescent="0.25">
      <c r="A226"/>
      <c r="B226" s="109"/>
      <c r="C226" s="109"/>
      <c r="D226" s="386"/>
      <c r="F226" s="50"/>
      <c r="G226" s="50"/>
      <c r="H226" s="50"/>
      <c r="I226" s="50"/>
      <c r="J226" s="50"/>
      <c r="K226" s="50"/>
      <c r="L226" s="50"/>
      <c r="M226" s="50"/>
      <c r="N226" s="50"/>
      <c r="O226" s="50"/>
      <c r="P226" s="50"/>
      <c r="Q226" s="50"/>
      <c r="R226" s="50"/>
      <c r="S226" s="370"/>
      <c r="T226" s="50"/>
      <c r="U226" s="50"/>
      <c r="V226" s="50"/>
      <c r="W226" s="50"/>
      <c r="X226" s="50"/>
      <c r="Y226" s="50"/>
      <c r="Z226" s="50"/>
      <c r="AA226" s="50"/>
      <c r="AB226" s="50"/>
      <c r="AC226" s="50"/>
      <c r="AD226"/>
    </row>
    <row r="227" spans="1:30" x14ac:dyDescent="0.25">
      <c r="A227"/>
      <c r="B227" s="109"/>
      <c r="C227" s="109"/>
      <c r="D227" s="386"/>
      <c r="F227" s="50"/>
      <c r="G227" s="50"/>
      <c r="H227" s="50"/>
      <c r="I227" s="50"/>
      <c r="J227" s="50"/>
      <c r="K227" s="50"/>
      <c r="L227" s="50"/>
      <c r="M227" s="50"/>
      <c r="N227" s="50"/>
      <c r="O227" s="50"/>
      <c r="P227" s="50"/>
      <c r="Q227" s="50"/>
      <c r="R227" s="50"/>
      <c r="S227" s="370"/>
      <c r="T227" s="50"/>
      <c r="U227" s="50"/>
      <c r="V227" s="50"/>
      <c r="W227" s="50"/>
      <c r="X227" s="50"/>
      <c r="Y227" s="50"/>
      <c r="Z227" s="50"/>
      <c r="AA227" s="50"/>
      <c r="AB227" s="50"/>
      <c r="AC227" s="50"/>
      <c r="AD227"/>
    </row>
    <row r="228" spans="1:30" x14ac:dyDescent="0.25">
      <c r="A228"/>
      <c r="F228" s="50"/>
      <c r="G228" s="50"/>
      <c r="H228" s="50"/>
      <c r="I228" s="50"/>
      <c r="J228" s="50"/>
      <c r="K228" s="50"/>
      <c r="L228" s="50"/>
      <c r="M228" s="50"/>
      <c r="N228" s="50"/>
      <c r="O228" s="50"/>
      <c r="P228" s="50"/>
      <c r="Q228" s="50"/>
      <c r="R228" s="50"/>
      <c r="S228" s="370"/>
      <c r="T228" s="50"/>
      <c r="U228" s="50"/>
      <c r="V228" s="50"/>
      <c r="W228" s="50"/>
      <c r="X228" s="50"/>
      <c r="Y228" s="50"/>
      <c r="Z228" s="50"/>
      <c r="AA228" s="50"/>
      <c r="AB228" s="50"/>
      <c r="AC228" s="50"/>
      <c r="AD228"/>
    </row>
    <row r="229" spans="1:30" x14ac:dyDescent="0.25">
      <c r="A229"/>
      <c r="F229" s="50"/>
      <c r="G229" s="50"/>
      <c r="H229" s="50"/>
      <c r="I229" s="50"/>
      <c r="J229" s="50"/>
      <c r="K229" s="50"/>
      <c r="L229" s="50"/>
      <c r="M229" s="50"/>
      <c r="N229" s="50"/>
      <c r="O229" s="50"/>
      <c r="P229" s="50"/>
      <c r="Q229" s="50"/>
      <c r="R229" s="50"/>
      <c r="S229" s="370"/>
      <c r="T229" s="50"/>
      <c r="U229" s="50"/>
      <c r="V229" s="50"/>
      <c r="W229" s="50"/>
      <c r="X229" s="50"/>
      <c r="Y229" s="50"/>
      <c r="Z229" s="50"/>
      <c r="AA229" s="50"/>
      <c r="AB229" s="50"/>
      <c r="AC229" s="50"/>
      <c r="AD229"/>
    </row>
    <row r="230" spans="1:30" x14ac:dyDescent="0.25">
      <c r="A230"/>
      <c r="F230" s="50"/>
      <c r="G230" s="50"/>
      <c r="H230" s="50"/>
      <c r="I230" s="50"/>
      <c r="J230" s="50"/>
      <c r="K230" s="50"/>
      <c r="L230" s="50"/>
      <c r="M230" s="50"/>
      <c r="N230" s="50"/>
      <c r="O230" s="50"/>
      <c r="P230" s="50"/>
      <c r="Q230" s="50"/>
      <c r="R230" s="50"/>
      <c r="S230" s="370"/>
      <c r="T230" s="50"/>
      <c r="U230" s="50"/>
      <c r="V230" s="50"/>
      <c r="W230" s="50"/>
      <c r="X230" s="50"/>
      <c r="Y230" s="50"/>
      <c r="Z230" s="50"/>
      <c r="AA230" s="50"/>
      <c r="AB230" s="50"/>
      <c r="AC230" s="50"/>
      <c r="AD230"/>
    </row>
    <row r="231" spans="1:30" x14ac:dyDescent="0.25">
      <c r="A231"/>
      <c r="F231" s="50"/>
      <c r="G231" s="50"/>
      <c r="H231" s="50"/>
      <c r="I231" s="50"/>
      <c r="J231" s="50"/>
      <c r="K231" s="50"/>
      <c r="L231" s="50"/>
      <c r="M231" s="50"/>
      <c r="N231" s="50"/>
      <c r="O231" s="50"/>
      <c r="P231" s="50"/>
      <c r="Q231" s="50"/>
      <c r="R231" s="50"/>
      <c r="S231" s="370"/>
      <c r="T231" s="50"/>
      <c r="U231" s="50"/>
      <c r="V231" s="50"/>
      <c r="W231" s="50"/>
      <c r="X231" s="50"/>
      <c r="Y231" s="50"/>
      <c r="Z231" s="50"/>
      <c r="AA231" s="50"/>
      <c r="AB231" s="50"/>
      <c r="AC231" s="50"/>
      <c r="AD231"/>
    </row>
    <row r="232" spans="1:30" x14ac:dyDescent="0.25">
      <c r="A232"/>
      <c r="F232" s="50"/>
      <c r="G232" s="50"/>
      <c r="H232" s="50"/>
      <c r="I232" s="50"/>
      <c r="J232" s="50"/>
      <c r="K232" s="50"/>
      <c r="L232" s="50"/>
      <c r="M232" s="50"/>
      <c r="N232" s="50"/>
      <c r="O232" s="50"/>
      <c r="P232" s="50"/>
      <c r="Q232" s="50"/>
      <c r="R232" s="50"/>
      <c r="S232" s="370"/>
      <c r="T232" s="50"/>
      <c r="U232" s="50"/>
      <c r="V232" s="50"/>
      <c r="W232" s="50"/>
      <c r="X232" s="50"/>
      <c r="Y232" s="50"/>
      <c r="Z232" s="50"/>
      <c r="AA232" s="50"/>
      <c r="AB232" s="50"/>
      <c r="AC232" s="50"/>
      <c r="AD232"/>
    </row>
    <row r="233" spans="1:30" x14ac:dyDescent="0.25">
      <c r="A233"/>
      <c r="F233" s="50"/>
      <c r="G233" s="50"/>
      <c r="H233" s="50"/>
      <c r="I233" s="50"/>
      <c r="J233" s="50"/>
      <c r="K233" s="50"/>
      <c r="L233" s="50"/>
      <c r="M233" s="50"/>
      <c r="N233" s="50"/>
      <c r="O233" s="50"/>
      <c r="P233" s="50"/>
      <c r="Q233" s="50"/>
      <c r="R233" s="50"/>
      <c r="S233" s="370"/>
      <c r="T233" s="50"/>
      <c r="U233" s="50"/>
      <c r="V233" s="50"/>
      <c r="W233" s="50"/>
      <c r="X233" s="50"/>
      <c r="Y233" s="50"/>
      <c r="Z233" s="50"/>
      <c r="AA233" s="50"/>
      <c r="AB233" s="50"/>
      <c r="AC233" s="50"/>
      <c r="AD233"/>
    </row>
    <row r="234" spans="1:30" x14ac:dyDescent="0.25">
      <c r="A234"/>
      <c r="F234" s="50"/>
      <c r="G234" s="50"/>
      <c r="H234" s="50"/>
      <c r="I234" s="50"/>
      <c r="J234" s="50"/>
      <c r="K234" s="50"/>
      <c r="L234" s="50"/>
      <c r="M234" s="50"/>
      <c r="N234" s="50"/>
      <c r="O234" s="50"/>
      <c r="P234" s="50"/>
      <c r="Q234" s="50"/>
      <c r="R234" s="50"/>
      <c r="S234" s="370"/>
      <c r="T234" s="50"/>
      <c r="U234" s="50"/>
      <c r="V234" s="50"/>
      <c r="W234" s="50"/>
      <c r="X234" s="50"/>
      <c r="Y234" s="50"/>
      <c r="Z234" s="50"/>
      <c r="AA234" s="50"/>
      <c r="AB234" s="50"/>
      <c r="AC234" s="50"/>
      <c r="AD234"/>
    </row>
    <row r="235" spans="1:30" x14ac:dyDescent="0.25">
      <c r="A235"/>
      <c r="F235" s="50"/>
      <c r="G235" s="50"/>
      <c r="H235" s="50"/>
      <c r="I235" s="50"/>
      <c r="J235" s="50"/>
      <c r="K235" s="50"/>
      <c r="L235" s="50"/>
      <c r="M235" s="50"/>
      <c r="N235" s="50"/>
      <c r="O235" s="50"/>
      <c r="P235" s="50"/>
      <c r="Q235" s="50"/>
      <c r="R235" s="50"/>
      <c r="S235" s="370"/>
      <c r="T235" s="50"/>
      <c r="U235" s="50"/>
      <c r="V235" s="50"/>
      <c r="W235" s="50"/>
      <c r="X235" s="50"/>
      <c r="Y235" s="50"/>
      <c r="Z235" s="50"/>
      <c r="AA235" s="50"/>
      <c r="AB235" s="50"/>
      <c r="AC235" s="50"/>
      <c r="AD235"/>
    </row>
    <row r="236" spans="1:30" x14ac:dyDescent="0.25">
      <c r="A236"/>
      <c r="F236" s="50"/>
      <c r="G236" s="50"/>
      <c r="H236" s="50"/>
      <c r="I236" s="50"/>
      <c r="J236" s="50"/>
      <c r="K236" s="50"/>
      <c r="L236" s="50"/>
      <c r="M236" s="50"/>
      <c r="N236" s="50"/>
      <c r="O236" s="50"/>
      <c r="P236" s="50"/>
      <c r="Q236" s="50"/>
      <c r="R236" s="50"/>
      <c r="S236" s="370"/>
      <c r="T236" s="50"/>
      <c r="U236" s="50"/>
      <c r="V236" s="50"/>
      <c r="W236" s="50"/>
      <c r="X236" s="50"/>
      <c r="Y236" s="50"/>
      <c r="Z236" s="50"/>
      <c r="AA236" s="50"/>
      <c r="AB236" s="50"/>
      <c r="AC236" s="50"/>
      <c r="AD236"/>
    </row>
    <row r="237" spans="1:30" x14ac:dyDescent="0.25">
      <c r="A237"/>
      <c r="F237" s="50"/>
      <c r="G237" s="50"/>
      <c r="H237" s="50"/>
      <c r="I237" s="50"/>
      <c r="J237" s="50"/>
      <c r="K237" s="50"/>
      <c r="L237" s="50"/>
      <c r="M237" s="50"/>
      <c r="N237" s="50"/>
      <c r="O237" s="50"/>
      <c r="P237" s="50"/>
      <c r="Q237" s="50"/>
      <c r="R237" s="50"/>
      <c r="S237" s="370"/>
      <c r="T237" s="50"/>
      <c r="U237" s="50"/>
      <c r="V237" s="50"/>
      <c r="W237" s="50"/>
      <c r="X237" s="50"/>
      <c r="Y237" s="50"/>
      <c r="Z237" s="50"/>
      <c r="AA237" s="50"/>
      <c r="AB237" s="50"/>
      <c r="AC237" s="50"/>
      <c r="AD237"/>
    </row>
    <row r="238" spans="1:30" x14ac:dyDescent="0.25">
      <c r="A238"/>
      <c r="F238" s="50"/>
      <c r="G238" s="50"/>
      <c r="H238" s="50"/>
      <c r="I238" s="50"/>
      <c r="J238" s="50"/>
      <c r="K238" s="50"/>
      <c r="L238" s="50"/>
      <c r="M238" s="50"/>
      <c r="N238" s="50"/>
      <c r="O238" s="50"/>
      <c r="P238" s="50"/>
      <c r="Q238" s="50"/>
      <c r="R238" s="50"/>
      <c r="S238" s="370"/>
      <c r="T238" s="50"/>
      <c r="U238" s="50"/>
      <c r="V238" s="50"/>
      <c r="W238" s="50"/>
      <c r="X238" s="50"/>
      <c r="Y238" s="50"/>
      <c r="Z238" s="50"/>
      <c r="AA238" s="50"/>
      <c r="AB238" s="50"/>
      <c r="AC238" s="50"/>
      <c r="AD238"/>
    </row>
    <row r="239" spans="1:30" x14ac:dyDescent="0.25">
      <c r="A239"/>
      <c r="F239" s="50"/>
      <c r="G239" s="50"/>
      <c r="H239" s="50"/>
      <c r="I239" s="50"/>
      <c r="J239" s="50"/>
      <c r="K239" s="50"/>
      <c r="L239" s="50"/>
      <c r="M239" s="50"/>
      <c r="N239" s="50"/>
      <c r="O239" s="50"/>
      <c r="P239" s="50"/>
      <c r="Q239" s="50"/>
      <c r="R239" s="50"/>
      <c r="S239" s="370"/>
      <c r="T239" s="50"/>
      <c r="U239" s="50"/>
      <c r="V239" s="50"/>
      <c r="W239" s="50"/>
      <c r="X239" s="50"/>
      <c r="Y239" s="50"/>
      <c r="Z239" s="50"/>
      <c r="AA239" s="50"/>
      <c r="AB239" s="50"/>
      <c r="AC239" s="50"/>
      <c r="AD239"/>
    </row>
    <row r="240" spans="1:30" x14ac:dyDescent="0.25">
      <c r="A240"/>
      <c r="F240" s="50"/>
      <c r="G240" s="50"/>
      <c r="H240" s="50"/>
      <c r="I240" s="50"/>
      <c r="J240" s="50"/>
      <c r="K240" s="50"/>
      <c r="L240" s="50"/>
      <c r="M240" s="50"/>
      <c r="N240" s="50"/>
      <c r="O240" s="50"/>
      <c r="P240" s="50"/>
      <c r="Q240" s="50"/>
      <c r="R240" s="50"/>
      <c r="S240" s="370"/>
      <c r="T240" s="50"/>
      <c r="U240" s="50"/>
      <c r="V240" s="50"/>
      <c r="W240" s="50"/>
      <c r="X240" s="50"/>
      <c r="Y240" s="50"/>
      <c r="Z240" s="50"/>
      <c r="AA240" s="50"/>
      <c r="AB240" s="50"/>
      <c r="AC240" s="50"/>
      <c r="AD240"/>
    </row>
    <row r="241" spans="1:30" x14ac:dyDescent="0.25">
      <c r="A241"/>
      <c r="B241"/>
      <c r="C241"/>
      <c r="D241"/>
      <c r="F241" s="50"/>
      <c r="G241" s="50"/>
      <c r="H241" s="50"/>
      <c r="I241" s="50"/>
      <c r="J241" s="50"/>
      <c r="K241" s="50"/>
      <c r="L241" s="50"/>
      <c r="M241" s="50"/>
      <c r="N241" s="50"/>
      <c r="O241" s="50"/>
      <c r="P241" s="50"/>
      <c r="Q241" s="50"/>
      <c r="R241" s="50"/>
      <c r="S241" s="370"/>
      <c r="T241" s="50"/>
      <c r="U241" s="50"/>
      <c r="V241" s="50"/>
      <c r="W241" s="50"/>
      <c r="X241" s="50"/>
      <c r="Y241" s="50"/>
      <c r="Z241" s="50"/>
      <c r="AA241" s="50"/>
      <c r="AB241" s="50"/>
      <c r="AC241" s="50"/>
      <c r="AD241"/>
    </row>
    <row r="242" spans="1:30" x14ac:dyDescent="0.25">
      <c r="A242"/>
      <c r="B242"/>
      <c r="C242"/>
      <c r="D242"/>
      <c r="F242" s="50"/>
      <c r="G242" s="50"/>
      <c r="H242" s="50"/>
      <c r="I242" s="50"/>
      <c r="J242" s="50"/>
      <c r="K242" s="50"/>
      <c r="L242" s="50"/>
      <c r="M242" s="50"/>
      <c r="N242" s="50"/>
      <c r="O242" s="50"/>
      <c r="P242" s="50"/>
      <c r="Q242" s="50"/>
      <c r="R242" s="50"/>
      <c r="S242" s="370"/>
      <c r="T242" s="50"/>
      <c r="U242" s="50"/>
      <c r="V242" s="50"/>
      <c r="W242" s="50"/>
      <c r="X242" s="50"/>
      <c r="Y242" s="50"/>
      <c r="Z242" s="50"/>
      <c r="AA242" s="50"/>
      <c r="AB242" s="50"/>
      <c r="AC242" s="50"/>
      <c r="AD242"/>
    </row>
    <row r="243" spans="1:30" x14ac:dyDescent="0.25">
      <c r="A243"/>
      <c r="B243"/>
      <c r="C243"/>
      <c r="D243"/>
      <c r="F243" s="50"/>
      <c r="G243" s="50"/>
      <c r="H243" s="50"/>
      <c r="I243" s="50"/>
      <c r="J243" s="50"/>
      <c r="K243" s="50"/>
      <c r="L243" s="50"/>
      <c r="M243" s="50"/>
      <c r="N243" s="50"/>
      <c r="O243" s="50"/>
      <c r="P243" s="50"/>
      <c r="Q243" s="50"/>
      <c r="R243" s="50"/>
      <c r="S243" s="370"/>
      <c r="T243" s="50"/>
      <c r="U243" s="50"/>
      <c r="V243" s="50"/>
      <c r="W243" s="50"/>
      <c r="X243" s="50"/>
      <c r="Y243" s="50"/>
      <c r="Z243" s="50"/>
      <c r="AA243" s="50"/>
      <c r="AB243" s="50"/>
      <c r="AC243" s="50"/>
      <c r="AD243"/>
    </row>
    <row r="244" spans="1:30" x14ac:dyDescent="0.25">
      <c r="A244"/>
      <c r="B244"/>
      <c r="C244"/>
      <c r="D244"/>
      <c r="F244" s="50"/>
      <c r="G244" s="50"/>
      <c r="H244" s="50"/>
      <c r="I244" s="50"/>
      <c r="J244" s="50"/>
      <c r="K244" s="50"/>
      <c r="L244" s="50"/>
      <c r="M244" s="50"/>
      <c r="N244" s="50"/>
      <c r="O244" s="50"/>
      <c r="P244" s="50"/>
      <c r="Q244" s="50"/>
      <c r="R244" s="50"/>
      <c r="S244" s="370"/>
      <c r="T244" s="50"/>
      <c r="U244" s="50"/>
      <c r="V244" s="50"/>
      <c r="W244" s="50"/>
      <c r="X244" s="50"/>
      <c r="Y244" s="50"/>
      <c r="Z244" s="50"/>
      <c r="AA244" s="50"/>
      <c r="AB244" s="50"/>
      <c r="AC244" s="50"/>
      <c r="AD244"/>
    </row>
    <row r="245" spans="1:30" x14ac:dyDescent="0.25">
      <c r="A245"/>
      <c r="B245"/>
      <c r="C245"/>
      <c r="D245"/>
      <c r="F245" s="50"/>
      <c r="G245" s="50"/>
      <c r="H245" s="50"/>
      <c r="I245" s="50"/>
      <c r="J245" s="50"/>
      <c r="K245" s="50"/>
      <c r="L245" s="50"/>
      <c r="M245" s="50"/>
      <c r="N245" s="50"/>
      <c r="O245" s="50"/>
      <c r="P245" s="50"/>
      <c r="Q245" s="50"/>
      <c r="R245" s="50"/>
      <c r="S245" s="370"/>
      <c r="T245" s="50"/>
      <c r="U245" s="50"/>
      <c r="V245" s="50"/>
      <c r="W245" s="50"/>
      <c r="X245" s="50"/>
      <c r="Y245" s="50"/>
      <c r="Z245" s="50"/>
      <c r="AA245" s="50"/>
      <c r="AB245" s="50"/>
      <c r="AC245" s="50"/>
      <c r="AD245"/>
    </row>
    <row r="246" spans="1:30" x14ac:dyDescent="0.25">
      <c r="A246"/>
      <c r="B246"/>
      <c r="C246"/>
      <c r="D246"/>
      <c r="F246" s="50"/>
      <c r="G246" s="50"/>
      <c r="H246" s="50"/>
      <c r="I246" s="50"/>
      <c r="J246" s="50"/>
      <c r="K246" s="50"/>
      <c r="L246" s="50"/>
      <c r="M246" s="50"/>
      <c r="N246" s="50"/>
      <c r="O246" s="50"/>
      <c r="P246" s="50"/>
      <c r="Q246" s="50"/>
      <c r="R246" s="50"/>
      <c r="S246" s="370"/>
      <c r="T246" s="50"/>
      <c r="U246" s="50"/>
      <c r="V246" s="50"/>
      <c r="W246" s="50"/>
      <c r="X246" s="50"/>
      <c r="Y246" s="50"/>
      <c r="Z246" s="50"/>
      <c r="AA246" s="50"/>
      <c r="AB246" s="50"/>
      <c r="AC246" s="50"/>
      <c r="AD246"/>
    </row>
    <row r="247" spans="1:30" x14ac:dyDescent="0.25">
      <c r="A247"/>
      <c r="B247"/>
      <c r="C247"/>
      <c r="D247"/>
      <c r="F247" s="50"/>
      <c r="G247" s="50"/>
      <c r="H247" s="50"/>
      <c r="I247" s="50"/>
      <c r="J247" s="50"/>
      <c r="K247" s="50"/>
      <c r="L247" s="50"/>
      <c r="M247" s="50"/>
      <c r="N247" s="50"/>
      <c r="O247" s="50"/>
      <c r="P247" s="50"/>
      <c r="Q247" s="50"/>
      <c r="R247" s="50"/>
      <c r="S247" s="370"/>
      <c r="T247" s="50"/>
      <c r="U247" s="50"/>
      <c r="V247" s="50"/>
      <c r="W247" s="50"/>
      <c r="X247" s="50"/>
      <c r="Y247" s="50"/>
      <c r="Z247" s="50"/>
      <c r="AA247" s="50"/>
      <c r="AB247" s="50"/>
      <c r="AC247" s="50"/>
      <c r="AD247"/>
    </row>
    <row r="248" spans="1:30" x14ac:dyDescent="0.25">
      <c r="A248"/>
      <c r="B248"/>
      <c r="C248"/>
      <c r="D248"/>
      <c r="F248" s="50"/>
      <c r="G248" s="50"/>
      <c r="H248" s="50"/>
      <c r="I248" s="50"/>
      <c r="J248" s="50"/>
      <c r="K248" s="50"/>
      <c r="L248" s="50"/>
      <c r="M248" s="50"/>
      <c r="N248" s="50"/>
      <c r="O248" s="50"/>
      <c r="P248" s="50"/>
      <c r="Q248" s="50"/>
      <c r="R248" s="50"/>
      <c r="S248" s="370"/>
      <c r="T248" s="50"/>
      <c r="U248" s="50"/>
      <c r="V248" s="50"/>
      <c r="W248" s="50"/>
      <c r="X248" s="50"/>
      <c r="Y248" s="50"/>
      <c r="Z248" s="50"/>
      <c r="AA248" s="50"/>
      <c r="AB248" s="50"/>
      <c r="AC248" s="50"/>
      <c r="AD248"/>
    </row>
    <row r="249" spans="1:30" x14ac:dyDescent="0.25">
      <c r="A249"/>
      <c r="B249"/>
      <c r="C249"/>
      <c r="D249"/>
      <c r="F249" s="50"/>
      <c r="G249" s="50"/>
      <c r="H249" s="50"/>
      <c r="I249" s="50"/>
      <c r="J249" s="50"/>
      <c r="K249" s="50"/>
      <c r="L249" s="50"/>
      <c r="M249" s="50"/>
      <c r="N249" s="50"/>
      <c r="O249" s="50"/>
      <c r="P249" s="50"/>
      <c r="Q249" s="50"/>
      <c r="R249" s="50"/>
      <c r="S249" s="370"/>
      <c r="T249" s="50"/>
      <c r="U249" s="50"/>
      <c r="V249" s="50"/>
      <c r="W249" s="50"/>
      <c r="X249" s="50"/>
      <c r="Y249" s="50"/>
      <c r="Z249" s="50"/>
      <c r="AA249" s="50"/>
      <c r="AB249" s="50"/>
      <c r="AC249" s="50"/>
      <c r="AD249"/>
    </row>
    <row r="250" spans="1:30" x14ac:dyDescent="0.25">
      <c r="A250"/>
      <c r="B250"/>
      <c r="C250"/>
      <c r="D250"/>
      <c r="F250" s="50"/>
      <c r="G250" s="50"/>
      <c r="H250" s="50"/>
      <c r="I250" s="50"/>
      <c r="J250" s="50"/>
      <c r="K250" s="50"/>
      <c r="L250" s="50"/>
      <c r="M250" s="50"/>
      <c r="N250" s="50"/>
      <c r="O250" s="50"/>
      <c r="P250" s="50"/>
      <c r="Q250" s="50"/>
      <c r="R250" s="50"/>
      <c r="S250" s="370"/>
      <c r="T250" s="50"/>
      <c r="U250" s="50"/>
      <c r="V250" s="50"/>
      <c r="W250" s="50"/>
      <c r="X250" s="50"/>
      <c r="Y250" s="50"/>
      <c r="Z250" s="50"/>
      <c r="AA250" s="50"/>
      <c r="AB250" s="50"/>
      <c r="AC250" s="50"/>
      <c r="AD250"/>
    </row>
    <row r="251" spans="1:30" x14ac:dyDescent="0.25">
      <c r="A251"/>
      <c r="B251"/>
      <c r="C251"/>
      <c r="D251"/>
      <c r="F251" s="50"/>
      <c r="G251" s="50"/>
      <c r="H251" s="50"/>
      <c r="I251" s="50"/>
      <c r="J251" s="50"/>
      <c r="K251" s="50"/>
      <c r="L251" s="50"/>
      <c r="M251" s="50"/>
      <c r="N251" s="50"/>
      <c r="O251" s="50"/>
      <c r="P251" s="50"/>
      <c r="Q251" s="50"/>
      <c r="R251" s="50"/>
      <c r="S251" s="370"/>
      <c r="T251" s="50"/>
      <c r="U251" s="50"/>
      <c r="V251" s="50"/>
      <c r="W251" s="50"/>
      <c r="X251" s="50"/>
      <c r="Y251" s="50"/>
      <c r="Z251" s="50"/>
      <c r="AA251" s="50"/>
      <c r="AB251" s="50"/>
      <c r="AC251" s="50"/>
      <c r="AD251"/>
    </row>
    <row r="252" spans="1:30" x14ac:dyDescent="0.25">
      <c r="A252"/>
      <c r="B252"/>
      <c r="C252"/>
      <c r="D252"/>
      <c r="F252" s="50"/>
      <c r="G252" s="50"/>
      <c r="H252" s="50"/>
      <c r="I252" s="50"/>
      <c r="J252" s="50"/>
      <c r="K252" s="50"/>
      <c r="L252" s="50"/>
      <c r="M252" s="50"/>
      <c r="N252" s="50"/>
      <c r="O252" s="50"/>
      <c r="P252" s="50"/>
      <c r="Q252" s="50"/>
      <c r="R252" s="50"/>
      <c r="S252" s="370"/>
      <c r="T252" s="50"/>
      <c r="U252" s="50"/>
      <c r="V252" s="50"/>
      <c r="W252" s="50"/>
      <c r="X252" s="50"/>
      <c r="Y252" s="50"/>
      <c r="Z252" s="50"/>
      <c r="AA252" s="50"/>
      <c r="AB252" s="50"/>
      <c r="AC252" s="50"/>
      <c r="AD252"/>
    </row>
    <row r="253" spans="1:30" x14ac:dyDescent="0.25">
      <c r="A253"/>
      <c r="B253"/>
      <c r="C253"/>
      <c r="D253"/>
      <c r="F253" s="50"/>
      <c r="G253" s="50"/>
      <c r="H253" s="50"/>
      <c r="I253" s="50"/>
      <c r="J253" s="50"/>
      <c r="K253" s="50"/>
      <c r="L253" s="50"/>
      <c r="M253" s="50"/>
      <c r="N253" s="50"/>
      <c r="O253" s="50"/>
      <c r="P253" s="50"/>
      <c r="Q253" s="50"/>
      <c r="R253" s="50"/>
      <c r="S253" s="370"/>
      <c r="T253" s="50"/>
      <c r="U253" s="50"/>
      <c r="V253" s="50"/>
      <c r="W253" s="50"/>
      <c r="X253" s="50"/>
      <c r="Y253" s="50"/>
      <c r="Z253" s="50"/>
      <c r="AA253" s="50"/>
      <c r="AB253" s="50"/>
      <c r="AC253" s="50"/>
      <c r="AD253"/>
    </row>
    <row r="254" spans="1:30" x14ac:dyDescent="0.25">
      <c r="A254"/>
      <c r="B254"/>
      <c r="C254"/>
      <c r="D254"/>
      <c r="F254" s="50"/>
      <c r="G254" s="50"/>
      <c r="H254" s="50"/>
      <c r="I254" s="50"/>
      <c r="J254" s="50"/>
      <c r="K254" s="50"/>
      <c r="L254" s="50"/>
      <c r="M254" s="50"/>
      <c r="N254" s="50"/>
      <c r="O254" s="50"/>
      <c r="P254" s="50"/>
      <c r="Q254" s="50"/>
      <c r="R254" s="50"/>
      <c r="S254" s="370"/>
      <c r="T254" s="50"/>
      <c r="U254" s="50"/>
      <c r="V254" s="50"/>
      <c r="W254" s="50"/>
      <c r="X254" s="50"/>
      <c r="Y254" s="50"/>
      <c r="Z254" s="50"/>
      <c r="AA254" s="50"/>
      <c r="AB254" s="50"/>
      <c r="AC254" s="50"/>
      <c r="AD254"/>
    </row>
    <row r="255" spans="1:30" x14ac:dyDescent="0.25">
      <c r="A255"/>
      <c r="B255"/>
      <c r="C255"/>
      <c r="D255"/>
      <c r="F255" s="50"/>
      <c r="G255" s="50"/>
      <c r="H255" s="50"/>
      <c r="I255" s="50"/>
      <c r="J255" s="50"/>
      <c r="K255" s="50"/>
      <c r="L255" s="50"/>
      <c r="M255" s="50"/>
      <c r="N255" s="50"/>
      <c r="O255" s="50"/>
      <c r="P255" s="50"/>
      <c r="Q255" s="50"/>
      <c r="R255" s="50"/>
      <c r="S255" s="370"/>
      <c r="T255" s="50"/>
      <c r="U255" s="50"/>
      <c r="V255" s="50"/>
      <c r="W255" s="50"/>
      <c r="X255" s="50"/>
      <c r="Y255" s="50"/>
      <c r="Z255" s="50"/>
      <c r="AA255" s="50"/>
      <c r="AB255" s="50"/>
      <c r="AC255" s="50"/>
      <c r="AD255"/>
    </row>
    <row r="256" spans="1:30" x14ac:dyDescent="0.25">
      <c r="A256"/>
      <c r="B256"/>
      <c r="C256"/>
      <c r="D256"/>
      <c r="F256" s="50"/>
      <c r="G256" s="50"/>
      <c r="H256" s="50"/>
      <c r="I256" s="50"/>
      <c r="J256" s="50"/>
      <c r="K256" s="50"/>
      <c r="L256" s="50"/>
      <c r="M256" s="50"/>
      <c r="N256" s="50"/>
      <c r="O256" s="50"/>
      <c r="P256" s="50"/>
      <c r="Q256" s="50"/>
      <c r="R256" s="50"/>
      <c r="S256" s="370"/>
      <c r="T256" s="50"/>
      <c r="U256" s="50"/>
      <c r="V256" s="50"/>
      <c r="W256" s="50"/>
      <c r="X256" s="50"/>
      <c r="Y256" s="50"/>
      <c r="Z256" s="50"/>
      <c r="AA256" s="50"/>
      <c r="AB256" s="50"/>
      <c r="AC256" s="50"/>
      <c r="AD256"/>
    </row>
    <row r="257" spans="1:30" x14ac:dyDescent="0.25">
      <c r="A257"/>
      <c r="B257"/>
      <c r="C257"/>
      <c r="D257"/>
      <c r="F257" s="50"/>
      <c r="G257" s="50"/>
      <c r="H257" s="50"/>
      <c r="I257" s="50"/>
      <c r="J257" s="50"/>
      <c r="K257" s="50"/>
      <c r="L257" s="50"/>
      <c r="M257" s="50"/>
      <c r="N257" s="50"/>
      <c r="O257" s="50"/>
      <c r="P257" s="50"/>
      <c r="Q257" s="50"/>
      <c r="R257" s="50"/>
      <c r="S257" s="370"/>
      <c r="T257" s="50"/>
      <c r="U257" s="50"/>
      <c r="V257" s="50"/>
      <c r="W257" s="50"/>
      <c r="X257" s="50"/>
      <c r="Y257" s="50"/>
      <c r="Z257" s="50"/>
      <c r="AA257" s="50"/>
      <c r="AB257" s="50"/>
      <c r="AC257" s="50"/>
      <c r="AD257"/>
    </row>
    <row r="258" spans="1:30" x14ac:dyDescent="0.25">
      <c r="A258"/>
      <c r="B258"/>
      <c r="C258"/>
      <c r="D258"/>
      <c r="F258" s="50"/>
      <c r="G258" s="50"/>
      <c r="H258" s="50"/>
      <c r="I258" s="50"/>
      <c r="J258" s="50"/>
      <c r="K258" s="50"/>
      <c r="L258" s="50"/>
      <c r="M258" s="50"/>
      <c r="N258" s="50"/>
      <c r="O258" s="50"/>
      <c r="P258" s="50"/>
      <c r="Q258" s="50"/>
      <c r="R258" s="50"/>
      <c r="S258" s="370"/>
      <c r="T258" s="50"/>
      <c r="U258" s="50"/>
      <c r="V258" s="50"/>
      <c r="W258" s="50"/>
      <c r="X258" s="50"/>
      <c r="Y258" s="50"/>
      <c r="Z258" s="50"/>
      <c r="AA258" s="50"/>
      <c r="AB258" s="50"/>
      <c r="AC258" s="50"/>
      <c r="AD258"/>
    </row>
    <row r="259" spans="1:30" x14ac:dyDescent="0.25">
      <c r="A259"/>
      <c r="B259"/>
      <c r="C259"/>
      <c r="D259"/>
      <c r="F259" s="50"/>
      <c r="G259" s="50"/>
      <c r="H259" s="50"/>
      <c r="I259" s="50"/>
      <c r="J259" s="50"/>
      <c r="K259" s="50"/>
      <c r="L259" s="50"/>
      <c r="M259" s="50"/>
      <c r="N259" s="50"/>
      <c r="O259" s="50"/>
      <c r="P259" s="50"/>
      <c r="Q259" s="50"/>
      <c r="R259" s="50"/>
      <c r="S259" s="370"/>
      <c r="T259" s="50"/>
      <c r="U259" s="50"/>
      <c r="V259" s="50"/>
      <c r="W259" s="50"/>
      <c r="X259" s="50"/>
      <c r="Y259" s="50"/>
      <c r="Z259" s="50"/>
      <c r="AA259" s="50"/>
      <c r="AB259" s="50"/>
      <c r="AC259" s="50"/>
      <c r="AD259"/>
    </row>
    <row r="260" spans="1:30" x14ac:dyDescent="0.25">
      <c r="A260"/>
      <c r="B260"/>
      <c r="C260"/>
      <c r="D260"/>
      <c r="F260" s="50"/>
      <c r="G260" s="50"/>
      <c r="H260" s="50"/>
      <c r="I260" s="50"/>
      <c r="J260" s="50"/>
      <c r="K260" s="50"/>
      <c r="L260" s="50"/>
      <c r="M260" s="50"/>
      <c r="N260" s="50"/>
      <c r="O260" s="50"/>
      <c r="P260" s="50"/>
      <c r="Q260" s="50"/>
      <c r="R260" s="50"/>
      <c r="S260" s="370"/>
      <c r="T260" s="50"/>
      <c r="U260" s="50"/>
      <c r="V260" s="50"/>
      <c r="W260" s="50"/>
      <c r="X260" s="50"/>
      <c r="Y260" s="50"/>
      <c r="Z260" s="50"/>
      <c r="AA260" s="50"/>
      <c r="AB260" s="50"/>
      <c r="AC260" s="50"/>
      <c r="AD260"/>
    </row>
    <row r="261" spans="1:30" x14ac:dyDescent="0.25">
      <c r="A261"/>
      <c r="B261"/>
      <c r="C261"/>
      <c r="D261"/>
      <c r="F261" s="50"/>
      <c r="G261" s="50"/>
      <c r="H261" s="50"/>
      <c r="I261" s="50"/>
      <c r="J261" s="50"/>
      <c r="K261" s="50"/>
      <c r="L261" s="50"/>
      <c r="M261" s="50"/>
      <c r="N261" s="50"/>
      <c r="O261" s="50"/>
      <c r="P261" s="50"/>
      <c r="Q261" s="50"/>
      <c r="R261" s="50"/>
      <c r="S261" s="370"/>
      <c r="T261" s="50"/>
      <c r="U261" s="50"/>
      <c r="V261" s="50"/>
      <c r="W261" s="50"/>
      <c r="X261" s="50"/>
      <c r="Y261" s="50"/>
      <c r="Z261" s="50"/>
      <c r="AA261" s="50"/>
      <c r="AB261" s="50"/>
      <c r="AC261" s="50"/>
      <c r="AD261"/>
    </row>
    <row r="262" spans="1:30" x14ac:dyDescent="0.25">
      <c r="A262"/>
      <c r="B262"/>
      <c r="C262"/>
      <c r="D262"/>
      <c r="F262" s="50"/>
      <c r="G262" s="50"/>
      <c r="H262" s="50"/>
      <c r="I262" s="50"/>
      <c r="J262" s="50"/>
      <c r="K262" s="50"/>
      <c r="L262" s="50"/>
      <c r="M262" s="50"/>
      <c r="N262" s="50"/>
      <c r="O262" s="50"/>
      <c r="P262" s="50"/>
      <c r="Q262" s="50"/>
      <c r="R262" s="50"/>
      <c r="S262" s="370"/>
      <c r="T262" s="50"/>
      <c r="U262" s="50"/>
      <c r="V262" s="50"/>
      <c r="W262" s="50"/>
      <c r="X262" s="50"/>
      <c r="Y262" s="50"/>
      <c r="Z262" s="50"/>
      <c r="AA262" s="50"/>
      <c r="AB262" s="50"/>
      <c r="AC262" s="50"/>
      <c r="AD262"/>
    </row>
    <row r="263" spans="1:30" x14ac:dyDescent="0.25">
      <c r="A263"/>
      <c r="B263"/>
      <c r="C263"/>
      <c r="D263"/>
      <c r="F263" s="50"/>
      <c r="G263" s="50"/>
      <c r="H263" s="50"/>
      <c r="I263" s="50"/>
      <c r="J263" s="50"/>
      <c r="K263" s="50"/>
      <c r="L263" s="50"/>
      <c r="M263" s="50"/>
      <c r="N263" s="50"/>
      <c r="O263" s="50"/>
      <c r="P263" s="50"/>
      <c r="Q263" s="50"/>
      <c r="R263" s="50"/>
      <c r="S263" s="370"/>
      <c r="T263" s="50"/>
      <c r="U263" s="50"/>
      <c r="V263" s="50"/>
      <c r="W263" s="50"/>
      <c r="X263" s="50"/>
      <c r="Y263" s="50"/>
      <c r="Z263" s="50"/>
      <c r="AA263" s="50"/>
      <c r="AB263" s="50"/>
      <c r="AC263" s="50"/>
      <c r="AD263"/>
    </row>
    <row r="264" spans="1:30" x14ac:dyDescent="0.25">
      <c r="A264"/>
      <c r="B264"/>
      <c r="C264"/>
      <c r="D264"/>
      <c r="F264" s="50"/>
      <c r="G264" s="50"/>
      <c r="H264" s="50"/>
      <c r="I264" s="50"/>
      <c r="J264" s="50"/>
      <c r="K264" s="50"/>
      <c r="L264" s="50"/>
      <c r="M264" s="50"/>
      <c r="N264" s="50"/>
      <c r="O264" s="50"/>
      <c r="P264" s="50"/>
      <c r="Q264" s="50"/>
      <c r="R264" s="50"/>
      <c r="S264" s="370"/>
      <c r="T264" s="50"/>
      <c r="U264" s="50"/>
      <c r="V264" s="50"/>
      <c r="W264" s="50"/>
      <c r="X264" s="50"/>
      <c r="Y264" s="50"/>
      <c r="Z264" s="50"/>
      <c r="AA264" s="50"/>
      <c r="AB264" s="50"/>
      <c r="AC264" s="50"/>
      <c r="AD264"/>
    </row>
    <row r="265" spans="1:30" x14ac:dyDescent="0.25">
      <c r="A265"/>
      <c r="B265"/>
      <c r="C265"/>
      <c r="D265"/>
      <c r="F265" s="50"/>
      <c r="G265" s="50"/>
      <c r="H265" s="50"/>
      <c r="I265" s="50"/>
      <c r="J265" s="50"/>
      <c r="K265" s="50"/>
      <c r="L265" s="50"/>
      <c r="M265" s="50"/>
      <c r="N265" s="50"/>
      <c r="O265" s="50"/>
      <c r="P265" s="50"/>
      <c r="Q265" s="50"/>
      <c r="R265" s="50"/>
      <c r="S265" s="370"/>
      <c r="T265" s="50"/>
      <c r="U265" s="50"/>
      <c r="V265" s="50"/>
      <c r="W265" s="50"/>
      <c r="X265" s="50"/>
      <c r="Y265" s="50"/>
      <c r="Z265" s="50"/>
      <c r="AA265" s="50"/>
      <c r="AB265" s="50"/>
      <c r="AC265" s="50"/>
      <c r="AD265"/>
    </row>
    <row r="266" spans="1:30" x14ac:dyDescent="0.25">
      <c r="A266"/>
      <c r="B266"/>
      <c r="C266"/>
      <c r="D266"/>
      <c r="F266" s="50"/>
      <c r="G266" s="50"/>
      <c r="H266" s="50"/>
      <c r="I266" s="50"/>
      <c r="J266" s="50"/>
      <c r="K266" s="50"/>
      <c r="L266" s="50"/>
      <c r="M266" s="50"/>
      <c r="N266" s="50"/>
      <c r="O266" s="50"/>
      <c r="P266" s="50"/>
      <c r="Q266" s="50"/>
      <c r="R266" s="50"/>
      <c r="S266" s="370"/>
      <c r="T266" s="50"/>
      <c r="U266" s="50"/>
      <c r="V266" s="50"/>
      <c r="W266" s="50"/>
      <c r="X266" s="50"/>
      <c r="Y266" s="50"/>
      <c r="Z266" s="50"/>
      <c r="AA266" s="50"/>
      <c r="AB266" s="50"/>
      <c r="AC266" s="50"/>
      <c r="AD266"/>
    </row>
    <row r="267" spans="1:30" x14ac:dyDescent="0.25">
      <c r="A267"/>
      <c r="B267"/>
      <c r="C267"/>
      <c r="D267"/>
      <c r="F267" s="50"/>
      <c r="G267" s="50"/>
      <c r="H267" s="50"/>
      <c r="I267" s="50"/>
      <c r="J267" s="50"/>
      <c r="K267" s="50"/>
      <c r="L267" s="50"/>
      <c r="M267" s="50"/>
      <c r="N267" s="50"/>
      <c r="O267" s="50"/>
      <c r="P267" s="50"/>
      <c r="Q267" s="50"/>
      <c r="R267" s="50"/>
      <c r="S267" s="370"/>
      <c r="T267" s="50"/>
      <c r="U267" s="50"/>
      <c r="V267" s="50"/>
      <c r="W267" s="50"/>
      <c r="X267" s="50"/>
      <c r="Y267" s="50"/>
      <c r="Z267" s="50"/>
      <c r="AA267" s="50"/>
      <c r="AB267" s="50"/>
      <c r="AC267" s="50"/>
      <c r="AD267"/>
    </row>
    <row r="268" spans="1:30" x14ac:dyDescent="0.25">
      <c r="A268"/>
      <c r="B268"/>
      <c r="C268"/>
      <c r="D268"/>
      <c r="F268" s="50"/>
      <c r="G268" s="50"/>
      <c r="H268" s="50"/>
      <c r="I268" s="50"/>
      <c r="J268" s="50"/>
      <c r="K268" s="50"/>
      <c r="L268" s="50"/>
      <c r="M268" s="50"/>
      <c r="N268" s="50"/>
      <c r="O268" s="50"/>
      <c r="P268" s="50"/>
      <c r="Q268" s="50"/>
      <c r="R268" s="50"/>
      <c r="S268" s="370"/>
      <c r="T268" s="50"/>
      <c r="U268" s="50"/>
      <c r="V268" s="50"/>
      <c r="W268" s="50"/>
      <c r="X268" s="50"/>
      <c r="Y268" s="50"/>
      <c r="Z268" s="50"/>
      <c r="AA268" s="50"/>
      <c r="AB268" s="50"/>
      <c r="AC268" s="50"/>
      <c r="AD268"/>
    </row>
    <row r="269" spans="1:30" x14ac:dyDescent="0.25">
      <c r="A269"/>
      <c r="B269"/>
      <c r="C269"/>
      <c r="D269"/>
      <c r="F269" s="50"/>
      <c r="G269" s="50"/>
      <c r="H269" s="50"/>
      <c r="I269" s="50"/>
      <c r="J269" s="50"/>
      <c r="K269" s="50"/>
      <c r="L269" s="50"/>
      <c r="M269" s="50"/>
      <c r="N269" s="50"/>
      <c r="O269" s="50"/>
      <c r="P269" s="50"/>
      <c r="Q269" s="50"/>
      <c r="R269" s="50"/>
      <c r="S269" s="370"/>
      <c r="T269" s="50"/>
      <c r="U269" s="50"/>
      <c r="V269" s="50"/>
      <c r="W269" s="50"/>
      <c r="X269" s="50"/>
      <c r="Y269" s="50"/>
      <c r="Z269" s="50"/>
      <c r="AA269" s="50"/>
      <c r="AB269" s="50"/>
      <c r="AC269" s="50"/>
      <c r="AD269"/>
    </row>
    <row r="270" spans="1:30" x14ac:dyDescent="0.25">
      <c r="A270"/>
      <c r="B270"/>
      <c r="C270"/>
      <c r="D270"/>
      <c r="F270" s="50"/>
      <c r="G270" s="50"/>
      <c r="H270" s="50"/>
      <c r="I270" s="50"/>
      <c r="J270" s="50"/>
      <c r="K270" s="50"/>
      <c r="L270" s="50"/>
      <c r="M270" s="50"/>
      <c r="N270" s="50"/>
      <c r="O270" s="50"/>
      <c r="P270" s="50"/>
      <c r="Q270" s="50"/>
      <c r="R270" s="50"/>
      <c r="S270" s="370"/>
      <c r="T270" s="50"/>
      <c r="U270" s="50"/>
      <c r="V270" s="50"/>
      <c r="W270" s="50"/>
      <c r="X270" s="50"/>
      <c r="Y270" s="50"/>
      <c r="Z270" s="50"/>
      <c r="AA270" s="50"/>
      <c r="AB270" s="50"/>
      <c r="AC270" s="50"/>
      <c r="AD270"/>
    </row>
    <row r="271" spans="1:30" x14ac:dyDescent="0.25">
      <c r="A271"/>
      <c r="B271"/>
      <c r="C271"/>
      <c r="D271"/>
      <c r="F271" s="50"/>
      <c r="G271" s="50"/>
      <c r="H271" s="50"/>
      <c r="I271" s="50"/>
      <c r="J271" s="50"/>
      <c r="K271" s="50"/>
      <c r="L271" s="50"/>
      <c r="M271" s="50"/>
      <c r="N271" s="50"/>
      <c r="O271" s="50"/>
      <c r="P271" s="50"/>
      <c r="Q271" s="50"/>
      <c r="R271" s="50"/>
      <c r="S271" s="370"/>
      <c r="T271" s="50"/>
      <c r="U271" s="50"/>
      <c r="V271" s="50"/>
      <c r="W271" s="50"/>
      <c r="X271" s="50"/>
      <c r="Y271" s="50"/>
      <c r="Z271" s="50"/>
      <c r="AA271" s="50"/>
      <c r="AB271" s="50"/>
      <c r="AC271" s="50"/>
      <c r="AD271"/>
    </row>
    <row r="272" spans="1:30" x14ac:dyDescent="0.25">
      <c r="A272"/>
      <c r="B272"/>
      <c r="C272"/>
      <c r="D272"/>
      <c r="F272" s="50"/>
      <c r="G272" s="50"/>
      <c r="H272" s="50"/>
      <c r="I272" s="50"/>
      <c r="J272" s="50"/>
      <c r="K272" s="50"/>
      <c r="L272" s="50"/>
      <c r="M272" s="50"/>
      <c r="N272" s="50"/>
      <c r="O272" s="50"/>
      <c r="P272" s="50"/>
      <c r="Q272" s="50"/>
      <c r="R272" s="50"/>
      <c r="S272" s="370"/>
      <c r="T272" s="50"/>
      <c r="U272" s="50"/>
      <c r="V272" s="50"/>
      <c r="W272" s="50"/>
      <c r="X272" s="50"/>
      <c r="Y272" s="50"/>
      <c r="Z272" s="50"/>
      <c r="AA272" s="50"/>
      <c r="AB272" s="50"/>
      <c r="AC272" s="50"/>
      <c r="AD272"/>
    </row>
    <row r="273" spans="1:30" x14ac:dyDescent="0.25">
      <c r="A273"/>
      <c r="B273"/>
      <c r="C273"/>
      <c r="D273"/>
      <c r="F273" s="50"/>
      <c r="G273" s="50"/>
      <c r="H273" s="50"/>
      <c r="I273" s="50"/>
      <c r="J273" s="50"/>
      <c r="K273" s="50"/>
      <c r="L273" s="50"/>
      <c r="M273" s="50"/>
      <c r="N273" s="50"/>
      <c r="O273" s="50"/>
      <c r="P273" s="50"/>
      <c r="Q273" s="50"/>
      <c r="R273" s="50"/>
      <c r="S273" s="370"/>
      <c r="T273" s="50"/>
      <c r="U273" s="50"/>
      <c r="V273" s="50"/>
      <c r="W273" s="50"/>
      <c r="X273" s="50"/>
      <c r="Y273" s="50"/>
      <c r="Z273" s="50"/>
      <c r="AA273" s="50"/>
      <c r="AB273" s="50"/>
      <c r="AC273" s="50"/>
      <c r="AD273"/>
    </row>
    <row r="274" spans="1:30" x14ac:dyDescent="0.25">
      <c r="A274"/>
      <c r="B274"/>
      <c r="C274"/>
      <c r="D274"/>
      <c r="F274" s="50"/>
      <c r="G274" s="50"/>
      <c r="H274" s="50"/>
      <c r="I274" s="50"/>
      <c r="J274" s="50"/>
      <c r="K274" s="50"/>
      <c r="L274" s="50"/>
      <c r="M274" s="50"/>
      <c r="N274" s="50"/>
      <c r="O274" s="50"/>
      <c r="P274" s="50"/>
      <c r="Q274" s="50"/>
      <c r="R274" s="50"/>
      <c r="S274" s="370"/>
      <c r="T274" s="50"/>
      <c r="U274" s="50"/>
      <c r="V274" s="50"/>
      <c r="W274" s="50"/>
      <c r="X274" s="50"/>
      <c r="Y274" s="50"/>
      <c r="Z274" s="50"/>
      <c r="AA274" s="50"/>
      <c r="AB274" s="50"/>
      <c r="AC274" s="50"/>
      <c r="AD274"/>
    </row>
    <row r="275" spans="1:30" x14ac:dyDescent="0.25">
      <c r="A275"/>
      <c r="B275"/>
      <c r="C275"/>
      <c r="D275"/>
      <c r="F275" s="50"/>
      <c r="G275" s="50"/>
      <c r="H275" s="50"/>
      <c r="I275" s="50"/>
      <c r="J275" s="50"/>
      <c r="K275" s="50"/>
      <c r="L275" s="50"/>
      <c r="M275" s="50"/>
      <c r="N275" s="50"/>
      <c r="O275" s="50"/>
      <c r="P275" s="50"/>
      <c r="Q275" s="50"/>
      <c r="R275" s="50"/>
      <c r="S275" s="370"/>
      <c r="T275" s="50"/>
      <c r="U275" s="50"/>
      <c r="V275" s="50"/>
      <c r="W275" s="50"/>
      <c r="X275" s="50"/>
      <c r="Y275" s="50"/>
      <c r="Z275" s="50"/>
      <c r="AA275" s="50"/>
      <c r="AB275" s="50"/>
      <c r="AC275" s="50"/>
      <c r="AD275"/>
    </row>
    <row r="276" spans="1:30" x14ac:dyDescent="0.25">
      <c r="A276"/>
      <c r="B276"/>
      <c r="C276"/>
      <c r="D276"/>
      <c r="F276" s="50"/>
      <c r="G276" s="50"/>
      <c r="H276" s="50"/>
      <c r="I276" s="50"/>
      <c r="J276" s="50"/>
      <c r="K276" s="50"/>
      <c r="L276" s="50"/>
      <c r="M276" s="50"/>
      <c r="N276" s="50"/>
      <c r="O276" s="50"/>
      <c r="P276" s="50"/>
      <c r="Q276" s="50"/>
      <c r="R276" s="50"/>
      <c r="S276" s="370"/>
      <c r="T276" s="50"/>
      <c r="U276" s="50"/>
      <c r="V276" s="50"/>
      <c r="W276" s="50"/>
      <c r="X276" s="50"/>
      <c r="Y276" s="50"/>
      <c r="Z276" s="50"/>
      <c r="AA276" s="50"/>
      <c r="AB276" s="50"/>
      <c r="AC276" s="50"/>
      <c r="AD276"/>
    </row>
    <row r="277" spans="1:30" x14ac:dyDescent="0.25">
      <c r="A277"/>
      <c r="B277"/>
      <c r="C277"/>
      <c r="D277"/>
      <c r="F277" s="50"/>
      <c r="G277" s="50"/>
      <c r="H277" s="50"/>
      <c r="I277" s="50"/>
      <c r="J277" s="50"/>
      <c r="K277" s="50"/>
      <c r="L277" s="50"/>
      <c r="M277" s="50"/>
      <c r="N277" s="50"/>
      <c r="O277" s="50"/>
      <c r="P277" s="50"/>
      <c r="Q277" s="50"/>
      <c r="R277" s="50"/>
      <c r="S277" s="370"/>
      <c r="T277" s="50"/>
      <c r="U277" s="50"/>
      <c r="V277" s="50"/>
      <c r="W277" s="50"/>
      <c r="X277" s="50"/>
      <c r="Y277" s="50"/>
      <c r="Z277" s="50"/>
      <c r="AA277" s="50"/>
      <c r="AB277" s="50"/>
      <c r="AC277" s="50"/>
      <c r="AD277"/>
    </row>
    <row r="278" spans="1:30" x14ac:dyDescent="0.25">
      <c r="A278"/>
      <c r="B278"/>
      <c r="C278"/>
      <c r="D278"/>
      <c r="F278" s="50"/>
      <c r="G278" s="50"/>
      <c r="H278" s="50"/>
      <c r="I278" s="50"/>
      <c r="J278" s="50"/>
      <c r="K278" s="50"/>
      <c r="L278" s="50"/>
      <c r="M278" s="50"/>
      <c r="N278" s="50"/>
      <c r="O278" s="50"/>
      <c r="P278" s="50"/>
      <c r="Q278" s="50"/>
      <c r="R278" s="50"/>
      <c r="S278" s="370"/>
      <c r="T278" s="50"/>
      <c r="U278" s="50"/>
      <c r="V278" s="50"/>
      <c r="W278" s="50"/>
      <c r="X278" s="50"/>
      <c r="Y278" s="50"/>
      <c r="Z278" s="50"/>
      <c r="AA278" s="50"/>
      <c r="AB278" s="50"/>
      <c r="AC278" s="50"/>
      <c r="AD278"/>
    </row>
    <row r="279" spans="1:30" x14ac:dyDescent="0.25">
      <c r="A279"/>
      <c r="B279"/>
      <c r="C279"/>
      <c r="D279"/>
      <c r="F279" s="50"/>
      <c r="G279" s="50"/>
      <c r="H279" s="50"/>
      <c r="I279" s="50"/>
      <c r="J279" s="50"/>
      <c r="K279" s="50"/>
      <c r="L279" s="50"/>
      <c r="M279" s="50"/>
      <c r="N279" s="50"/>
      <c r="O279" s="50"/>
      <c r="P279" s="50"/>
      <c r="Q279" s="50"/>
      <c r="R279" s="50"/>
      <c r="S279" s="370"/>
      <c r="T279" s="50"/>
      <c r="U279" s="50"/>
      <c r="V279" s="50"/>
      <c r="W279" s="50"/>
      <c r="X279" s="50"/>
      <c r="Y279" s="50"/>
      <c r="Z279" s="50"/>
      <c r="AA279" s="50"/>
      <c r="AB279" s="50"/>
      <c r="AC279" s="50"/>
      <c r="AD279"/>
    </row>
    <row r="280" spans="1:30" x14ac:dyDescent="0.25">
      <c r="A280"/>
      <c r="B280"/>
      <c r="C280"/>
      <c r="D280"/>
      <c r="F280" s="50"/>
      <c r="G280" s="50"/>
      <c r="H280" s="50"/>
      <c r="I280" s="50"/>
      <c r="J280" s="50"/>
      <c r="K280" s="50"/>
      <c r="L280" s="50"/>
      <c r="M280" s="50"/>
      <c r="N280" s="50"/>
      <c r="O280" s="50"/>
      <c r="P280" s="50"/>
      <c r="Q280" s="50"/>
      <c r="R280" s="50"/>
      <c r="S280" s="370"/>
      <c r="T280" s="50"/>
      <c r="U280" s="50"/>
      <c r="V280" s="50"/>
      <c r="W280" s="50"/>
      <c r="X280" s="50"/>
      <c r="Y280" s="50"/>
      <c r="Z280" s="50"/>
      <c r="AA280" s="50"/>
      <c r="AB280" s="50"/>
      <c r="AC280" s="50"/>
      <c r="AD280"/>
    </row>
    <row r="281" spans="1:30" x14ac:dyDescent="0.25">
      <c r="A281"/>
      <c r="B281"/>
      <c r="C281"/>
      <c r="D281"/>
      <c r="F281" s="50"/>
      <c r="G281" s="50"/>
      <c r="H281" s="50"/>
      <c r="I281" s="50"/>
      <c r="J281" s="50"/>
      <c r="K281" s="50"/>
      <c r="L281" s="50"/>
      <c r="M281" s="50"/>
      <c r="N281" s="50"/>
      <c r="O281" s="50"/>
      <c r="P281" s="50"/>
      <c r="Q281" s="50"/>
      <c r="R281" s="50"/>
      <c r="S281" s="370"/>
      <c r="T281" s="50"/>
      <c r="U281" s="50"/>
      <c r="V281" s="50"/>
      <c r="W281" s="50"/>
      <c r="X281" s="50"/>
      <c r="Y281" s="50"/>
      <c r="Z281" s="50"/>
      <c r="AA281" s="50"/>
      <c r="AB281" s="50"/>
      <c r="AC281" s="50"/>
      <c r="AD281"/>
    </row>
    <row r="282" spans="1:30" x14ac:dyDescent="0.25">
      <c r="A282"/>
      <c r="B282"/>
      <c r="C282"/>
      <c r="D282"/>
      <c r="F282" s="50"/>
      <c r="G282" s="50"/>
      <c r="H282" s="50"/>
      <c r="I282" s="50"/>
      <c r="J282" s="50"/>
      <c r="K282" s="50"/>
      <c r="L282" s="50"/>
      <c r="M282" s="50"/>
      <c r="N282" s="50"/>
      <c r="O282" s="50"/>
      <c r="P282" s="50"/>
      <c r="Q282" s="50"/>
      <c r="R282" s="50"/>
      <c r="S282" s="370"/>
      <c r="T282" s="50"/>
      <c r="U282" s="50"/>
      <c r="V282" s="50"/>
      <c r="W282" s="50"/>
      <c r="X282" s="50"/>
      <c r="Y282" s="50"/>
      <c r="Z282" s="50"/>
      <c r="AA282" s="50"/>
      <c r="AB282" s="50"/>
      <c r="AC282" s="50"/>
      <c r="AD282"/>
    </row>
    <row r="283" spans="1:30" x14ac:dyDescent="0.25">
      <c r="A283"/>
      <c r="B283"/>
      <c r="C283"/>
      <c r="D283"/>
      <c r="F283" s="50"/>
      <c r="G283" s="50"/>
      <c r="H283" s="50"/>
      <c r="I283" s="50"/>
      <c r="J283" s="50"/>
      <c r="K283" s="50"/>
      <c r="L283" s="50"/>
      <c r="M283" s="50"/>
      <c r="N283" s="50"/>
      <c r="O283" s="50"/>
      <c r="P283" s="50"/>
      <c r="Q283" s="50"/>
      <c r="R283" s="50"/>
      <c r="S283" s="370"/>
      <c r="T283" s="50"/>
      <c r="U283" s="50"/>
      <c r="V283" s="50"/>
      <c r="W283" s="50"/>
      <c r="X283" s="50"/>
      <c r="Y283" s="50"/>
      <c r="Z283" s="50"/>
      <c r="AA283" s="50"/>
      <c r="AB283" s="50"/>
      <c r="AC283" s="50"/>
      <c r="AD283"/>
    </row>
    <row r="284" spans="1:30" x14ac:dyDescent="0.25">
      <c r="A284"/>
      <c r="B284"/>
      <c r="C284"/>
      <c r="D284"/>
      <c r="F284" s="50"/>
      <c r="G284" s="50"/>
      <c r="H284" s="50"/>
      <c r="I284" s="50"/>
      <c r="J284" s="50"/>
      <c r="K284" s="50"/>
      <c r="L284" s="50"/>
      <c r="M284" s="50"/>
      <c r="N284" s="50"/>
      <c r="O284" s="50"/>
      <c r="P284" s="50"/>
      <c r="Q284" s="50"/>
      <c r="R284" s="50"/>
      <c r="S284" s="370"/>
      <c r="T284" s="50"/>
      <c r="U284" s="50"/>
      <c r="V284" s="50"/>
      <c r="W284" s="50"/>
      <c r="X284" s="50"/>
      <c r="Y284" s="50"/>
      <c r="Z284" s="50"/>
      <c r="AA284" s="50"/>
      <c r="AB284" s="50"/>
      <c r="AC284" s="50"/>
      <c r="AD284"/>
    </row>
    <row r="285" spans="1:30" x14ac:dyDescent="0.25">
      <c r="A285"/>
      <c r="B285"/>
      <c r="C285"/>
      <c r="D285"/>
      <c r="F285" s="50"/>
      <c r="G285" s="50"/>
      <c r="H285" s="50"/>
      <c r="I285" s="50"/>
      <c r="J285" s="50"/>
      <c r="K285" s="50"/>
      <c r="L285" s="50"/>
      <c r="M285" s="50"/>
      <c r="N285" s="50"/>
      <c r="O285" s="50"/>
      <c r="P285" s="50"/>
      <c r="Q285" s="50"/>
      <c r="R285" s="50"/>
      <c r="S285" s="370"/>
      <c r="T285" s="50"/>
      <c r="U285" s="50"/>
      <c r="V285" s="50"/>
      <c r="W285" s="50"/>
      <c r="X285" s="50"/>
      <c r="Y285" s="50"/>
      <c r="Z285" s="50"/>
      <c r="AA285" s="50"/>
      <c r="AB285" s="50"/>
      <c r="AC285" s="50"/>
      <c r="AD285"/>
    </row>
    <row r="286" spans="1:30" x14ac:dyDescent="0.25">
      <c r="A286"/>
      <c r="B286"/>
      <c r="C286"/>
      <c r="D286"/>
      <c r="F286" s="50"/>
      <c r="G286" s="50"/>
      <c r="H286" s="50"/>
      <c r="I286" s="50"/>
      <c r="J286" s="50"/>
      <c r="K286" s="50"/>
      <c r="L286" s="50"/>
      <c r="M286" s="50"/>
      <c r="N286" s="50"/>
      <c r="O286" s="50"/>
      <c r="P286" s="50"/>
      <c r="Q286" s="50"/>
      <c r="R286" s="50"/>
      <c r="S286" s="370"/>
      <c r="T286" s="50"/>
      <c r="U286" s="50"/>
      <c r="V286" s="50"/>
      <c r="W286" s="50"/>
      <c r="X286" s="50"/>
      <c r="Y286" s="50"/>
      <c r="Z286" s="50"/>
      <c r="AA286" s="50"/>
      <c r="AB286" s="50"/>
      <c r="AC286" s="50"/>
      <c r="AD286"/>
    </row>
    <row r="287" spans="1:30" x14ac:dyDescent="0.25">
      <c r="A287"/>
      <c r="B287"/>
      <c r="C287"/>
      <c r="D287"/>
      <c r="F287" s="50"/>
      <c r="G287" s="50"/>
      <c r="H287" s="50"/>
      <c r="I287" s="50"/>
      <c r="J287" s="50"/>
      <c r="K287" s="50"/>
      <c r="L287" s="50"/>
      <c r="M287" s="50"/>
      <c r="N287" s="50"/>
      <c r="O287" s="50"/>
      <c r="P287" s="50"/>
      <c r="Q287" s="50"/>
      <c r="R287" s="50"/>
      <c r="S287" s="370"/>
      <c r="T287" s="50"/>
      <c r="U287" s="50"/>
      <c r="V287" s="50"/>
      <c r="W287" s="50"/>
      <c r="X287" s="50"/>
      <c r="Y287" s="50"/>
      <c r="Z287" s="50"/>
      <c r="AA287" s="50"/>
      <c r="AB287" s="50"/>
      <c r="AC287" s="50"/>
      <c r="AD287"/>
    </row>
    <row r="288" spans="1:30" x14ac:dyDescent="0.25">
      <c r="A288"/>
      <c r="B288"/>
      <c r="C288"/>
      <c r="D288"/>
      <c r="F288" s="50"/>
      <c r="G288" s="50"/>
      <c r="H288" s="50"/>
      <c r="I288" s="50"/>
      <c r="J288" s="50"/>
      <c r="K288" s="50"/>
      <c r="L288" s="50"/>
      <c r="M288" s="50"/>
      <c r="N288" s="50"/>
      <c r="O288" s="50"/>
      <c r="P288" s="50"/>
      <c r="Q288" s="50"/>
      <c r="R288" s="50"/>
      <c r="S288" s="370"/>
      <c r="T288" s="50"/>
      <c r="U288" s="50"/>
      <c r="V288" s="50"/>
      <c r="W288" s="50"/>
      <c r="X288" s="50"/>
      <c r="Y288" s="50"/>
      <c r="Z288" s="50"/>
      <c r="AA288" s="50"/>
      <c r="AB288" s="50"/>
      <c r="AC288" s="50"/>
      <c r="AD288"/>
    </row>
    <row r="289" spans="1:30" x14ac:dyDescent="0.25">
      <c r="A289"/>
      <c r="B289"/>
      <c r="C289"/>
      <c r="D289"/>
      <c r="F289" s="50"/>
      <c r="G289" s="50"/>
      <c r="H289" s="50"/>
      <c r="I289" s="50"/>
      <c r="J289" s="50"/>
      <c r="K289" s="50"/>
      <c r="L289" s="50"/>
      <c r="M289" s="50"/>
      <c r="N289" s="50"/>
      <c r="O289" s="50"/>
      <c r="P289" s="50"/>
      <c r="Q289" s="50"/>
      <c r="R289" s="50"/>
      <c r="S289" s="370"/>
      <c r="T289" s="50"/>
      <c r="U289" s="50"/>
      <c r="V289" s="50"/>
      <c r="W289" s="50"/>
      <c r="X289" s="50"/>
      <c r="Y289" s="50"/>
      <c r="Z289" s="50"/>
      <c r="AA289" s="50"/>
      <c r="AB289" s="50"/>
      <c r="AC289" s="50"/>
      <c r="AD289"/>
    </row>
    <row r="290" spans="1:30" x14ac:dyDescent="0.25">
      <c r="A290"/>
      <c r="B290"/>
      <c r="C290"/>
      <c r="D290"/>
      <c r="F290" s="50"/>
      <c r="G290" s="50"/>
      <c r="H290" s="50"/>
      <c r="I290" s="50"/>
      <c r="J290" s="50"/>
      <c r="K290" s="50"/>
      <c r="L290" s="50"/>
      <c r="M290" s="50"/>
      <c r="N290" s="50"/>
      <c r="O290" s="50"/>
      <c r="P290" s="50"/>
      <c r="Q290" s="50"/>
      <c r="R290" s="50"/>
      <c r="S290" s="370"/>
      <c r="T290" s="50"/>
      <c r="U290" s="50"/>
      <c r="V290" s="50"/>
      <c r="W290" s="50"/>
      <c r="X290" s="50"/>
      <c r="Y290" s="50"/>
      <c r="Z290" s="50"/>
      <c r="AA290" s="50"/>
      <c r="AB290" s="50"/>
      <c r="AC290" s="50"/>
      <c r="AD290"/>
    </row>
    <row r="291" spans="1:30" x14ac:dyDescent="0.25">
      <c r="A291"/>
      <c r="B291"/>
      <c r="C291"/>
      <c r="D291"/>
      <c r="F291" s="50"/>
      <c r="G291" s="50"/>
      <c r="H291" s="50"/>
      <c r="I291" s="50"/>
      <c r="J291" s="50"/>
      <c r="K291" s="50"/>
      <c r="L291" s="50"/>
      <c r="M291" s="50"/>
      <c r="N291" s="50"/>
      <c r="O291" s="50"/>
      <c r="P291" s="50"/>
      <c r="Q291" s="50"/>
      <c r="R291" s="50"/>
      <c r="S291" s="370"/>
      <c r="T291" s="50"/>
      <c r="U291" s="50"/>
      <c r="V291" s="50"/>
      <c r="W291" s="50"/>
      <c r="X291" s="50"/>
      <c r="Y291" s="50"/>
      <c r="Z291" s="50"/>
      <c r="AA291" s="50"/>
      <c r="AB291" s="50"/>
      <c r="AC291" s="50"/>
      <c r="AD291"/>
    </row>
    <row r="292" spans="1:30" x14ac:dyDescent="0.25">
      <c r="A292"/>
      <c r="B292"/>
      <c r="C292"/>
      <c r="D292"/>
      <c r="F292" s="50"/>
      <c r="G292" s="50"/>
      <c r="H292" s="50"/>
      <c r="I292" s="50"/>
      <c r="J292" s="50"/>
      <c r="K292" s="50"/>
      <c r="L292" s="50"/>
      <c r="M292" s="50"/>
      <c r="N292" s="50"/>
      <c r="O292" s="50"/>
      <c r="P292" s="50"/>
      <c r="Q292" s="50"/>
      <c r="R292" s="50"/>
      <c r="S292" s="370"/>
      <c r="T292" s="50"/>
      <c r="U292" s="50"/>
      <c r="V292" s="50"/>
      <c r="W292" s="50"/>
      <c r="X292" s="50"/>
      <c r="Y292" s="50"/>
      <c r="Z292" s="50"/>
      <c r="AA292" s="50"/>
      <c r="AB292" s="50"/>
      <c r="AC292" s="50"/>
      <c r="AD292"/>
    </row>
    <row r="293" spans="1:30" x14ac:dyDescent="0.25">
      <c r="A293"/>
      <c r="B293"/>
      <c r="C293"/>
      <c r="D293"/>
      <c r="F293" s="50"/>
      <c r="G293" s="50"/>
      <c r="H293" s="50"/>
      <c r="I293" s="50"/>
      <c r="J293" s="50"/>
      <c r="K293" s="50"/>
      <c r="L293" s="50"/>
      <c r="M293" s="50"/>
      <c r="N293" s="50"/>
      <c r="O293" s="50"/>
      <c r="P293" s="50"/>
      <c r="Q293" s="50"/>
      <c r="R293" s="50"/>
      <c r="S293" s="370"/>
      <c r="T293" s="50"/>
      <c r="U293" s="50"/>
      <c r="V293" s="50"/>
      <c r="W293" s="50"/>
      <c r="X293" s="50"/>
      <c r="Y293" s="50"/>
      <c r="Z293" s="50"/>
      <c r="AA293" s="50"/>
      <c r="AB293" s="50"/>
      <c r="AC293" s="50"/>
      <c r="AD293"/>
    </row>
    <row r="294" spans="1:30" x14ac:dyDescent="0.25">
      <c r="A294"/>
      <c r="B294"/>
      <c r="C294"/>
      <c r="D294"/>
      <c r="F294" s="50"/>
      <c r="G294" s="50"/>
      <c r="H294" s="50"/>
      <c r="I294" s="50"/>
      <c r="J294" s="50"/>
      <c r="K294" s="50"/>
      <c r="L294" s="50"/>
      <c r="M294" s="50"/>
      <c r="N294" s="50"/>
      <c r="O294" s="50"/>
      <c r="P294" s="50"/>
      <c r="Q294" s="50"/>
      <c r="R294" s="50"/>
      <c r="S294" s="370"/>
      <c r="T294" s="50"/>
      <c r="U294" s="50"/>
      <c r="V294" s="50"/>
      <c r="W294" s="50"/>
      <c r="X294" s="50"/>
      <c r="Y294" s="50"/>
      <c r="Z294" s="50"/>
      <c r="AA294" s="50"/>
      <c r="AB294" s="50"/>
      <c r="AC294" s="50"/>
      <c r="AD294"/>
    </row>
    <row r="295" spans="1:30" x14ac:dyDescent="0.25">
      <c r="A295"/>
      <c r="B295"/>
      <c r="C295"/>
      <c r="D295"/>
      <c r="F295" s="50"/>
      <c r="G295" s="50"/>
      <c r="H295" s="50"/>
      <c r="I295" s="50"/>
      <c r="J295" s="50"/>
      <c r="K295" s="50"/>
      <c r="L295" s="50"/>
      <c r="M295" s="50"/>
      <c r="N295" s="50"/>
      <c r="O295" s="50"/>
      <c r="P295" s="50"/>
      <c r="Q295" s="50"/>
      <c r="R295" s="50"/>
      <c r="S295" s="370"/>
      <c r="T295" s="50"/>
      <c r="U295" s="50"/>
      <c r="V295" s="50"/>
      <c r="W295" s="50"/>
      <c r="X295" s="50"/>
      <c r="Y295" s="50"/>
      <c r="Z295" s="50"/>
      <c r="AA295" s="50"/>
      <c r="AB295" s="50"/>
      <c r="AC295" s="50"/>
      <c r="AD295"/>
    </row>
    <row r="296" spans="1:30" x14ac:dyDescent="0.25">
      <c r="A296"/>
      <c r="B296"/>
      <c r="C296"/>
      <c r="D296"/>
      <c r="F296" s="50"/>
      <c r="G296" s="50"/>
      <c r="H296" s="50"/>
      <c r="I296" s="50"/>
      <c r="J296" s="50"/>
      <c r="K296" s="50"/>
      <c r="L296" s="50"/>
      <c r="M296" s="50"/>
      <c r="N296" s="50"/>
      <c r="O296" s="50"/>
      <c r="P296" s="50"/>
      <c r="Q296" s="50"/>
      <c r="R296" s="50"/>
      <c r="S296" s="370"/>
      <c r="T296" s="50"/>
      <c r="U296" s="50"/>
      <c r="V296" s="50"/>
      <c r="W296" s="50"/>
      <c r="X296" s="50"/>
      <c r="Y296" s="50"/>
      <c r="Z296" s="50"/>
      <c r="AA296" s="50"/>
      <c r="AB296" s="50"/>
      <c r="AC296" s="50"/>
      <c r="AD296"/>
    </row>
    <row r="297" spans="1:30" x14ac:dyDescent="0.25">
      <c r="A297"/>
      <c r="B297"/>
      <c r="C297"/>
      <c r="D297"/>
      <c r="F297" s="50"/>
      <c r="G297" s="50"/>
      <c r="H297" s="50"/>
      <c r="I297" s="50"/>
      <c r="J297" s="50"/>
      <c r="K297" s="50"/>
      <c r="L297" s="50"/>
      <c r="M297" s="50"/>
      <c r="N297" s="50"/>
      <c r="O297" s="50"/>
      <c r="P297" s="50"/>
      <c r="Q297" s="50"/>
      <c r="R297" s="50"/>
      <c r="S297" s="370"/>
      <c r="T297" s="50"/>
      <c r="U297" s="50"/>
      <c r="V297" s="50"/>
      <c r="W297" s="50"/>
      <c r="X297" s="50"/>
      <c r="Y297" s="50"/>
      <c r="Z297" s="50"/>
      <c r="AA297" s="50"/>
      <c r="AB297" s="50"/>
      <c r="AC297" s="50"/>
      <c r="AD297"/>
    </row>
    <row r="298" spans="1:30" x14ac:dyDescent="0.25">
      <c r="A298"/>
      <c r="B298"/>
      <c r="C298"/>
      <c r="D298"/>
      <c r="F298" s="50"/>
      <c r="G298" s="50"/>
      <c r="H298" s="50"/>
      <c r="I298" s="50"/>
      <c r="J298" s="50"/>
      <c r="K298" s="50"/>
      <c r="L298" s="50"/>
      <c r="M298" s="50"/>
      <c r="N298" s="50"/>
      <c r="O298" s="50"/>
      <c r="P298" s="50"/>
      <c r="Q298" s="50"/>
      <c r="R298" s="50"/>
      <c r="S298" s="370"/>
      <c r="T298" s="50"/>
      <c r="U298" s="50"/>
      <c r="V298" s="50"/>
      <c r="W298" s="50"/>
      <c r="X298" s="50"/>
      <c r="Y298" s="50"/>
      <c r="Z298" s="50"/>
      <c r="AA298" s="50"/>
      <c r="AB298" s="50"/>
      <c r="AC298" s="50"/>
      <c r="AD298"/>
    </row>
    <row r="299" spans="1:30" x14ac:dyDescent="0.25">
      <c r="A299"/>
      <c r="B299"/>
      <c r="C299"/>
      <c r="D299"/>
      <c r="F299" s="50"/>
      <c r="G299" s="50"/>
      <c r="H299" s="50"/>
      <c r="I299" s="50"/>
      <c r="J299" s="50"/>
      <c r="K299" s="50"/>
      <c r="L299" s="50"/>
      <c r="M299" s="50"/>
      <c r="N299" s="50"/>
      <c r="O299" s="50"/>
      <c r="P299" s="50"/>
      <c r="Q299" s="50"/>
      <c r="R299" s="50"/>
      <c r="S299" s="370"/>
      <c r="T299" s="50"/>
      <c r="U299" s="50"/>
      <c r="V299" s="50"/>
      <c r="W299" s="50"/>
      <c r="X299" s="50"/>
      <c r="Y299" s="50"/>
      <c r="Z299" s="50"/>
      <c r="AA299" s="50"/>
      <c r="AB299" s="50"/>
      <c r="AC299" s="50"/>
      <c r="AD299"/>
    </row>
    <row r="300" spans="1:30" x14ac:dyDescent="0.25">
      <c r="A300"/>
      <c r="B300"/>
      <c r="C300"/>
      <c r="D300"/>
      <c r="F300" s="50"/>
      <c r="G300" s="50"/>
      <c r="H300" s="50"/>
      <c r="I300" s="50"/>
      <c r="J300" s="50"/>
      <c r="K300" s="50"/>
      <c r="L300" s="50"/>
      <c r="M300" s="50"/>
      <c r="N300" s="50"/>
      <c r="O300" s="50"/>
      <c r="P300" s="50"/>
      <c r="Q300" s="50"/>
      <c r="R300" s="50"/>
      <c r="S300" s="370"/>
      <c r="T300" s="50"/>
      <c r="U300" s="50"/>
      <c r="V300" s="50"/>
      <c r="W300" s="50"/>
      <c r="X300" s="50"/>
      <c r="Y300" s="50"/>
      <c r="Z300" s="50"/>
      <c r="AA300" s="50"/>
      <c r="AB300" s="50"/>
      <c r="AC300" s="50"/>
      <c r="AD300"/>
    </row>
    <row r="301" spans="1:30" x14ac:dyDescent="0.25">
      <c r="A301"/>
      <c r="B301"/>
      <c r="C301"/>
      <c r="D301"/>
      <c r="F301" s="50"/>
      <c r="G301" s="50"/>
      <c r="H301" s="50"/>
      <c r="I301" s="50"/>
      <c r="J301" s="50"/>
      <c r="K301" s="50"/>
      <c r="L301" s="50"/>
      <c r="M301" s="50"/>
      <c r="N301" s="50"/>
      <c r="O301" s="50"/>
      <c r="P301" s="50"/>
      <c r="Q301" s="50"/>
      <c r="R301" s="50"/>
      <c r="S301" s="370"/>
      <c r="T301" s="50"/>
      <c r="U301" s="50"/>
      <c r="V301" s="50"/>
      <c r="W301" s="50"/>
      <c r="X301" s="50"/>
      <c r="Y301" s="50"/>
      <c r="Z301" s="50"/>
      <c r="AA301" s="50"/>
      <c r="AB301" s="50"/>
      <c r="AC301" s="50"/>
      <c r="AD301"/>
    </row>
    <row r="302" spans="1:30" x14ac:dyDescent="0.25">
      <c r="A302"/>
      <c r="B302"/>
      <c r="C302"/>
      <c r="D302"/>
      <c r="F302" s="50"/>
      <c r="G302" s="50"/>
      <c r="H302" s="50"/>
      <c r="I302" s="50"/>
      <c r="J302" s="50"/>
      <c r="K302" s="50"/>
      <c r="L302" s="50"/>
      <c r="M302" s="50"/>
      <c r="N302" s="50"/>
      <c r="O302" s="50"/>
      <c r="P302" s="50"/>
      <c r="Q302" s="50"/>
      <c r="R302" s="50"/>
      <c r="S302" s="370"/>
      <c r="T302" s="50"/>
      <c r="U302" s="50"/>
      <c r="V302" s="50"/>
      <c r="W302" s="50"/>
      <c r="X302" s="50"/>
      <c r="Y302" s="50"/>
      <c r="Z302" s="50"/>
      <c r="AA302" s="50"/>
      <c r="AB302" s="50"/>
      <c r="AC302" s="50"/>
      <c r="AD302"/>
    </row>
    <row r="303" spans="1:30" x14ac:dyDescent="0.25">
      <c r="A303"/>
      <c r="B303"/>
      <c r="C303"/>
      <c r="D303"/>
      <c r="F303" s="50"/>
      <c r="G303" s="50"/>
      <c r="H303" s="50"/>
      <c r="I303" s="50"/>
      <c r="J303" s="50"/>
      <c r="K303" s="50"/>
      <c r="L303" s="50"/>
      <c r="M303" s="50"/>
      <c r="N303" s="50"/>
      <c r="O303" s="50"/>
      <c r="P303" s="50"/>
      <c r="Q303" s="50"/>
      <c r="R303" s="50"/>
      <c r="S303" s="370"/>
      <c r="T303" s="50"/>
      <c r="U303" s="50"/>
      <c r="V303" s="50"/>
      <c r="W303" s="50"/>
      <c r="X303" s="50"/>
      <c r="Y303" s="50"/>
      <c r="Z303" s="50"/>
      <c r="AA303" s="50"/>
      <c r="AB303" s="50"/>
      <c r="AC303" s="50"/>
      <c r="AD303"/>
    </row>
    <row r="304" spans="1:30" x14ac:dyDescent="0.25">
      <c r="A304"/>
      <c r="B304"/>
      <c r="C304"/>
      <c r="D304"/>
      <c r="F304" s="50"/>
      <c r="G304" s="50"/>
      <c r="H304" s="50"/>
      <c r="I304" s="50"/>
      <c r="J304" s="50"/>
      <c r="K304" s="50"/>
      <c r="L304" s="50"/>
      <c r="M304" s="50"/>
      <c r="N304" s="50"/>
      <c r="O304" s="50"/>
      <c r="P304" s="50"/>
      <c r="Q304" s="50"/>
      <c r="R304" s="50"/>
      <c r="S304" s="370"/>
      <c r="T304" s="50"/>
      <c r="U304" s="50"/>
      <c r="V304" s="50"/>
      <c r="W304" s="50"/>
      <c r="X304" s="50"/>
      <c r="Y304" s="50"/>
      <c r="Z304" s="50"/>
      <c r="AA304" s="50"/>
      <c r="AB304" s="50"/>
      <c r="AC304" s="50"/>
      <c r="AD304"/>
    </row>
    <row r="305" spans="1:30" x14ac:dyDescent="0.25">
      <c r="A305"/>
      <c r="B305"/>
      <c r="C305"/>
      <c r="D305"/>
      <c r="F305" s="50"/>
      <c r="G305" s="50"/>
      <c r="H305" s="50"/>
      <c r="I305" s="50"/>
      <c r="J305" s="50"/>
      <c r="K305" s="50"/>
      <c r="L305" s="50"/>
      <c r="M305" s="50"/>
      <c r="N305" s="50"/>
      <c r="O305" s="50"/>
      <c r="P305" s="50"/>
      <c r="Q305" s="50"/>
      <c r="R305" s="50"/>
      <c r="S305" s="370"/>
      <c r="T305" s="50"/>
      <c r="U305" s="50"/>
      <c r="V305" s="50"/>
      <c r="W305" s="50"/>
      <c r="X305" s="50"/>
      <c r="Y305" s="50"/>
      <c r="Z305" s="50"/>
      <c r="AA305" s="50"/>
      <c r="AB305" s="50"/>
      <c r="AC305" s="50"/>
      <c r="AD305"/>
    </row>
    <row r="306" spans="1:30" x14ac:dyDescent="0.25">
      <c r="A306"/>
      <c r="B306"/>
      <c r="C306"/>
      <c r="D306"/>
      <c r="F306" s="50"/>
      <c r="G306" s="50"/>
      <c r="H306" s="50"/>
      <c r="I306" s="50"/>
      <c r="J306" s="50"/>
      <c r="K306" s="50"/>
      <c r="L306" s="50"/>
      <c r="M306" s="50"/>
      <c r="N306" s="50"/>
      <c r="O306" s="50"/>
      <c r="P306" s="50"/>
      <c r="Q306" s="50"/>
      <c r="R306" s="50"/>
      <c r="S306" s="370"/>
      <c r="T306" s="50"/>
      <c r="U306" s="50"/>
      <c r="V306" s="50"/>
      <c r="W306" s="50"/>
      <c r="X306" s="50"/>
      <c r="Y306" s="50"/>
      <c r="Z306" s="50"/>
      <c r="AA306" s="50"/>
      <c r="AB306" s="50"/>
      <c r="AC306" s="50"/>
      <c r="AD306"/>
    </row>
    <row r="307" spans="1:30" x14ac:dyDescent="0.25">
      <c r="A307"/>
      <c r="B307"/>
      <c r="C307"/>
      <c r="D307"/>
      <c r="F307" s="50"/>
      <c r="G307" s="50"/>
      <c r="H307" s="50"/>
      <c r="I307" s="50"/>
      <c r="J307" s="50"/>
      <c r="K307" s="50"/>
      <c r="L307" s="50"/>
      <c r="M307" s="50"/>
      <c r="N307" s="50"/>
      <c r="O307" s="50"/>
      <c r="P307" s="50"/>
      <c r="Q307" s="50"/>
      <c r="R307" s="50"/>
      <c r="S307" s="370"/>
      <c r="T307" s="50"/>
      <c r="U307" s="50"/>
      <c r="V307" s="50"/>
      <c r="W307" s="50"/>
      <c r="X307" s="50"/>
      <c r="Y307" s="50"/>
      <c r="Z307" s="50"/>
      <c r="AA307" s="50"/>
      <c r="AB307" s="50"/>
      <c r="AC307" s="50"/>
      <c r="AD307"/>
    </row>
    <row r="308" spans="1:30" x14ac:dyDescent="0.25">
      <c r="A308"/>
      <c r="B308"/>
      <c r="C308"/>
      <c r="D308"/>
      <c r="F308" s="50"/>
      <c r="G308" s="50"/>
      <c r="H308" s="50"/>
      <c r="I308" s="50"/>
      <c r="J308" s="50"/>
      <c r="K308" s="50"/>
      <c r="L308" s="50"/>
      <c r="M308" s="50"/>
      <c r="N308" s="50"/>
      <c r="O308" s="50"/>
      <c r="P308" s="50"/>
      <c r="Q308" s="50"/>
      <c r="R308" s="50"/>
      <c r="S308" s="370"/>
      <c r="T308" s="50"/>
      <c r="U308" s="50"/>
      <c r="V308" s="50"/>
      <c r="W308" s="50"/>
      <c r="X308" s="50"/>
      <c r="Y308" s="50"/>
      <c r="Z308" s="50"/>
      <c r="AA308" s="50"/>
      <c r="AB308" s="50"/>
      <c r="AC308" s="50"/>
      <c r="AD308"/>
    </row>
    <row r="309" spans="1:30" x14ac:dyDescent="0.25">
      <c r="A309"/>
      <c r="B309"/>
      <c r="C309"/>
      <c r="D309"/>
      <c r="F309" s="50"/>
      <c r="G309" s="50"/>
      <c r="H309" s="50"/>
      <c r="I309" s="50"/>
      <c r="J309" s="50"/>
      <c r="K309" s="50"/>
      <c r="L309" s="50"/>
      <c r="M309" s="50"/>
      <c r="N309" s="50"/>
      <c r="O309" s="50"/>
      <c r="P309" s="50"/>
      <c r="Q309" s="50"/>
      <c r="R309" s="50"/>
      <c r="S309" s="370"/>
      <c r="T309" s="50"/>
      <c r="U309" s="50"/>
      <c r="V309" s="50"/>
      <c r="W309" s="50"/>
      <c r="X309" s="50"/>
      <c r="Y309" s="50"/>
      <c r="Z309" s="50"/>
      <c r="AA309" s="50"/>
      <c r="AB309" s="50"/>
      <c r="AC309" s="50"/>
      <c r="AD309"/>
    </row>
    <row r="310" spans="1:30" x14ac:dyDescent="0.25">
      <c r="A310"/>
      <c r="B310"/>
      <c r="C310"/>
      <c r="D310"/>
      <c r="F310" s="50"/>
      <c r="G310" s="50"/>
      <c r="H310" s="50"/>
      <c r="I310" s="50"/>
      <c r="J310" s="50"/>
      <c r="K310" s="50"/>
      <c r="L310" s="50"/>
      <c r="M310" s="50"/>
      <c r="N310" s="50"/>
      <c r="O310" s="50"/>
      <c r="P310" s="50"/>
      <c r="Q310" s="50"/>
      <c r="R310" s="50"/>
      <c r="S310" s="370"/>
      <c r="T310" s="50"/>
      <c r="U310" s="50"/>
      <c r="V310" s="50"/>
      <c r="W310" s="50"/>
      <c r="X310" s="50"/>
      <c r="Y310" s="50"/>
      <c r="Z310" s="50"/>
      <c r="AA310" s="50"/>
      <c r="AB310" s="50"/>
      <c r="AC310" s="50"/>
      <c r="AD310"/>
    </row>
    <row r="311" spans="1:30" x14ac:dyDescent="0.25">
      <c r="A311"/>
      <c r="B311"/>
      <c r="C311"/>
      <c r="D311"/>
      <c r="F311" s="50"/>
      <c r="G311" s="50"/>
      <c r="H311" s="50"/>
      <c r="I311" s="50"/>
      <c r="J311" s="50"/>
      <c r="K311" s="50"/>
      <c r="L311" s="50"/>
      <c r="M311" s="50"/>
      <c r="N311" s="50"/>
      <c r="O311" s="50"/>
      <c r="P311" s="50"/>
      <c r="Q311" s="50"/>
      <c r="R311" s="50"/>
      <c r="S311" s="370"/>
      <c r="T311" s="50"/>
      <c r="U311" s="50"/>
      <c r="V311" s="50"/>
      <c r="W311" s="50"/>
      <c r="X311" s="50"/>
      <c r="Y311" s="50"/>
      <c r="Z311" s="50"/>
      <c r="AA311" s="50"/>
      <c r="AB311" s="50"/>
      <c r="AC311" s="50"/>
      <c r="AD311"/>
    </row>
    <row r="312" spans="1:30" x14ac:dyDescent="0.25">
      <c r="A312"/>
      <c r="B312"/>
      <c r="C312"/>
      <c r="D312"/>
      <c r="F312" s="50"/>
      <c r="G312" s="50"/>
      <c r="H312" s="50"/>
      <c r="I312" s="50"/>
      <c r="J312" s="50"/>
      <c r="K312" s="50"/>
      <c r="L312" s="50"/>
      <c r="M312" s="50"/>
      <c r="N312" s="50"/>
      <c r="O312" s="50"/>
      <c r="P312" s="50"/>
      <c r="Q312" s="50"/>
      <c r="R312" s="50"/>
      <c r="S312" s="370"/>
      <c r="T312" s="50"/>
      <c r="U312" s="50"/>
      <c r="V312" s="50"/>
      <c r="W312" s="50"/>
      <c r="X312" s="50"/>
      <c r="Y312" s="50"/>
      <c r="Z312" s="50"/>
      <c r="AA312" s="50"/>
      <c r="AB312" s="50"/>
      <c r="AC312" s="50"/>
      <c r="AD312"/>
    </row>
    <row r="313" spans="1:30" x14ac:dyDescent="0.25">
      <c r="A313"/>
      <c r="B313"/>
      <c r="C313"/>
      <c r="D313"/>
      <c r="F313" s="50"/>
      <c r="G313" s="50"/>
      <c r="H313" s="50"/>
      <c r="I313" s="50"/>
      <c r="J313" s="50"/>
      <c r="K313" s="50"/>
      <c r="L313" s="50"/>
      <c r="M313" s="50"/>
      <c r="N313" s="50"/>
      <c r="O313" s="50"/>
      <c r="P313" s="50"/>
      <c r="Q313" s="50"/>
      <c r="R313" s="50"/>
      <c r="S313" s="370"/>
      <c r="T313" s="50"/>
      <c r="U313" s="50"/>
      <c r="V313" s="50"/>
      <c r="W313" s="50"/>
      <c r="X313" s="50"/>
      <c r="Y313" s="50"/>
      <c r="Z313" s="50"/>
      <c r="AA313" s="50"/>
      <c r="AB313" s="50"/>
      <c r="AC313" s="50"/>
      <c r="AD313"/>
    </row>
    <row r="314" spans="1:30" x14ac:dyDescent="0.25">
      <c r="A314"/>
      <c r="B314"/>
      <c r="C314"/>
      <c r="D314"/>
      <c r="F314" s="50"/>
      <c r="G314" s="50"/>
      <c r="H314" s="50"/>
      <c r="I314" s="50"/>
      <c r="J314" s="50"/>
      <c r="K314" s="50"/>
      <c r="L314" s="50"/>
      <c r="M314" s="50"/>
      <c r="N314" s="50"/>
      <c r="O314" s="50"/>
      <c r="P314" s="50"/>
      <c r="Q314" s="50"/>
      <c r="R314" s="50"/>
      <c r="S314" s="370"/>
      <c r="T314" s="50"/>
      <c r="U314" s="50"/>
      <c r="V314" s="50"/>
      <c r="W314" s="50"/>
      <c r="X314" s="50"/>
      <c r="Y314" s="50"/>
      <c r="Z314" s="50"/>
      <c r="AA314" s="50"/>
      <c r="AB314" s="50"/>
      <c r="AC314" s="50"/>
      <c r="AD314"/>
    </row>
  </sheetData>
  <autoFilter ref="B4:AB4" xr:uid="{BF59F061-23DC-44F2-8A33-92939563351B}">
    <sortState ref="B8:AB202">
      <sortCondition descending="1" ref="E4"/>
    </sortState>
  </autoFilter>
  <mergeCells count="12">
    <mergeCell ref="A207:D207"/>
    <mergeCell ref="AB3:AB4"/>
    <mergeCell ref="A1:A4"/>
    <mergeCell ref="B1:B4"/>
    <mergeCell ref="C1:C4"/>
    <mergeCell ref="D1:AB1"/>
    <mergeCell ref="E2:E4"/>
    <mergeCell ref="F2:U2"/>
    <mergeCell ref="V2:X2"/>
    <mergeCell ref="Y2:AB2"/>
    <mergeCell ref="U3:U4"/>
    <mergeCell ref="X3:X4"/>
  </mergeCells>
  <conditionalFormatting sqref="F4:F204 F2 F206:F1048576">
    <cfRule type="colorScale" priority="32">
      <colorScale>
        <cfvo type="min"/>
        <cfvo type="percentile" val="50"/>
        <cfvo type="max"/>
        <color rgb="FF63BE7B"/>
        <color rgb="FFFFEB84"/>
        <color rgb="FFF8696B"/>
      </colorScale>
    </cfRule>
  </conditionalFormatting>
  <conditionalFormatting sqref="G4:G204 G207:G1048576">
    <cfRule type="colorScale" priority="31">
      <colorScale>
        <cfvo type="min"/>
        <cfvo type="percentile" val="50"/>
        <cfvo type="max"/>
        <color rgb="FF63BE7B"/>
        <color rgb="FFFFEB84"/>
        <color rgb="FFF8696B"/>
      </colorScale>
    </cfRule>
  </conditionalFormatting>
  <conditionalFormatting sqref="H4:H204 H207:H1048576">
    <cfRule type="colorScale" priority="30">
      <colorScale>
        <cfvo type="min"/>
        <cfvo type="percentile" val="50"/>
        <cfvo type="max"/>
        <color rgb="FF63BE7B"/>
        <color rgb="FFFFEB84"/>
        <color rgb="FFF8696B"/>
      </colorScale>
    </cfRule>
  </conditionalFormatting>
  <conditionalFormatting sqref="I4:I204 I207:I1048576">
    <cfRule type="colorScale" priority="29">
      <colorScale>
        <cfvo type="min"/>
        <cfvo type="percentile" val="50"/>
        <cfvo type="max"/>
        <color rgb="FF63BE7B"/>
        <color rgb="FFFFEB84"/>
        <color rgb="FFF8696B"/>
      </colorScale>
    </cfRule>
  </conditionalFormatting>
  <conditionalFormatting sqref="J4:J204 J207:J1048576">
    <cfRule type="colorScale" priority="28">
      <colorScale>
        <cfvo type="min"/>
        <cfvo type="percentile" val="50"/>
        <cfvo type="max"/>
        <color rgb="FF63BE7B"/>
        <color rgb="FFFFEB84"/>
        <color rgb="FFF8696B"/>
      </colorScale>
    </cfRule>
  </conditionalFormatting>
  <conditionalFormatting sqref="K4:K204 K207:K1048576">
    <cfRule type="colorScale" priority="27">
      <colorScale>
        <cfvo type="min"/>
        <cfvo type="percentile" val="50"/>
        <cfvo type="max"/>
        <color rgb="FF63BE7B"/>
        <color rgb="FFFFEB84"/>
        <color rgb="FFF8696B"/>
      </colorScale>
    </cfRule>
  </conditionalFormatting>
  <conditionalFormatting sqref="L4:L204 L207:L1048576">
    <cfRule type="colorScale" priority="26">
      <colorScale>
        <cfvo type="min"/>
        <cfvo type="percentile" val="50"/>
        <cfvo type="max"/>
        <color rgb="FF63BE7B"/>
        <color rgb="FFFFEB84"/>
        <color rgb="FFF8696B"/>
      </colorScale>
    </cfRule>
  </conditionalFormatting>
  <conditionalFormatting sqref="M4:M204 M207:M1048576">
    <cfRule type="colorScale" priority="25">
      <colorScale>
        <cfvo type="min"/>
        <cfvo type="percentile" val="50"/>
        <cfvo type="max"/>
        <color rgb="FF63BE7B"/>
        <color rgb="FFFFEB84"/>
        <color rgb="FFF8696B"/>
      </colorScale>
    </cfRule>
  </conditionalFormatting>
  <conditionalFormatting sqref="N4:N204 N207:N1048576">
    <cfRule type="colorScale" priority="24">
      <colorScale>
        <cfvo type="min"/>
        <cfvo type="percentile" val="50"/>
        <cfvo type="max"/>
        <color rgb="FF63BE7B"/>
        <color rgb="FFFFEB84"/>
        <color rgb="FFF8696B"/>
      </colorScale>
    </cfRule>
  </conditionalFormatting>
  <conditionalFormatting sqref="O4:O204 O207:O1048576">
    <cfRule type="colorScale" priority="23">
      <colorScale>
        <cfvo type="min"/>
        <cfvo type="percentile" val="50"/>
        <cfvo type="max"/>
        <color rgb="FF63BE7B"/>
        <color rgb="FFFFEB84"/>
        <color rgb="FFF8696B"/>
      </colorScale>
    </cfRule>
  </conditionalFormatting>
  <conditionalFormatting sqref="P4:P204 P207:P1048576">
    <cfRule type="colorScale" priority="22">
      <colorScale>
        <cfvo type="min"/>
        <cfvo type="percentile" val="50"/>
        <cfvo type="max"/>
        <color rgb="FF63BE7B"/>
        <color rgb="FFFFEB84"/>
        <color rgb="FFF8696B"/>
      </colorScale>
    </cfRule>
  </conditionalFormatting>
  <conditionalFormatting sqref="Q4:Q204 Q207:Q1048576">
    <cfRule type="colorScale" priority="21">
      <colorScale>
        <cfvo type="min"/>
        <cfvo type="percentile" val="50"/>
        <cfvo type="max"/>
        <color rgb="FF63BE7B"/>
        <color rgb="FFFFEB84"/>
        <color rgb="FFF8696B"/>
      </colorScale>
    </cfRule>
  </conditionalFormatting>
  <conditionalFormatting sqref="R4:R204 R207:R1048576">
    <cfRule type="colorScale" priority="20">
      <colorScale>
        <cfvo type="min"/>
        <cfvo type="percentile" val="50"/>
        <cfvo type="max"/>
        <color rgb="FF63BE7B"/>
        <color rgb="FFFFEB84"/>
        <color rgb="FFF8696B"/>
      </colorScale>
    </cfRule>
  </conditionalFormatting>
  <conditionalFormatting sqref="S4:S204 S207:S1048576">
    <cfRule type="colorScale" priority="19">
      <colorScale>
        <cfvo type="min"/>
        <cfvo type="percentile" val="50"/>
        <cfvo type="max"/>
        <color rgb="FF63BE7B"/>
        <color rgb="FFFFEB84"/>
        <color rgb="FFF8696B"/>
      </colorScale>
    </cfRule>
  </conditionalFormatting>
  <conditionalFormatting sqref="T4:T204 T207:T1048576">
    <cfRule type="colorScale" priority="18">
      <colorScale>
        <cfvo type="min"/>
        <cfvo type="percentile" val="50"/>
        <cfvo type="max"/>
        <color rgb="FF63BE7B"/>
        <color rgb="FFFFEB84"/>
        <color rgb="FFF8696B"/>
      </colorScale>
    </cfRule>
  </conditionalFormatting>
  <conditionalFormatting sqref="U5:U202">
    <cfRule type="colorScale" priority="17">
      <colorScale>
        <cfvo type="min"/>
        <cfvo type="percentile" val="50"/>
        <cfvo type="max"/>
        <color rgb="FFF8696B"/>
        <color rgb="FFFFEB84"/>
        <color rgb="FF63BE7B"/>
      </colorScale>
    </cfRule>
  </conditionalFormatting>
  <conditionalFormatting sqref="G206:T206">
    <cfRule type="colorScale" priority="16">
      <colorScale>
        <cfvo type="min"/>
        <cfvo type="percentile" val="50"/>
        <cfvo type="max"/>
        <color rgb="FF63BE7B"/>
        <color rgb="FFFFEB84"/>
        <color rgb="FFF8696B"/>
      </colorScale>
    </cfRule>
  </conditionalFormatting>
  <conditionalFormatting sqref="W4">
    <cfRule type="colorScale" priority="15">
      <colorScale>
        <cfvo type="min"/>
        <cfvo type="percentile" val="50"/>
        <cfvo type="max"/>
        <color rgb="FF63BE7B"/>
        <color rgb="FFFFEB84"/>
        <color rgb="FFF8696B"/>
      </colorScale>
    </cfRule>
  </conditionalFormatting>
  <conditionalFormatting sqref="V5:V202">
    <cfRule type="colorScale" priority="14">
      <colorScale>
        <cfvo type="min"/>
        <cfvo type="percentile" val="50"/>
        <cfvo type="max"/>
        <color rgb="FF63BE7B"/>
        <color rgb="FFFFEB84"/>
        <color rgb="FFF8696B"/>
      </colorScale>
    </cfRule>
  </conditionalFormatting>
  <conditionalFormatting sqref="W5:W202">
    <cfRule type="colorScale" priority="13">
      <colorScale>
        <cfvo type="min"/>
        <cfvo type="percentile" val="50"/>
        <cfvo type="max"/>
        <color rgb="FF63BE7B"/>
        <color rgb="FFFFEB84"/>
        <color rgb="FFF8696B"/>
      </colorScale>
    </cfRule>
  </conditionalFormatting>
  <conditionalFormatting sqref="X5:X202">
    <cfRule type="colorScale" priority="12">
      <colorScale>
        <cfvo type="min"/>
        <cfvo type="percentile" val="50"/>
        <cfvo type="max"/>
        <color rgb="FFF8696B"/>
        <color rgb="FFFFEB84"/>
        <color rgb="FF63BE7B"/>
      </colorScale>
    </cfRule>
  </conditionalFormatting>
  <conditionalFormatting sqref="V206">
    <cfRule type="colorScale" priority="11">
      <colorScale>
        <cfvo type="min"/>
        <cfvo type="percentile" val="50"/>
        <cfvo type="max"/>
        <color rgb="FF63BE7B"/>
        <color rgb="FFFFEB84"/>
        <color rgb="FFF8696B"/>
      </colorScale>
    </cfRule>
  </conditionalFormatting>
  <conditionalFormatting sqref="W206">
    <cfRule type="colorScale" priority="10">
      <colorScale>
        <cfvo type="min"/>
        <cfvo type="percentile" val="50"/>
        <cfvo type="max"/>
        <color rgb="FF63BE7B"/>
        <color rgb="FFFFEB84"/>
        <color rgb="FFF8696B"/>
      </colorScale>
    </cfRule>
  </conditionalFormatting>
  <conditionalFormatting sqref="Y5:Y202">
    <cfRule type="colorScale" priority="9">
      <colorScale>
        <cfvo type="min"/>
        <cfvo type="percentile" val="50"/>
        <cfvo type="max"/>
        <color rgb="FF63BE7B"/>
        <color rgb="FFFFEB84"/>
        <color rgb="FFF8696B"/>
      </colorScale>
    </cfRule>
  </conditionalFormatting>
  <conditionalFormatting sqref="Z5:Z202">
    <cfRule type="colorScale" priority="8">
      <colorScale>
        <cfvo type="min"/>
        <cfvo type="percentile" val="50"/>
        <cfvo type="max"/>
        <color rgb="FF63BE7B"/>
        <color rgb="FFFFEB84"/>
        <color rgb="FFF8696B"/>
      </colorScale>
    </cfRule>
  </conditionalFormatting>
  <conditionalFormatting sqref="AA5:AA202">
    <cfRule type="colorScale" priority="7">
      <colorScale>
        <cfvo type="min"/>
        <cfvo type="percentile" val="50"/>
        <cfvo type="max"/>
        <color rgb="FF63BE7B"/>
        <color rgb="FFFFEB84"/>
        <color rgb="FFF8696B"/>
      </colorScale>
    </cfRule>
  </conditionalFormatting>
  <conditionalFormatting sqref="AB5:AB202">
    <cfRule type="colorScale" priority="6">
      <colorScale>
        <cfvo type="min"/>
        <cfvo type="percentile" val="50"/>
        <cfvo type="max"/>
        <color rgb="FFF8696B"/>
        <color rgb="FFFFEB84"/>
        <color rgb="FF63BE7B"/>
      </colorScale>
    </cfRule>
  </conditionalFormatting>
  <conditionalFormatting sqref="Y4">
    <cfRule type="colorScale" priority="5">
      <colorScale>
        <cfvo type="min"/>
        <cfvo type="percentile" val="50"/>
        <cfvo type="max"/>
        <color rgb="FF63BE7B"/>
        <color rgb="FFFFEB84"/>
        <color rgb="FFF8696B"/>
      </colorScale>
    </cfRule>
  </conditionalFormatting>
  <conditionalFormatting sqref="Z4">
    <cfRule type="colorScale" priority="4">
      <colorScale>
        <cfvo type="min"/>
        <cfvo type="percentile" val="50"/>
        <cfvo type="max"/>
        <color rgb="FF63BE7B"/>
        <color rgb="FFFFEB84"/>
        <color rgb="FFF8696B"/>
      </colorScale>
    </cfRule>
  </conditionalFormatting>
  <conditionalFormatting sqref="AA4">
    <cfRule type="colorScale" priority="3">
      <colorScale>
        <cfvo type="min"/>
        <cfvo type="percentile" val="50"/>
        <cfvo type="max"/>
        <color rgb="FF63BE7B"/>
        <color rgb="FFFFEB84"/>
        <color rgb="FFF8696B"/>
      </colorScale>
    </cfRule>
  </conditionalFormatting>
  <conditionalFormatting sqref="E5:E202">
    <cfRule type="colorScale" priority="2">
      <colorScale>
        <cfvo type="min"/>
        <cfvo type="percentile" val="50"/>
        <cfvo type="max"/>
        <color rgb="FFF8696B"/>
        <color rgb="FFFFEB84"/>
        <color rgb="FF63BE7B"/>
      </colorScale>
    </cfRule>
  </conditionalFormatting>
  <conditionalFormatting sqref="Y206:AA206">
    <cfRule type="colorScale" priority="1">
      <colorScale>
        <cfvo type="min"/>
        <cfvo type="percentile" val="50"/>
        <cfvo type="max"/>
        <color rgb="FF63BE7B"/>
        <color rgb="FFFFEB84"/>
        <color rgb="FFF8696B"/>
      </colorScale>
    </cfRule>
  </conditionalFormatting>
  <hyperlinks>
    <hyperlink ref="F206" r:id="rId1" xr:uid="{DFFD666A-7B2D-4CAB-A389-8EA6B30EE762}"/>
    <hyperlink ref="G206" r:id="rId2" xr:uid="{4EB3E3C3-CAF8-437F-A458-8293654A280F}"/>
    <hyperlink ref="H206" r:id="rId3" xr:uid="{BC605BA4-AB7F-4C4B-9E63-7CC91268A482}"/>
    <hyperlink ref="I206" r:id="rId4" xr:uid="{1964FBD8-C0D5-4FAC-81F0-C99BE7F99EB7}"/>
    <hyperlink ref="J206" r:id="rId5" xr:uid="{635EE158-0F33-48B0-8C5E-A09CDBE99315}"/>
    <hyperlink ref="K206" r:id="rId6" xr:uid="{BC1DED8B-F3DB-43ED-AB5F-083C9457C966}"/>
    <hyperlink ref="L206" r:id="rId7" xr:uid="{86E1944D-03D2-474A-A627-D99C645DDA15}"/>
    <hyperlink ref="M206" r:id="rId8" xr:uid="{C404D0C7-6CE7-4312-8A45-6A1BD83A2450}"/>
    <hyperlink ref="N206" r:id="rId9" xr:uid="{46D29575-D537-42FF-B1FF-8530401AA17E}"/>
    <hyperlink ref="O206" r:id="rId10" xr:uid="{A7058C94-A337-4992-804D-4740A1BD10DF}"/>
    <hyperlink ref="P206" r:id="rId11" xr:uid="{CB39571B-5AAC-4F16-BE0D-84B7017B2501}"/>
    <hyperlink ref="Q206" r:id="rId12" xr:uid="{14805897-7C4B-4B83-81E4-366DB82F3E06}"/>
    <hyperlink ref="R206" r:id="rId13" xr:uid="{74DBE0ED-2815-4014-899F-52CCE9877CA1}"/>
    <hyperlink ref="S206" r:id="rId14" xr:uid="{AC6BC51D-4571-4210-ACE3-C45DA76B686A}"/>
    <hyperlink ref="T206" r:id="rId15" xr:uid="{50482E1E-AF73-4AE4-B381-06BB9CC25979}"/>
    <hyperlink ref="V206" r:id="rId16" xr:uid="{4EAFC459-B7AB-4690-AB10-C01B6B397621}"/>
    <hyperlink ref="W206" r:id="rId17" xr:uid="{20A8BDBE-CDD3-4A98-B1A9-10923A903DBB}"/>
    <hyperlink ref="Y206" r:id="rId18" xr:uid="{0EBCC729-EDC1-422D-BAFD-18AD5C705249}"/>
    <hyperlink ref="Z206" r:id="rId19" xr:uid="{52928568-CDD8-4641-ADE4-6C262DBCF18E}"/>
    <hyperlink ref="AA206" r:id="rId20" xr:uid="{DEEDEE8C-EC9B-4582-83F0-6849A408E6D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73A3A-EFD3-42E2-9B77-BE0A025424DD}">
  <dimension ref="A1:Q312"/>
  <sheetViews>
    <sheetView workbookViewId="0">
      <selection activeCell="A207" sqref="A207:D207"/>
    </sheetView>
  </sheetViews>
  <sheetFormatPr baseColWidth="10" defaultRowHeight="15" x14ac:dyDescent="0.25"/>
  <cols>
    <col min="1" max="1" width="6.140625" style="52" customWidth="1"/>
    <col min="2" max="2" width="9.85546875" style="30" customWidth="1"/>
    <col min="3" max="3" width="21.28515625" style="30" customWidth="1"/>
    <col min="4" max="4" width="31.28515625" style="51" customWidth="1"/>
    <col min="5" max="5" width="18" style="324" customWidth="1"/>
    <col min="6" max="6" width="11" style="365" customWidth="1"/>
    <col min="7" max="15" width="8.85546875" style="365" customWidth="1"/>
    <col min="16" max="16" width="0.5703125" customWidth="1"/>
    <col min="17" max="17" width="28" style="51" customWidth="1"/>
  </cols>
  <sheetData>
    <row r="1" spans="1:17" ht="18.75" customHeight="1" x14ac:dyDescent="0.25">
      <c r="A1" s="550" t="s">
        <v>875</v>
      </c>
      <c r="B1" s="518" t="s">
        <v>0</v>
      </c>
      <c r="C1" s="544" t="s">
        <v>1</v>
      </c>
      <c r="D1" s="552" t="s">
        <v>1017</v>
      </c>
      <c r="E1" s="553"/>
      <c r="F1" s="553"/>
      <c r="G1" s="553"/>
      <c r="H1" s="553"/>
      <c r="I1" s="553"/>
      <c r="J1" s="553"/>
      <c r="K1" s="553"/>
      <c r="L1" s="553"/>
      <c r="M1" s="553"/>
      <c r="N1" s="553"/>
      <c r="O1" s="553"/>
      <c r="P1" s="328"/>
    </row>
    <row r="2" spans="1:17" ht="19.5" customHeight="1" x14ac:dyDescent="0.25">
      <c r="A2" s="550"/>
      <c r="B2" s="519"/>
      <c r="C2" s="545"/>
      <c r="D2" s="392" t="s">
        <v>962</v>
      </c>
      <c r="E2" s="554" t="s">
        <v>1018</v>
      </c>
      <c r="F2" s="557" t="s">
        <v>1019</v>
      </c>
      <c r="G2" s="559"/>
      <c r="H2" s="557" t="s">
        <v>1020</v>
      </c>
      <c r="I2" s="558"/>
      <c r="J2" s="559"/>
      <c r="K2" s="557" t="s">
        <v>1021</v>
      </c>
      <c r="L2" s="558"/>
      <c r="M2" s="558"/>
      <c r="N2" s="558"/>
      <c r="O2" s="559"/>
      <c r="P2" s="393"/>
    </row>
    <row r="3" spans="1:17" ht="20.25" customHeight="1" x14ac:dyDescent="0.25">
      <c r="A3" s="550"/>
      <c r="B3" s="519"/>
      <c r="C3" s="545"/>
      <c r="D3" s="392" t="s">
        <v>966</v>
      </c>
      <c r="E3" s="555"/>
      <c r="F3" s="394">
        <v>1</v>
      </c>
      <c r="G3" s="560" t="s">
        <v>877</v>
      </c>
      <c r="H3" s="394">
        <v>2</v>
      </c>
      <c r="I3" s="394">
        <v>1</v>
      </c>
      <c r="J3" s="560" t="s">
        <v>877</v>
      </c>
      <c r="K3" s="394">
        <v>1</v>
      </c>
      <c r="L3" s="394">
        <v>2</v>
      </c>
      <c r="M3" s="394">
        <v>1</v>
      </c>
      <c r="N3" s="394">
        <v>0.5</v>
      </c>
      <c r="O3" s="560" t="s">
        <v>877</v>
      </c>
      <c r="P3" s="393"/>
    </row>
    <row r="4" spans="1:17" ht="138" customHeight="1" x14ac:dyDescent="0.25">
      <c r="A4" s="551"/>
      <c r="B4" s="520"/>
      <c r="C4" s="546"/>
      <c r="D4" s="395" t="s">
        <v>2</v>
      </c>
      <c r="E4" s="556"/>
      <c r="F4" s="398" t="s">
        <v>1022</v>
      </c>
      <c r="G4" s="561"/>
      <c r="H4" s="398" t="s">
        <v>1023</v>
      </c>
      <c r="I4" s="398" t="s">
        <v>1024</v>
      </c>
      <c r="J4" s="561"/>
      <c r="K4" s="396" t="s">
        <v>1025</v>
      </c>
      <c r="L4" s="396" t="s">
        <v>1026</v>
      </c>
      <c r="M4" s="396" t="s">
        <v>1027</v>
      </c>
      <c r="N4" s="398" t="s">
        <v>1028</v>
      </c>
      <c r="O4" s="561"/>
      <c r="P4" s="399"/>
      <c r="Q4" s="329"/>
    </row>
    <row r="5" spans="1:17" s="5" customFormat="1" ht="15.75" customHeight="1" x14ac:dyDescent="0.25">
      <c r="A5" s="2">
        <v>1</v>
      </c>
      <c r="B5" s="6" t="s">
        <v>13</v>
      </c>
      <c r="C5" s="10" t="s">
        <v>19</v>
      </c>
      <c r="D5" s="400" t="s">
        <v>87</v>
      </c>
      <c r="E5" s="422">
        <f t="shared" ref="E5:E36" si="0">(G5*25+J5*40+O5*35)/100</f>
        <v>85.951490160439803</v>
      </c>
      <c r="F5" s="402">
        <v>19.494089129999999</v>
      </c>
      <c r="G5" s="407">
        <f t="shared" ref="G5:G36" si="1">((MIN(F5,21)-5)/(21-5))*100</f>
        <v>90.588057062499999</v>
      </c>
      <c r="H5" s="402">
        <v>533.70763999999997</v>
      </c>
      <c r="I5" s="423">
        <v>0.47</v>
      </c>
      <c r="J5" s="407">
        <f t="shared" ref="J5:J36" si="2">(((H5-300)/(600-300))*100*2+(LN(MIN(I5,0.4)+1)/LN(1.4))*100*1)/3</f>
        <v>85.268364444444444</v>
      </c>
      <c r="K5" s="402">
        <v>100</v>
      </c>
      <c r="L5" s="82">
        <v>12.97962547</v>
      </c>
      <c r="M5" s="402">
        <v>66.33</v>
      </c>
      <c r="N5" s="402">
        <v>2.88</v>
      </c>
      <c r="O5" s="407">
        <f t="shared" ref="O5:O36" si="3">(((MAX(K5,50)-50)/(100-50))*100+(L5/15)*100*2+MIN(M5,100)+(N5/4)*100*0.5)/4.5</f>
        <v>83.420371762962958</v>
      </c>
      <c r="P5" s="399"/>
      <c r="Q5" s="121"/>
    </row>
    <row r="6" spans="1:17" s="5" customFormat="1" ht="15.75" customHeight="1" x14ac:dyDescent="0.25">
      <c r="A6" s="2">
        <v>2</v>
      </c>
      <c r="B6" s="17" t="s">
        <v>29</v>
      </c>
      <c r="C6" s="18" t="s">
        <v>30</v>
      </c>
      <c r="D6" s="400" t="s">
        <v>31</v>
      </c>
      <c r="E6" s="422">
        <f t="shared" si="0"/>
        <v>85.627191270522886</v>
      </c>
      <c r="F6" s="402">
        <v>20.654779430000001</v>
      </c>
      <c r="G6" s="407">
        <f t="shared" si="1"/>
        <v>97.842371437500006</v>
      </c>
      <c r="H6" s="402">
        <v>515.68535999999995</v>
      </c>
      <c r="I6" s="423">
        <v>0.36965811965811968</v>
      </c>
      <c r="J6" s="407">
        <f t="shared" si="2"/>
        <v>79.092746313054889</v>
      </c>
      <c r="K6" s="402">
        <v>100</v>
      </c>
      <c r="L6" s="86">
        <v>12.869999890000001</v>
      </c>
      <c r="M6" s="402">
        <v>67.94</v>
      </c>
      <c r="N6" s="402">
        <v>3.21</v>
      </c>
      <c r="O6" s="407">
        <f t="shared" si="3"/>
        <v>84.36999967407408</v>
      </c>
      <c r="P6" s="399"/>
      <c r="Q6" s="121"/>
    </row>
    <row r="7" spans="1:17" s="5" customFormat="1" ht="15.75" customHeight="1" x14ac:dyDescent="0.25">
      <c r="A7" s="2">
        <v>3</v>
      </c>
      <c r="B7" s="3" t="s">
        <v>10</v>
      </c>
      <c r="C7" s="22" t="s">
        <v>49</v>
      </c>
      <c r="D7" s="400" t="s">
        <v>134</v>
      </c>
      <c r="E7" s="422">
        <f t="shared" si="0"/>
        <v>83.163963433035121</v>
      </c>
      <c r="F7" s="430">
        <v>17.5</v>
      </c>
      <c r="G7" s="407">
        <f t="shared" si="1"/>
        <v>78.125</v>
      </c>
      <c r="H7" s="403">
        <v>545.34240112164503</v>
      </c>
      <c r="I7" s="423">
        <v>0.625</v>
      </c>
      <c r="J7" s="407">
        <f t="shared" si="2"/>
        <v>87.853866915921117</v>
      </c>
      <c r="K7" s="402">
        <v>99.8</v>
      </c>
      <c r="L7" s="431">
        <v>10.53</v>
      </c>
      <c r="M7" s="402">
        <v>80.19</v>
      </c>
      <c r="N7" s="403">
        <v>3.69</v>
      </c>
      <c r="O7" s="407">
        <f t="shared" si="3"/>
        <v>81.403333333333322</v>
      </c>
      <c r="P7" s="399"/>
      <c r="Q7" s="121"/>
    </row>
    <row r="8" spans="1:17" s="5" customFormat="1" ht="15.75" customHeight="1" x14ac:dyDescent="0.25">
      <c r="A8" s="2">
        <v>4</v>
      </c>
      <c r="B8" s="6" t="s">
        <v>13</v>
      </c>
      <c r="C8" s="10" t="s">
        <v>19</v>
      </c>
      <c r="D8" s="400" t="s">
        <v>199</v>
      </c>
      <c r="E8" s="422">
        <f t="shared" si="0"/>
        <v>82.200407395879623</v>
      </c>
      <c r="F8" s="402">
        <v>18.991470339999999</v>
      </c>
      <c r="G8" s="407">
        <f t="shared" si="1"/>
        <v>87.446689624999991</v>
      </c>
      <c r="H8" s="402">
        <v>519.36176</v>
      </c>
      <c r="I8" s="423">
        <v>0.65277777777777779</v>
      </c>
      <c r="J8" s="407">
        <f t="shared" si="2"/>
        <v>82.080391111111112</v>
      </c>
      <c r="K8" s="402">
        <v>100</v>
      </c>
      <c r="L8" s="86">
        <v>12.740325739999999</v>
      </c>
      <c r="M8" s="402">
        <v>44.16</v>
      </c>
      <c r="N8" s="402">
        <v>3.17</v>
      </c>
      <c r="O8" s="407">
        <f t="shared" si="3"/>
        <v>78.590224414814813</v>
      </c>
      <c r="P8" s="399"/>
      <c r="Q8" s="121"/>
    </row>
    <row r="9" spans="1:17" s="13" customFormat="1" ht="15.75" customHeight="1" x14ac:dyDescent="0.25">
      <c r="A9" s="2">
        <v>5</v>
      </c>
      <c r="B9" s="6" t="s">
        <v>13</v>
      </c>
      <c r="C9" s="10" t="s">
        <v>19</v>
      </c>
      <c r="D9" s="400" t="s">
        <v>216</v>
      </c>
      <c r="E9" s="422">
        <f t="shared" si="0"/>
        <v>82.160276580347215</v>
      </c>
      <c r="F9" s="402">
        <v>17.811069490000001</v>
      </c>
      <c r="G9" s="407">
        <f t="shared" si="1"/>
        <v>80.069184312500013</v>
      </c>
      <c r="H9" s="402">
        <v>520.35645</v>
      </c>
      <c r="I9" s="423">
        <v>0.61422976501305482</v>
      </c>
      <c r="J9" s="407">
        <f t="shared" si="2"/>
        <v>82.301433333333321</v>
      </c>
      <c r="K9" s="402">
        <v>100</v>
      </c>
      <c r="L9" s="86">
        <v>13.489999770000001</v>
      </c>
      <c r="M9" s="402">
        <v>55.35</v>
      </c>
      <c r="N9" s="402">
        <v>3.24</v>
      </c>
      <c r="O9" s="407">
        <f t="shared" si="3"/>
        <v>83.49259191111112</v>
      </c>
      <c r="P9" s="399"/>
      <c r="Q9" s="354"/>
    </row>
    <row r="10" spans="1:17" s="5" customFormat="1" ht="15.75" customHeight="1" x14ac:dyDescent="0.25">
      <c r="A10" s="2">
        <v>6</v>
      </c>
      <c r="B10" s="3" t="s">
        <v>10</v>
      </c>
      <c r="C10" s="22" t="s">
        <v>49</v>
      </c>
      <c r="D10" s="400" t="s">
        <v>185</v>
      </c>
      <c r="E10" s="422">
        <f t="shared" si="0"/>
        <v>80.070839286978313</v>
      </c>
      <c r="F10" s="402">
        <v>16.74227905</v>
      </c>
      <c r="G10" s="407">
        <f t="shared" si="1"/>
        <v>73.389244062499998</v>
      </c>
      <c r="H10" s="402">
        <v>575.27215999999999</v>
      </c>
      <c r="I10" s="423">
        <v>0.22272727272727272</v>
      </c>
      <c r="J10" s="407">
        <f t="shared" si="2"/>
        <v>81.092386089494397</v>
      </c>
      <c r="K10" s="402">
        <v>99.89</v>
      </c>
      <c r="L10" s="86">
        <v>11.989999770000001</v>
      </c>
      <c r="M10" s="402">
        <v>70.77</v>
      </c>
      <c r="N10" s="402">
        <v>3.69</v>
      </c>
      <c r="O10" s="407">
        <f t="shared" si="3"/>
        <v>83.675925244444443</v>
      </c>
      <c r="P10" s="399"/>
      <c r="Q10" s="121"/>
    </row>
    <row r="11" spans="1:17" s="5" customFormat="1" ht="15.75" customHeight="1" x14ac:dyDescent="0.25">
      <c r="A11" s="2">
        <v>7</v>
      </c>
      <c r="B11" s="6" t="s">
        <v>13</v>
      </c>
      <c r="C11" s="10" t="s">
        <v>19</v>
      </c>
      <c r="D11" s="400" t="s">
        <v>155</v>
      </c>
      <c r="E11" s="422">
        <f t="shared" si="0"/>
        <v>79.163088704050836</v>
      </c>
      <c r="F11" s="402">
        <v>18.58485031</v>
      </c>
      <c r="G11" s="407">
        <f t="shared" si="1"/>
        <v>84.905314437499996</v>
      </c>
      <c r="H11" s="402">
        <v>519.63463999999999</v>
      </c>
      <c r="I11" s="423">
        <v>0.30379746835443039</v>
      </c>
      <c r="J11" s="407">
        <f t="shared" si="2"/>
        <v>75.088334225578492</v>
      </c>
      <c r="K11" s="402">
        <v>100</v>
      </c>
      <c r="L11" s="86">
        <v>12.66994689</v>
      </c>
      <c r="M11" s="402">
        <v>49.55</v>
      </c>
      <c r="N11" s="402">
        <v>3.22</v>
      </c>
      <c r="O11" s="407">
        <f t="shared" si="3"/>
        <v>79.718361155555556</v>
      </c>
      <c r="P11" s="399"/>
      <c r="Q11" s="121"/>
    </row>
    <row r="12" spans="1:17" s="5" customFormat="1" ht="15.75" customHeight="1" x14ac:dyDescent="0.25">
      <c r="A12" s="2">
        <v>8</v>
      </c>
      <c r="B12" s="6" t="s">
        <v>13</v>
      </c>
      <c r="C12" s="10" t="s">
        <v>19</v>
      </c>
      <c r="D12" s="400" t="s">
        <v>200</v>
      </c>
      <c r="E12" s="422">
        <f t="shared" si="0"/>
        <v>78.41999838392978</v>
      </c>
      <c r="F12" s="402">
        <v>16.667530060000001</v>
      </c>
      <c r="G12" s="407">
        <f t="shared" si="1"/>
        <v>72.922062875000009</v>
      </c>
      <c r="H12" s="402">
        <v>515.13904000000002</v>
      </c>
      <c r="I12" s="423">
        <v>0.28925619834710742</v>
      </c>
      <c r="J12" s="407">
        <f t="shared" si="2"/>
        <v>72.978207540727212</v>
      </c>
      <c r="K12" s="402">
        <v>100</v>
      </c>
      <c r="L12" s="86">
        <v>13.94912109</v>
      </c>
      <c r="M12" s="402">
        <v>63.81</v>
      </c>
      <c r="N12" s="402">
        <v>3.9</v>
      </c>
      <c r="O12" s="407">
        <f t="shared" si="3"/>
        <v>88.566284711111109</v>
      </c>
      <c r="P12" s="399"/>
      <c r="Q12" s="121"/>
    </row>
    <row r="13" spans="1:17" s="5" customFormat="1" ht="15.75" customHeight="1" x14ac:dyDescent="0.25">
      <c r="A13" s="2">
        <v>9</v>
      </c>
      <c r="B13" s="6" t="s">
        <v>13</v>
      </c>
      <c r="C13" s="10" t="s">
        <v>19</v>
      </c>
      <c r="D13" s="400" t="s">
        <v>73</v>
      </c>
      <c r="E13" s="422">
        <f t="shared" si="0"/>
        <v>78.381482174790236</v>
      </c>
      <c r="F13" s="402">
        <v>18.704010010000001</v>
      </c>
      <c r="G13" s="407">
        <f t="shared" si="1"/>
        <v>85.650062562500011</v>
      </c>
      <c r="H13" s="402">
        <v>517.87779999999998</v>
      </c>
      <c r="I13" s="423">
        <v>0.22135416666666666</v>
      </c>
      <c r="J13" s="407">
        <f t="shared" si="2"/>
        <v>68.226770335413093</v>
      </c>
      <c r="K13" s="402">
        <v>100</v>
      </c>
      <c r="L13" s="86">
        <v>13.027320599999999</v>
      </c>
      <c r="M13" s="402">
        <v>59.63</v>
      </c>
      <c r="N13" s="402">
        <v>3.86</v>
      </c>
      <c r="O13" s="407">
        <f t="shared" si="3"/>
        <v>84.795023999999998</v>
      </c>
      <c r="P13" s="399"/>
      <c r="Q13" s="121"/>
    </row>
    <row r="14" spans="1:17" s="5" customFormat="1" ht="15.75" customHeight="1" x14ac:dyDescent="0.25">
      <c r="A14" s="2">
        <v>10</v>
      </c>
      <c r="B14" s="6" t="s">
        <v>13</v>
      </c>
      <c r="C14" s="10" t="s">
        <v>19</v>
      </c>
      <c r="D14" s="400" t="s">
        <v>161</v>
      </c>
      <c r="E14" s="422">
        <f t="shared" si="0"/>
        <v>78.281509958742376</v>
      </c>
      <c r="F14" s="402">
        <v>18.792850489999999</v>
      </c>
      <c r="G14" s="407">
        <f t="shared" si="1"/>
        <v>86.20531556249999</v>
      </c>
      <c r="H14" s="402">
        <v>513.58780000000002</v>
      </c>
      <c r="I14" s="423">
        <v>0.21739130434782608</v>
      </c>
      <c r="J14" s="407">
        <f t="shared" si="2"/>
        <v>66.951476648071221</v>
      </c>
      <c r="K14" s="402">
        <v>100</v>
      </c>
      <c r="L14" s="86">
        <v>13.117962179999999</v>
      </c>
      <c r="M14" s="402">
        <v>60.91</v>
      </c>
      <c r="N14" s="402">
        <v>3.94</v>
      </c>
      <c r="O14" s="407">
        <f t="shared" si="3"/>
        <v>85.570258311111104</v>
      </c>
      <c r="P14" s="399"/>
      <c r="Q14" s="121"/>
    </row>
    <row r="15" spans="1:17" s="5" customFormat="1" ht="15.75" customHeight="1" x14ac:dyDescent="0.25">
      <c r="A15" s="2">
        <v>11</v>
      </c>
      <c r="B15" s="3" t="s">
        <v>10</v>
      </c>
      <c r="C15" s="22" t="s">
        <v>49</v>
      </c>
      <c r="D15" s="400" t="s">
        <v>102</v>
      </c>
      <c r="E15" s="422">
        <f t="shared" si="0"/>
        <v>78.273257984789211</v>
      </c>
      <c r="F15" s="402">
        <v>16.895860670000001</v>
      </c>
      <c r="G15" s="407">
        <f t="shared" si="1"/>
        <v>74.349129187500012</v>
      </c>
      <c r="H15" s="403">
        <v>533.38513872236831</v>
      </c>
      <c r="I15" s="423">
        <v>0.7</v>
      </c>
      <c r="J15" s="407">
        <f t="shared" si="2"/>
        <v>85.196697493859617</v>
      </c>
      <c r="K15" s="426">
        <v>99.99</v>
      </c>
      <c r="L15" s="86">
        <v>12.350000380000001</v>
      </c>
      <c r="M15" s="402">
        <v>19.09</v>
      </c>
      <c r="N15" s="402">
        <v>3.64</v>
      </c>
      <c r="O15" s="407">
        <f t="shared" si="3"/>
        <v>73.163704829629623</v>
      </c>
      <c r="P15" s="399"/>
      <c r="Q15" s="121"/>
    </row>
    <row r="16" spans="1:17" s="5" customFormat="1" ht="15.75" customHeight="1" x14ac:dyDescent="0.25">
      <c r="A16" s="2">
        <v>12</v>
      </c>
      <c r="B16" s="3" t="s">
        <v>10</v>
      </c>
      <c r="C16" s="22" t="s">
        <v>49</v>
      </c>
      <c r="D16" s="400" t="s">
        <v>202</v>
      </c>
      <c r="E16" s="422">
        <f t="shared" si="0"/>
        <v>77.767440236874478</v>
      </c>
      <c r="F16" s="433">
        <v>16.8</v>
      </c>
      <c r="G16" s="407">
        <f t="shared" si="1"/>
        <v>73.75</v>
      </c>
      <c r="H16" s="403">
        <v>543.7480994684081</v>
      </c>
      <c r="I16" s="423">
        <v>0.22500000000000001</v>
      </c>
      <c r="J16" s="407">
        <f t="shared" si="2"/>
        <v>74.271007999593635</v>
      </c>
      <c r="K16" s="426">
        <v>99.99</v>
      </c>
      <c r="L16" s="86">
        <v>12.7</v>
      </c>
      <c r="M16" s="403">
        <v>63.91</v>
      </c>
      <c r="N16" s="402">
        <v>3.81</v>
      </c>
      <c r="O16" s="407">
        <f t="shared" si="3"/>
        <v>84.632962962962949</v>
      </c>
      <c r="P16" s="399"/>
      <c r="Q16" s="121"/>
    </row>
    <row r="17" spans="1:17" s="5" customFormat="1" ht="15.75" customHeight="1" x14ac:dyDescent="0.25">
      <c r="A17" s="2">
        <v>13</v>
      </c>
      <c r="B17" s="6" t="s">
        <v>13</v>
      </c>
      <c r="C17" s="10" t="s">
        <v>19</v>
      </c>
      <c r="D17" s="400" t="s">
        <v>146</v>
      </c>
      <c r="E17" s="422">
        <f t="shared" si="0"/>
        <v>77.597481793057355</v>
      </c>
      <c r="F17" s="402">
        <v>21.687240599999999</v>
      </c>
      <c r="G17" s="407">
        <f t="shared" si="1"/>
        <v>100</v>
      </c>
      <c r="H17" s="403">
        <v>518.26073267189531</v>
      </c>
      <c r="I17" s="423">
        <v>0</v>
      </c>
      <c r="J17" s="407">
        <f t="shared" si="2"/>
        <v>48.502385038198952</v>
      </c>
      <c r="K17" s="424">
        <v>100</v>
      </c>
      <c r="L17" s="432">
        <v>13.8</v>
      </c>
      <c r="M17" s="402">
        <v>217.71</v>
      </c>
      <c r="N17" s="403">
        <v>3.4249999999999998</v>
      </c>
      <c r="O17" s="407">
        <f t="shared" si="3"/>
        <v>94.847222222222229</v>
      </c>
      <c r="P17" s="399"/>
      <c r="Q17" s="121"/>
    </row>
    <row r="18" spans="1:17" s="5" customFormat="1" ht="15.75" customHeight="1" x14ac:dyDescent="0.25">
      <c r="A18" s="2">
        <v>14</v>
      </c>
      <c r="B18" s="6" t="s">
        <v>13</v>
      </c>
      <c r="C18" s="10" t="s">
        <v>19</v>
      </c>
      <c r="D18" s="400" t="s">
        <v>109</v>
      </c>
      <c r="E18" s="422">
        <f t="shared" si="0"/>
        <v>77.04378769664892</v>
      </c>
      <c r="F18" s="402">
        <v>19.184879299999999</v>
      </c>
      <c r="G18" s="407">
        <f t="shared" si="1"/>
        <v>88.655495624999986</v>
      </c>
      <c r="H18" s="402">
        <v>521.32854999999995</v>
      </c>
      <c r="I18" s="423">
        <v>0.24687500000000001</v>
      </c>
      <c r="J18" s="407">
        <f t="shared" si="2"/>
        <v>71.042331913034374</v>
      </c>
      <c r="K18" s="402">
        <v>100</v>
      </c>
      <c r="L18" s="86">
        <v>11.724999560000001</v>
      </c>
      <c r="M18" s="402">
        <v>41.03</v>
      </c>
      <c r="N18" s="402">
        <v>3.43</v>
      </c>
      <c r="O18" s="407">
        <f t="shared" si="3"/>
        <v>75.60851721481481</v>
      </c>
      <c r="P18" s="399"/>
      <c r="Q18" s="121"/>
    </row>
    <row r="19" spans="1:17" s="5" customFormat="1" ht="15.75" customHeight="1" x14ac:dyDescent="0.25">
      <c r="A19" s="2">
        <v>15</v>
      </c>
      <c r="B19" s="6" t="s">
        <v>13</v>
      </c>
      <c r="C19" s="10" t="s">
        <v>19</v>
      </c>
      <c r="D19" s="400" t="s">
        <v>104</v>
      </c>
      <c r="E19" s="422">
        <f t="shared" si="0"/>
        <v>76.950214318131742</v>
      </c>
      <c r="F19" s="402">
        <v>18.850589750000001</v>
      </c>
      <c r="G19" s="407">
        <f t="shared" si="1"/>
        <v>86.566185937500009</v>
      </c>
      <c r="H19" s="402">
        <v>497.68277</v>
      </c>
      <c r="I19" s="423">
        <v>0.22500000000000001</v>
      </c>
      <c r="J19" s="407">
        <f t="shared" si="2"/>
        <v>64.034268117725176</v>
      </c>
      <c r="K19" s="402">
        <v>100</v>
      </c>
      <c r="L19" s="86">
        <v>13.908926279999999</v>
      </c>
      <c r="M19" s="402">
        <v>53.59</v>
      </c>
      <c r="N19" s="402">
        <v>3.42</v>
      </c>
      <c r="O19" s="407">
        <f t="shared" si="3"/>
        <v>84.842744533333345</v>
      </c>
      <c r="P19" s="399"/>
      <c r="Q19" s="121"/>
    </row>
    <row r="20" spans="1:17" s="13" customFormat="1" ht="15.75" customHeight="1" x14ac:dyDescent="0.25">
      <c r="A20" s="2">
        <v>16</v>
      </c>
      <c r="B20" s="6" t="s">
        <v>13</v>
      </c>
      <c r="C20" s="10" t="s">
        <v>19</v>
      </c>
      <c r="D20" s="400" t="s">
        <v>40</v>
      </c>
      <c r="E20" s="422">
        <f t="shared" si="0"/>
        <v>76.724752102990522</v>
      </c>
      <c r="F20" s="402">
        <v>18.996030810000001</v>
      </c>
      <c r="G20" s="407">
        <f t="shared" si="1"/>
        <v>87.475192562499998</v>
      </c>
      <c r="H20" s="402">
        <v>516.80786000000001</v>
      </c>
      <c r="I20" s="423">
        <v>0.20535714285714285</v>
      </c>
      <c r="J20" s="407">
        <f t="shared" si="2"/>
        <v>66.682874479987859</v>
      </c>
      <c r="K20" s="402">
        <v>100</v>
      </c>
      <c r="L20" s="86">
        <v>12.68965045</v>
      </c>
      <c r="M20" s="402">
        <v>49.03</v>
      </c>
      <c r="N20" s="402">
        <v>3.53</v>
      </c>
      <c r="O20" s="407">
        <f t="shared" si="3"/>
        <v>80.52229762962962</v>
      </c>
      <c r="P20" s="399"/>
      <c r="Q20" s="354"/>
    </row>
    <row r="21" spans="1:17" s="5" customFormat="1" ht="15.75" customHeight="1" x14ac:dyDescent="0.25">
      <c r="A21" s="2">
        <v>17</v>
      </c>
      <c r="B21" s="14" t="s">
        <v>23</v>
      </c>
      <c r="C21" s="23" t="s">
        <v>57</v>
      </c>
      <c r="D21" s="400" t="s">
        <v>58</v>
      </c>
      <c r="E21" s="422">
        <f t="shared" si="0"/>
        <v>75.608150323231769</v>
      </c>
      <c r="F21" s="402">
        <v>15.88825989</v>
      </c>
      <c r="G21" s="407">
        <f t="shared" si="1"/>
        <v>68.051624312499996</v>
      </c>
      <c r="H21" s="402">
        <v>533.99800000000005</v>
      </c>
      <c r="I21" s="423">
        <v>0.25240384615384615</v>
      </c>
      <c r="J21" s="407">
        <f t="shared" si="2"/>
        <v>74.296073860915058</v>
      </c>
      <c r="K21" s="402">
        <v>100</v>
      </c>
      <c r="L21" s="86">
        <v>13.869999890000001</v>
      </c>
      <c r="M21" s="402">
        <v>42.84</v>
      </c>
      <c r="N21" s="402">
        <v>3.48</v>
      </c>
      <c r="O21" s="407">
        <f t="shared" si="3"/>
        <v>82.505184859259259</v>
      </c>
      <c r="P21" s="399"/>
      <c r="Q21" s="121"/>
    </row>
    <row r="22" spans="1:17" s="5" customFormat="1" ht="15.75" customHeight="1" x14ac:dyDescent="0.25">
      <c r="A22" s="2">
        <v>18</v>
      </c>
      <c r="B22" s="3" t="s">
        <v>10</v>
      </c>
      <c r="C22" s="22" t="s">
        <v>49</v>
      </c>
      <c r="D22" s="400" t="s">
        <v>121</v>
      </c>
      <c r="E22" s="422">
        <f t="shared" si="0"/>
        <v>74.815458297606128</v>
      </c>
      <c r="F22" s="402">
        <v>16.618640899999999</v>
      </c>
      <c r="G22" s="407">
        <f t="shared" si="1"/>
        <v>72.616505624999988</v>
      </c>
      <c r="H22" s="402">
        <v>537.2097</v>
      </c>
      <c r="I22" s="423">
        <v>0.16707616707616707</v>
      </c>
      <c r="J22" s="407">
        <f t="shared" si="2"/>
        <v>68.019296087649579</v>
      </c>
      <c r="K22" s="402">
        <v>99.95</v>
      </c>
      <c r="L22" s="86">
        <v>12.722198690000001</v>
      </c>
      <c r="M22" s="402">
        <v>63.91</v>
      </c>
      <c r="N22" s="402">
        <v>3.62</v>
      </c>
      <c r="O22" s="407">
        <f t="shared" si="3"/>
        <v>84.153181303703704</v>
      </c>
      <c r="P22" s="399"/>
      <c r="Q22" s="121"/>
    </row>
    <row r="23" spans="1:17" s="5" customFormat="1" ht="15.75" customHeight="1" x14ac:dyDescent="0.25">
      <c r="A23" s="2">
        <v>19</v>
      </c>
      <c r="B23" s="6" t="s">
        <v>13</v>
      </c>
      <c r="C23" s="10" t="s">
        <v>19</v>
      </c>
      <c r="D23" s="400" t="s">
        <v>94</v>
      </c>
      <c r="E23" s="422">
        <f t="shared" si="0"/>
        <v>74.717788455239656</v>
      </c>
      <c r="F23" s="402">
        <v>20.845500950000002</v>
      </c>
      <c r="G23" s="407">
        <f t="shared" si="1"/>
        <v>99.034380937500003</v>
      </c>
      <c r="H23" s="402">
        <v>468.63623000000001</v>
      </c>
      <c r="I23" s="423">
        <v>0.20555555555555555</v>
      </c>
      <c r="J23" s="407">
        <f t="shared" si="2"/>
        <v>55.994373815124611</v>
      </c>
      <c r="K23" s="402">
        <v>99.49</v>
      </c>
      <c r="L23" s="86">
        <v>11.553856420000001</v>
      </c>
      <c r="M23" s="402">
        <v>56.33</v>
      </c>
      <c r="N23" s="402">
        <v>3.6</v>
      </c>
      <c r="O23" s="407">
        <f t="shared" si="3"/>
        <v>78.746981985185187</v>
      </c>
      <c r="P23" s="399"/>
      <c r="Q23" s="121"/>
    </row>
    <row r="24" spans="1:17" s="5" customFormat="1" ht="15.75" customHeight="1" x14ac:dyDescent="0.25">
      <c r="A24" s="2">
        <v>20</v>
      </c>
      <c r="B24" s="17" t="s">
        <v>29</v>
      </c>
      <c r="C24" s="18" t="s">
        <v>30</v>
      </c>
      <c r="D24" s="400" t="s">
        <v>156</v>
      </c>
      <c r="E24" s="422">
        <f t="shared" si="0"/>
        <v>74.561847110440539</v>
      </c>
      <c r="F24" s="402">
        <v>19.30005074</v>
      </c>
      <c r="G24" s="407">
        <f t="shared" si="1"/>
        <v>89.375317124999995</v>
      </c>
      <c r="H24" s="402">
        <v>519.74839999999995</v>
      </c>
      <c r="I24" s="423">
        <v>0.13013698630136986</v>
      </c>
      <c r="J24" s="407">
        <f t="shared" si="2"/>
        <v>60.95273476186523</v>
      </c>
      <c r="K24" s="402">
        <v>100</v>
      </c>
      <c r="L24" s="86">
        <v>12.882998069999999</v>
      </c>
      <c r="M24" s="402">
        <v>41.63</v>
      </c>
      <c r="N24" s="402">
        <v>3.56</v>
      </c>
      <c r="O24" s="407">
        <f t="shared" si="3"/>
        <v>79.534068355555547</v>
      </c>
      <c r="P24" s="399"/>
      <c r="Q24" s="121"/>
    </row>
    <row r="25" spans="1:17" s="5" customFormat="1" ht="15.75" customHeight="1" x14ac:dyDescent="0.25">
      <c r="A25" s="2">
        <v>21</v>
      </c>
      <c r="B25" s="6" t="s">
        <v>13</v>
      </c>
      <c r="C25" s="10" t="s">
        <v>19</v>
      </c>
      <c r="D25" s="400" t="s">
        <v>111</v>
      </c>
      <c r="E25" s="422">
        <f t="shared" si="0"/>
        <v>74.207837805233481</v>
      </c>
      <c r="F25" s="402">
        <v>16.714199069999999</v>
      </c>
      <c r="G25" s="407">
        <f t="shared" si="1"/>
        <v>73.213744187499998</v>
      </c>
      <c r="H25" s="402">
        <v>492.98782</v>
      </c>
      <c r="I25" s="423">
        <v>0.38145161290322582</v>
      </c>
      <c r="J25" s="407">
        <f t="shared" si="2"/>
        <v>74.89821814034066</v>
      </c>
      <c r="K25" s="402">
        <v>99.87</v>
      </c>
      <c r="L25" s="86">
        <v>10.828128270000001</v>
      </c>
      <c r="M25" s="402">
        <v>44.84</v>
      </c>
      <c r="N25" s="402">
        <v>3.57</v>
      </c>
      <c r="O25" s="407">
        <f t="shared" si="3"/>
        <v>74.128898577777775</v>
      </c>
      <c r="P25" s="399"/>
      <c r="Q25" s="121"/>
    </row>
    <row r="26" spans="1:17" s="5" customFormat="1" ht="15.75" customHeight="1" x14ac:dyDescent="0.25">
      <c r="A26" s="2">
        <v>22</v>
      </c>
      <c r="B26" s="6" t="s">
        <v>13</v>
      </c>
      <c r="C26" s="10" t="s">
        <v>19</v>
      </c>
      <c r="D26" s="400" t="s">
        <v>192</v>
      </c>
      <c r="E26" s="422">
        <f t="shared" si="0"/>
        <v>73.818505604620185</v>
      </c>
      <c r="F26" s="402">
        <v>17.830310820000001</v>
      </c>
      <c r="G26" s="407">
        <f t="shared" si="1"/>
        <v>80.189442625000012</v>
      </c>
      <c r="H26" s="402">
        <v>506.62119999999999</v>
      </c>
      <c r="I26" s="423">
        <v>0.29425465838509318</v>
      </c>
      <c r="J26" s="407">
        <f t="shared" si="2"/>
        <v>71.468695833888432</v>
      </c>
      <c r="K26" s="402">
        <v>99.73</v>
      </c>
      <c r="L26" s="86">
        <v>10.75612495</v>
      </c>
      <c r="M26" s="402">
        <v>40.54</v>
      </c>
      <c r="N26" s="402">
        <v>3.23</v>
      </c>
      <c r="O26" s="407">
        <f t="shared" si="3"/>
        <v>71.953333185185187</v>
      </c>
      <c r="P26" s="399"/>
      <c r="Q26" s="121"/>
    </row>
    <row r="27" spans="1:17" s="5" customFormat="1" ht="15.75" customHeight="1" x14ac:dyDescent="0.25">
      <c r="A27" s="2">
        <v>23</v>
      </c>
      <c r="B27" s="6" t="s">
        <v>13</v>
      </c>
      <c r="C27" s="7" t="s">
        <v>14</v>
      </c>
      <c r="D27" s="400" t="s">
        <v>82</v>
      </c>
      <c r="E27" s="422">
        <f t="shared" si="0"/>
        <v>71.734059081789709</v>
      </c>
      <c r="F27" s="402">
        <v>15.96786022</v>
      </c>
      <c r="G27" s="407">
        <f t="shared" si="1"/>
        <v>68.549126375</v>
      </c>
      <c r="H27" s="402">
        <v>543.20605</v>
      </c>
      <c r="I27" s="423">
        <v>0.10135135135135136</v>
      </c>
      <c r="J27" s="407">
        <f t="shared" si="2"/>
        <v>63.609522686765935</v>
      </c>
      <c r="K27" s="402">
        <v>99.95</v>
      </c>
      <c r="L27" s="86">
        <v>13.562165970000001</v>
      </c>
      <c r="M27" s="402">
        <v>45.47</v>
      </c>
      <c r="N27" s="402">
        <v>3.89</v>
      </c>
      <c r="O27" s="407">
        <f t="shared" si="3"/>
        <v>83.294195466666679</v>
      </c>
      <c r="P27" s="399"/>
      <c r="Q27" s="121"/>
    </row>
    <row r="28" spans="1:17" s="5" customFormat="1" ht="15.75" customHeight="1" x14ac:dyDescent="0.25">
      <c r="A28" s="2">
        <v>24</v>
      </c>
      <c r="B28" s="14" t="s">
        <v>23</v>
      </c>
      <c r="C28" s="23" t="s">
        <v>57</v>
      </c>
      <c r="D28" s="400" t="s">
        <v>217</v>
      </c>
      <c r="E28" s="422">
        <f t="shared" si="0"/>
        <v>71.686424874533785</v>
      </c>
      <c r="F28" s="402">
        <v>15.92300034</v>
      </c>
      <c r="G28" s="407">
        <f t="shared" si="1"/>
        <v>68.268752124999992</v>
      </c>
      <c r="H28" s="402">
        <v>511.79867999999999</v>
      </c>
      <c r="I28" s="423">
        <v>0.20456472583380442</v>
      </c>
      <c r="J28" s="407">
        <f t="shared" si="2"/>
        <v>65.504573978579856</v>
      </c>
      <c r="K28" s="402">
        <v>100</v>
      </c>
      <c r="L28" s="86">
        <v>13.90999985</v>
      </c>
      <c r="M28" s="403">
        <v>48.15</v>
      </c>
      <c r="N28" s="402">
        <v>2.54</v>
      </c>
      <c r="O28" s="407">
        <f t="shared" si="3"/>
        <v>81.192592148148137</v>
      </c>
      <c r="P28" s="399"/>
      <c r="Q28" s="121"/>
    </row>
    <row r="29" spans="1:17" s="5" customFormat="1" ht="15.75" customHeight="1" x14ac:dyDescent="0.25">
      <c r="A29" s="2">
        <v>25</v>
      </c>
      <c r="B29" s="6" t="s">
        <v>13</v>
      </c>
      <c r="C29" s="7" t="s">
        <v>14</v>
      </c>
      <c r="D29" s="400" t="s">
        <v>72</v>
      </c>
      <c r="E29" s="422">
        <f t="shared" si="0"/>
        <v>71.34693448910059</v>
      </c>
      <c r="F29" s="402">
        <v>16.793500900000002</v>
      </c>
      <c r="G29" s="407">
        <f t="shared" si="1"/>
        <v>73.709380625000009</v>
      </c>
      <c r="H29" s="402">
        <v>512.22159999999997</v>
      </c>
      <c r="I29" s="423">
        <v>0.16315789473684211</v>
      </c>
      <c r="J29" s="407">
        <f t="shared" si="2"/>
        <v>62.133223339533863</v>
      </c>
      <c r="K29" s="402">
        <v>100</v>
      </c>
      <c r="L29" s="86">
        <v>12.963182140000001</v>
      </c>
      <c r="M29" s="402">
        <v>42.26</v>
      </c>
      <c r="N29" s="402">
        <v>3.66</v>
      </c>
      <c r="O29" s="407">
        <f t="shared" si="3"/>
        <v>80.189428562962959</v>
      </c>
      <c r="P29" s="399"/>
      <c r="Q29" s="121"/>
    </row>
    <row r="30" spans="1:17" s="5" customFormat="1" ht="15.75" customHeight="1" x14ac:dyDescent="0.25">
      <c r="A30" s="2">
        <v>26</v>
      </c>
      <c r="B30" s="6" t="s">
        <v>13</v>
      </c>
      <c r="C30" s="10" t="s">
        <v>19</v>
      </c>
      <c r="D30" s="400" t="s">
        <v>32</v>
      </c>
      <c r="E30" s="422">
        <f t="shared" si="0"/>
        <v>70.931312475223862</v>
      </c>
      <c r="F30" s="402">
        <v>16.28428078</v>
      </c>
      <c r="G30" s="407">
        <f t="shared" si="1"/>
        <v>70.526754874999995</v>
      </c>
      <c r="H30" s="402">
        <v>507.63936999999999</v>
      </c>
      <c r="I30" s="423">
        <v>0.23626373626373626</v>
      </c>
      <c r="J30" s="407">
        <f t="shared" si="2"/>
        <v>67.153594420814258</v>
      </c>
      <c r="K30" s="402">
        <v>100</v>
      </c>
      <c r="L30" s="86">
        <v>12.36146506</v>
      </c>
      <c r="M30" s="402">
        <v>37.35</v>
      </c>
      <c r="N30" s="402">
        <v>3.02</v>
      </c>
      <c r="O30" s="407">
        <f t="shared" si="3"/>
        <v>75.537674251851868</v>
      </c>
      <c r="P30" s="399"/>
      <c r="Q30" s="121"/>
    </row>
    <row r="31" spans="1:17" s="5" customFormat="1" ht="15.75" customHeight="1" x14ac:dyDescent="0.25">
      <c r="A31" s="2">
        <v>27</v>
      </c>
      <c r="B31" s="6" t="s">
        <v>13</v>
      </c>
      <c r="C31" s="10" t="s">
        <v>19</v>
      </c>
      <c r="D31" s="400" t="s">
        <v>92</v>
      </c>
      <c r="E31" s="422">
        <f t="shared" si="0"/>
        <v>69.777071757180025</v>
      </c>
      <c r="F31" s="402">
        <v>17.30921936</v>
      </c>
      <c r="G31" s="407">
        <f t="shared" si="1"/>
        <v>76.932620999999997</v>
      </c>
      <c r="H31" s="402">
        <v>517.28143</v>
      </c>
      <c r="I31" s="423">
        <v>3.2085561497326207E-2</v>
      </c>
      <c r="J31" s="407">
        <f t="shared" si="2"/>
        <v>51.413457412394486</v>
      </c>
      <c r="K31" s="402">
        <v>100</v>
      </c>
      <c r="L31" s="86">
        <v>14.296371629999999</v>
      </c>
      <c r="M31" s="402">
        <v>48.07</v>
      </c>
      <c r="N31" s="402">
        <v>3.74</v>
      </c>
      <c r="O31" s="407">
        <f t="shared" si="3"/>
        <v>85.652952977777773</v>
      </c>
      <c r="P31" s="399"/>
      <c r="Q31" s="121"/>
    </row>
    <row r="32" spans="1:17" s="5" customFormat="1" ht="15.75" customHeight="1" x14ac:dyDescent="0.25">
      <c r="A32" s="2">
        <v>28</v>
      </c>
      <c r="B32" s="6" t="s">
        <v>13</v>
      </c>
      <c r="C32" s="10" t="s">
        <v>19</v>
      </c>
      <c r="D32" s="400" t="s">
        <v>140</v>
      </c>
      <c r="E32" s="422">
        <f t="shared" si="0"/>
        <v>69.725343946931261</v>
      </c>
      <c r="F32" s="402">
        <v>15.90985012</v>
      </c>
      <c r="G32" s="407">
        <f t="shared" si="1"/>
        <v>68.186563249999992</v>
      </c>
      <c r="H32" s="402">
        <v>474.435</v>
      </c>
      <c r="I32" s="423">
        <v>0.25</v>
      </c>
      <c r="J32" s="407">
        <f t="shared" si="2"/>
        <v>60.869520910152232</v>
      </c>
      <c r="K32" s="402">
        <v>98.88</v>
      </c>
      <c r="L32" s="86">
        <v>12.4207021</v>
      </c>
      <c r="M32" s="402">
        <v>52.76</v>
      </c>
      <c r="N32" s="402">
        <v>3.85</v>
      </c>
      <c r="O32" s="407">
        <f t="shared" si="3"/>
        <v>80.945413629629627</v>
      </c>
      <c r="P32" s="409"/>
      <c r="Q32" s="121"/>
    </row>
    <row r="33" spans="1:17" s="5" customFormat="1" ht="15.75" customHeight="1" x14ac:dyDescent="0.25">
      <c r="A33" s="2">
        <v>29</v>
      </c>
      <c r="B33" s="6" t="s">
        <v>13</v>
      </c>
      <c r="C33" s="10" t="s">
        <v>19</v>
      </c>
      <c r="D33" s="400" t="s">
        <v>172</v>
      </c>
      <c r="E33" s="422">
        <f t="shared" si="0"/>
        <v>69.223605726306403</v>
      </c>
      <c r="F33" s="402">
        <v>17.486820219999998</v>
      </c>
      <c r="G33" s="407">
        <f t="shared" si="1"/>
        <v>78.042626374999998</v>
      </c>
      <c r="H33" s="402">
        <v>508.51490000000001</v>
      </c>
      <c r="I33" s="423">
        <v>0.16901408450704225</v>
      </c>
      <c r="J33" s="407">
        <f t="shared" si="2"/>
        <v>61.807037318798393</v>
      </c>
      <c r="K33" s="402">
        <v>99.44</v>
      </c>
      <c r="L33" s="86">
        <v>9.7032544119999997</v>
      </c>
      <c r="M33" s="402">
        <v>56.92</v>
      </c>
      <c r="N33" s="402">
        <v>2.89</v>
      </c>
      <c r="O33" s="407">
        <f t="shared" si="3"/>
        <v>71.400383442962962</v>
      </c>
      <c r="P33" s="399"/>
      <c r="Q33" s="121"/>
    </row>
    <row r="34" spans="1:17" s="13" customFormat="1" ht="15.75" customHeight="1" x14ac:dyDescent="0.25">
      <c r="A34" s="2">
        <v>30</v>
      </c>
      <c r="B34" s="6" t="s">
        <v>13</v>
      </c>
      <c r="C34" s="7" t="s">
        <v>14</v>
      </c>
      <c r="D34" s="400" t="s">
        <v>171</v>
      </c>
      <c r="E34" s="422">
        <f t="shared" si="0"/>
        <v>68.851421142481215</v>
      </c>
      <c r="F34" s="402">
        <v>16.678279880000002</v>
      </c>
      <c r="G34" s="407">
        <f t="shared" si="1"/>
        <v>72.989249250000015</v>
      </c>
      <c r="H34" s="402">
        <v>530.08579999999995</v>
      </c>
      <c r="I34" s="423">
        <v>3.3301158301158304E-2</v>
      </c>
      <c r="J34" s="407">
        <f t="shared" si="2"/>
        <v>54.375486171249321</v>
      </c>
      <c r="K34" s="402">
        <v>100</v>
      </c>
      <c r="L34" s="86">
        <v>13.208542420000001</v>
      </c>
      <c r="M34" s="402">
        <v>50.24</v>
      </c>
      <c r="N34" s="402">
        <v>3.57</v>
      </c>
      <c r="O34" s="407">
        <f t="shared" si="3"/>
        <v>82.439755318518507</v>
      </c>
      <c r="P34" s="399"/>
      <c r="Q34" s="354"/>
    </row>
    <row r="35" spans="1:17" s="13" customFormat="1" ht="15.75" customHeight="1" x14ac:dyDescent="0.25">
      <c r="A35" s="2">
        <v>31</v>
      </c>
      <c r="B35" s="6" t="s">
        <v>13</v>
      </c>
      <c r="C35" s="7" t="s">
        <v>14</v>
      </c>
      <c r="D35" s="400" t="s">
        <v>187</v>
      </c>
      <c r="E35" s="422">
        <f t="shared" si="0"/>
        <v>68.74583273915583</v>
      </c>
      <c r="F35" s="402">
        <v>17.477170940000001</v>
      </c>
      <c r="G35" s="407">
        <f t="shared" si="1"/>
        <v>77.982318375000006</v>
      </c>
      <c r="H35" s="402">
        <v>520.80899999999997</v>
      </c>
      <c r="I35" s="423">
        <v>2.1126760563380281E-2</v>
      </c>
      <c r="J35" s="407">
        <f t="shared" si="2"/>
        <v>51.139831589440512</v>
      </c>
      <c r="K35" s="402">
        <v>100</v>
      </c>
      <c r="L35" s="86">
        <v>12.951201920000001</v>
      </c>
      <c r="M35" s="402">
        <v>48.78</v>
      </c>
      <c r="N35" s="402">
        <v>3.9</v>
      </c>
      <c r="O35" s="407">
        <f t="shared" si="3"/>
        <v>82.269487170370368</v>
      </c>
      <c r="P35" s="399"/>
      <c r="Q35" s="354"/>
    </row>
    <row r="36" spans="1:17" s="13" customFormat="1" ht="15.75" customHeight="1" x14ac:dyDescent="0.25">
      <c r="A36" s="2">
        <v>32</v>
      </c>
      <c r="B36" s="3" t="s">
        <v>10</v>
      </c>
      <c r="C36" s="19" t="s">
        <v>35</v>
      </c>
      <c r="D36" s="400" t="s">
        <v>110</v>
      </c>
      <c r="E36" s="422">
        <f t="shared" si="0"/>
        <v>68.071986039579173</v>
      </c>
      <c r="F36" s="402">
        <v>14.93416023</v>
      </c>
      <c r="G36" s="407">
        <f t="shared" si="1"/>
        <v>62.0885014375</v>
      </c>
      <c r="H36" s="402">
        <v>480.75220000000002</v>
      </c>
      <c r="I36" s="423">
        <v>0.26694915254237289</v>
      </c>
      <c r="J36" s="407">
        <f t="shared" si="2"/>
        <v>63.607600522732696</v>
      </c>
      <c r="K36" s="402">
        <v>100</v>
      </c>
      <c r="L36" s="86">
        <v>13.534594739999999</v>
      </c>
      <c r="M36" s="402">
        <v>38.68</v>
      </c>
      <c r="N36" s="402">
        <v>2.35</v>
      </c>
      <c r="O36" s="407">
        <f t="shared" si="3"/>
        <v>77.448058488888876</v>
      </c>
      <c r="P36" s="399"/>
      <c r="Q36" s="354"/>
    </row>
    <row r="37" spans="1:17" s="13" customFormat="1" ht="15.75" customHeight="1" x14ac:dyDescent="0.25">
      <c r="A37" s="2">
        <v>33</v>
      </c>
      <c r="B37" s="3" t="s">
        <v>10</v>
      </c>
      <c r="C37" s="22" t="s">
        <v>49</v>
      </c>
      <c r="D37" s="400" t="s">
        <v>113</v>
      </c>
      <c r="E37" s="422">
        <f t="shared" ref="E37:E68" si="4">(G37*25+J37*40+O37*35)/100</f>
        <v>67.850169114725773</v>
      </c>
      <c r="F37" s="402">
        <v>15.511980060000001</v>
      </c>
      <c r="G37" s="407">
        <f t="shared" ref="G37:G68" si="5">((MIN(F37,21)-5)/(21-5))*100</f>
        <v>65.699875375000005</v>
      </c>
      <c r="H37" s="402">
        <v>537.72344999999996</v>
      </c>
      <c r="I37" s="423">
        <v>4.4908741594620556E-2</v>
      </c>
      <c r="J37" s="407">
        <f t="shared" ref="J37:J68" si="6">(((H37-300)/(600-300))*100*2+(LN(MIN(I37,0.4)+1)/LN(1.4))*100*1)/3</f>
        <v>57.179407355217201</v>
      </c>
      <c r="K37" s="402">
        <v>100</v>
      </c>
      <c r="L37" s="86">
        <v>12.684046710000001</v>
      </c>
      <c r="M37" s="402">
        <v>48.87</v>
      </c>
      <c r="N37" s="402">
        <v>3.93</v>
      </c>
      <c r="O37" s="407">
        <f t="shared" ref="O37:O68" si="7">(((MAX(K37,50)-50)/(100-50))*100+(L37/15)*100*2+MIN(M37,100)+(N37/4)*100*0.5)/4.5</f>
        <v>81.58124951111111</v>
      </c>
      <c r="P37" s="399"/>
      <c r="Q37" s="354"/>
    </row>
    <row r="38" spans="1:17" s="13" customFormat="1" ht="15.75" customHeight="1" x14ac:dyDescent="0.25">
      <c r="A38" s="2">
        <v>34</v>
      </c>
      <c r="B38" s="6" t="s">
        <v>13</v>
      </c>
      <c r="C38" s="7" t="s">
        <v>14</v>
      </c>
      <c r="D38" s="400" t="s">
        <v>132</v>
      </c>
      <c r="E38" s="422">
        <f t="shared" si="4"/>
        <v>67.47635641108667</v>
      </c>
      <c r="F38" s="402">
        <v>16.45467949</v>
      </c>
      <c r="G38" s="407">
        <f t="shared" si="5"/>
        <v>71.591746812500006</v>
      </c>
      <c r="H38" s="402">
        <v>495.88630000000001</v>
      </c>
      <c r="I38" s="423">
        <v>6.9148936170212769E-2</v>
      </c>
      <c r="J38" s="407">
        <f t="shared" si="6"/>
        <v>50.154207888422683</v>
      </c>
      <c r="K38" s="402">
        <v>99.86</v>
      </c>
      <c r="L38" s="86">
        <v>13.610692390000001</v>
      </c>
      <c r="M38" s="402">
        <v>55.93</v>
      </c>
      <c r="N38" s="402">
        <v>3.39</v>
      </c>
      <c r="O38" s="407">
        <f t="shared" si="7"/>
        <v>84.333533007407411</v>
      </c>
      <c r="P38" s="399"/>
      <c r="Q38" s="354"/>
    </row>
    <row r="39" spans="1:17" s="13" customFormat="1" ht="15.75" customHeight="1" x14ac:dyDescent="0.25">
      <c r="A39" s="2">
        <v>35</v>
      </c>
      <c r="B39" s="6" t="s">
        <v>13</v>
      </c>
      <c r="C39" s="10" t="s">
        <v>19</v>
      </c>
      <c r="D39" s="400" t="s">
        <v>71</v>
      </c>
      <c r="E39" s="422">
        <f t="shared" si="4"/>
        <v>66.011088280297031</v>
      </c>
      <c r="F39" s="402">
        <v>16.215599059999999</v>
      </c>
      <c r="G39" s="407">
        <f t="shared" si="5"/>
        <v>70.097494124999997</v>
      </c>
      <c r="H39" s="402">
        <v>502.16217</v>
      </c>
      <c r="I39" s="423">
        <v>7.4999999999999997E-2</v>
      </c>
      <c r="J39" s="407">
        <f t="shared" si="6"/>
        <v>52.089525872617571</v>
      </c>
      <c r="K39" s="402">
        <v>99.82</v>
      </c>
      <c r="L39" s="86">
        <v>12.5573721</v>
      </c>
      <c r="M39" s="402">
        <v>40.69</v>
      </c>
      <c r="N39" s="402">
        <v>3.82</v>
      </c>
      <c r="O39" s="407">
        <f t="shared" si="7"/>
        <v>79.002583999999999</v>
      </c>
      <c r="P39" s="399"/>
      <c r="Q39" s="354"/>
    </row>
    <row r="40" spans="1:17" s="13" customFormat="1" ht="15.75" customHeight="1" x14ac:dyDescent="0.25">
      <c r="A40" s="2">
        <v>36</v>
      </c>
      <c r="B40" s="6" t="s">
        <v>13</v>
      </c>
      <c r="C40" s="7" t="s">
        <v>14</v>
      </c>
      <c r="D40" s="400" t="s">
        <v>126</v>
      </c>
      <c r="E40" s="422">
        <f t="shared" si="4"/>
        <v>65.374755151531133</v>
      </c>
      <c r="F40" s="402">
        <v>16.482650759999999</v>
      </c>
      <c r="G40" s="407">
        <f t="shared" si="5"/>
        <v>71.766567249999994</v>
      </c>
      <c r="H40" s="402">
        <v>503.86977999999999</v>
      </c>
      <c r="I40" s="423">
        <v>3.4615384615384617E-2</v>
      </c>
      <c r="J40" s="407">
        <f t="shared" si="6"/>
        <v>48.67562452905932</v>
      </c>
      <c r="K40" s="402">
        <v>99.84</v>
      </c>
      <c r="L40" s="86">
        <v>13.40943983</v>
      </c>
      <c r="M40" s="402">
        <v>42.8</v>
      </c>
      <c r="N40" s="402">
        <v>3.06</v>
      </c>
      <c r="O40" s="407">
        <f t="shared" si="7"/>
        <v>79.893895792592588</v>
      </c>
      <c r="P40" s="399"/>
      <c r="Q40" s="354"/>
    </row>
    <row r="41" spans="1:17" s="5" customFormat="1" ht="15.75" customHeight="1" x14ac:dyDescent="0.25">
      <c r="A41" s="2">
        <v>37</v>
      </c>
      <c r="B41" s="6" t="s">
        <v>13</v>
      </c>
      <c r="C41" s="7" t="s">
        <v>14</v>
      </c>
      <c r="D41" s="400" t="s">
        <v>186</v>
      </c>
      <c r="E41" s="422">
        <f t="shared" si="4"/>
        <v>64.718232403654596</v>
      </c>
      <c r="F41" s="402">
        <v>14.946849820000001</v>
      </c>
      <c r="G41" s="407">
        <f t="shared" si="5"/>
        <v>62.167811375000007</v>
      </c>
      <c r="H41" s="402">
        <v>485.35</v>
      </c>
      <c r="I41" s="423">
        <v>0.15625</v>
      </c>
      <c r="J41" s="407">
        <f t="shared" si="6"/>
        <v>55.571651570131849</v>
      </c>
      <c r="K41" s="402">
        <v>100</v>
      </c>
      <c r="L41" s="86">
        <v>13.103203969999999</v>
      </c>
      <c r="M41" s="402">
        <v>36.26</v>
      </c>
      <c r="N41" s="402">
        <v>2.84</v>
      </c>
      <c r="O41" s="407">
        <f t="shared" si="7"/>
        <v>76.993196948148153</v>
      </c>
      <c r="P41" s="399"/>
      <c r="Q41" s="121"/>
    </row>
    <row r="42" spans="1:17" s="5" customFormat="1" ht="15.75" customHeight="1" x14ac:dyDescent="0.25">
      <c r="A42" s="2">
        <v>38</v>
      </c>
      <c r="B42" s="6" t="s">
        <v>13</v>
      </c>
      <c r="C42" s="10" t="s">
        <v>19</v>
      </c>
      <c r="D42" s="400" t="s">
        <v>88</v>
      </c>
      <c r="E42" s="422">
        <f t="shared" si="4"/>
        <v>64.361569599971858</v>
      </c>
      <c r="F42" s="402">
        <v>16.095119480000001</v>
      </c>
      <c r="G42" s="407">
        <f t="shared" si="5"/>
        <v>69.344496750000005</v>
      </c>
      <c r="H42" s="402">
        <v>510.26060000000001</v>
      </c>
      <c r="I42" s="423">
        <v>2.8019925280199254E-2</v>
      </c>
      <c r="J42" s="407">
        <f t="shared" si="6"/>
        <v>49.462252827475936</v>
      </c>
      <c r="K42" s="402">
        <v>100</v>
      </c>
      <c r="L42" s="86">
        <v>11.7656677</v>
      </c>
      <c r="M42" s="402">
        <v>56.11</v>
      </c>
      <c r="N42" s="402">
        <v>2.98</v>
      </c>
      <c r="O42" s="407">
        <f t="shared" si="7"/>
        <v>77.830126518518512</v>
      </c>
      <c r="P42" s="399"/>
      <c r="Q42" s="121"/>
    </row>
    <row r="43" spans="1:17" s="5" customFormat="1" ht="15.75" customHeight="1" x14ac:dyDescent="0.25">
      <c r="A43" s="2">
        <v>39</v>
      </c>
      <c r="B43" s="3" t="s">
        <v>10</v>
      </c>
      <c r="C43" s="19" t="s">
        <v>35</v>
      </c>
      <c r="D43" s="400" t="s">
        <v>210</v>
      </c>
      <c r="E43" s="422">
        <f t="shared" si="4"/>
        <v>63.963645470498058</v>
      </c>
      <c r="F43" s="402">
        <v>19.8307991</v>
      </c>
      <c r="G43" s="407">
        <f t="shared" si="5"/>
        <v>92.692494374999995</v>
      </c>
      <c r="H43" s="402">
        <v>477.96265</v>
      </c>
      <c r="I43" s="423">
        <v>0.14616935483870969</v>
      </c>
      <c r="J43" s="407">
        <f t="shared" si="6"/>
        <v>53.062524832610904</v>
      </c>
      <c r="K43" s="402">
        <v>92.23</v>
      </c>
      <c r="L43" s="86">
        <v>8.9862436599999995</v>
      </c>
      <c r="M43" s="402">
        <v>33.03</v>
      </c>
      <c r="N43" s="402">
        <v>1.1399999999999999</v>
      </c>
      <c r="O43" s="407">
        <f t="shared" si="7"/>
        <v>55.901462696296299</v>
      </c>
      <c r="P43" s="399"/>
      <c r="Q43" s="121"/>
    </row>
    <row r="44" spans="1:17" s="13" customFormat="1" ht="15.75" customHeight="1" x14ac:dyDescent="0.25">
      <c r="A44" s="2">
        <v>40</v>
      </c>
      <c r="B44" s="6" t="s">
        <v>13</v>
      </c>
      <c r="C44" s="7" t="s">
        <v>14</v>
      </c>
      <c r="D44" s="400" t="s">
        <v>69</v>
      </c>
      <c r="E44" s="422">
        <f t="shared" si="4"/>
        <v>63.752973344235421</v>
      </c>
      <c r="F44" s="402">
        <v>16.34815025</v>
      </c>
      <c r="G44" s="407">
        <f t="shared" si="5"/>
        <v>70.925939062499992</v>
      </c>
      <c r="H44" s="402">
        <v>487.58123999999998</v>
      </c>
      <c r="I44" s="423">
        <v>0.05</v>
      </c>
      <c r="J44" s="407">
        <f t="shared" si="6"/>
        <v>46.518220742822358</v>
      </c>
      <c r="K44" s="402">
        <v>99.65</v>
      </c>
      <c r="L44" s="86">
        <v>12.0951217</v>
      </c>
      <c r="M44" s="402">
        <v>48.15</v>
      </c>
      <c r="N44" s="402">
        <v>3.5</v>
      </c>
      <c r="O44" s="407">
        <f t="shared" si="7"/>
        <v>78.326286518518515</v>
      </c>
      <c r="P44" s="399"/>
      <c r="Q44" s="354"/>
    </row>
    <row r="45" spans="1:17" s="5" customFormat="1" ht="15.75" customHeight="1" x14ac:dyDescent="0.25">
      <c r="A45" s="2">
        <v>41</v>
      </c>
      <c r="B45" s="6" t="s">
        <v>13</v>
      </c>
      <c r="C45" s="7" t="s">
        <v>14</v>
      </c>
      <c r="D45" s="400" t="s">
        <v>103</v>
      </c>
      <c r="E45" s="422">
        <f t="shared" si="4"/>
        <v>63.423499926618888</v>
      </c>
      <c r="F45" s="402">
        <v>15.46940041</v>
      </c>
      <c r="G45" s="407">
        <f t="shared" si="5"/>
        <v>65.433752562500004</v>
      </c>
      <c r="H45" s="402">
        <v>495.48122999999998</v>
      </c>
      <c r="I45" s="423">
        <v>8.6021505376344093E-2</v>
      </c>
      <c r="J45" s="407">
        <f t="shared" si="6"/>
        <v>51.615392972392122</v>
      </c>
      <c r="K45" s="402">
        <v>100</v>
      </c>
      <c r="L45" s="86">
        <v>12.33162229</v>
      </c>
      <c r="M45" s="402">
        <v>45.5</v>
      </c>
      <c r="N45" s="402">
        <v>2.38</v>
      </c>
      <c r="O45" s="407">
        <f t="shared" si="7"/>
        <v>75.482584562962955</v>
      </c>
      <c r="P45" s="399"/>
      <c r="Q45" s="121"/>
    </row>
    <row r="46" spans="1:17" s="13" customFormat="1" ht="15.75" customHeight="1" x14ac:dyDescent="0.25">
      <c r="A46" s="2">
        <v>42</v>
      </c>
      <c r="B46" s="6" t="s">
        <v>13</v>
      </c>
      <c r="C46" s="10" t="s">
        <v>19</v>
      </c>
      <c r="D46" s="400" t="s">
        <v>131</v>
      </c>
      <c r="E46" s="422">
        <f t="shared" si="4"/>
        <v>60.770817464739523</v>
      </c>
      <c r="F46" s="402">
        <v>15.412579539999999</v>
      </c>
      <c r="G46" s="407">
        <f t="shared" si="5"/>
        <v>65.078622124999995</v>
      </c>
      <c r="H46" s="403">
        <v>491.27357470778054</v>
      </c>
      <c r="I46" s="423">
        <v>8.3333333333333329E-2</v>
      </c>
      <c r="J46" s="407">
        <f t="shared" si="6"/>
        <v>50.434838848538625</v>
      </c>
      <c r="K46" s="424">
        <v>100</v>
      </c>
      <c r="L46" s="86">
        <v>12.40995938</v>
      </c>
      <c r="M46" s="402">
        <v>4.5</v>
      </c>
      <c r="N46" s="403">
        <v>3.4249999999999998</v>
      </c>
      <c r="O46" s="407">
        <f t="shared" si="7"/>
        <v>69.506361125925935</v>
      </c>
      <c r="P46" s="399"/>
      <c r="Q46" s="354"/>
    </row>
    <row r="47" spans="1:17" s="5" customFormat="1" ht="15.75" customHeight="1" x14ac:dyDescent="0.25">
      <c r="A47" s="2">
        <v>43</v>
      </c>
      <c r="B47" s="6" t="s">
        <v>13</v>
      </c>
      <c r="C47" s="7" t="s">
        <v>14</v>
      </c>
      <c r="D47" s="400" t="s">
        <v>39</v>
      </c>
      <c r="E47" s="422">
        <f t="shared" si="4"/>
        <v>60.706235627456174</v>
      </c>
      <c r="F47" s="402">
        <v>13.718810080000001</v>
      </c>
      <c r="G47" s="407">
        <f t="shared" si="5"/>
        <v>54.492563000000004</v>
      </c>
      <c r="H47" s="402">
        <v>488.1431</v>
      </c>
      <c r="I47" s="423">
        <v>4.230769230769231E-2</v>
      </c>
      <c r="J47" s="407">
        <f t="shared" si="6"/>
        <v>45.914640578825612</v>
      </c>
      <c r="K47" s="402">
        <v>99.87</v>
      </c>
      <c r="L47" s="86">
        <v>12.335372980000001</v>
      </c>
      <c r="M47" s="402">
        <v>59.01</v>
      </c>
      <c r="N47" s="402">
        <v>3.68</v>
      </c>
      <c r="O47" s="407">
        <f t="shared" si="7"/>
        <v>82.049253274074076</v>
      </c>
      <c r="P47" s="399"/>
      <c r="Q47" s="121"/>
    </row>
    <row r="48" spans="1:17" s="5" customFormat="1" ht="15.75" customHeight="1" x14ac:dyDescent="0.25">
      <c r="A48" s="2">
        <v>44</v>
      </c>
      <c r="B48" s="3" t="s">
        <v>10</v>
      </c>
      <c r="C48" s="19" t="s">
        <v>35</v>
      </c>
      <c r="D48" s="400" t="s">
        <v>180</v>
      </c>
      <c r="E48" s="422">
        <f t="shared" si="4"/>
        <v>60.677042148044528</v>
      </c>
      <c r="F48" s="402">
        <v>16.949430469999999</v>
      </c>
      <c r="G48" s="407">
        <f t="shared" si="5"/>
        <v>74.683940437499999</v>
      </c>
      <c r="H48" s="402">
        <v>398.96893</v>
      </c>
      <c r="I48" s="423">
        <v>0.20121951219512196</v>
      </c>
      <c r="J48" s="407">
        <f t="shared" si="6"/>
        <v>40.155792796673836</v>
      </c>
      <c r="K48" s="402">
        <v>99.89</v>
      </c>
      <c r="L48" s="86">
        <v>11.606427780000001</v>
      </c>
      <c r="M48" s="402">
        <v>42.28</v>
      </c>
      <c r="N48" s="402">
        <v>2.94</v>
      </c>
      <c r="O48" s="407">
        <f t="shared" si="7"/>
        <v>74.124971200000005</v>
      </c>
      <c r="P48" s="399"/>
      <c r="Q48" s="121"/>
    </row>
    <row r="49" spans="1:17" s="5" customFormat="1" ht="15.75" customHeight="1" x14ac:dyDescent="0.25">
      <c r="A49" s="2">
        <v>45</v>
      </c>
      <c r="B49" s="3" t="s">
        <v>10</v>
      </c>
      <c r="C49" s="19" t="s">
        <v>35</v>
      </c>
      <c r="D49" s="400" t="s">
        <v>215</v>
      </c>
      <c r="E49" s="422">
        <f t="shared" si="4"/>
        <v>59.40870823407613</v>
      </c>
      <c r="F49" s="402">
        <v>15.601590160000001</v>
      </c>
      <c r="G49" s="407">
        <f t="shared" si="5"/>
        <v>66.259938500000004</v>
      </c>
      <c r="H49" s="402">
        <v>448.04068000000001</v>
      </c>
      <c r="I49" s="423">
        <v>6.0606060606060608E-2</v>
      </c>
      <c r="J49" s="407">
        <f t="shared" si="6"/>
        <v>38.727087396764404</v>
      </c>
      <c r="K49" s="402">
        <v>99.61</v>
      </c>
      <c r="L49" s="86">
        <v>12.989999770000001</v>
      </c>
      <c r="M49" s="403">
        <v>34.884999999999998</v>
      </c>
      <c r="N49" s="402">
        <v>3.55</v>
      </c>
      <c r="O49" s="407">
        <f t="shared" si="7"/>
        <v>78.151110429629625</v>
      </c>
      <c r="P49" s="399"/>
      <c r="Q49" s="121"/>
    </row>
    <row r="50" spans="1:17" s="5" customFormat="1" ht="15.75" customHeight="1" x14ac:dyDescent="0.25">
      <c r="A50" s="2">
        <v>46</v>
      </c>
      <c r="B50" s="8" t="s">
        <v>16</v>
      </c>
      <c r="C50" s="11" t="s">
        <v>21</v>
      </c>
      <c r="D50" s="400" t="s">
        <v>183</v>
      </c>
      <c r="E50" s="422">
        <f t="shared" si="4"/>
        <v>58.723052992476852</v>
      </c>
      <c r="F50" s="402">
        <v>18.22489929</v>
      </c>
      <c r="G50" s="407">
        <f t="shared" si="5"/>
        <v>82.655620562500005</v>
      </c>
      <c r="H50" s="402">
        <v>463.37932999999998</v>
      </c>
      <c r="I50" s="423">
        <v>0</v>
      </c>
      <c r="J50" s="407">
        <f t="shared" si="6"/>
        <v>36.306517777777771</v>
      </c>
      <c r="K50" s="402">
        <v>98.97</v>
      </c>
      <c r="L50" s="86">
        <v>11.199949999999999</v>
      </c>
      <c r="M50" s="402">
        <v>11.09</v>
      </c>
      <c r="N50" s="402">
        <v>3.54</v>
      </c>
      <c r="O50" s="407">
        <f t="shared" si="7"/>
        <v>67.247259259259252</v>
      </c>
      <c r="P50" s="399"/>
      <c r="Q50" s="121"/>
    </row>
    <row r="51" spans="1:17" s="5" customFormat="1" ht="15.75" customHeight="1" x14ac:dyDescent="0.25">
      <c r="A51" s="2">
        <v>47</v>
      </c>
      <c r="B51" s="6" t="s">
        <v>13</v>
      </c>
      <c r="C51" s="7" t="s">
        <v>14</v>
      </c>
      <c r="D51" s="400" t="s">
        <v>175</v>
      </c>
      <c r="E51" s="422">
        <f t="shared" si="4"/>
        <v>58.630850019990937</v>
      </c>
      <c r="F51" s="402">
        <v>13.18515015</v>
      </c>
      <c r="G51" s="407">
        <f t="shared" si="5"/>
        <v>51.157188437500004</v>
      </c>
      <c r="H51" s="402">
        <v>497.54622999999998</v>
      </c>
      <c r="I51" s="423">
        <v>3.1290115532734274E-2</v>
      </c>
      <c r="J51" s="407">
        <f t="shared" si="6"/>
        <v>46.951475258021304</v>
      </c>
      <c r="K51" s="402">
        <v>99.92</v>
      </c>
      <c r="L51" s="86">
        <v>12.40999985</v>
      </c>
      <c r="M51" s="402">
        <v>52.37</v>
      </c>
      <c r="N51" s="402">
        <v>2.42</v>
      </c>
      <c r="O51" s="407">
        <f t="shared" si="7"/>
        <v>77.317036592592601</v>
      </c>
      <c r="P51" s="399"/>
      <c r="Q51" s="121"/>
    </row>
    <row r="52" spans="1:17" s="13" customFormat="1" ht="15.75" customHeight="1" x14ac:dyDescent="0.25">
      <c r="A52" s="2">
        <v>48</v>
      </c>
      <c r="B52" s="14" t="s">
        <v>23</v>
      </c>
      <c r="C52" s="16" t="s">
        <v>26</v>
      </c>
      <c r="D52" s="400" t="s">
        <v>61</v>
      </c>
      <c r="E52" s="422">
        <f t="shared" si="4"/>
        <v>57.906391437560615</v>
      </c>
      <c r="F52" s="402">
        <v>16.912420269999998</v>
      </c>
      <c r="G52" s="407">
        <f t="shared" si="5"/>
        <v>74.452626687499986</v>
      </c>
      <c r="H52" s="402">
        <v>452.21823000000001</v>
      </c>
      <c r="I52" s="423">
        <v>0.10668789808917198</v>
      </c>
      <c r="J52" s="407">
        <f t="shared" si="6"/>
        <v>43.868872995695533</v>
      </c>
      <c r="K52" s="402">
        <v>99.3</v>
      </c>
      <c r="L52" s="86">
        <v>11.291053939999999</v>
      </c>
      <c r="M52" s="402">
        <v>18.690000000000001</v>
      </c>
      <c r="N52" s="402">
        <v>0.94</v>
      </c>
      <c r="O52" s="407">
        <f t="shared" si="7"/>
        <v>62.130530192592587</v>
      </c>
      <c r="P52" s="399"/>
      <c r="Q52" s="354"/>
    </row>
    <row r="53" spans="1:17" s="5" customFormat="1" ht="15.75" customHeight="1" x14ac:dyDescent="0.25">
      <c r="A53" s="2">
        <v>49</v>
      </c>
      <c r="B53" s="3" t="s">
        <v>10</v>
      </c>
      <c r="C53" s="22" t="s">
        <v>49</v>
      </c>
      <c r="D53" s="400" t="s">
        <v>222</v>
      </c>
      <c r="E53" s="422">
        <f t="shared" si="4"/>
        <v>57.884981965540881</v>
      </c>
      <c r="F53" s="402">
        <v>15.457715029999999</v>
      </c>
      <c r="G53" s="407">
        <f t="shared" si="5"/>
        <v>65.360718937499996</v>
      </c>
      <c r="H53" s="402">
        <v>519.10029999999995</v>
      </c>
      <c r="I53" s="423">
        <v>2.8846153846153848E-2</v>
      </c>
      <c r="J53" s="407">
        <f t="shared" si="6"/>
        <v>51.506219728285068</v>
      </c>
      <c r="K53" s="402">
        <v>99.05</v>
      </c>
      <c r="L53" s="86">
        <v>8.9799995419999998</v>
      </c>
      <c r="M53" s="402">
        <v>19.55</v>
      </c>
      <c r="N53" s="402">
        <v>2.5499999999999998</v>
      </c>
      <c r="O53" s="407">
        <f t="shared" si="7"/>
        <v>59.835183828148146</v>
      </c>
      <c r="P53" s="399"/>
      <c r="Q53" s="121"/>
    </row>
    <row r="54" spans="1:17" s="5" customFormat="1" ht="15.75" customHeight="1" x14ac:dyDescent="0.25">
      <c r="A54" s="2">
        <v>50</v>
      </c>
      <c r="B54" s="6" t="s">
        <v>13</v>
      </c>
      <c r="C54" s="10" t="s">
        <v>19</v>
      </c>
      <c r="D54" s="400" t="s">
        <v>133</v>
      </c>
      <c r="E54" s="422">
        <f t="shared" si="4"/>
        <v>57.086194632754633</v>
      </c>
      <c r="F54" s="402">
        <v>14.35795021</v>
      </c>
      <c r="G54" s="407">
        <f t="shared" si="5"/>
        <v>58.487188812500001</v>
      </c>
      <c r="H54" s="402">
        <v>492.84784000000002</v>
      </c>
      <c r="I54" s="423">
        <v>0</v>
      </c>
      <c r="J54" s="407">
        <f t="shared" si="6"/>
        <v>42.855075555555565</v>
      </c>
      <c r="K54" s="402">
        <v>100</v>
      </c>
      <c r="L54" s="86">
        <v>12.58937195</v>
      </c>
      <c r="M54" s="402">
        <v>9.09</v>
      </c>
      <c r="N54" s="402">
        <v>3.89</v>
      </c>
      <c r="O54" s="407">
        <f t="shared" si="7"/>
        <v>72.349620592592586</v>
      </c>
      <c r="P54" s="399"/>
      <c r="Q54" s="121"/>
    </row>
    <row r="55" spans="1:17" s="5" customFormat="1" ht="15.75" customHeight="1" x14ac:dyDescent="0.25">
      <c r="A55" s="2">
        <v>51</v>
      </c>
      <c r="B55" s="14" t="s">
        <v>23</v>
      </c>
      <c r="C55" s="16" t="s">
        <v>26</v>
      </c>
      <c r="D55" s="400" t="s">
        <v>27</v>
      </c>
      <c r="E55" s="422">
        <f t="shared" si="4"/>
        <v>56.74728407241026</v>
      </c>
      <c r="F55" s="402">
        <v>18.831209179999998</v>
      </c>
      <c r="G55" s="407">
        <f t="shared" si="5"/>
        <v>86.44505737499999</v>
      </c>
      <c r="H55" s="402">
        <v>408.17264</v>
      </c>
      <c r="I55" s="423">
        <v>7.8431372549019607E-2</v>
      </c>
      <c r="J55" s="407">
        <f t="shared" si="6"/>
        <v>31.518679736465455</v>
      </c>
      <c r="K55" s="402">
        <v>99.68</v>
      </c>
      <c r="L55" s="86">
        <v>11.18458184</v>
      </c>
      <c r="M55" s="402">
        <v>12.54</v>
      </c>
      <c r="N55" s="402">
        <v>2.29</v>
      </c>
      <c r="O55" s="407">
        <f t="shared" si="7"/>
        <v>64.367279525925923</v>
      </c>
      <c r="P55" s="399"/>
      <c r="Q55" s="121"/>
    </row>
    <row r="56" spans="1:17" s="5" customFormat="1" ht="15.75" customHeight="1" x14ac:dyDescent="0.25">
      <c r="A56" s="2">
        <v>52</v>
      </c>
      <c r="B56" s="6" t="s">
        <v>13</v>
      </c>
      <c r="C56" s="10" t="s">
        <v>19</v>
      </c>
      <c r="D56" s="400" t="s">
        <v>178</v>
      </c>
      <c r="E56" s="422">
        <f t="shared" si="4"/>
        <v>56.588257241752309</v>
      </c>
      <c r="F56" s="402">
        <v>14.59976717</v>
      </c>
      <c r="G56" s="407">
        <f t="shared" si="5"/>
        <v>59.9985448125</v>
      </c>
      <c r="H56" s="403">
        <v>470.88896981789048</v>
      </c>
      <c r="I56" s="423">
        <v>0</v>
      </c>
      <c r="J56" s="407">
        <f t="shared" si="6"/>
        <v>37.975326626197884</v>
      </c>
      <c r="K56" s="402">
        <v>100</v>
      </c>
      <c r="L56" s="86">
        <v>11.35999966</v>
      </c>
      <c r="M56" s="402">
        <v>45.13</v>
      </c>
      <c r="N56" s="403">
        <v>3.4249999999999998</v>
      </c>
      <c r="O56" s="407">
        <f t="shared" si="7"/>
        <v>75.424258251851853</v>
      </c>
      <c r="P56" s="399"/>
      <c r="Q56" s="121"/>
    </row>
    <row r="57" spans="1:17" s="5" customFormat="1" ht="15.75" customHeight="1" x14ac:dyDescent="0.25">
      <c r="A57" s="2">
        <v>53</v>
      </c>
      <c r="B57" s="6" t="s">
        <v>13</v>
      </c>
      <c r="C57" s="7" t="s">
        <v>14</v>
      </c>
      <c r="D57" s="400" t="s">
        <v>148</v>
      </c>
      <c r="E57" s="422">
        <f t="shared" si="4"/>
        <v>56.324721249806309</v>
      </c>
      <c r="F57" s="402">
        <v>15.53652954</v>
      </c>
      <c r="G57" s="407">
        <f t="shared" si="5"/>
        <v>65.853309624999994</v>
      </c>
      <c r="H57" s="402">
        <v>436.12973</v>
      </c>
      <c r="I57" s="423">
        <v>3.125E-2</v>
      </c>
      <c r="J57" s="407">
        <f t="shared" si="6"/>
        <v>33.299510520001874</v>
      </c>
      <c r="K57" s="402">
        <v>97.42</v>
      </c>
      <c r="L57" s="86">
        <v>12.773925719999999</v>
      </c>
      <c r="M57" s="402">
        <v>35.090000000000003</v>
      </c>
      <c r="N57" s="402">
        <v>3.28</v>
      </c>
      <c r="O57" s="407">
        <f t="shared" si="7"/>
        <v>75.833113244444448</v>
      </c>
      <c r="P57" s="399"/>
      <c r="Q57" s="121"/>
    </row>
    <row r="58" spans="1:17" s="5" customFormat="1" ht="15.75" customHeight="1" x14ac:dyDescent="0.25">
      <c r="A58" s="2">
        <v>54</v>
      </c>
      <c r="B58" s="3" t="s">
        <v>10</v>
      </c>
      <c r="C58" s="19" t="s">
        <v>35</v>
      </c>
      <c r="D58" s="400" t="s">
        <v>36</v>
      </c>
      <c r="E58" s="422">
        <f t="shared" si="4"/>
        <v>56.038757900723994</v>
      </c>
      <c r="F58" s="402">
        <v>15.92718983</v>
      </c>
      <c r="G58" s="407">
        <f t="shared" si="5"/>
        <v>68.294936437499999</v>
      </c>
      <c r="H58" s="402">
        <v>451.70600000000002</v>
      </c>
      <c r="I58" s="423">
        <v>2.5000000000000001E-2</v>
      </c>
      <c r="J58" s="407">
        <f t="shared" si="6"/>
        <v>36.158670304298418</v>
      </c>
      <c r="K58" s="402">
        <v>99.52</v>
      </c>
      <c r="L58" s="86">
        <v>11.130000109999999</v>
      </c>
      <c r="M58" s="402">
        <v>36.33</v>
      </c>
      <c r="N58" s="402">
        <v>2.5</v>
      </c>
      <c r="O58" s="407">
        <f t="shared" si="7"/>
        <v>70.00444477037037</v>
      </c>
      <c r="P58" s="399"/>
      <c r="Q58" s="121"/>
    </row>
    <row r="59" spans="1:17" s="5" customFormat="1" ht="15.75" customHeight="1" x14ac:dyDescent="0.25">
      <c r="A59" s="2">
        <v>55</v>
      </c>
      <c r="B59" s="6" t="s">
        <v>13</v>
      </c>
      <c r="C59" s="7" t="s">
        <v>14</v>
      </c>
      <c r="D59" s="400" t="s">
        <v>182</v>
      </c>
      <c r="E59" s="422">
        <f t="shared" si="4"/>
        <v>56.034521183383767</v>
      </c>
      <c r="F59" s="402">
        <v>15.04216003</v>
      </c>
      <c r="G59" s="407">
        <f t="shared" si="5"/>
        <v>62.7635001875</v>
      </c>
      <c r="H59" s="402">
        <v>457.45350000000002</v>
      </c>
      <c r="I59" s="423">
        <v>4.3981481481481483E-2</v>
      </c>
      <c r="J59" s="407">
        <f t="shared" si="6"/>
        <v>39.253688733864514</v>
      </c>
      <c r="K59" s="402">
        <v>99.74</v>
      </c>
      <c r="L59" s="86">
        <v>11.64171812</v>
      </c>
      <c r="M59" s="402">
        <v>22.25</v>
      </c>
      <c r="N59" s="402">
        <v>3.19</v>
      </c>
      <c r="O59" s="407">
        <f t="shared" si="7"/>
        <v>70.406201837037031</v>
      </c>
      <c r="P59" s="399"/>
      <c r="Q59" s="121"/>
    </row>
    <row r="60" spans="1:17" s="5" customFormat="1" ht="15.75" customHeight="1" x14ac:dyDescent="0.25">
      <c r="A60" s="2">
        <v>56</v>
      </c>
      <c r="B60" s="14" t="s">
        <v>23</v>
      </c>
      <c r="C60" s="16" t="s">
        <v>26</v>
      </c>
      <c r="D60" s="400" t="s">
        <v>218</v>
      </c>
      <c r="E60" s="422">
        <f t="shared" si="4"/>
        <v>56.034313968099788</v>
      </c>
      <c r="F60" s="402">
        <v>17.483959200000001</v>
      </c>
      <c r="G60" s="407">
        <f t="shared" si="5"/>
        <v>78.02474500000001</v>
      </c>
      <c r="H60" s="402">
        <v>437.69662</v>
      </c>
      <c r="I60" s="423">
        <v>1.0638297872340425E-2</v>
      </c>
      <c r="J60" s="407">
        <f t="shared" si="6"/>
        <v>31.647587917471697</v>
      </c>
      <c r="K60" s="402">
        <v>99.02</v>
      </c>
      <c r="L60" s="86">
        <v>10.539999959999999</v>
      </c>
      <c r="M60" s="402">
        <v>28.44</v>
      </c>
      <c r="N60" s="402">
        <v>3.19</v>
      </c>
      <c r="O60" s="407">
        <f t="shared" si="7"/>
        <v>68.197407288888883</v>
      </c>
      <c r="P60" s="399"/>
      <c r="Q60" s="121"/>
    </row>
    <row r="61" spans="1:17" s="5" customFormat="1" ht="15.75" customHeight="1" x14ac:dyDescent="0.25">
      <c r="A61" s="2">
        <v>57</v>
      </c>
      <c r="B61" s="6" t="s">
        <v>13</v>
      </c>
      <c r="C61" s="10" t="s">
        <v>19</v>
      </c>
      <c r="D61" s="400" t="s">
        <v>20</v>
      </c>
      <c r="E61" s="422">
        <f t="shared" si="4"/>
        <v>55.863038184668419</v>
      </c>
      <c r="F61" s="402">
        <v>14.54279041</v>
      </c>
      <c r="G61" s="407">
        <f t="shared" si="5"/>
        <v>59.6424400625</v>
      </c>
      <c r="H61" s="403">
        <v>475.74263336840505</v>
      </c>
      <c r="I61" s="423">
        <v>0</v>
      </c>
      <c r="J61" s="407">
        <f t="shared" si="6"/>
        <v>39.053918526312238</v>
      </c>
      <c r="K61" s="424">
        <v>100</v>
      </c>
      <c r="L61" s="86">
        <v>11.60999966</v>
      </c>
      <c r="M61" s="402">
        <v>28.07</v>
      </c>
      <c r="N61" s="403">
        <v>3.4249999999999998</v>
      </c>
      <c r="O61" s="407">
        <f t="shared" si="7"/>
        <v>72.373887881481494</v>
      </c>
      <c r="P61" s="399"/>
      <c r="Q61" s="121"/>
    </row>
    <row r="62" spans="1:17" s="5" customFormat="1" ht="15.75" customHeight="1" x14ac:dyDescent="0.25">
      <c r="A62" s="2">
        <v>58</v>
      </c>
      <c r="B62" s="6" t="s">
        <v>13</v>
      </c>
      <c r="C62" s="7" t="s">
        <v>14</v>
      </c>
      <c r="D62" s="400" t="s">
        <v>91</v>
      </c>
      <c r="E62" s="422">
        <f t="shared" si="4"/>
        <v>55.146639785971729</v>
      </c>
      <c r="F62" s="402">
        <v>16.75470924</v>
      </c>
      <c r="G62" s="407">
        <f t="shared" si="5"/>
        <v>73.466932749999998</v>
      </c>
      <c r="H62" s="402">
        <v>399.7663</v>
      </c>
      <c r="I62" s="423">
        <v>1.7647058823529412E-2</v>
      </c>
      <c r="J62" s="407">
        <f t="shared" si="6"/>
        <v>23.903285507290448</v>
      </c>
      <c r="K62" s="402">
        <v>99.66</v>
      </c>
      <c r="L62" s="86">
        <v>12.69999981</v>
      </c>
      <c r="M62" s="402">
        <v>42.55</v>
      </c>
      <c r="N62" s="402">
        <v>3.1</v>
      </c>
      <c r="O62" s="407">
        <f t="shared" si="7"/>
        <v>77.767406844444452</v>
      </c>
      <c r="P62" s="399"/>
      <c r="Q62" s="121"/>
    </row>
    <row r="63" spans="1:17" s="5" customFormat="1" ht="15.75" customHeight="1" x14ac:dyDescent="0.25">
      <c r="A63" s="2">
        <v>59</v>
      </c>
      <c r="B63" s="6" t="s">
        <v>13</v>
      </c>
      <c r="C63" s="7" t="s">
        <v>14</v>
      </c>
      <c r="D63" s="400" t="s">
        <v>174</v>
      </c>
      <c r="E63" s="422">
        <f t="shared" si="4"/>
        <v>54.907227458591748</v>
      </c>
      <c r="F63" s="402">
        <v>14.052880289999999</v>
      </c>
      <c r="G63" s="407">
        <f t="shared" si="5"/>
        <v>56.580501812499996</v>
      </c>
      <c r="H63" s="402">
        <v>442.16174000000001</v>
      </c>
      <c r="I63" s="423">
        <v>7.7433628318584066E-2</v>
      </c>
      <c r="J63" s="407">
        <f t="shared" si="6"/>
        <v>38.980115632185388</v>
      </c>
      <c r="K63" s="402">
        <v>99.94</v>
      </c>
      <c r="L63" s="86">
        <v>11.55000019</v>
      </c>
      <c r="M63" s="402">
        <v>43.36</v>
      </c>
      <c r="N63" s="402">
        <v>2.11</v>
      </c>
      <c r="O63" s="407">
        <f t="shared" si="7"/>
        <v>71.914445007407409</v>
      </c>
      <c r="P63" s="399"/>
      <c r="Q63" s="121"/>
    </row>
    <row r="64" spans="1:17" s="5" customFormat="1" ht="15.75" customHeight="1" x14ac:dyDescent="0.25">
      <c r="A64" s="2">
        <v>60</v>
      </c>
      <c r="B64" s="14" t="s">
        <v>23</v>
      </c>
      <c r="C64" s="15" t="s">
        <v>24</v>
      </c>
      <c r="D64" s="400" t="s">
        <v>95</v>
      </c>
      <c r="E64" s="422">
        <f t="shared" si="4"/>
        <v>54.878852685270388</v>
      </c>
      <c r="F64" s="402">
        <v>16.577289189999998</v>
      </c>
      <c r="G64" s="407">
        <f t="shared" si="5"/>
        <v>72.358057437499994</v>
      </c>
      <c r="H64" s="402">
        <v>394.74914999999999</v>
      </c>
      <c r="I64" s="423">
        <v>0.125</v>
      </c>
      <c r="J64" s="407">
        <f t="shared" si="6"/>
        <v>32.723792055849557</v>
      </c>
      <c r="K64" s="403">
        <v>98.92</v>
      </c>
      <c r="L64" s="86">
        <v>9.4463993070000001</v>
      </c>
      <c r="M64" s="402">
        <v>66.67</v>
      </c>
      <c r="N64" s="403">
        <v>1.1399999999999999</v>
      </c>
      <c r="O64" s="407">
        <f t="shared" si="7"/>
        <v>67.71377572444446</v>
      </c>
      <c r="P64" s="399"/>
      <c r="Q64" s="121"/>
    </row>
    <row r="65" spans="1:17" s="5" customFormat="1" ht="15.75" customHeight="1" x14ac:dyDescent="0.25">
      <c r="A65" s="2">
        <v>61</v>
      </c>
      <c r="B65" s="6" t="s">
        <v>13</v>
      </c>
      <c r="C65" s="7" t="s">
        <v>14</v>
      </c>
      <c r="D65" s="400" t="s">
        <v>214</v>
      </c>
      <c r="E65" s="422">
        <f t="shared" si="4"/>
        <v>54.825563078286471</v>
      </c>
      <c r="F65" s="402">
        <v>13.328009610000001</v>
      </c>
      <c r="G65" s="407">
        <f t="shared" si="5"/>
        <v>52.050060062500002</v>
      </c>
      <c r="H65" s="402">
        <v>478.17334</v>
      </c>
      <c r="I65" s="423">
        <v>1.0023584905660377E-2</v>
      </c>
      <c r="J65" s="407">
        <f t="shared" si="6"/>
        <v>40.582139441838848</v>
      </c>
      <c r="K65" s="402">
        <v>99.8</v>
      </c>
      <c r="L65" s="86">
        <v>11.12273899</v>
      </c>
      <c r="M65" s="402">
        <v>51.36</v>
      </c>
      <c r="N65" s="402">
        <v>2.37</v>
      </c>
      <c r="O65" s="407">
        <f t="shared" si="7"/>
        <v>73.086263674074075</v>
      </c>
      <c r="P65" s="399"/>
      <c r="Q65" s="121"/>
    </row>
    <row r="66" spans="1:17" s="5" customFormat="1" ht="15.75" customHeight="1" x14ac:dyDescent="0.25">
      <c r="A66" s="2">
        <v>62</v>
      </c>
      <c r="B66" s="6" t="s">
        <v>13</v>
      </c>
      <c r="C66" s="7" t="s">
        <v>14</v>
      </c>
      <c r="D66" s="400" t="s">
        <v>575</v>
      </c>
      <c r="E66" s="422">
        <f t="shared" si="4"/>
        <v>54.265105966226855</v>
      </c>
      <c r="F66" s="402">
        <v>14.638568469999999</v>
      </c>
      <c r="G66" s="407">
        <f t="shared" si="5"/>
        <v>60.241052937499994</v>
      </c>
      <c r="H66" s="402">
        <v>438.62094000000002</v>
      </c>
      <c r="I66" s="423">
        <v>0</v>
      </c>
      <c r="J66" s="407">
        <f t="shared" si="6"/>
        <v>30.804653333333338</v>
      </c>
      <c r="K66" s="402">
        <v>99.81</v>
      </c>
      <c r="L66" s="86">
        <v>11.829999920000001</v>
      </c>
      <c r="M66" s="402">
        <v>43.16</v>
      </c>
      <c r="N66" s="402">
        <v>3.61</v>
      </c>
      <c r="O66" s="407">
        <f t="shared" si="7"/>
        <v>76.808518281481483</v>
      </c>
      <c r="P66" s="399"/>
      <c r="Q66" s="121"/>
    </row>
    <row r="67" spans="1:17" s="5" customFormat="1" ht="15.75" customHeight="1" x14ac:dyDescent="0.25">
      <c r="A67" s="2">
        <v>63</v>
      </c>
      <c r="B67" s="8" t="s">
        <v>16</v>
      </c>
      <c r="C67" s="11" t="s">
        <v>21</v>
      </c>
      <c r="D67" s="400" t="s">
        <v>143</v>
      </c>
      <c r="E67" s="422">
        <f t="shared" si="4"/>
        <v>54.231212385297432</v>
      </c>
      <c r="F67" s="402">
        <v>14.16282114</v>
      </c>
      <c r="G67" s="407">
        <f t="shared" si="5"/>
        <v>57.267632124999999</v>
      </c>
      <c r="H67" s="402">
        <v>472.7672</v>
      </c>
      <c r="I67" s="423">
        <v>2.2727272727272728E-2</v>
      </c>
      <c r="J67" s="407">
        <f t="shared" si="6"/>
        <v>40.619032077711161</v>
      </c>
      <c r="K67" s="402">
        <v>99.8</v>
      </c>
      <c r="L67" s="86">
        <v>10.10332754</v>
      </c>
      <c r="M67" s="402">
        <v>29.1</v>
      </c>
      <c r="N67" s="402">
        <v>3.27</v>
      </c>
      <c r="O67" s="407">
        <f t="shared" si="7"/>
        <v>67.619118637037047</v>
      </c>
      <c r="P67" s="399"/>
      <c r="Q67" s="121"/>
    </row>
    <row r="68" spans="1:17" s="5" customFormat="1" ht="15.75" customHeight="1" x14ac:dyDescent="0.25">
      <c r="A68" s="2">
        <v>64</v>
      </c>
      <c r="B68" s="6" t="s">
        <v>13</v>
      </c>
      <c r="C68" s="7" t="s">
        <v>14</v>
      </c>
      <c r="D68" s="400" t="s">
        <v>51</v>
      </c>
      <c r="E68" s="422">
        <f t="shared" si="4"/>
        <v>53.988975475396089</v>
      </c>
      <c r="F68" s="402">
        <v>15.3166399</v>
      </c>
      <c r="G68" s="407">
        <f t="shared" si="5"/>
        <v>64.478999375000001</v>
      </c>
      <c r="H68" s="402">
        <v>441.09332000000001</v>
      </c>
      <c r="I68" s="423">
        <v>4.1666666666666666E-3</v>
      </c>
      <c r="J68" s="407">
        <f t="shared" si="6"/>
        <v>31.765993175411527</v>
      </c>
      <c r="K68" s="402">
        <v>97.87</v>
      </c>
      <c r="L68" s="86">
        <v>11.45453092</v>
      </c>
      <c r="M68" s="402">
        <v>48.68</v>
      </c>
      <c r="N68" s="402">
        <v>2.11</v>
      </c>
      <c r="O68" s="407">
        <f t="shared" si="7"/>
        <v>71.893795318518514</v>
      </c>
      <c r="P68" s="399"/>
      <c r="Q68" s="121"/>
    </row>
    <row r="69" spans="1:17" s="5" customFormat="1" ht="15.75" customHeight="1" x14ac:dyDescent="0.25">
      <c r="A69" s="2">
        <v>65</v>
      </c>
      <c r="B69" s="3" t="s">
        <v>10</v>
      </c>
      <c r="C69" s="19" t="s">
        <v>35</v>
      </c>
      <c r="D69" s="400" t="s">
        <v>114</v>
      </c>
      <c r="E69" s="422">
        <f t="shared" ref="E69:E100" si="8">(G69*25+J69*40+O69*35)/100</f>
        <v>53.952747180864208</v>
      </c>
      <c r="F69" s="402">
        <v>13.109049799999999</v>
      </c>
      <c r="G69" s="407">
        <f t="shared" ref="G69:G100" si="9">((MIN(F69,21)-5)/(21-5))*100</f>
        <v>50.681561249999994</v>
      </c>
      <c r="H69" s="402">
        <v>429.95407</v>
      </c>
      <c r="I69" s="423">
        <v>0.19852941176470587</v>
      </c>
      <c r="J69" s="407">
        <f t="shared" ref="J69:J100" si="10">(((H69-300)/(600-300))*100*2+(LN(MIN(I69,0.4)+1)/LN(1.4))*100*1)/3</f>
        <v>46.81927239683646</v>
      </c>
      <c r="K69" s="402">
        <v>98.67</v>
      </c>
      <c r="L69" s="86">
        <v>10.239999770000001</v>
      </c>
      <c r="M69" s="402">
        <v>28.99</v>
      </c>
      <c r="N69" s="402">
        <v>2.17</v>
      </c>
      <c r="O69" s="407">
        <f t="shared" ref="O69:O100" si="11">(((MAX(K69,50)-50)/(100-50))*100+(L69/15)*100*2+MIN(M69,100)+(N69/4)*100*0.5)/4.5</f>
        <v>64.44185117037037</v>
      </c>
      <c r="P69" s="399"/>
      <c r="Q69" s="121"/>
    </row>
    <row r="70" spans="1:17" s="5" customFormat="1" ht="15.75" customHeight="1" x14ac:dyDescent="0.25">
      <c r="A70" s="2">
        <v>66</v>
      </c>
      <c r="B70" s="14" t="s">
        <v>23</v>
      </c>
      <c r="C70" s="15" t="s">
        <v>24</v>
      </c>
      <c r="D70" s="400" t="s">
        <v>194</v>
      </c>
      <c r="E70" s="422">
        <f t="shared" si="8"/>
        <v>53.923167006134264</v>
      </c>
      <c r="F70" s="402">
        <v>18.407030110000001</v>
      </c>
      <c r="G70" s="407">
        <f t="shared" si="9"/>
        <v>83.793938187500004</v>
      </c>
      <c r="H70" s="402">
        <v>409.07445999999999</v>
      </c>
      <c r="I70" s="423">
        <v>0</v>
      </c>
      <c r="J70" s="407">
        <f t="shared" si="10"/>
        <v>24.238768888888888</v>
      </c>
      <c r="K70" s="403">
        <v>99.14</v>
      </c>
      <c r="L70" s="86">
        <v>10.8494008</v>
      </c>
      <c r="M70" s="403">
        <v>16.489999999999998</v>
      </c>
      <c r="N70" s="403">
        <v>3.19</v>
      </c>
      <c r="O70" s="407">
        <f t="shared" si="11"/>
        <v>66.51192829629629</v>
      </c>
      <c r="P70" s="399"/>
      <c r="Q70" s="121"/>
    </row>
    <row r="71" spans="1:17" s="5" customFormat="1" ht="15.75" customHeight="1" x14ac:dyDescent="0.25">
      <c r="A71" s="2">
        <v>67</v>
      </c>
      <c r="B71" s="3" t="s">
        <v>10</v>
      </c>
      <c r="C71" s="22" t="s">
        <v>49</v>
      </c>
      <c r="D71" s="400" t="s">
        <v>62</v>
      </c>
      <c r="E71" s="422">
        <f t="shared" si="8"/>
        <v>53.411606365617672</v>
      </c>
      <c r="F71" s="402">
        <v>15.478749499999999</v>
      </c>
      <c r="G71" s="407">
        <f t="shared" si="9"/>
        <v>65.492184374999994</v>
      </c>
      <c r="H71" s="402">
        <v>441</v>
      </c>
      <c r="I71" s="423">
        <v>8.8763297872340427E-2</v>
      </c>
      <c r="J71" s="407">
        <f t="shared" si="10"/>
        <v>39.758244687446961</v>
      </c>
      <c r="K71" s="402">
        <v>99.76</v>
      </c>
      <c r="L71" s="86">
        <v>8.0361815970000006</v>
      </c>
      <c r="M71" s="402">
        <v>52.82</v>
      </c>
      <c r="N71" s="402">
        <v>0.98</v>
      </c>
      <c r="O71" s="407">
        <f t="shared" si="11"/>
        <v>60.386463991111114</v>
      </c>
      <c r="P71" s="399"/>
      <c r="Q71" s="121"/>
    </row>
    <row r="72" spans="1:17" s="13" customFormat="1" ht="15.75" customHeight="1" x14ac:dyDescent="0.25">
      <c r="A72" s="2">
        <v>68</v>
      </c>
      <c r="B72" s="17" t="s">
        <v>29</v>
      </c>
      <c r="C72" s="26" t="s">
        <v>118</v>
      </c>
      <c r="D72" s="400" t="s">
        <v>164</v>
      </c>
      <c r="E72" s="422">
        <f t="shared" si="8"/>
        <v>53.278237776527789</v>
      </c>
      <c r="F72" s="402">
        <v>14.06742382</v>
      </c>
      <c r="G72" s="407">
        <f t="shared" si="9"/>
        <v>56.671398875000001</v>
      </c>
      <c r="H72" s="402">
        <v>463.21145999999999</v>
      </c>
      <c r="I72" s="423">
        <v>0</v>
      </c>
      <c r="J72" s="407">
        <f t="shared" si="10"/>
        <v>36.269213333333326</v>
      </c>
      <c r="K72" s="402">
        <v>100</v>
      </c>
      <c r="L72" s="86">
        <v>13.29903477</v>
      </c>
      <c r="M72" s="403">
        <v>12</v>
      </c>
      <c r="N72" s="403">
        <v>2.16</v>
      </c>
      <c r="O72" s="407">
        <f t="shared" si="11"/>
        <v>70.293436355555571</v>
      </c>
      <c r="P72" s="399"/>
      <c r="Q72" s="354"/>
    </row>
    <row r="73" spans="1:17" s="5" customFormat="1" ht="15.75" customHeight="1" x14ac:dyDescent="0.25">
      <c r="A73" s="2">
        <v>69</v>
      </c>
      <c r="B73" s="3" t="s">
        <v>10</v>
      </c>
      <c r="C73" s="25" t="s">
        <v>115</v>
      </c>
      <c r="D73" s="400" t="s">
        <v>116</v>
      </c>
      <c r="E73" s="422">
        <f t="shared" si="8"/>
        <v>53.154782673305164</v>
      </c>
      <c r="F73" s="402">
        <v>14.0086174</v>
      </c>
      <c r="G73" s="407">
        <f t="shared" si="9"/>
        <v>56.303858750000003</v>
      </c>
      <c r="H73" s="402">
        <v>416.15463</v>
      </c>
      <c r="I73" s="423">
        <v>8.3333333333333332E-3</v>
      </c>
      <c r="J73" s="407">
        <f t="shared" si="10"/>
        <v>26.634278442290711</v>
      </c>
      <c r="K73" s="402">
        <v>99.83</v>
      </c>
      <c r="L73" s="86">
        <v>12.54717423</v>
      </c>
      <c r="M73" s="402">
        <v>65.260000000000005</v>
      </c>
      <c r="N73" s="402">
        <v>2.66</v>
      </c>
      <c r="O73" s="407">
        <f t="shared" si="11"/>
        <v>81.214590311111095</v>
      </c>
      <c r="P73" s="399"/>
      <c r="Q73" s="121"/>
    </row>
    <row r="74" spans="1:17" s="5" customFormat="1" ht="15.75" customHeight="1" x14ac:dyDescent="0.25">
      <c r="A74" s="2">
        <v>70</v>
      </c>
      <c r="B74" s="14" t="s">
        <v>23</v>
      </c>
      <c r="C74" s="15" t="s">
        <v>24</v>
      </c>
      <c r="D74" s="400" t="s">
        <v>38</v>
      </c>
      <c r="E74" s="422">
        <f t="shared" si="8"/>
        <v>52.814415553433875</v>
      </c>
      <c r="F74" s="402">
        <v>16.6280018</v>
      </c>
      <c r="G74" s="407">
        <f t="shared" si="9"/>
        <v>72.675011249999997</v>
      </c>
      <c r="H74" s="403">
        <v>407.48210763790252</v>
      </c>
      <c r="I74" s="423">
        <v>2.7777777777777776E-2</v>
      </c>
      <c r="J74" s="407">
        <f t="shared" si="10"/>
        <v>26.599250100482831</v>
      </c>
      <c r="K74" s="402">
        <v>100</v>
      </c>
      <c r="L74" s="86">
        <v>9.9283568899999999</v>
      </c>
      <c r="M74" s="402">
        <v>28.27</v>
      </c>
      <c r="N74" s="402">
        <v>3.84</v>
      </c>
      <c r="O74" s="407">
        <f t="shared" si="11"/>
        <v>68.588464859259261</v>
      </c>
      <c r="P74" s="399"/>
      <c r="Q74" s="121"/>
    </row>
    <row r="75" spans="1:17" s="5" customFormat="1" ht="15.75" customHeight="1" x14ac:dyDescent="0.25">
      <c r="A75" s="2">
        <v>71</v>
      </c>
      <c r="B75" s="14" t="s">
        <v>23</v>
      </c>
      <c r="C75" s="16" t="s">
        <v>26</v>
      </c>
      <c r="D75" s="400" t="s">
        <v>67</v>
      </c>
      <c r="E75" s="422">
        <f t="shared" si="8"/>
        <v>52.79160280286029</v>
      </c>
      <c r="F75" s="402">
        <v>16.349636870000001</v>
      </c>
      <c r="G75" s="407">
        <f t="shared" si="9"/>
        <v>70.93523043750001</v>
      </c>
      <c r="H75" s="402">
        <v>428.5557</v>
      </c>
      <c r="I75" s="423">
        <v>1.8115942028985508E-2</v>
      </c>
      <c r="J75" s="407">
        <f t="shared" si="10"/>
        <v>30.346564838157661</v>
      </c>
      <c r="K75" s="402">
        <v>99.13</v>
      </c>
      <c r="L75" s="86">
        <v>8.8447524990000002</v>
      </c>
      <c r="M75" s="402">
        <v>37.86</v>
      </c>
      <c r="N75" s="402">
        <v>3.25</v>
      </c>
      <c r="O75" s="407">
        <f t="shared" si="11"/>
        <v>65.48334073777778</v>
      </c>
      <c r="P75" s="399"/>
      <c r="Q75" s="121"/>
    </row>
    <row r="76" spans="1:17" s="5" customFormat="1" ht="15.75" customHeight="1" x14ac:dyDescent="0.25">
      <c r="A76" s="2">
        <v>72</v>
      </c>
      <c r="B76" s="6" t="s">
        <v>13</v>
      </c>
      <c r="C76" s="7" t="s">
        <v>14</v>
      </c>
      <c r="D76" s="400" t="s">
        <v>28</v>
      </c>
      <c r="E76" s="422">
        <f t="shared" si="8"/>
        <v>52.64307917837354</v>
      </c>
      <c r="F76" s="402">
        <v>14.3838501</v>
      </c>
      <c r="G76" s="407">
        <f t="shared" si="9"/>
        <v>58.649063124999998</v>
      </c>
      <c r="H76" s="402">
        <v>442.96944999999999</v>
      </c>
      <c r="I76" s="423">
        <v>4.3859649122807015E-3</v>
      </c>
      <c r="J76" s="407">
        <f t="shared" si="10"/>
        <v>32.204543689105144</v>
      </c>
      <c r="K76" s="402">
        <v>99.89</v>
      </c>
      <c r="L76" s="86">
        <v>11.344978210000001</v>
      </c>
      <c r="M76" s="402">
        <v>37.03</v>
      </c>
      <c r="N76" s="402">
        <v>2.77</v>
      </c>
      <c r="O76" s="407">
        <f t="shared" si="11"/>
        <v>71.711416918518523</v>
      </c>
      <c r="P76" s="399"/>
      <c r="Q76" s="121"/>
    </row>
    <row r="77" spans="1:17" s="13" customFormat="1" ht="15.75" customHeight="1" x14ac:dyDescent="0.25">
      <c r="A77" s="2">
        <v>73</v>
      </c>
      <c r="B77" s="3" t="s">
        <v>10</v>
      </c>
      <c r="C77" s="19" t="s">
        <v>35</v>
      </c>
      <c r="D77" s="400" t="s">
        <v>173</v>
      </c>
      <c r="E77" s="422">
        <f t="shared" si="8"/>
        <v>52.539518926112969</v>
      </c>
      <c r="F77" s="402">
        <v>13.14116001</v>
      </c>
      <c r="G77" s="407">
        <f t="shared" si="9"/>
        <v>50.882250062499999</v>
      </c>
      <c r="H77" s="402">
        <v>427.47784000000001</v>
      </c>
      <c r="I77" s="423">
        <v>0.125</v>
      </c>
      <c r="J77" s="407">
        <f t="shared" si="10"/>
        <v>39.996834278071788</v>
      </c>
      <c r="K77" s="402">
        <v>98.71</v>
      </c>
      <c r="L77" s="86">
        <v>10.77000046</v>
      </c>
      <c r="M77" s="402">
        <v>18.989999999999998</v>
      </c>
      <c r="N77" s="402">
        <v>3.7</v>
      </c>
      <c r="O77" s="407">
        <f t="shared" si="11"/>
        <v>68.057779140740735</v>
      </c>
      <c r="P77" s="399"/>
      <c r="Q77" s="354"/>
    </row>
    <row r="78" spans="1:17" s="5" customFormat="1" ht="15.75" customHeight="1" x14ac:dyDescent="0.25">
      <c r="A78" s="2">
        <v>74</v>
      </c>
      <c r="B78" s="3" t="s">
        <v>10</v>
      </c>
      <c r="C78" s="22" t="s">
        <v>49</v>
      </c>
      <c r="D78" s="400" t="s">
        <v>204</v>
      </c>
      <c r="E78" s="422">
        <f t="shared" si="8"/>
        <v>52.471072744581114</v>
      </c>
      <c r="F78" s="402">
        <v>15.35883492</v>
      </c>
      <c r="G78" s="407">
        <f t="shared" si="9"/>
        <v>64.742718249999996</v>
      </c>
      <c r="H78" s="402">
        <v>426.59998000000002</v>
      </c>
      <c r="I78" s="423">
        <v>8.4975369458128072E-2</v>
      </c>
      <c r="J78" s="407">
        <f t="shared" si="10"/>
        <v>36.212973794462044</v>
      </c>
      <c r="K78" s="402">
        <v>98.17</v>
      </c>
      <c r="L78" s="86">
        <v>9.0399999619999996</v>
      </c>
      <c r="M78" s="402">
        <v>34.79</v>
      </c>
      <c r="N78" s="402">
        <v>2.29</v>
      </c>
      <c r="O78" s="407">
        <f t="shared" si="11"/>
        <v>62.286296183703698</v>
      </c>
      <c r="P78" s="399"/>
      <c r="Q78" s="121"/>
    </row>
    <row r="79" spans="1:17" s="13" customFormat="1" ht="15.75" customHeight="1" x14ac:dyDescent="0.25">
      <c r="A79" s="2">
        <v>75</v>
      </c>
      <c r="B79" s="6" t="s">
        <v>13</v>
      </c>
      <c r="C79" s="7" t="s">
        <v>14</v>
      </c>
      <c r="D79" s="400" t="s">
        <v>15</v>
      </c>
      <c r="E79" s="422">
        <f t="shared" si="8"/>
        <v>52.448014783611107</v>
      </c>
      <c r="F79" s="402">
        <v>14.51014996</v>
      </c>
      <c r="G79" s="407">
        <f t="shared" si="9"/>
        <v>59.43843725</v>
      </c>
      <c r="H79" s="402">
        <v>434.12759999999997</v>
      </c>
      <c r="I79" s="423">
        <v>0</v>
      </c>
      <c r="J79" s="407">
        <f t="shared" si="10"/>
        <v>29.806133333333332</v>
      </c>
      <c r="K79" s="402">
        <v>99.06</v>
      </c>
      <c r="L79" s="86">
        <v>10.17531099</v>
      </c>
      <c r="M79" s="402">
        <v>60.2</v>
      </c>
      <c r="N79" s="402">
        <v>2.88</v>
      </c>
      <c r="O79" s="407">
        <f t="shared" si="11"/>
        <v>73.331291822222227</v>
      </c>
      <c r="P79" s="399"/>
      <c r="Q79" s="354"/>
    </row>
    <row r="80" spans="1:17" s="13" customFormat="1" ht="15.75" customHeight="1" x14ac:dyDescent="0.25">
      <c r="A80" s="2">
        <v>76</v>
      </c>
      <c r="B80" s="3" t="s">
        <v>10</v>
      </c>
      <c r="C80" s="22" t="s">
        <v>49</v>
      </c>
      <c r="D80" s="400" t="s">
        <v>120</v>
      </c>
      <c r="E80" s="422">
        <f t="shared" si="8"/>
        <v>51.907872051210212</v>
      </c>
      <c r="F80" s="402">
        <v>12.20215329</v>
      </c>
      <c r="G80" s="407">
        <f t="shared" si="9"/>
        <v>45.0134580625</v>
      </c>
      <c r="H80" s="403">
        <v>494.04800144200021</v>
      </c>
      <c r="I80" s="423">
        <v>0</v>
      </c>
      <c r="J80" s="407">
        <f t="shared" si="10"/>
        <v>43.121778098222272</v>
      </c>
      <c r="K80" s="402">
        <v>100</v>
      </c>
      <c r="L80" s="427">
        <v>11</v>
      </c>
      <c r="M80" s="402">
        <v>21.14</v>
      </c>
      <c r="N80" s="402">
        <v>2.65</v>
      </c>
      <c r="O80" s="407">
        <f t="shared" si="11"/>
        <v>66.873703703703711</v>
      </c>
      <c r="P80" s="399"/>
      <c r="Q80" s="354"/>
    </row>
    <row r="81" spans="1:17" s="13" customFormat="1" ht="15.75" customHeight="1" x14ac:dyDescent="0.25">
      <c r="A81" s="2">
        <v>77</v>
      </c>
      <c r="B81" s="3" t="s">
        <v>10</v>
      </c>
      <c r="C81" s="19" t="s">
        <v>35</v>
      </c>
      <c r="D81" s="400" t="s">
        <v>107</v>
      </c>
      <c r="E81" s="422">
        <f t="shared" si="8"/>
        <v>51.458967438367942</v>
      </c>
      <c r="F81" s="402">
        <v>13.968330610000001</v>
      </c>
      <c r="G81" s="407">
        <f t="shared" si="9"/>
        <v>56.052066312500003</v>
      </c>
      <c r="H81" s="402">
        <v>432.10822000000002</v>
      </c>
      <c r="I81" s="423">
        <v>5.9598494353826852E-2</v>
      </c>
      <c r="J81" s="407">
        <f t="shared" si="10"/>
        <v>35.092383128385144</v>
      </c>
      <c r="K81" s="402">
        <v>98.74</v>
      </c>
      <c r="L81" s="86">
        <v>10.84671198</v>
      </c>
      <c r="M81" s="402">
        <v>29.62</v>
      </c>
      <c r="N81" s="402">
        <v>2.34</v>
      </c>
      <c r="O81" s="407">
        <f t="shared" si="11"/>
        <v>66.882850311111099</v>
      </c>
      <c r="P81" s="399"/>
      <c r="Q81" s="354"/>
    </row>
    <row r="82" spans="1:17" s="13" customFormat="1" ht="15.75" customHeight="1" x14ac:dyDescent="0.25">
      <c r="A82" s="2">
        <v>78</v>
      </c>
      <c r="B82" s="14" t="s">
        <v>23</v>
      </c>
      <c r="C82" s="15" t="s">
        <v>24</v>
      </c>
      <c r="D82" s="400" t="s">
        <v>208</v>
      </c>
      <c r="E82" s="422">
        <f t="shared" si="8"/>
        <v>50.791542810456647</v>
      </c>
      <c r="F82" s="402">
        <v>14.23764336</v>
      </c>
      <c r="G82" s="407">
        <f t="shared" si="9"/>
        <v>57.735270999999997</v>
      </c>
      <c r="H82" s="402">
        <v>458.28894000000003</v>
      </c>
      <c r="I82" s="423">
        <v>1.6666666666666666E-2</v>
      </c>
      <c r="J82" s="407">
        <f t="shared" si="10"/>
        <v>36.812830236326825</v>
      </c>
      <c r="K82" s="402">
        <v>92</v>
      </c>
      <c r="L82" s="86">
        <v>10.792750359999999</v>
      </c>
      <c r="M82" s="402">
        <v>5.23</v>
      </c>
      <c r="N82" s="402">
        <v>3.6</v>
      </c>
      <c r="O82" s="407">
        <f t="shared" si="11"/>
        <v>61.807408474074073</v>
      </c>
      <c r="P82" s="399"/>
      <c r="Q82" s="354"/>
    </row>
    <row r="83" spans="1:17" s="13" customFormat="1" ht="15.75" customHeight="1" x14ac:dyDescent="0.25">
      <c r="A83" s="2">
        <v>79</v>
      </c>
      <c r="B83" s="3" t="s">
        <v>10</v>
      </c>
      <c r="C83" s="19" t="s">
        <v>35</v>
      </c>
      <c r="D83" s="400" t="s">
        <v>162</v>
      </c>
      <c r="E83" s="422">
        <f t="shared" si="8"/>
        <v>50.600623910716912</v>
      </c>
      <c r="F83" s="402">
        <v>13.43931961</v>
      </c>
      <c r="G83" s="407">
        <f t="shared" si="9"/>
        <v>52.7457475625</v>
      </c>
      <c r="H83" s="402">
        <v>423.51343000000003</v>
      </c>
      <c r="I83" s="423">
        <v>0.05</v>
      </c>
      <c r="J83" s="407">
        <f t="shared" si="10"/>
        <v>32.28092963171126</v>
      </c>
      <c r="K83" s="402">
        <v>99.66</v>
      </c>
      <c r="L83" s="86">
        <v>11.89000034</v>
      </c>
      <c r="M83" s="402">
        <v>18.920000000000002</v>
      </c>
      <c r="N83" s="402">
        <v>3.06</v>
      </c>
      <c r="O83" s="407">
        <f t="shared" si="11"/>
        <v>70.005186192592589</v>
      </c>
      <c r="P83" s="399"/>
      <c r="Q83" s="354"/>
    </row>
    <row r="84" spans="1:17" s="13" customFormat="1" ht="15.75" customHeight="1" x14ac:dyDescent="0.25">
      <c r="A84" s="2">
        <v>80</v>
      </c>
      <c r="B84" s="3" t="s">
        <v>10</v>
      </c>
      <c r="C84" s="22" t="s">
        <v>49</v>
      </c>
      <c r="D84" s="400" t="s">
        <v>147</v>
      </c>
      <c r="E84" s="422">
        <f t="shared" si="8"/>
        <v>50.386003657040654</v>
      </c>
      <c r="F84" s="402">
        <v>13.637654299999999</v>
      </c>
      <c r="G84" s="407">
        <f t="shared" si="9"/>
        <v>53.985339374999995</v>
      </c>
      <c r="H84" s="402">
        <v>434.61867999999998</v>
      </c>
      <c r="I84" s="423">
        <v>3.5211267605633804E-3</v>
      </c>
      <c r="J84" s="407">
        <f t="shared" si="10"/>
        <v>30.263477391745166</v>
      </c>
      <c r="K84" s="402">
        <v>99.32</v>
      </c>
      <c r="L84" s="86">
        <v>9.4200000760000009</v>
      </c>
      <c r="M84" s="402">
        <v>60.54</v>
      </c>
      <c r="N84" s="402">
        <v>2.71</v>
      </c>
      <c r="O84" s="407">
        <f t="shared" si="11"/>
        <v>70.812222447407407</v>
      </c>
      <c r="P84" s="399"/>
      <c r="Q84" s="354"/>
    </row>
    <row r="85" spans="1:17" s="13" customFormat="1" ht="15.75" customHeight="1" x14ac:dyDescent="0.25">
      <c r="A85" s="2">
        <v>81</v>
      </c>
      <c r="B85" s="14" t="s">
        <v>23</v>
      </c>
      <c r="C85" s="16" t="s">
        <v>26</v>
      </c>
      <c r="D85" s="400" t="s">
        <v>77</v>
      </c>
      <c r="E85" s="422">
        <f t="shared" si="8"/>
        <v>50.325094740814521</v>
      </c>
      <c r="F85" s="402">
        <v>14.85167027</v>
      </c>
      <c r="G85" s="407">
        <f t="shared" si="9"/>
        <v>61.572939187499998</v>
      </c>
      <c r="H85" s="402">
        <v>420.14855999999997</v>
      </c>
      <c r="I85" s="423">
        <v>5.3030303030303032E-2</v>
      </c>
      <c r="J85" s="407">
        <f t="shared" si="10"/>
        <v>31.818676945404359</v>
      </c>
      <c r="K85" s="402">
        <v>98.99</v>
      </c>
      <c r="L85" s="86">
        <v>8.9700002669999996</v>
      </c>
      <c r="M85" s="402">
        <v>53.78</v>
      </c>
      <c r="N85" s="402">
        <v>1.1299999999999999</v>
      </c>
      <c r="O85" s="407">
        <f t="shared" si="11"/>
        <v>63.441111902222218</v>
      </c>
      <c r="P85" s="399"/>
      <c r="Q85" s="354"/>
    </row>
    <row r="86" spans="1:17" s="5" customFormat="1" ht="15.75" customHeight="1" x14ac:dyDescent="0.25">
      <c r="A86" s="2">
        <v>82</v>
      </c>
      <c r="B86" s="3" t="s">
        <v>10</v>
      </c>
      <c r="C86" s="25" t="s">
        <v>115</v>
      </c>
      <c r="D86" s="400" t="s">
        <v>219</v>
      </c>
      <c r="E86" s="422">
        <f t="shared" si="8"/>
        <v>50.27917600243056</v>
      </c>
      <c r="F86" s="402">
        <v>12.46086979</v>
      </c>
      <c r="G86" s="407">
        <f t="shared" si="9"/>
        <v>46.630436187500003</v>
      </c>
      <c r="H86" s="402">
        <v>474.07513</v>
      </c>
      <c r="I86" s="423">
        <v>0</v>
      </c>
      <c r="J86" s="407">
        <f t="shared" si="10"/>
        <v>38.683362222222222</v>
      </c>
      <c r="K86" s="402">
        <v>100</v>
      </c>
      <c r="L86" s="86">
        <v>11.90999985</v>
      </c>
      <c r="M86" s="402">
        <v>11.32</v>
      </c>
      <c r="N86" s="402">
        <v>2.2000000000000002</v>
      </c>
      <c r="O86" s="407">
        <f t="shared" si="11"/>
        <v>66.137777333333318</v>
      </c>
      <c r="P86" s="399"/>
      <c r="Q86" s="121"/>
    </row>
    <row r="87" spans="1:17" s="13" customFormat="1" ht="15.75" customHeight="1" x14ac:dyDescent="0.25">
      <c r="A87" s="2">
        <v>83</v>
      </c>
      <c r="B87" s="3" t="s">
        <v>10</v>
      </c>
      <c r="C87" s="22" t="s">
        <v>49</v>
      </c>
      <c r="D87" s="400" t="s">
        <v>137</v>
      </c>
      <c r="E87" s="422">
        <f t="shared" si="8"/>
        <v>50.163026350927318</v>
      </c>
      <c r="F87" s="402">
        <v>12.67639256</v>
      </c>
      <c r="G87" s="407">
        <f t="shared" si="9"/>
        <v>47.977453500000003</v>
      </c>
      <c r="H87" s="402">
        <v>445.67532</v>
      </c>
      <c r="I87" s="423">
        <v>4.583333333333333E-2</v>
      </c>
      <c r="J87" s="407">
        <f t="shared" si="10"/>
        <v>36.811888532410883</v>
      </c>
      <c r="K87" s="402">
        <v>98.79</v>
      </c>
      <c r="L87" s="86">
        <v>11.09000015</v>
      </c>
      <c r="M87" s="402">
        <v>14.85</v>
      </c>
      <c r="N87" s="402">
        <v>3.29</v>
      </c>
      <c r="O87" s="407">
        <f t="shared" si="11"/>
        <v>66.982593037037034</v>
      </c>
      <c r="P87" s="399"/>
      <c r="Q87" s="354"/>
    </row>
    <row r="88" spans="1:17" s="13" customFormat="1" ht="15.75" customHeight="1" x14ac:dyDescent="0.25">
      <c r="A88" s="2">
        <v>84</v>
      </c>
      <c r="B88" s="3" t="s">
        <v>10</v>
      </c>
      <c r="C88" s="22" t="s">
        <v>49</v>
      </c>
      <c r="D88" s="400" t="s">
        <v>50</v>
      </c>
      <c r="E88" s="422">
        <f t="shared" si="8"/>
        <v>49.442004374667412</v>
      </c>
      <c r="F88" s="402">
        <v>13.698619839999999</v>
      </c>
      <c r="G88" s="407">
        <f t="shared" si="9"/>
        <v>54.366373999999993</v>
      </c>
      <c r="H88" s="402">
        <v>437.51593000000003</v>
      </c>
      <c r="I88" s="423">
        <v>3.125E-2</v>
      </c>
      <c r="J88" s="407">
        <f t="shared" si="10"/>
        <v>33.607554964446322</v>
      </c>
      <c r="K88" s="402">
        <v>99.37</v>
      </c>
      <c r="L88" s="86">
        <v>9.282</v>
      </c>
      <c r="M88" s="402">
        <v>19.47</v>
      </c>
      <c r="N88" s="403">
        <v>3.69</v>
      </c>
      <c r="O88" s="407">
        <f t="shared" si="11"/>
        <v>64.021111111111111</v>
      </c>
      <c r="P88" s="399"/>
      <c r="Q88" s="354"/>
    </row>
    <row r="89" spans="1:17" s="13" customFormat="1" ht="15.75" customHeight="1" x14ac:dyDescent="0.25">
      <c r="A89" s="2">
        <v>85</v>
      </c>
      <c r="B89" s="17" t="s">
        <v>29</v>
      </c>
      <c r="C89" s="26" t="s">
        <v>118</v>
      </c>
      <c r="D89" s="400" t="s">
        <v>207</v>
      </c>
      <c r="E89" s="422">
        <f t="shared" si="8"/>
        <v>49.063722502546291</v>
      </c>
      <c r="F89" s="402">
        <v>17.786930179999999</v>
      </c>
      <c r="G89" s="407">
        <f t="shared" si="9"/>
        <v>79.918313624999996</v>
      </c>
      <c r="H89" s="402">
        <v>385.95679999999999</v>
      </c>
      <c r="I89" s="423">
        <v>0</v>
      </c>
      <c r="J89" s="407">
        <f t="shared" si="10"/>
        <v>19.101511111111112</v>
      </c>
      <c r="K89" s="402">
        <v>99.72</v>
      </c>
      <c r="L89" s="86">
        <v>10.914948949999999</v>
      </c>
      <c r="M89" s="403">
        <v>3.73</v>
      </c>
      <c r="N89" s="403">
        <v>2.16</v>
      </c>
      <c r="O89" s="407">
        <f t="shared" si="11"/>
        <v>61.267256148148135</v>
      </c>
      <c r="P89" s="399"/>
      <c r="Q89" s="354"/>
    </row>
    <row r="90" spans="1:17" s="5" customFormat="1" ht="15.75" customHeight="1" x14ac:dyDescent="0.25">
      <c r="A90" s="2">
        <v>86</v>
      </c>
      <c r="B90" s="14" t="s">
        <v>23</v>
      </c>
      <c r="C90" s="15" t="s">
        <v>24</v>
      </c>
      <c r="D90" s="400" t="s">
        <v>25</v>
      </c>
      <c r="E90" s="422">
        <f t="shared" si="8"/>
        <v>48.903986185578717</v>
      </c>
      <c r="F90" s="402">
        <v>15.50299899</v>
      </c>
      <c r="G90" s="407">
        <f t="shared" si="9"/>
        <v>65.643743687500006</v>
      </c>
      <c r="H90" s="402">
        <v>406.99743999999998</v>
      </c>
      <c r="I90" s="423">
        <v>0</v>
      </c>
      <c r="J90" s="407">
        <f t="shared" si="10"/>
        <v>23.77720888888889</v>
      </c>
      <c r="K90" s="403">
        <v>99.14</v>
      </c>
      <c r="L90" s="86">
        <v>11.647500040000001</v>
      </c>
      <c r="M90" s="402">
        <v>2.0299999999999998</v>
      </c>
      <c r="N90" s="403">
        <v>3.19</v>
      </c>
      <c r="O90" s="407">
        <f t="shared" si="11"/>
        <v>65.663333451851869</v>
      </c>
      <c r="P90" s="399"/>
      <c r="Q90" s="121"/>
    </row>
    <row r="91" spans="1:17" s="5" customFormat="1" ht="15.75" customHeight="1" x14ac:dyDescent="0.25">
      <c r="A91" s="2">
        <v>87</v>
      </c>
      <c r="B91" s="6" t="s">
        <v>13</v>
      </c>
      <c r="C91" s="7" t="s">
        <v>14</v>
      </c>
      <c r="D91" s="400" t="s">
        <v>160</v>
      </c>
      <c r="E91" s="422">
        <f t="shared" si="8"/>
        <v>48.268148068101844</v>
      </c>
      <c r="F91" s="402">
        <v>14.781439779999999</v>
      </c>
      <c r="G91" s="407">
        <f t="shared" si="9"/>
        <v>61.133998624999997</v>
      </c>
      <c r="H91" s="402">
        <v>413.6173</v>
      </c>
      <c r="I91" s="423">
        <v>0</v>
      </c>
      <c r="J91" s="407">
        <f t="shared" si="10"/>
        <v>25.24828888888889</v>
      </c>
      <c r="K91" s="402">
        <v>98.74</v>
      </c>
      <c r="L91" s="86">
        <v>10.22999954</v>
      </c>
      <c r="M91" s="402">
        <v>31.36</v>
      </c>
      <c r="N91" s="402">
        <v>2.3199999999999998</v>
      </c>
      <c r="O91" s="407">
        <f t="shared" si="11"/>
        <v>65.386665303703694</v>
      </c>
      <c r="P91" s="399"/>
      <c r="Q91" s="121"/>
    </row>
    <row r="92" spans="1:17" s="5" customFormat="1" ht="15.75" customHeight="1" x14ac:dyDescent="0.25">
      <c r="A92" s="2">
        <v>88</v>
      </c>
      <c r="B92" s="14" t="s">
        <v>23</v>
      </c>
      <c r="C92" s="16" t="s">
        <v>26</v>
      </c>
      <c r="D92" s="400" t="s">
        <v>48</v>
      </c>
      <c r="E92" s="422">
        <f t="shared" si="8"/>
        <v>47.929768615981153</v>
      </c>
      <c r="F92" s="402">
        <v>15.7927103</v>
      </c>
      <c r="G92" s="407">
        <f t="shared" si="9"/>
        <v>67.454439374999993</v>
      </c>
      <c r="H92" s="402">
        <v>413.24475000000001</v>
      </c>
      <c r="I92" s="423">
        <v>3.4033613445378148E-2</v>
      </c>
      <c r="J92" s="407">
        <f t="shared" si="10"/>
        <v>28.481007203170503</v>
      </c>
      <c r="K92" s="402">
        <v>99.46</v>
      </c>
      <c r="L92" s="86">
        <v>8.4253717520000002</v>
      </c>
      <c r="M92" s="402">
        <v>25.44</v>
      </c>
      <c r="N92" s="402">
        <v>1.3</v>
      </c>
      <c r="O92" s="407">
        <f t="shared" si="11"/>
        <v>56.210731117037035</v>
      </c>
      <c r="P92" s="399"/>
      <c r="Q92" s="121"/>
    </row>
    <row r="93" spans="1:17" s="5" customFormat="1" ht="15.75" customHeight="1" x14ac:dyDescent="0.25">
      <c r="A93" s="2">
        <v>89</v>
      </c>
      <c r="B93" s="6" t="s">
        <v>13</v>
      </c>
      <c r="C93" s="7" t="s">
        <v>14</v>
      </c>
      <c r="D93" s="400" t="s">
        <v>46</v>
      </c>
      <c r="E93" s="422">
        <f t="shared" si="8"/>
        <v>47.827946370592315</v>
      </c>
      <c r="F93" s="402">
        <v>13.16394043</v>
      </c>
      <c r="G93" s="407">
        <f t="shared" si="9"/>
        <v>51.024627687500001</v>
      </c>
      <c r="H93" s="402">
        <v>416.13405999999998</v>
      </c>
      <c r="I93" s="423">
        <v>5.208333333333333E-3</v>
      </c>
      <c r="J93" s="407">
        <f t="shared" si="10"/>
        <v>26.322204403274782</v>
      </c>
      <c r="K93" s="402">
        <v>99.66</v>
      </c>
      <c r="L93" s="86">
        <v>10.97000027</v>
      </c>
      <c r="M93" s="402">
        <v>33.840000000000003</v>
      </c>
      <c r="N93" s="402">
        <v>2.89</v>
      </c>
      <c r="O93" s="407">
        <f t="shared" si="11"/>
        <v>70.122593392592591</v>
      </c>
      <c r="P93" s="399"/>
      <c r="Q93" s="121"/>
    </row>
    <row r="94" spans="1:17" s="5" customFormat="1" ht="15.75" customHeight="1" x14ac:dyDescent="0.25">
      <c r="A94" s="2">
        <v>90</v>
      </c>
      <c r="B94" s="3" t="s">
        <v>10</v>
      </c>
      <c r="C94" s="25" t="s">
        <v>115</v>
      </c>
      <c r="D94" s="400" t="s">
        <v>124</v>
      </c>
      <c r="E94" s="422">
        <f t="shared" si="8"/>
        <v>47.772016448124994</v>
      </c>
      <c r="F94" s="402">
        <v>12.71388245</v>
      </c>
      <c r="G94" s="407">
        <f t="shared" si="9"/>
        <v>48.211765312499999</v>
      </c>
      <c r="H94" s="402">
        <v>420.08652000000001</v>
      </c>
      <c r="I94" s="423">
        <v>0</v>
      </c>
      <c r="J94" s="407">
        <f t="shared" si="10"/>
        <v>26.685893333333336</v>
      </c>
      <c r="K94" s="402">
        <v>99.75</v>
      </c>
      <c r="L94" s="86">
        <v>12.065888579999999</v>
      </c>
      <c r="M94" s="402">
        <v>34.5</v>
      </c>
      <c r="N94" s="402">
        <v>2.17</v>
      </c>
      <c r="O94" s="407">
        <f t="shared" si="11"/>
        <v>71.556336533333322</v>
      </c>
      <c r="P94" s="399"/>
      <c r="Q94" s="121"/>
    </row>
    <row r="95" spans="1:17" s="5" customFormat="1" ht="15.75" customHeight="1" x14ac:dyDescent="0.25">
      <c r="A95" s="2">
        <v>91</v>
      </c>
      <c r="B95" s="14" t="s">
        <v>23</v>
      </c>
      <c r="C95" s="16" t="s">
        <v>26</v>
      </c>
      <c r="D95" s="400" t="s">
        <v>144</v>
      </c>
      <c r="E95" s="422">
        <f t="shared" si="8"/>
        <v>47.675882002198534</v>
      </c>
      <c r="F95" s="402">
        <v>14.468110080000001</v>
      </c>
      <c r="G95" s="407">
        <f t="shared" si="9"/>
        <v>59.175688000000001</v>
      </c>
      <c r="H95" s="402">
        <v>430.06511999999998</v>
      </c>
      <c r="I95" s="423">
        <v>1.2386601535240753E-2</v>
      </c>
      <c r="J95" s="407">
        <f t="shared" si="10"/>
        <v>30.122927213644477</v>
      </c>
      <c r="K95" s="402">
        <v>98.92</v>
      </c>
      <c r="L95" s="86">
        <v>9.3495109339999996</v>
      </c>
      <c r="M95" s="402">
        <v>31.85</v>
      </c>
      <c r="N95" s="402">
        <v>1.08</v>
      </c>
      <c r="O95" s="407">
        <f t="shared" si="11"/>
        <v>59.522254619259257</v>
      </c>
      <c r="P95" s="399"/>
      <c r="Q95" s="121"/>
    </row>
    <row r="96" spans="1:17" s="5" customFormat="1" ht="15.75" customHeight="1" x14ac:dyDescent="0.25">
      <c r="A96" s="2">
        <v>92</v>
      </c>
      <c r="B96" s="14" t="s">
        <v>23</v>
      </c>
      <c r="C96" s="15" t="s">
        <v>24</v>
      </c>
      <c r="D96" s="400" t="s">
        <v>196</v>
      </c>
      <c r="E96" s="422">
        <f t="shared" si="8"/>
        <v>47.495670634583327</v>
      </c>
      <c r="F96" s="402">
        <v>16.2530213</v>
      </c>
      <c r="G96" s="407">
        <f t="shared" si="9"/>
        <v>70.331383125000002</v>
      </c>
      <c r="H96" s="402">
        <v>391.39269999999999</v>
      </c>
      <c r="I96" s="423">
        <v>0</v>
      </c>
      <c r="J96" s="407">
        <f t="shared" si="10"/>
        <v>20.309488888888886</v>
      </c>
      <c r="K96" s="403">
        <v>98.92</v>
      </c>
      <c r="L96" s="86">
        <v>11.295349679999999</v>
      </c>
      <c r="M96" s="403">
        <v>17.45</v>
      </c>
      <c r="N96" s="403">
        <v>1.1399999999999999</v>
      </c>
      <c r="O96" s="407">
        <f t="shared" si="11"/>
        <v>62.254369422222226</v>
      </c>
      <c r="P96" s="399"/>
      <c r="Q96" s="121"/>
    </row>
    <row r="97" spans="1:17" s="5" customFormat="1" ht="15.75" customHeight="1" x14ac:dyDescent="0.25">
      <c r="A97" s="2">
        <v>93</v>
      </c>
      <c r="B97" s="14" t="s">
        <v>23</v>
      </c>
      <c r="C97" s="16" t="s">
        <v>26</v>
      </c>
      <c r="D97" s="400" t="s">
        <v>169</v>
      </c>
      <c r="E97" s="422">
        <f t="shared" si="8"/>
        <v>47.215546198299378</v>
      </c>
      <c r="F97" s="402">
        <v>14.90939376</v>
      </c>
      <c r="G97" s="407">
        <f t="shared" si="9"/>
        <v>61.933711000000002</v>
      </c>
      <c r="H97" s="402">
        <v>415.02542</v>
      </c>
      <c r="I97" s="423">
        <v>2.072538860103627E-2</v>
      </c>
      <c r="J97" s="407">
        <f t="shared" si="10"/>
        <v>27.593421628155838</v>
      </c>
      <c r="K97" s="402">
        <v>99.49</v>
      </c>
      <c r="L97" s="86">
        <v>10.15465159</v>
      </c>
      <c r="M97" s="403">
        <v>17.45</v>
      </c>
      <c r="N97" s="402">
        <v>1.1399999999999999</v>
      </c>
      <c r="O97" s="407">
        <f t="shared" si="11"/>
        <v>59.127856562962961</v>
      </c>
      <c r="P97" s="399"/>
      <c r="Q97" s="121"/>
    </row>
    <row r="98" spans="1:17" s="5" customFormat="1" ht="15.75" customHeight="1" x14ac:dyDescent="0.25">
      <c r="A98" s="2">
        <v>94</v>
      </c>
      <c r="B98" s="14" t="s">
        <v>23</v>
      </c>
      <c r="C98" s="16" t="s">
        <v>26</v>
      </c>
      <c r="D98" s="400" t="s">
        <v>63</v>
      </c>
      <c r="E98" s="422">
        <f t="shared" si="8"/>
        <v>47.089963233326841</v>
      </c>
      <c r="F98" s="402">
        <v>14.286410330000001</v>
      </c>
      <c r="G98" s="407">
        <f t="shared" si="9"/>
        <v>58.040064562500007</v>
      </c>
      <c r="H98" s="402">
        <v>419.02753000000001</v>
      </c>
      <c r="I98" s="423">
        <v>0.04</v>
      </c>
      <c r="J98" s="407">
        <f t="shared" si="10"/>
        <v>30.336045072865705</v>
      </c>
      <c r="K98" s="402">
        <v>98.96</v>
      </c>
      <c r="L98" s="86">
        <v>9.0315815970000006</v>
      </c>
      <c r="M98" s="402">
        <v>31.53</v>
      </c>
      <c r="N98" s="402">
        <v>1.04</v>
      </c>
      <c r="O98" s="407">
        <f t="shared" si="11"/>
        <v>58.415797324444448</v>
      </c>
      <c r="P98" s="399"/>
      <c r="Q98" s="121"/>
    </row>
    <row r="99" spans="1:17" s="5" customFormat="1" ht="15.75" customHeight="1" x14ac:dyDescent="0.25">
      <c r="A99" s="2">
        <v>95</v>
      </c>
      <c r="B99" s="8" t="s">
        <v>16</v>
      </c>
      <c r="C99" s="11" t="s">
        <v>21</v>
      </c>
      <c r="D99" s="400" t="s">
        <v>83</v>
      </c>
      <c r="E99" s="422">
        <f t="shared" si="8"/>
        <v>47.083272967300928</v>
      </c>
      <c r="F99" s="402">
        <v>15.246043909999999</v>
      </c>
      <c r="G99" s="407">
        <f t="shared" si="9"/>
        <v>64.037774437499991</v>
      </c>
      <c r="H99" s="402">
        <v>440.30450000000002</v>
      </c>
      <c r="I99" s="423">
        <v>0</v>
      </c>
      <c r="J99" s="407">
        <f t="shared" si="10"/>
        <v>31.178777777777782</v>
      </c>
      <c r="K99" s="402">
        <v>98.66</v>
      </c>
      <c r="L99" s="86">
        <v>8.6851997379999997</v>
      </c>
      <c r="M99" s="402">
        <v>10.3</v>
      </c>
      <c r="N99" s="402">
        <v>1.26</v>
      </c>
      <c r="O99" s="407">
        <f t="shared" si="11"/>
        <v>53.149480705185184</v>
      </c>
      <c r="P99" s="399"/>
      <c r="Q99" s="121"/>
    </row>
    <row r="100" spans="1:17" s="5" customFormat="1" ht="15.75" customHeight="1" x14ac:dyDescent="0.25">
      <c r="A100" s="2">
        <v>96</v>
      </c>
      <c r="B100" s="14" t="s">
        <v>23</v>
      </c>
      <c r="C100" s="15" t="s">
        <v>24</v>
      </c>
      <c r="D100" s="400" t="s">
        <v>34</v>
      </c>
      <c r="E100" s="422">
        <f t="shared" si="8"/>
        <v>47.067465480788769</v>
      </c>
      <c r="F100" s="402">
        <v>11.891379710000001</v>
      </c>
      <c r="G100" s="407">
        <f t="shared" si="9"/>
        <v>43.071123187500007</v>
      </c>
      <c r="H100" s="403">
        <v>423.55552222736321</v>
      </c>
      <c r="I100" s="423">
        <v>0</v>
      </c>
      <c r="J100" s="407">
        <f t="shared" si="10"/>
        <v>27.456782717191828</v>
      </c>
      <c r="K100" s="403">
        <v>99.14</v>
      </c>
      <c r="L100" s="86">
        <v>12.814419040000001</v>
      </c>
      <c r="M100" s="403">
        <v>16.489999999999998</v>
      </c>
      <c r="N100" s="403">
        <v>3.19</v>
      </c>
      <c r="O100" s="407">
        <f t="shared" si="11"/>
        <v>72.334204562962967</v>
      </c>
      <c r="P100" s="399"/>
      <c r="Q100" s="121"/>
    </row>
    <row r="101" spans="1:17" s="5" customFormat="1" ht="15.75" customHeight="1" x14ac:dyDescent="0.25">
      <c r="A101" s="2">
        <v>97</v>
      </c>
      <c r="B101" s="14" t="s">
        <v>23</v>
      </c>
      <c r="C101" s="16" t="s">
        <v>26</v>
      </c>
      <c r="D101" s="400" t="s">
        <v>70</v>
      </c>
      <c r="E101" s="422">
        <f t="shared" ref="E101:E132" si="12">(G101*25+J101*40+O101*35)/100</f>
        <v>46.982320078847621</v>
      </c>
      <c r="F101" s="402">
        <v>13.87884045</v>
      </c>
      <c r="G101" s="407">
        <f t="shared" ref="G101:G132" si="13">((MIN(F101,21)-5)/(21-5))*100</f>
        <v>55.492752812500001</v>
      </c>
      <c r="H101" s="403">
        <v>411.39807819224234</v>
      </c>
      <c r="I101" s="423">
        <v>5.8139534883720929E-3</v>
      </c>
      <c r="J101" s="407">
        <f t="shared" ref="J101:J132" si="14">(((H101-300)/(600-300))*100*2+(LN(MIN(I101,0.4)+1)/LN(1.4))*100*1)/3</f>
        <v>25.329432204121364</v>
      </c>
      <c r="K101" s="402">
        <v>99.61</v>
      </c>
      <c r="L101" s="86">
        <v>10.631489029999999</v>
      </c>
      <c r="M101" s="402">
        <v>17.45</v>
      </c>
      <c r="N101" s="402">
        <v>2.96</v>
      </c>
      <c r="O101" s="407">
        <f t="shared" ref="O101:O132" si="15">(((MAX(K101,50)-50)/(100-50))*100+(L101/15)*100*2+MIN(M101,100)+(N101/4)*100*0.5)/4.5</f>
        <v>65.649597125925936</v>
      </c>
      <c r="P101" s="399"/>
      <c r="Q101" s="121"/>
    </row>
    <row r="102" spans="1:17" s="5" customFormat="1" ht="15.75" customHeight="1" x14ac:dyDescent="0.25">
      <c r="A102" s="2">
        <v>98</v>
      </c>
      <c r="B102" s="3" t="s">
        <v>10</v>
      </c>
      <c r="C102" s="19" t="s">
        <v>35</v>
      </c>
      <c r="D102" s="400" t="s">
        <v>165</v>
      </c>
      <c r="E102" s="422">
        <f t="shared" si="12"/>
        <v>46.611941524672154</v>
      </c>
      <c r="F102" s="402">
        <v>12.998009679999999</v>
      </c>
      <c r="G102" s="407">
        <f t="shared" si="13"/>
        <v>49.987560499999994</v>
      </c>
      <c r="H102" s="402">
        <v>412.31774999999999</v>
      </c>
      <c r="I102" s="423">
        <v>4.8387096774193547E-2</v>
      </c>
      <c r="J102" s="407">
        <f t="shared" si="14"/>
        <v>29.640706917698918</v>
      </c>
      <c r="K102" s="402">
        <v>99.4</v>
      </c>
      <c r="L102" s="86">
        <v>10.130000109999999</v>
      </c>
      <c r="M102" s="402">
        <v>35.130000000000003</v>
      </c>
      <c r="N102" s="402">
        <v>1.375</v>
      </c>
      <c r="O102" s="407">
        <f t="shared" si="15"/>
        <v>63.596481807407407</v>
      </c>
      <c r="P102" s="399"/>
      <c r="Q102" s="121"/>
    </row>
    <row r="103" spans="1:17" s="5" customFormat="1" ht="15.75" customHeight="1" x14ac:dyDescent="0.25">
      <c r="A103" s="2">
        <v>99</v>
      </c>
      <c r="B103" s="3" t="s">
        <v>10</v>
      </c>
      <c r="C103" s="19" t="s">
        <v>35</v>
      </c>
      <c r="D103" s="400" t="s">
        <v>123</v>
      </c>
      <c r="E103" s="422">
        <f t="shared" si="12"/>
        <v>46.51601412443388</v>
      </c>
      <c r="F103" s="402">
        <v>15.904240290000001</v>
      </c>
      <c r="G103" s="407">
        <f t="shared" si="13"/>
        <v>68.151501812500001</v>
      </c>
      <c r="H103" s="402">
        <v>383.40222</v>
      </c>
      <c r="I103" s="423">
        <v>1.7857142857142856E-2</v>
      </c>
      <c r="J103" s="407">
        <f t="shared" si="14"/>
        <v>20.287272684198108</v>
      </c>
      <c r="K103" s="402">
        <v>99.3</v>
      </c>
      <c r="L103" s="86">
        <v>7.5660071120000003</v>
      </c>
      <c r="M103" s="402">
        <v>33.44</v>
      </c>
      <c r="N103" s="402">
        <v>3.34</v>
      </c>
      <c r="O103" s="407">
        <f t="shared" si="15"/>
        <v>61.037798850370365</v>
      </c>
      <c r="P103" s="399"/>
      <c r="Q103" s="121"/>
    </row>
    <row r="104" spans="1:17" s="5" customFormat="1" ht="15.75" customHeight="1" x14ac:dyDescent="0.25">
      <c r="A104" s="2">
        <v>100</v>
      </c>
      <c r="B104" s="14" t="s">
        <v>23</v>
      </c>
      <c r="C104" s="16" t="s">
        <v>26</v>
      </c>
      <c r="D104" s="400" t="s">
        <v>45</v>
      </c>
      <c r="E104" s="422">
        <f t="shared" si="12"/>
        <v>46.487667473202549</v>
      </c>
      <c r="F104" s="402">
        <v>15.610650059999999</v>
      </c>
      <c r="G104" s="407">
        <f t="shared" si="13"/>
        <v>66.316562875000002</v>
      </c>
      <c r="H104" s="403">
        <v>407.99931013171897</v>
      </c>
      <c r="I104" s="423">
        <v>8.1967213114754103E-3</v>
      </c>
      <c r="J104" s="407">
        <f t="shared" si="14"/>
        <v>24.808562319464684</v>
      </c>
      <c r="K104" s="402">
        <v>99.78</v>
      </c>
      <c r="L104" s="86">
        <v>10.021223190000001</v>
      </c>
      <c r="M104" s="403">
        <v>10.9</v>
      </c>
      <c r="N104" s="402">
        <v>1.03</v>
      </c>
      <c r="O104" s="407">
        <f t="shared" si="15"/>
        <v>57.100290933333341</v>
      </c>
      <c r="P104" s="399"/>
      <c r="Q104" s="121"/>
    </row>
    <row r="105" spans="1:17" s="5" customFormat="1" ht="15.75" customHeight="1" x14ac:dyDescent="0.25">
      <c r="A105" s="2">
        <v>101</v>
      </c>
      <c r="B105" s="8" t="s">
        <v>16</v>
      </c>
      <c r="C105" s="21" t="s">
        <v>42</v>
      </c>
      <c r="D105" s="400" t="s">
        <v>89</v>
      </c>
      <c r="E105" s="422">
        <f t="shared" si="12"/>
        <v>46.129347061921301</v>
      </c>
      <c r="F105" s="402">
        <v>12.482758889999999</v>
      </c>
      <c r="G105" s="407">
        <f t="shared" si="13"/>
        <v>46.7672430625</v>
      </c>
      <c r="H105" s="402">
        <v>456.1277</v>
      </c>
      <c r="I105" s="423">
        <v>0</v>
      </c>
      <c r="J105" s="407">
        <f t="shared" si="14"/>
        <v>34.695044444444441</v>
      </c>
      <c r="K105" s="402">
        <v>93.98</v>
      </c>
      <c r="L105" s="86">
        <v>9.6859999999999999</v>
      </c>
      <c r="M105" s="403">
        <v>12.73</v>
      </c>
      <c r="N105" s="402">
        <v>2.76</v>
      </c>
      <c r="O105" s="407">
        <f t="shared" si="15"/>
        <v>58.741481481481486</v>
      </c>
      <c r="P105" s="399"/>
      <c r="Q105" s="121"/>
    </row>
    <row r="106" spans="1:17" s="5" customFormat="1" ht="15.75" customHeight="1" x14ac:dyDescent="0.25">
      <c r="A106" s="2">
        <v>102</v>
      </c>
      <c r="B106" s="17" t="s">
        <v>29</v>
      </c>
      <c r="C106" s="26" t="s">
        <v>118</v>
      </c>
      <c r="D106" s="400" t="s">
        <v>141</v>
      </c>
      <c r="E106" s="422">
        <f t="shared" si="12"/>
        <v>46.127789607523148</v>
      </c>
      <c r="F106" s="402">
        <v>16.386060709999999</v>
      </c>
      <c r="G106" s="407">
        <f t="shared" si="13"/>
        <v>71.162879437499996</v>
      </c>
      <c r="H106" s="402">
        <v>375.02969999999999</v>
      </c>
      <c r="I106" s="423">
        <v>0</v>
      </c>
      <c r="J106" s="407">
        <f t="shared" si="14"/>
        <v>16.673266666666663</v>
      </c>
      <c r="K106" s="402">
        <v>96.35</v>
      </c>
      <c r="L106" s="86">
        <v>11.636664400000001</v>
      </c>
      <c r="M106" s="402">
        <v>3.73</v>
      </c>
      <c r="N106" s="403">
        <v>2.16</v>
      </c>
      <c r="O106" s="407">
        <f t="shared" si="15"/>
        <v>61.907894518518511</v>
      </c>
      <c r="P106" s="399"/>
      <c r="Q106" s="121"/>
    </row>
    <row r="107" spans="1:17" s="5" customFormat="1" ht="15.75" customHeight="1" x14ac:dyDescent="0.25">
      <c r="A107" s="2">
        <v>103</v>
      </c>
      <c r="B107" s="6" t="s">
        <v>13</v>
      </c>
      <c r="C107" s="7" t="s">
        <v>14</v>
      </c>
      <c r="D107" s="400" t="s">
        <v>122</v>
      </c>
      <c r="E107" s="422">
        <f t="shared" si="12"/>
        <v>45.904890666666667</v>
      </c>
      <c r="F107" s="428">
        <v>13.68</v>
      </c>
      <c r="G107" s="407">
        <f t="shared" si="13"/>
        <v>54.25</v>
      </c>
      <c r="H107" s="402">
        <v>373.54876999999999</v>
      </c>
      <c r="I107" s="423">
        <v>0</v>
      </c>
      <c r="J107" s="407">
        <f t="shared" si="14"/>
        <v>16.344171111111109</v>
      </c>
      <c r="K107" s="403">
        <v>99.699999999999989</v>
      </c>
      <c r="L107" s="104">
        <v>11.4</v>
      </c>
      <c r="M107" s="403">
        <v>39.125</v>
      </c>
      <c r="N107" s="402">
        <v>3.3</v>
      </c>
      <c r="O107" s="407">
        <f t="shared" si="15"/>
        <v>73.727777777777774</v>
      </c>
      <c r="P107" s="399"/>
      <c r="Q107" s="121"/>
    </row>
    <row r="108" spans="1:17" s="5" customFormat="1" ht="15.75" customHeight="1" x14ac:dyDescent="0.25">
      <c r="A108" s="2">
        <v>104</v>
      </c>
      <c r="B108" s="6" t="s">
        <v>13</v>
      </c>
      <c r="C108" s="7" t="s">
        <v>14</v>
      </c>
      <c r="D108" s="400" t="s">
        <v>33</v>
      </c>
      <c r="E108" s="422">
        <f t="shared" si="12"/>
        <v>45.800315411794237</v>
      </c>
      <c r="F108" s="402">
        <v>12.90977955</v>
      </c>
      <c r="G108" s="407">
        <f t="shared" si="13"/>
        <v>49.436122187499997</v>
      </c>
      <c r="H108" s="402">
        <v>415.94619999999998</v>
      </c>
      <c r="I108" s="423">
        <v>4.464285714285714E-3</v>
      </c>
      <c r="J108" s="407">
        <f t="shared" si="14"/>
        <v>26.207101854890681</v>
      </c>
      <c r="K108" s="402">
        <v>99.88</v>
      </c>
      <c r="L108" s="86">
        <v>11.06999969</v>
      </c>
      <c r="M108" s="402">
        <v>32.57</v>
      </c>
      <c r="N108" s="402">
        <v>1.22</v>
      </c>
      <c r="O108" s="407">
        <f t="shared" si="15"/>
        <v>65.59555463703704</v>
      </c>
      <c r="P108" s="399"/>
      <c r="Q108" s="121"/>
    </row>
    <row r="109" spans="1:17" s="5" customFormat="1" ht="15.75" customHeight="1" x14ac:dyDescent="0.25">
      <c r="A109" s="2">
        <v>105</v>
      </c>
      <c r="B109" s="8" t="s">
        <v>16</v>
      </c>
      <c r="C109" s="9" t="s">
        <v>17</v>
      </c>
      <c r="D109" s="400" t="s">
        <v>78</v>
      </c>
      <c r="E109" s="422">
        <f t="shared" si="12"/>
        <v>44.977951096310193</v>
      </c>
      <c r="F109" s="402">
        <v>13.12716193</v>
      </c>
      <c r="G109" s="407">
        <f t="shared" si="13"/>
        <v>50.794762062499998</v>
      </c>
      <c r="H109" s="402">
        <v>355.98649999999998</v>
      </c>
      <c r="I109" s="423">
        <v>0.16796875</v>
      </c>
      <c r="J109" s="407">
        <f t="shared" si="14"/>
        <v>27.823211696157433</v>
      </c>
      <c r="K109" s="402">
        <v>95.19</v>
      </c>
      <c r="L109" s="86">
        <v>10.136119620000001</v>
      </c>
      <c r="M109" s="402">
        <v>39.15</v>
      </c>
      <c r="N109" s="402">
        <v>0.57999999999999996</v>
      </c>
      <c r="O109" s="407">
        <f t="shared" si="15"/>
        <v>60.428502577777778</v>
      </c>
      <c r="P109" s="399"/>
      <c r="Q109" s="121"/>
    </row>
    <row r="110" spans="1:17" s="5" customFormat="1" ht="15.75" customHeight="1" x14ac:dyDescent="0.25">
      <c r="A110" s="2">
        <v>106</v>
      </c>
      <c r="B110" s="3" t="s">
        <v>10</v>
      </c>
      <c r="C110" s="25" t="s">
        <v>115</v>
      </c>
      <c r="D110" s="400" t="s">
        <v>211</v>
      </c>
      <c r="E110" s="422">
        <f t="shared" si="12"/>
        <v>44.568086334559574</v>
      </c>
      <c r="F110" s="402">
        <v>13.240579609999999</v>
      </c>
      <c r="G110" s="407">
        <f t="shared" si="13"/>
        <v>51.503622562499999</v>
      </c>
      <c r="H110" s="403">
        <v>417.20059362343068</v>
      </c>
      <c r="I110" s="423">
        <v>0</v>
      </c>
      <c r="J110" s="407">
        <f t="shared" si="14"/>
        <v>26.044576360762374</v>
      </c>
      <c r="K110" s="402">
        <v>99.9</v>
      </c>
      <c r="L110" s="86">
        <v>11.20780193</v>
      </c>
      <c r="M110" s="402">
        <v>1.04</v>
      </c>
      <c r="N110" s="402">
        <v>1.86</v>
      </c>
      <c r="O110" s="407">
        <f t="shared" si="15"/>
        <v>60.783857570370373</v>
      </c>
      <c r="P110" s="399"/>
      <c r="Q110" s="121"/>
    </row>
    <row r="111" spans="1:17" s="5" customFormat="1" ht="15.75" customHeight="1" x14ac:dyDescent="0.25">
      <c r="A111" s="2">
        <v>107</v>
      </c>
      <c r="B111" s="3" t="s">
        <v>10</v>
      </c>
      <c r="C111" s="4" t="s">
        <v>11</v>
      </c>
      <c r="D111" s="400" t="s">
        <v>193</v>
      </c>
      <c r="E111" s="422">
        <f t="shared" si="12"/>
        <v>44.372753415772323</v>
      </c>
      <c r="F111" s="402">
        <v>13.12815666</v>
      </c>
      <c r="G111" s="407">
        <f t="shared" si="13"/>
        <v>50.800979124999998</v>
      </c>
      <c r="H111" s="402">
        <v>400</v>
      </c>
      <c r="I111" s="423">
        <v>1.8115942028985508E-2</v>
      </c>
      <c r="J111" s="407">
        <f t="shared" si="14"/>
        <v>24.000853727046547</v>
      </c>
      <c r="K111" s="402">
        <v>98.87</v>
      </c>
      <c r="L111" s="86">
        <v>10.77000046</v>
      </c>
      <c r="M111" s="402">
        <v>12.32</v>
      </c>
      <c r="N111" s="402">
        <v>2.41</v>
      </c>
      <c r="O111" s="407">
        <f t="shared" si="15"/>
        <v>63.063334696296302</v>
      </c>
      <c r="P111" s="399"/>
      <c r="Q111" s="121"/>
    </row>
    <row r="112" spans="1:17" s="5" customFormat="1" ht="15.75" customHeight="1" x14ac:dyDescent="0.25">
      <c r="A112" s="2">
        <v>108</v>
      </c>
      <c r="B112" s="17" t="s">
        <v>29</v>
      </c>
      <c r="C112" s="24" t="s">
        <v>85</v>
      </c>
      <c r="D112" s="400" t="s">
        <v>86</v>
      </c>
      <c r="E112" s="422">
        <f t="shared" si="12"/>
        <v>44.119644405832645</v>
      </c>
      <c r="F112" s="402">
        <v>13.84869</v>
      </c>
      <c r="G112" s="407">
        <f t="shared" si="13"/>
        <v>55.304312499999995</v>
      </c>
      <c r="H112" s="402">
        <v>383.33596999999997</v>
      </c>
      <c r="I112" s="423">
        <v>0.05</v>
      </c>
      <c r="J112" s="407">
        <f t="shared" si="14"/>
        <v>23.352605187266803</v>
      </c>
      <c r="K112" s="425">
        <v>98</v>
      </c>
      <c r="L112" s="86">
        <v>10.37096977</v>
      </c>
      <c r="M112" s="402">
        <v>8.11</v>
      </c>
      <c r="N112" s="402">
        <v>2.16</v>
      </c>
      <c r="O112" s="407">
        <f t="shared" si="15"/>
        <v>59.864354874074074</v>
      </c>
      <c r="P112" s="399"/>
      <c r="Q112" s="121"/>
    </row>
    <row r="113" spans="1:17" s="5" customFormat="1" ht="15.75" customHeight="1" x14ac:dyDescent="0.25">
      <c r="A113" s="2">
        <v>109</v>
      </c>
      <c r="B113" s="14" t="s">
        <v>23</v>
      </c>
      <c r="C113" s="15" t="s">
        <v>24</v>
      </c>
      <c r="D113" s="400" t="s">
        <v>75</v>
      </c>
      <c r="E113" s="422">
        <f t="shared" si="12"/>
        <v>44.099039288078693</v>
      </c>
      <c r="F113" s="402">
        <v>14.150999669999999</v>
      </c>
      <c r="G113" s="407">
        <f t="shared" si="13"/>
        <v>57.193747937499992</v>
      </c>
      <c r="H113" s="402">
        <v>403.78323</v>
      </c>
      <c r="I113" s="423">
        <v>0</v>
      </c>
      <c r="J113" s="407">
        <f t="shared" si="14"/>
        <v>23.062940000000001</v>
      </c>
      <c r="K113" s="403">
        <v>98.92</v>
      </c>
      <c r="L113" s="86">
        <v>10.12508965</v>
      </c>
      <c r="M113" s="403">
        <v>17.45</v>
      </c>
      <c r="N113" s="403">
        <v>1.1399999999999999</v>
      </c>
      <c r="O113" s="407">
        <f t="shared" si="15"/>
        <v>58.786932296296285</v>
      </c>
      <c r="P113" s="399"/>
      <c r="Q113" s="121"/>
    </row>
    <row r="114" spans="1:17" s="5" customFormat="1" ht="15.75" customHeight="1" x14ac:dyDescent="0.25">
      <c r="A114" s="2">
        <v>110</v>
      </c>
      <c r="B114" s="3" t="s">
        <v>10</v>
      </c>
      <c r="C114" s="19" t="s">
        <v>35</v>
      </c>
      <c r="D114" s="400" t="s">
        <v>127</v>
      </c>
      <c r="E114" s="422">
        <f t="shared" si="12"/>
        <v>43.583071230835358</v>
      </c>
      <c r="F114" s="402">
        <v>11.68299961</v>
      </c>
      <c r="G114" s="407">
        <f t="shared" si="13"/>
        <v>41.768747562499996</v>
      </c>
      <c r="H114" s="402">
        <v>389.88904000000002</v>
      </c>
      <c r="I114" s="423">
        <v>8.9622641509433956E-2</v>
      </c>
      <c r="J114" s="407">
        <f t="shared" si="14"/>
        <v>28.478414839414778</v>
      </c>
      <c r="K114" s="402">
        <v>96.67</v>
      </c>
      <c r="L114" s="86">
        <v>10.369999890000001</v>
      </c>
      <c r="M114" s="402">
        <v>26.78</v>
      </c>
      <c r="N114" s="402">
        <v>1.7</v>
      </c>
      <c r="O114" s="407">
        <f t="shared" si="15"/>
        <v>62.141481155555567</v>
      </c>
      <c r="P114" s="399"/>
      <c r="Q114" s="121"/>
    </row>
    <row r="115" spans="1:17" s="5" customFormat="1" ht="15.75" customHeight="1" x14ac:dyDescent="0.25">
      <c r="A115" s="2">
        <v>111</v>
      </c>
      <c r="B115" s="8" t="s">
        <v>16</v>
      </c>
      <c r="C115" s="11" t="s">
        <v>21</v>
      </c>
      <c r="D115" s="400" t="s">
        <v>190</v>
      </c>
      <c r="E115" s="422">
        <f t="shared" si="12"/>
        <v>43.516037974954415</v>
      </c>
      <c r="F115" s="402">
        <v>13.79325008</v>
      </c>
      <c r="G115" s="407">
        <f t="shared" si="13"/>
        <v>54.957813000000002</v>
      </c>
      <c r="H115" s="402">
        <v>342.76398</v>
      </c>
      <c r="I115" s="423">
        <v>0.12333333333333334</v>
      </c>
      <c r="J115" s="407">
        <f t="shared" si="14"/>
        <v>21.024657138311976</v>
      </c>
      <c r="K115" s="402">
        <v>97.17</v>
      </c>
      <c r="L115" s="86">
        <v>11.60999966</v>
      </c>
      <c r="M115" s="402">
        <v>12.2</v>
      </c>
      <c r="N115" s="402">
        <v>1.07</v>
      </c>
      <c r="O115" s="407">
        <f t="shared" si="15"/>
        <v>61.047776770370369</v>
      </c>
      <c r="P115" s="399"/>
      <c r="Q115" s="121"/>
    </row>
    <row r="116" spans="1:17" s="5" customFormat="1" ht="15.75" customHeight="1" x14ac:dyDescent="0.25">
      <c r="A116" s="2">
        <v>112</v>
      </c>
      <c r="B116" s="8" t="s">
        <v>16</v>
      </c>
      <c r="C116" s="9" t="s">
        <v>17</v>
      </c>
      <c r="D116" s="400" t="s">
        <v>18</v>
      </c>
      <c r="E116" s="422">
        <f t="shared" si="12"/>
        <v>43.042267651628762</v>
      </c>
      <c r="F116" s="402">
        <v>15.4951601</v>
      </c>
      <c r="G116" s="407">
        <f t="shared" si="13"/>
        <v>65.594750625000003</v>
      </c>
      <c r="H116" s="402">
        <v>374.08908000000002</v>
      </c>
      <c r="I116" s="423">
        <v>3.937007874015748E-3</v>
      </c>
      <c r="J116" s="407">
        <f t="shared" si="14"/>
        <v>16.853502244372834</v>
      </c>
      <c r="K116" s="402">
        <v>93.77</v>
      </c>
      <c r="L116" s="86">
        <v>7.4163869870000001</v>
      </c>
      <c r="M116" s="402">
        <v>36.71</v>
      </c>
      <c r="N116" s="402">
        <v>2.62</v>
      </c>
      <c r="O116" s="407">
        <f t="shared" si="15"/>
        <v>56.863368850370371</v>
      </c>
      <c r="P116" s="399"/>
      <c r="Q116" s="121"/>
    </row>
    <row r="117" spans="1:17" s="5" customFormat="1" ht="15.75" customHeight="1" x14ac:dyDescent="0.25">
      <c r="A117" s="2">
        <v>113</v>
      </c>
      <c r="B117" s="8" t="s">
        <v>16</v>
      </c>
      <c r="C117" s="11" t="s">
        <v>21</v>
      </c>
      <c r="D117" s="400" t="s">
        <v>117</v>
      </c>
      <c r="E117" s="422">
        <f t="shared" si="12"/>
        <v>42.594304757628308</v>
      </c>
      <c r="F117" s="402">
        <v>11.474075729999999</v>
      </c>
      <c r="G117" s="407">
        <f t="shared" si="13"/>
        <v>40.462973312499997</v>
      </c>
      <c r="H117" s="402">
        <v>454.95839999999998</v>
      </c>
      <c r="I117" s="423">
        <v>1.2422360248447204E-2</v>
      </c>
      <c r="J117" s="407">
        <f t="shared" si="14"/>
        <v>35.65826632153604</v>
      </c>
      <c r="K117" s="402">
        <v>93.18</v>
      </c>
      <c r="L117" s="86">
        <v>8.6247100830000001</v>
      </c>
      <c r="M117" s="402">
        <v>2.59</v>
      </c>
      <c r="N117" s="402">
        <v>2.42</v>
      </c>
      <c r="O117" s="407">
        <f t="shared" si="15"/>
        <v>52.043585431111111</v>
      </c>
      <c r="P117" s="399"/>
      <c r="Q117" s="121"/>
    </row>
    <row r="118" spans="1:17" s="5" customFormat="1" ht="15.75" customHeight="1" x14ac:dyDescent="0.25">
      <c r="A118" s="2">
        <v>114</v>
      </c>
      <c r="B118" s="8" t="s">
        <v>16</v>
      </c>
      <c r="C118" s="9" t="s">
        <v>17</v>
      </c>
      <c r="D118" s="400" t="s">
        <v>209</v>
      </c>
      <c r="E118" s="422">
        <f t="shared" si="12"/>
        <v>42.302360059975086</v>
      </c>
      <c r="F118" s="402">
        <v>14.673498560000001</v>
      </c>
      <c r="G118" s="407">
        <f t="shared" si="13"/>
        <v>60.459366000000003</v>
      </c>
      <c r="H118" s="402">
        <v>384.07873999999998</v>
      </c>
      <c r="I118" s="423">
        <v>2.8957528957528956E-3</v>
      </c>
      <c r="J118" s="407">
        <f t="shared" si="14"/>
        <v>18.970623768085883</v>
      </c>
      <c r="K118" s="402">
        <v>98.16</v>
      </c>
      <c r="L118" s="86">
        <v>7.5949201579999999</v>
      </c>
      <c r="M118" s="402">
        <v>27.03</v>
      </c>
      <c r="N118" s="402">
        <v>2.19</v>
      </c>
      <c r="O118" s="407">
        <f t="shared" si="15"/>
        <v>55.997911579259259</v>
      </c>
      <c r="P118" s="399"/>
      <c r="Q118" s="121"/>
    </row>
    <row r="119" spans="1:17" s="5" customFormat="1" ht="15.75" customHeight="1" x14ac:dyDescent="0.25">
      <c r="A119" s="2">
        <v>115</v>
      </c>
      <c r="B119" s="14" t="s">
        <v>23</v>
      </c>
      <c r="C119" s="16" t="s">
        <v>26</v>
      </c>
      <c r="D119" s="400" t="s">
        <v>221</v>
      </c>
      <c r="E119" s="422">
        <f t="shared" si="12"/>
        <v>41.700946341950839</v>
      </c>
      <c r="F119" s="402">
        <v>12.965376539999999</v>
      </c>
      <c r="G119" s="407">
        <f t="shared" si="13"/>
        <v>49.783603374999998</v>
      </c>
      <c r="H119" s="403">
        <v>406.08993532162117</v>
      </c>
      <c r="I119" s="423">
        <v>9.6153846153846159E-3</v>
      </c>
      <c r="J119" s="407">
        <f t="shared" si="14"/>
        <v>24.523559074761366</v>
      </c>
      <c r="K119" s="402">
        <v>98.75</v>
      </c>
      <c r="L119" s="86">
        <v>9.6783853729999993</v>
      </c>
      <c r="M119" s="402">
        <v>18.22</v>
      </c>
      <c r="N119" s="402">
        <v>0.42</v>
      </c>
      <c r="O119" s="407">
        <f t="shared" si="15"/>
        <v>55.558919623703702</v>
      </c>
      <c r="P119" s="399"/>
      <c r="Q119" s="121"/>
    </row>
    <row r="120" spans="1:17" s="5" customFormat="1" ht="15.75" customHeight="1" x14ac:dyDescent="0.25">
      <c r="A120" s="2">
        <v>116</v>
      </c>
      <c r="B120" s="14" t="s">
        <v>23</v>
      </c>
      <c r="C120" s="16" t="s">
        <v>26</v>
      </c>
      <c r="D120" s="400" t="s">
        <v>166</v>
      </c>
      <c r="E120" s="422">
        <f t="shared" si="12"/>
        <v>41.656586853240739</v>
      </c>
      <c r="F120" s="402">
        <v>13.311609799999999</v>
      </c>
      <c r="G120" s="407">
        <f t="shared" si="13"/>
        <v>51.947561249999993</v>
      </c>
      <c r="H120" s="402">
        <v>376.86470000000003</v>
      </c>
      <c r="I120" s="423">
        <v>0</v>
      </c>
      <c r="J120" s="407">
        <f t="shared" si="14"/>
        <v>17.081044444444451</v>
      </c>
      <c r="K120" s="402">
        <v>99.2</v>
      </c>
      <c r="L120" s="86">
        <v>10.833750950000001</v>
      </c>
      <c r="M120" s="402">
        <v>14.29</v>
      </c>
      <c r="N120" s="402">
        <v>1.89</v>
      </c>
      <c r="O120" s="407">
        <f t="shared" si="15"/>
        <v>62.392225037037036</v>
      </c>
      <c r="P120" s="399"/>
      <c r="Q120" s="121"/>
    </row>
    <row r="121" spans="1:17" s="5" customFormat="1" ht="15.75" customHeight="1" x14ac:dyDescent="0.25">
      <c r="A121" s="2">
        <v>117</v>
      </c>
      <c r="B121" s="3" t="s">
        <v>10</v>
      </c>
      <c r="C121" s="22" t="s">
        <v>49</v>
      </c>
      <c r="D121" s="400" t="s">
        <v>106</v>
      </c>
      <c r="E121" s="422">
        <f t="shared" si="12"/>
        <v>41.340057433485214</v>
      </c>
      <c r="F121" s="402">
        <v>13.33577728</v>
      </c>
      <c r="G121" s="407">
        <f t="shared" si="13"/>
        <v>52.098607999999999</v>
      </c>
      <c r="H121" s="402">
        <v>394.9151</v>
      </c>
      <c r="I121" s="423">
        <v>5.7532985578398286E-3</v>
      </c>
      <c r="J121" s="407">
        <f t="shared" si="14"/>
        <v>21.660573805935272</v>
      </c>
      <c r="K121" s="402">
        <v>93.79</v>
      </c>
      <c r="L121" s="86">
        <v>8.6972231999999998</v>
      </c>
      <c r="M121" s="402">
        <v>29.24</v>
      </c>
      <c r="N121" s="402">
        <v>1.59</v>
      </c>
      <c r="O121" s="407">
        <f t="shared" si="15"/>
        <v>56.146216888888894</v>
      </c>
      <c r="P121" s="399"/>
      <c r="Q121" s="121"/>
    </row>
    <row r="122" spans="1:17" s="5" customFormat="1" ht="15.75" customHeight="1" x14ac:dyDescent="0.25">
      <c r="A122" s="2">
        <v>118</v>
      </c>
      <c r="B122" s="14" t="s">
        <v>23</v>
      </c>
      <c r="C122" s="15" t="s">
        <v>24</v>
      </c>
      <c r="D122" s="400" t="s">
        <v>195</v>
      </c>
      <c r="E122" s="422">
        <f t="shared" si="12"/>
        <v>40.609144199398145</v>
      </c>
      <c r="F122" s="402">
        <v>12.73040962</v>
      </c>
      <c r="G122" s="407">
        <f t="shared" si="13"/>
        <v>48.315060124999995</v>
      </c>
      <c r="H122" s="402">
        <v>417.76065</v>
      </c>
      <c r="I122" s="423">
        <v>0</v>
      </c>
      <c r="J122" s="407">
        <f t="shared" si="14"/>
        <v>26.169033333333331</v>
      </c>
      <c r="K122" s="402">
        <v>99.98</v>
      </c>
      <c r="L122" s="86">
        <v>8.6141670549999994</v>
      </c>
      <c r="M122" s="402">
        <v>3.17</v>
      </c>
      <c r="N122" s="403">
        <v>1.1399999999999999</v>
      </c>
      <c r="O122" s="407">
        <f t="shared" si="15"/>
        <v>51.607902385185177</v>
      </c>
      <c r="P122" s="399"/>
      <c r="Q122" s="121"/>
    </row>
    <row r="123" spans="1:17" s="5" customFormat="1" ht="15.75" customHeight="1" x14ac:dyDescent="0.25">
      <c r="A123" s="2">
        <v>119</v>
      </c>
      <c r="B123" s="14" t="s">
        <v>23</v>
      </c>
      <c r="C123" s="16" t="s">
        <v>26</v>
      </c>
      <c r="D123" s="400" t="s">
        <v>168</v>
      </c>
      <c r="E123" s="422">
        <f t="shared" si="12"/>
        <v>40.476869964317359</v>
      </c>
      <c r="F123" s="402">
        <v>13.98706964</v>
      </c>
      <c r="G123" s="407">
        <f t="shared" si="13"/>
        <v>56.169185249999998</v>
      </c>
      <c r="H123" s="402">
        <v>385.54428000000001</v>
      </c>
      <c r="I123" s="423">
        <v>5.1020408163265302E-3</v>
      </c>
      <c r="J123" s="407">
        <f t="shared" si="14"/>
        <v>19.513999427691537</v>
      </c>
      <c r="K123" s="402">
        <v>98.62</v>
      </c>
      <c r="L123" s="86">
        <v>8.9306533849999994</v>
      </c>
      <c r="M123" s="403">
        <v>17.45</v>
      </c>
      <c r="N123" s="402">
        <v>0.46</v>
      </c>
      <c r="O123" s="407">
        <f t="shared" si="15"/>
        <v>53.225639659259258</v>
      </c>
      <c r="P123" s="399"/>
      <c r="Q123" s="121"/>
    </row>
    <row r="124" spans="1:17" s="5" customFormat="1" ht="15.75" customHeight="1" x14ac:dyDescent="0.25">
      <c r="A124" s="2">
        <v>120</v>
      </c>
      <c r="B124" s="8" t="s">
        <v>16</v>
      </c>
      <c r="C124" s="9" t="s">
        <v>17</v>
      </c>
      <c r="D124" s="400" t="s">
        <v>130</v>
      </c>
      <c r="E124" s="422">
        <f t="shared" si="12"/>
        <v>40.471766212607783</v>
      </c>
      <c r="F124" s="402">
        <v>12.92465677</v>
      </c>
      <c r="G124" s="407">
        <f t="shared" si="13"/>
        <v>49.529104812500002</v>
      </c>
      <c r="H124" s="403">
        <v>388.26197925668134</v>
      </c>
      <c r="I124" s="423">
        <v>0</v>
      </c>
      <c r="J124" s="407">
        <f t="shared" si="14"/>
        <v>19.613773168151408</v>
      </c>
      <c r="K124" s="429">
        <v>99.954999999999998</v>
      </c>
      <c r="L124" s="86">
        <v>7.77860643</v>
      </c>
      <c r="M124" s="403">
        <v>33.03</v>
      </c>
      <c r="N124" s="402">
        <v>1.89</v>
      </c>
      <c r="O124" s="407">
        <f t="shared" si="15"/>
        <v>57.839944977777776</v>
      </c>
      <c r="P124" s="399"/>
      <c r="Q124" s="121"/>
    </row>
    <row r="125" spans="1:17" s="5" customFormat="1" ht="15.75" customHeight="1" x14ac:dyDescent="0.25">
      <c r="A125" s="2">
        <v>121</v>
      </c>
      <c r="B125" s="14" t="s">
        <v>23</v>
      </c>
      <c r="C125" s="15" t="s">
        <v>24</v>
      </c>
      <c r="D125" s="400" t="s">
        <v>112</v>
      </c>
      <c r="E125" s="422">
        <f t="shared" si="12"/>
        <v>40.404862766296731</v>
      </c>
      <c r="F125" s="402">
        <v>12.383395500000001</v>
      </c>
      <c r="G125" s="407">
        <f t="shared" si="13"/>
        <v>46.146221875000002</v>
      </c>
      <c r="H125" s="402">
        <v>387.13299999999998</v>
      </c>
      <c r="I125" s="423">
        <v>0.01</v>
      </c>
      <c r="J125" s="407">
        <f t="shared" si="14"/>
        <v>20.348639447200156</v>
      </c>
      <c r="K125" s="402">
        <v>93.57</v>
      </c>
      <c r="L125" s="86">
        <v>9.9599103929999995</v>
      </c>
      <c r="M125" s="403">
        <v>17.45</v>
      </c>
      <c r="N125" s="402">
        <v>2.33</v>
      </c>
      <c r="O125" s="407">
        <f t="shared" si="15"/>
        <v>59.225290053333325</v>
      </c>
      <c r="P125" s="399"/>
      <c r="Q125" s="121"/>
    </row>
    <row r="126" spans="1:17" s="5" customFormat="1" ht="15.75" customHeight="1" x14ac:dyDescent="0.25">
      <c r="A126" s="2">
        <v>122</v>
      </c>
      <c r="B126" s="3" t="s">
        <v>10</v>
      </c>
      <c r="C126" s="4" t="s">
        <v>11</v>
      </c>
      <c r="D126" s="400" t="s">
        <v>138</v>
      </c>
      <c r="E126" s="422">
        <f t="shared" si="12"/>
        <v>39.875531011035747</v>
      </c>
      <c r="F126" s="402">
        <v>12.76840687</v>
      </c>
      <c r="G126" s="407">
        <f t="shared" si="13"/>
        <v>48.5525429375</v>
      </c>
      <c r="H126" s="403">
        <v>386.68072175910004</v>
      </c>
      <c r="I126" s="423">
        <v>0</v>
      </c>
      <c r="J126" s="407">
        <f t="shared" si="14"/>
        <v>19.26238261313334</v>
      </c>
      <c r="K126" s="402">
        <v>98.74</v>
      </c>
      <c r="L126" s="86">
        <v>7.4103728660000003</v>
      </c>
      <c r="M126" s="403">
        <v>33.15</v>
      </c>
      <c r="N126" s="402">
        <v>2.25</v>
      </c>
      <c r="O126" s="407">
        <f t="shared" si="15"/>
        <v>57.235549232592604</v>
      </c>
      <c r="P126" s="399"/>
      <c r="Q126" s="121"/>
    </row>
    <row r="127" spans="1:17" s="5" customFormat="1" ht="15.75" customHeight="1" x14ac:dyDescent="0.25">
      <c r="A127" s="2">
        <v>123</v>
      </c>
      <c r="B127" s="17" t="s">
        <v>29</v>
      </c>
      <c r="C127" s="26" t="s">
        <v>118</v>
      </c>
      <c r="D127" s="400" t="s">
        <v>177</v>
      </c>
      <c r="E127" s="422">
        <f t="shared" si="12"/>
        <v>39.59691207703704</v>
      </c>
      <c r="F127" s="402">
        <v>12.436400000000001</v>
      </c>
      <c r="G127" s="407">
        <f t="shared" si="13"/>
        <v>46.477500000000006</v>
      </c>
      <c r="H127" s="402">
        <v>369.90789999999998</v>
      </c>
      <c r="I127" s="423">
        <v>0</v>
      </c>
      <c r="J127" s="407">
        <f t="shared" si="14"/>
        <v>15.535088888888886</v>
      </c>
      <c r="K127" s="402">
        <v>99.02</v>
      </c>
      <c r="L127" s="86">
        <v>11.332983609999999</v>
      </c>
      <c r="M127" s="402">
        <v>3.67</v>
      </c>
      <c r="N127" s="403">
        <v>2.16</v>
      </c>
      <c r="O127" s="407">
        <f t="shared" si="15"/>
        <v>62.181432918518517</v>
      </c>
      <c r="P127" s="399"/>
      <c r="Q127" s="121"/>
    </row>
    <row r="128" spans="1:17" s="5" customFormat="1" ht="15.75" customHeight="1" x14ac:dyDescent="0.25">
      <c r="A128" s="2">
        <v>124</v>
      </c>
      <c r="B128" s="3" t="s">
        <v>10</v>
      </c>
      <c r="C128" s="4" t="s">
        <v>11</v>
      </c>
      <c r="D128" s="400" t="s">
        <v>105</v>
      </c>
      <c r="E128" s="422">
        <f t="shared" si="12"/>
        <v>39.303398901145087</v>
      </c>
      <c r="F128" s="402">
        <v>12.954540250000001</v>
      </c>
      <c r="G128" s="407">
        <f t="shared" si="13"/>
        <v>49.715876562500007</v>
      </c>
      <c r="H128" s="402">
        <v>399</v>
      </c>
      <c r="I128" s="423">
        <v>1.0342249543113474E-2</v>
      </c>
      <c r="J128" s="407">
        <f t="shared" si="14"/>
        <v>23.019314846485397</v>
      </c>
      <c r="K128" s="402">
        <v>97.34</v>
      </c>
      <c r="L128" s="86">
        <v>6.8800001140000004</v>
      </c>
      <c r="M128" s="402">
        <v>28.48</v>
      </c>
      <c r="N128" s="402">
        <v>0.98</v>
      </c>
      <c r="O128" s="407">
        <f t="shared" si="15"/>
        <v>50.476296634074075</v>
      </c>
      <c r="P128" s="399"/>
      <c r="Q128" s="121"/>
    </row>
    <row r="129" spans="1:17" s="5" customFormat="1" ht="15.75" customHeight="1" x14ac:dyDescent="0.25">
      <c r="A129" s="2">
        <v>125</v>
      </c>
      <c r="B129" s="8" t="s">
        <v>16</v>
      </c>
      <c r="C129" s="11" t="s">
        <v>21</v>
      </c>
      <c r="D129" s="400" t="s">
        <v>47</v>
      </c>
      <c r="E129" s="422">
        <f t="shared" si="12"/>
        <v>39.116330085271471</v>
      </c>
      <c r="F129" s="402">
        <v>11.425680160000001</v>
      </c>
      <c r="G129" s="407">
        <f t="shared" si="13"/>
        <v>40.160501000000004</v>
      </c>
      <c r="H129" s="402">
        <v>391.31830000000002</v>
      </c>
      <c r="I129" s="423">
        <v>1.6666666666666666E-2</v>
      </c>
      <c r="J129" s="407">
        <f t="shared" si="14"/>
        <v>21.930465791882384</v>
      </c>
      <c r="K129" s="402">
        <v>93.96</v>
      </c>
      <c r="L129" s="86">
        <v>10.478</v>
      </c>
      <c r="M129" s="402">
        <v>6.8</v>
      </c>
      <c r="N129" s="402">
        <v>2.13</v>
      </c>
      <c r="O129" s="407">
        <f t="shared" si="15"/>
        <v>58.011481481481482</v>
      </c>
      <c r="P129" s="399"/>
      <c r="Q129" s="121"/>
    </row>
    <row r="130" spans="1:17" s="5" customFormat="1" ht="15.75" customHeight="1" x14ac:dyDescent="0.25">
      <c r="A130" s="2">
        <v>126</v>
      </c>
      <c r="B130" s="8" t="s">
        <v>16</v>
      </c>
      <c r="C130" s="9" t="s">
        <v>17</v>
      </c>
      <c r="D130" s="400" t="s">
        <v>149</v>
      </c>
      <c r="E130" s="422">
        <f t="shared" si="12"/>
        <v>39.040104425217216</v>
      </c>
      <c r="F130" s="402">
        <v>15.074990270000001</v>
      </c>
      <c r="G130" s="407">
        <f t="shared" si="13"/>
        <v>62.968689187500004</v>
      </c>
      <c r="H130" s="402">
        <v>380.40519999999998</v>
      </c>
      <c r="I130" s="423">
        <v>8.2938388625592423E-3</v>
      </c>
      <c r="J130" s="407">
        <f t="shared" si="14"/>
        <v>18.686080320855524</v>
      </c>
      <c r="K130" s="402">
        <v>89.12</v>
      </c>
      <c r="L130" s="86">
        <v>6.1980000000000004</v>
      </c>
      <c r="M130" s="402">
        <v>21.44</v>
      </c>
      <c r="N130" s="402">
        <v>1.69</v>
      </c>
      <c r="O130" s="407">
        <f t="shared" si="15"/>
        <v>45.21</v>
      </c>
      <c r="P130" s="399"/>
      <c r="Q130" s="121"/>
    </row>
    <row r="131" spans="1:17" s="5" customFormat="1" ht="15.75" customHeight="1" x14ac:dyDescent="0.25">
      <c r="A131" s="2">
        <v>127</v>
      </c>
      <c r="B131" s="8" t="s">
        <v>16</v>
      </c>
      <c r="C131" s="21" t="s">
        <v>42</v>
      </c>
      <c r="D131" s="400" t="s">
        <v>80</v>
      </c>
      <c r="E131" s="422">
        <f t="shared" si="12"/>
        <v>38.729142656383658</v>
      </c>
      <c r="F131" s="402">
        <v>12.49119511</v>
      </c>
      <c r="G131" s="407">
        <f t="shared" si="13"/>
        <v>46.819969437499999</v>
      </c>
      <c r="H131" s="403">
        <v>389.61808401134738</v>
      </c>
      <c r="I131" s="423">
        <v>0</v>
      </c>
      <c r="J131" s="407">
        <f t="shared" si="14"/>
        <v>19.915129780299416</v>
      </c>
      <c r="K131" s="402">
        <v>97.13</v>
      </c>
      <c r="L131" s="86">
        <v>8.2813270140000004</v>
      </c>
      <c r="M131" s="403">
        <v>12.73</v>
      </c>
      <c r="N131" s="402">
        <v>2.21</v>
      </c>
      <c r="O131" s="407">
        <f t="shared" si="15"/>
        <v>54.451709671111104</v>
      </c>
      <c r="P131" s="399"/>
      <c r="Q131" s="121"/>
    </row>
    <row r="132" spans="1:17" s="5" customFormat="1" ht="15.75" customHeight="1" x14ac:dyDescent="0.25">
      <c r="A132" s="2">
        <v>128</v>
      </c>
      <c r="B132" s="3" t="s">
        <v>10</v>
      </c>
      <c r="C132" s="25" t="s">
        <v>115</v>
      </c>
      <c r="D132" s="400" t="s">
        <v>203</v>
      </c>
      <c r="E132" s="422">
        <f t="shared" si="12"/>
        <v>38.452264682291663</v>
      </c>
      <c r="F132" s="402">
        <v>10.84980801</v>
      </c>
      <c r="G132" s="407">
        <f t="shared" si="13"/>
        <v>36.561300062500003</v>
      </c>
      <c r="H132" s="402">
        <v>390.56554999999997</v>
      </c>
      <c r="I132" s="423">
        <v>0</v>
      </c>
      <c r="J132" s="407">
        <f t="shared" si="14"/>
        <v>20.125677777777771</v>
      </c>
      <c r="K132" s="402">
        <v>98.81</v>
      </c>
      <c r="L132" s="86">
        <v>11.27094825</v>
      </c>
      <c r="M132" s="402">
        <v>10.84</v>
      </c>
      <c r="N132" s="402">
        <v>1.17</v>
      </c>
      <c r="O132" s="407">
        <f t="shared" si="15"/>
        <v>60.74762444444444</v>
      </c>
      <c r="P132" s="399"/>
      <c r="Q132" s="121"/>
    </row>
    <row r="133" spans="1:17" s="5" customFormat="1" ht="15.75" customHeight="1" x14ac:dyDescent="0.25">
      <c r="A133" s="2">
        <v>129</v>
      </c>
      <c r="B133" s="14" t="s">
        <v>23</v>
      </c>
      <c r="C133" s="16" t="s">
        <v>26</v>
      </c>
      <c r="D133" s="400" t="s">
        <v>76</v>
      </c>
      <c r="E133" s="422">
        <f t="shared" ref="E133:E164" si="16">(G133*25+J133*40+O133*35)/100</f>
        <v>38.372896351708334</v>
      </c>
      <c r="F133" s="402">
        <v>13.61692047</v>
      </c>
      <c r="G133" s="407">
        <f t="shared" ref="G133:G164" si="17">((MIN(F133,21)-5)/(21-5))*100</f>
        <v>53.8557529375</v>
      </c>
      <c r="H133" s="402">
        <v>345.21652</v>
      </c>
      <c r="I133" s="423">
        <v>0</v>
      </c>
      <c r="J133" s="407">
        <f t="shared" ref="J133:J164" si="18">(((H133-300)/(600-300))*100*2+(LN(MIN(I133,0.4)+1)/LN(1.4))*100*1)/3</f>
        <v>10.048115555555556</v>
      </c>
      <c r="K133" s="402">
        <v>98.21</v>
      </c>
      <c r="L133" s="86">
        <v>9.4445257560000009</v>
      </c>
      <c r="M133" s="402">
        <v>31.36</v>
      </c>
      <c r="N133" s="402">
        <v>1.19</v>
      </c>
      <c r="O133" s="407">
        <f t="shared" ref="O133:O164" si="19">(((MAX(K133,50)-50)/(100-50))*100+(L133/15)*100*2+MIN(M133,100)+(N133/4)*100*0.5)/4.5</f>
        <v>59.684891128888886</v>
      </c>
      <c r="P133" s="399"/>
      <c r="Q133" s="121"/>
    </row>
    <row r="134" spans="1:17" s="5" customFormat="1" ht="15.75" customHeight="1" x14ac:dyDescent="0.25">
      <c r="A134" s="2">
        <v>130</v>
      </c>
      <c r="B134" s="3" t="s">
        <v>10</v>
      </c>
      <c r="C134" s="4" t="s">
        <v>11</v>
      </c>
      <c r="D134" s="400" t="s">
        <v>44</v>
      </c>
      <c r="E134" s="422">
        <f t="shared" si="16"/>
        <v>38.335040996703704</v>
      </c>
      <c r="F134" s="402">
        <v>13.152741839999999</v>
      </c>
      <c r="G134" s="407">
        <f t="shared" si="17"/>
        <v>50.954636499999992</v>
      </c>
      <c r="H134" s="402">
        <v>386.73939999999999</v>
      </c>
      <c r="I134" s="423">
        <v>0</v>
      </c>
      <c r="J134" s="407">
        <f t="shared" si="18"/>
        <v>19.275422222222222</v>
      </c>
      <c r="K134" s="402">
        <v>97.73</v>
      </c>
      <c r="L134" s="86">
        <v>5.8357946619999996</v>
      </c>
      <c r="M134" s="403">
        <v>11.32</v>
      </c>
      <c r="N134" s="402">
        <v>3.63</v>
      </c>
      <c r="O134" s="407">
        <f t="shared" si="19"/>
        <v>51.103465665185183</v>
      </c>
      <c r="P134" s="399"/>
      <c r="Q134" s="121"/>
    </row>
    <row r="135" spans="1:17" ht="15.75" customHeight="1" x14ac:dyDescent="0.25">
      <c r="A135" s="2">
        <v>131</v>
      </c>
      <c r="B135" s="3" t="s">
        <v>10</v>
      </c>
      <c r="C135" s="22" t="s">
        <v>49</v>
      </c>
      <c r="D135" s="400" t="s">
        <v>170</v>
      </c>
      <c r="E135" s="422">
        <f t="shared" si="16"/>
        <v>38.274249027443965</v>
      </c>
      <c r="F135" s="402">
        <v>12.81904666</v>
      </c>
      <c r="G135" s="407">
        <f t="shared" si="17"/>
        <v>48.869041625000001</v>
      </c>
      <c r="H135" s="402">
        <v>361.64600000000002</v>
      </c>
      <c r="I135" s="423">
        <v>3.8071065989847717E-3</v>
      </c>
      <c r="J135" s="407">
        <f t="shared" si="18"/>
        <v>14.075554048170098</v>
      </c>
      <c r="K135" s="402">
        <v>99.77</v>
      </c>
      <c r="L135" s="86">
        <v>9.9772396089999997</v>
      </c>
      <c r="M135" s="402">
        <v>18.559999999999999</v>
      </c>
      <c r="N135" s="402">
        <v>0.92</v>
      </c>
      <c r="O135" s="407">
        <f t="shared" si="19"/>
        <v>58.36219143407407</v>
      </c>
      <c r="P135" s="399"/>
    </row>
    <row r="136" spans="1:17" ht="15.75" customHeight="1" x14ac:dyDescent="0.25">
      <c r="A136" s="2">
        <v>132</v>
      </c>
      <c r="B136" s="14" t="s">
        <v>23</v>
      </c>
      <c r="C136" s="16" t="s">
        <v>26</v>
      </c>
      <c r="D136" s="400" t="s">
        <v>79</v>
      </c>
      <c r="E136" s="422">
        <f t="shared" si="16"/>
        <v>38.14631597643055</v>
      </c>
      <c r="F136" s="402">
        <v>11.11291027</v>
      </c>
      <c r="G136" s="407">
        <f t="shared" si="17"/>
        <v>38.205689187499999</v>
      </c>
      <c r="H136" s="402">
        <v>435.92275999999998</v>
      </c>
      <c r="I136" s="423">
        <v>0</v>
      </c>
      <c r="J136" s="407">
        <f t="shared" si="18"/>
        <v>30.205057777777771</v>
      </c>
      <c r="K136" s="402">
        <v>98.24</v>
      </c>
      <c r="L136" s="86">
        <v>7.3000001909999996</v>
      </c>
      <c r="M136" s="402">
        <v>13.12</v>
      </c>
      <c r="N136" s="402">
        <v>0.43</v>
      </c>
      <c r="O136" s="407">
        <f t="shared" si="19"/>
        <v>47.179630195555553</v>
      </c>
      <c r="P136" s="399"/>
    </row>
    <row r="137" spans="1:17" ht="15.75" customHeight="1" x14ac:dyDescent="0.25">
      <c r="A137" s="2">
        <v>133</v>
      </c>
      <c r="B137" s="17" t="s">
        <v>29</v>
      </c>
      <c r="C137" s="26" t="s">
        <v>118</v>
      </c>
      <c r="D137" s="400" t="s">
        <v>119</v>
      </c>
      <c r="E137" s="422">
        <f t="shared" si="16"/>
        <v>37.846444946555557</v>
      </c>
      <c r="F137" s="402">
        <v>11.87390648</v>
      </c>
      <c r="G137" s="407">
        <f t="shared" si="17"/>
        <v>42.961915500000003</v>
      </c>
      <c r="H137" s="402">
        <v>411.48450000000003</v>
      </c>
      <c r="I137" s="423">
        <v>0</v>
      </c>
      <c r="J137" s="407">
        <f t="shared" si="18"/>
        <v>24.774333333333342</v>
      </c>
      <c r="K137" s="402">
        <v>90.44</v>
      </c>
      <c r="L137" s="86">
        <v>9.1285815689999996</v>
      </c>
      <c r="M137" s="403">
        <v>3.5</v>
      </c>
      <c r="N137" s="403">
        <v>1.2</v>
      </c>
      <c r="O137" s="407">
        <f t="shared" si="19"/>
        <v>49.132093537777777</v>
      </c>
      <c r="P137" s="399"/>
    </row>
    <row r="138" spans="1:17" ht="15.75" customHeight="1" x14ac:dyDescent="0.25">
      <c r="A138" s="2">
        <v>134</v>
      </c>
      <c r="B138" s="8" t="s">
        <v>16</v>
      </c>
      <c r="C138" s="11" t="s">
        <v>21</v>
      </c>
      <c r="D138" s="400" t="s">
        <v>152</v>
      </c>
      <c r="E138" s="422">
        <f t="shared" si="16"/>
        <v>37.798818788003501</v>
      </c>
      <c r="F138" s="402">
        <v>11.78505588</v>
      </c>
      <c r="G138" s="407">
        <f t="shared" si="17"/>
        <v>42.406599249999999</v>
      </c>
      <c r="H138" s="402">
        <v>406.66187000000002</v>
      </c>
      <c r="I138" s="423">
        <v>4.1666666666666664E-2</v>
      </c>
      <c r="J138" s="407">
        <f t="shared" si="18"/>
        <v>27.746754951721716</v>
      </c>
      <c r="K138" s="402">
        <v>92.13</v>
      </c>
      <c r="L138" s="86">
        <v>7.273146745</v>
      </c>
      <c r="M138" s="402">
        <v>14.37</v>
      </c>
      <c r="N138" s="402">
        <v>0.91</v>
      </c>
      <c r="O138" s="407">
        <f t="shared" si="19"/>
        <v>45.995619985185186</v>
      </c>
      <c r="P138" s="399"/>
    </row>
    <row r="139" spans="1:17" s="28" customFormat="1" ht="15.75" customHeight="1" x14ac:dyDescent="0.25">
      <c r="A139" s="2">
        <v>135</v>
      </c>
      <c r="B139" s="14" t="s">
        <v>23</v>
      </c>
      <c r="C139" s="15" t="s">
        <v>24</v>
      </c>
      <c r="D139" s="400" t="s">
        <v>41</v>
      </c>
      <c r="E139" s="422">
        <f t="shared" si="16"/>
        <v>37.798042524081524</v>
      </c>
      <c r="F139" s="402">
        <v>11.98379993</v>
      </c>
      <c r="G139" s="407">
        <f t="shared" si="17"/>
        <v>43.648749562500001</v>
      </c>
      <c r="H139" s="403">
        <v>400.98790357305251</v>
      </c>
      <c r="I139" s="423">
        <v>0</v>
      </c>
      <c r="J139" s="407">
        <f t="shared" si="18"/>
        <v>22.441756349567225</v>
      </c>
      <c r="K139" s="402">
        <v>96.15</v>
      </c>
      <c r="L139" s="86">
        <v>8.7622900010000002</v>
      </c>
      <c r="M139" s="402">
        <v>6.88</v>
      </c>
      <c r="N139" s="403">
        <v>1.1399999999999999</v>
      </c>
      <c r="O139" s="407">
        <f t="shared" si="19"/>
        <v>51.169007410370369</v>
      </c>
      <c r="P139" s="399"/>
      <c r="Q139" s="358"/>
    </row>
    <row r="140" spans="1:17" ht="15.75" customHeight="1" x14ac:dyDescent="0.25">
      <c r="A140" s="2">
        <v>136</v>
      </c>
      <c r="B140" s="8" t="s">
        <v>16</v>
      </c>
      <c r="C140" s="11" t="s">
        <v>21</v>
      </c>
      <c r="D140" s="400" t="s">
        <v>225</v>
      </c>
      <c r="E140" s="422">
        <f t="shared" si="16"/>
        <v>37.424401413877057</v>
      </c>
      <c r="F140" s="402">
        <v>11.05745312</v>
      </c>
      <c r="G140" s="407">
        <f t="shared" si="17"/>
        <v>37.859082000000001</v>
      </c>
      <c r="H140" s="402">
        <v>396.13882000000001</v>
      </c>
      <c r="I140" s="423">
        <v>1.3157894736842105E-2</v>
      </c>
      <c r="J140" s="407">
        <f t="shared" si="18"/>
        <v>22.659195613581542</v>
      </c>
      <c r="K140" s="402">
        <v>92.51</v>
      </c>
      <c r="L140" s="86">
        <v>8.9308472160000001</v>
      </c>
      <c r="M140" s="402">
        <v>1.35</v>
      </c>
      <c r="N140" s="402">
        <v>3</v>
      </c>
      <c r="O140" s="407">
        <f t="shared" si="19"/>
        <v>53.988436195555558</v>
      </c>
      <c r="P140" s="399"/>
    </row>
    <row r="141" spans="1:17" ht="15.75" customHeight="1" x14ac:dyDescent="0.25">
      <c r="A141" s="2">
        <v>137</v>
      </c>
      <c r="B141" s="14" t="s">
        <v>23</v>
      </c>
      <c r="C141" s="16" t="s">
        <v>26</v>
      </c>
      <c r="D141" s="400" t="s">
        <v>157</v>
      </c>
      <c r="E141" s="422">
        <f t="shared" si="16"/>
        <v>37.386445110125003</v>
      </c>
      <c r="F141" s="402">
        <v>11.51021957</v>
      </c>
      <c r="G141" s="407">
        <f t="shared" si="17"/>
        <v>40.688872312500003</v>
      </c>
      <c r="H141" s="402">
        <v>391.99045000000001</v>
      </c>
      <c r="I141" s="423">
        <v>0</v>
      </c>
      <c r="J141" s="407">
        <f t="shared" si="18"/>
        <v>20.442322222222224</v>
      </c>
      <c r="K141" s="402">
        <v>95.3</v>
      </c>
      <c r="L141" s="86">
        <v>9.9330196379999993</v>
      </c>
      <c r="M141" s="402">
        <v>3.1</v>
      </c>
      <c r="N141" s="402">
        <v>1.49</v>
      </c>
      <c r="O141" s="407">
        <f t="shared" si="19"/>
        <v>54.392280408888887</v>
      </c>
      <c r="P141" s="399"/>
    </row>
    <row r="142" spans="1:17" s="28" customFormat="1" ht="15.75" customHeight="1" x14ac:dyDescent="0.25">
      <c r="A142" s="2">
        <v>138</v>
      </c>
      <c r="B142" s="17" t="s">
        <v>29</v>
      </c>
      <c r="C142" s="26" t="s">
        <v>118</v>
      </c>
      <c r="D142" s="400" t="s">
        <v>212</v>
      </c>
      <c r="E142" s="422">
        <f t="shared" si="16"/>
        <v>36.99084153208333</v>
      </c>
      <c r="F142" s="402">
        <v>12.37506862</v>
      </c>
      <c r="G142" s="407">
        <f t="shared" si="17"/>
        <v>46.094178875000004</v>
      </c>
      <c r="H142" s="402">
        <v>346.49795999999998</v>
      </c>
      <c r="I142" s="423">
        <v>0</v>
      </c>
      <c r="J142" s="407">
        <f t="shared" si="18"/>
        <v>10.332879999999994</v>
      </c>
      <c r="K142" s="402">
        <v>100</v>
      </c>
      <c r="L142" s="86">
        <v>10.76746107</v>
      </c>
      <c r="M142" s="403">
        <v>3.73</v>
      </c>
      <c r="N142" s="403">
        <v>2.16</v>
      </c>
      <c r="O142" s="407">
        <f t="shared" si="19"/>
        <v>60.954699466666661</v>
      </c>
      <c r="P142" s="399"/>
      <c r="Q142" s="358"/>
    </row>
    <row r="143" spans="1:17" s="28" customFormat="1" ht="15.75" customHeight="1" x14ac:dyDescent="0.25">
      <c r="A143" s="2">
        <v>139</v>
      </c>
      <c r="B143" s="3" t="s">
        <v>10</v>
      </c>
      <c r="C143" s="22" t="s">
        <v>49</v>
      </c>
      <c r="D143" s="400" t="s">
        <v>55</v>
      </c>
      <c r="E143" s="422">
        <f t="shared" si="16"/>
        <v>36.851034123319444</v>
      </c>
      <c r="F143" s="402">
        <v>11.197892189999999</v>
      </c>
      <c r="G143" s="407">
        <f t="shared" si="17"/>
        <v>38.736826187499993</v>
      </c>
      <c r="H143" s="402">
        <v>451.88959999999997</v>
      </c>
      <c r="I143" s="423">
        <v>0</v>
      </c>
      <c r="J143" s="407">
        <f t="shared" si="18"/>
        <v>33.753244444444441</v>
      </c>
      <c r="K143" s="402">
        <v>96.57</v>
      </c>
      <c r="L143" s="86">
        <v>5.197100163</v>
      </c>
      <c r="M143" s="402">
        <v>4.8899999999999997</v>
      </c>
      <c r="N143" s="402">
        <v>0.67</v>
      </c>
      <c r="O143" s="407">
        <f t="shared" si="19"/>
        <v>39.044370853333326</v>
      </c>
      <c r="P143" s="399"/>
      <c r="Q143" s="358"/>
    </row>
    <row r="144" spans="1:17" ht="15.75" customHeight="1" x14ac:dyDescent="0.25">
      <c r="A144" s="2">
        <v>140</v>
      </c>
      <c r="B144" s="3" t="s">
        <v>10</v>
      </c>
      <c r="C144" s="22" t="s">
        <v>49</v>
      </c>
      <c r="D144" s="400" t="s">
        <v>151</v>
      </c>
      <c r="E144" s="422">
        <f t="shared" si="16"/>
        <v>36.837843260004632</v>
      </c>
      <c r="F144" s="402">
        <v>11.504560469999999</v>
      </c>
      <c r="G144" s="407">
        <f t="shared" si="17"/>
        <v>40.653502937499994</v>
      </c>
      <c r="H144" s="402">
        <v>424.63130000000001</v>
      </c>
      <c r="I144" s="423">
        <v>0</v>
      </c>
      <c r="J144" s="407">
        <f t="shared" si="18"/>
        <v>27.695844444444447</v>
      </c>
      <c r="K144" s="402">
        <v>96.36</v>
      </c>
      <c r="L144" s="86">
        <v>6.3800001140000004</v>
      </c>
      <c r="M144" s="402">
        <v>13.11</v>
      </c>
      <c r="N144" s="402">
        <v>0.77</v>
      </c>
      <c r="O144" s="407">
        <f t="shared" si="19"/>
        <v>44.560370708148149</v>
      </c>
      <c r="P144" s="399"/>
    </row>
    <row r="145" spans="1:17" ht="15.75" customHeight="1" x14ac:dyDescent="0.25">
      <c r="A145" s="2">
        <v>141</v>
      </c>
      <c r="B145" s="14" t="s">
        <v>23</v>
      </c>
      <c r="C145" s="15" t="s">
        <v>24</v>
      </c>
      <c r="D145" s="400" t="s">
        <v>198</v>
      </c>
      <c r="E145" s="422">
        <f t="shared" si="16"/>
        <v>36.453204868240597</v>
      </c>
      <c r="F145" s="402">
        <v>10.95909977</v>
      </c>
      <c r="G145" s="407">
        <f t="shared" si="17"/>
        <v>37.244373562500002</v>
      </c>
      <c r="H145" s="403">
        <v>399.13593399984217</v>
      </c>
      <c r="I145" s="423">
        <v>0</v>
      </c>
      <c r="J145" s="407">
        <f t="shared" si="18"/>
        <v>22.03020755552048</v>
      </c>
      <c r="K145" s="402">
        <v>97.69</v>
      </c>
      <c r="L145" s="86">
        <v>8.4297595820000009</v>
      </c>
      <c r="M145" s="402">
        <v>2.02</v>
      </c>
      <c r="N145" s="402">
        <v>2.0699999999999998</v>
      </c>
      <c r="O145" s="407">
        <f t="shared" si="19"/>
        <v>52.371509872592597</v>
      </c>
      <c r="P145" s="399"/>
    </row>
    <row r="146" spans="1:17" s="28" customFormat="1" ht="15.75" customHeight="1" x14ac:dyDescent="0.25">
      <c r="A146" s="2">
        <v>142</v>
      </c>
      <c r="B146" s="8" t="s">
        <v>16</v>
      </c>
      <c r="C146" s="11" t="s">
        <v>21</v>
      </c>
      <c r="D146" s="400" t="s">
        <v>64</v>
      </c>
      <c r="E146" s="422">
        <f t="shared" si="16"/>
        <v>36.133734527412045</v>
      </c>
      <c r="F146" s="402">
        <v>13.29446063</v>
      </c>
      <c r="G146" s="407">
        <f t="shared" si="17"/>
        <v>51.840378937499999</v>
      </c>
      <c r="H146" s="402">
        <v>392.22552000000002</v>
      </c>
      <c r="I146" s="423">
        <v>0</v>
      </c>
      <c r="J146" s="407">
        <f t="shared" si="18"/>
        <v>20.494560000000003</v>
      </c>
      <c r="K146" s="402">
        <v>90.84</v>
      </c>
      <c r="L146" s="86">
        <v>6.0068402289999998</v>
      </c>
      <c r="M146" s="402">
        <v>5.4</v>
      </c>
      <c r="N146" s="402">
        <v>2.0299999999999998</v>
      </c>
      <c r="O146" s="407">
        <f t="shared" si="19"/>
        <v>42.78804512296297</v>
      </c>
      <c r="P146" s="399"/>
      <c r="Q146" s="358"/>
    </row>
    <row r="147" spans="1:17" ht="15.75" customHeight="1" x14ac:dyDescent="0.25">
      <c r="A147" s="2">
        <v>143</v>
      </c>
      <c r="B147" s="14" t="s">
        <v>23</v>
      </c>
      <c r="C147" s="15" t="s">
        <v>24</v>
      </c>
      <c r="D147" s="400" t="s">
        <v>99</v>
      </c>
      <c r="E147" s="422">
        <f t="shared" si="16"/>
        <v>35.851620293532413</v>
      </c>
      <c r="F147" s="402">
        <v>13.022057650000001</v>
      </c>
      <c r="G147" s="407">
        <f t="shared" si="17"/>
        <v>50.137860312500003</v>
      </c>
      <c r="H147" s="402">
        <v>346.36590000000001</v>
      </c>
      <c r="I147" s="423">
        <v>0</v>
      </c>
      <c r="J147" s="407">
        <f t="shared" si="18"/>
        <v>10.303533333333336</v>
      </c>
      <c r="K147" s="402">
        <v>99.14</v>
      </c>
      <c r="L147" s="86">
        <v>8.7024296719999992</v>
      </c>
      <c r="M147" s="402">
        <v>2.74</v>
      </c>
      <c r="N147" s="402">
        <v>2.38</v>
      </c>
      <c r="O147" s="407">
        <f t="shared" si="19"/>
        <v>54.844976805925931</v>
      </c>
      <c r="P147" s="399"/>
    </row>
    <row r="148" spans="1:17" ht="15.75" customHeight="1" x14ac:dyDescent="0.25">
      <c r="A148" s="2">
        <v>144</v>
      </c>
      <c r="B148" s="17" t="s">
        <v>29</v>
      </c>
      <c r="C148" s="26" t="s">
        <v>118</v>
      </c>
      <c r="D148" s="400" t="s">
        <v>153</v>
      </c>
      <c r="E148" s="422">
        <f t="shared" si="16"/>
        <v>35.72534584976389</v>
      </c>
      <c r="F148" s="402">
        <v>12.84263763</v>
      </c>
      <c r="G148" s="407">
        <f t="shared" si="17"/>
        <v>49.016485187500002</v>
      </c>
      <c r="H148" s="402">
        <v>346.62966999999998</v>
      </c>
      <c r="I148" s="423">
        <v>0</v>
      </c>
      <c r="J148" s="407">
        <f t="shared" si="18"/>
        <v>10.362148888888884</v>
      </c>
      <c r="K148" s="402">
        <v>91.75</v>
      </c>
      <c r="L148" s="86">
        <v>9.4486376760000006</v>
      </c>
      <c r="M148" s="403">
        <v>12</v>
      </c>
      <c r="N148" s="403">
        <v>2.16</v>
      </c>
      <c r="O148" s="407">
        <f t="shared" si="19"/>
        <v>55.218185706666674</v>
      </c>
      <c r="P148" s="399"/>
    </row>
    <row r="149" spans="1:17" ht="15.75" customHeight="1" x14ac:dyDescent="0.25">
      <c r="A149" s="2">
        <v>145</v>
      </c>
      <c r="B149" s="8" t="s">
        <v>16</v>
      </c>
      <c r="C149" s="11" t="s">
        <v>21</v>
      </c>
      <c r="D149" s="400" t="s">
        <v>128</v>
      </c>
      <c r="E149" s="422">
        <f t="shared" si="16"/>
        <v>35.57996117529629</v>
      </c>
      <c r="F149" s="402">
        <v>10.98659352</v>
      </c>
      <c r="G149" s="407">
        <f t="shared" si="17"/>
        <v>37.416209499999994</v>
      </c>
      <c r="H149" s="402">
        <v>392.91199999999998</v>
      </c>
      <c r="I149" s="423">
        <v>0</v>
      </c>
      <c r="J149" s="407">
        <f t="shared" si="18"/>
        <v>20.647111111111105</v>
      </c>
      <c r="K149" s="402">
        <v>96.48</v>
      </c>
      <c r="L149" s="86">
        <v>7.7298834860000003</v>
      </c>
      <c r="M149" s="402">
        <v>3.98</v>
      </c>
      <c r="N149" s="402">
        <v>2.48</v>
      </c>
      <c r="O149" s="407">
        <f t="shared" si="19"/>
        <v>51.334469588148153</v>
      </c>
      <c r="P149" s="399"/>
    </row>
    <row r="150" spans="1:17" ht="15.75" customHeight="1" x14ac:dyDescent="0.25">
      <c r="A150" s="2">
        <v>146</v>
      </c>
      <c r="B150" s="8" t="s">
        <v>16</v>
      </c>
      <c r="C150" s="21" t="s">
        <v>42</v>
      </c>
      <c r="D150" s="400" t="s">
        <v>206</v>
      </c>
      <c r="E150" s="422">
        <f t="shared" si="16"/>
        <v>35.257215235097227</v>
      </c>
      <c r="F150" s="402">
        <v>13.096423870000001</v>
      </c>
      <c r="G150" s="407">
        <f t="shared" si="17"/>
        <v>50.602649187500006</v>
      </c>
      <c r="H150" s="402">
        <v>383.71780000000001</v>
      </c>
      <c r="I150" s="423">
        <v>0</v>
      </c>
      <c r="J150" s="407">
        <f t="shared" si="18"/>
        <v>18.603955555555558</v>
      </c>
      <c r="K150" s="402">
        <v>90.36</v>
      </c>
      <c r="L150" s="86">
        <v>5.8611146190000003</v>
      </c>
      <c r="M150" s="403">
        <v>4.1100000000000003</v>
      </c>
      <c r="N150" s="402">
        <v>2.56</v>
      </c>
      <c r="O150" s="407">
        <f t="shared" si="19"/>
        <v>43.328487760000002</v>
      </c>
      <c r="P150" s="399"/>
    </row>
    <row r="151" spans="1:17" ht="15.75" customHeight="1" x14ac:dyDescent="0.25">
      <c r="A151" s="2">
        <v>147</v>
      </c>
      <c r="B151" s="3" t="s">
        <v>10</v>
      </c>
      <c r="C151" s="22" t="s">
        <v>49</v>
      </c>
      <c r="D151" s="400" t="s">
        <v>205</v>
      </c>
      <c r="E151" s="422">
        <f t="shared" si="16"/>
        <v>34.754716740967595</v>
      </c>
      <c r="F151" s="402">
        <v>13.25306303</v>
      </c>
      <c r="G151" s="407">
        <f t="shared" si="17"/>
        <v>51.581643937499997</v>
      </c>
      <c r="H151" s="402">
        <v>371.44125000000003</v>
      </c>
      <c r="I151" s="423">
        <v>0</v>
      </c>
      <c r="J151" s="407">
        <f t="shared" si="18"/>
        <v>15.87583333333334</v>
      </c>
      <c r="K151" s="402">
        <v>86.13</v>
      </c>
      <c r="L151" s="86">
        <v>6.2265805509999996</v>
      </c>
      <c r="M151" s="402">
        <v>25.12</v>
      </c>
      <c r="N151" s="402">
        <v>1.52</v>
      </c>
      <c r="O151" s="407">
        <f t="shared" si="19"/>
        <v>44.311349780740741</v>
      </c>
      <c r="P151" s="399"/>
    </row>
    <row r="152" spans="1:17" ht="15.75" customHeight="1" x14ac:dyDescent="0.25">
      <c r="A152" s="2">
        <v>148</v>
      </c>
      <c r="B152" s="8" t="s">
        <v>16</v>
      </c>
      <c r="C152" s="21" t="s">
        <v>42</v>
      </c>
      <c r="D152" s="400" t="s">
        <v>179</v>
      </c>
      <c r="E152" s="422">
        <f t="shared" si="16"/>
        <v>34.405385885545876</v>
      </c>
      <c r="F152" s="402">
        <v>12.8567099</v>
      </c>
      <c r="G152" s="407">
        <f t="shared" si="17"/>
        <v>49.104436875000005</v>
      </c>
      <c r="H152" s="403">
        <v>373.8895054597869</v>
      </c>
      <c r="I152" s="423">
        <v>0</v>
      </c>
      <c r="J152" s="407">
        <f t="shared" si="18"/>
        <v>16.419890102174865</v>
      </c>
      <c r="K152" s="402">
        <v>95.49</v>
      </c>
      <c r="L152" s="86">
        <v>5.9875591750000003</v>
      </c>
      <c r="M152" s="403">
        <v>5.01</v>
      </c>
      <c r="N152" s="402">
        <v>1.94</v>
      </c>
      <c r="O152" s="407">
        <f t="shared" si="19"/>
        <v>44.460916074074071</v>
      </c>
      <c r="P152" s="399"/>
    </row>
    <row r="153" spans="1:17" ht="15.75" customHeight="1" x14ac:dyDescent="0.25">
      <c r="A153" s="2">
        <v>149</v>
      </c>
      <c r="B153" s="3" t="s">
        <v>10</v>
      </c>
      <c r="C153" s="19" t="s">
        <v>35</v>
      </c>
      <c r="D153" s="400" t="s">
        <v>108</v>
      </c>
      <c r="E153" s="422">
        <f t="shared" si="16"/>
        <v>33.607645831320198</v>
      </c>
      <c r="F153" s="402">
        <v>12.359401350000001</v>
      </c>
      <c r="G153" s="407">
        <f t="shared" si="17"/>
        <v>45.996258437500003</v>
      </c>
      <c r="H153" s="402">
        <v>363.4325</v>
      </c>
      <c r="I153" s="423">
        <v>1.3333333333333334E-2</v>
      </c>
      <c r="J153" s="407">
        <f t="shared" si="18"/>
        <v>15.408277495974112</v>
      </c>
      <c r="K153" s="402">
        <v>92.39</v>
      </c>
      <c r="L153" s="86">
        <v>6.7800462870000002</v>
      </c>
      <c r="M153" s="402">
        <v>10.83</v>
      </c>
      <c r="N153" s="402">
        <v>1.52</v>
      </c>
      <c r="O153" s="407">
        <f t="shared" si="19"/>
        <v>45.557914924444447</v>
      </c>
      <c r="P153" s="399"/>
    </row>
    <row r="154" spans="1:17" ht="15.75" customHeight="1" x14ac:dyDescent="0.25">
      <c r="A154" s="2">
        <v>150</v>
      </c>
      <c r="B154" s="14" t="s">
        <v>23</v>
      </c>
      <c r="C154" s="16" t="s">
        <v>26</v>
      </c>
      <c r="D154" s="400" t="s">
        <v>101</v>
      </c>
      <c r="E154" s="422">
        <f t="shared" si="16"/>
        <v>33.558797684793305</v>
      </c>
      <c r="F154" s="402">
        <v>10.162206469999999</v>
      </c>
      <c r="G154" s="407">
        <f t="shared" si="17"/>
        <v>32.263790437499992</v>
      </c>
      <c r="H154" s="402">
        <v>399.75080000000003</v>
      </c>
      <c r="I154" s="423">
        <v>1.4705882352941176E-2</v>
      </c>
      <c r="J154" s="407">
        <f t="shared" si="18"/>
        <v>23.613105367064282</v>
      </c>
      <c r="K154" s="402">
        <v>95.77</v>
      </c>
      <c r="L154" s="86">
        <v>7.5102290739999997</v>
      </c>
      <c r="M154" s="402">
        <v>10.9</v>
      </c>
      <c r="N154" s="402">
        <v>0.3</v>
      </c>
      <c r="O154" s="407">
        <f t="shared" si="19"/>
        <v>45.850308367407408</v>
      </c>
      <c r="P154" s="399"/>
    </row>
    <row r="155" spans="1:17" ht="15.75" customHeight="1" x14ac:dyDescent="0.25">
      <c r="A155" s="2">
        <v>151</v>
      </c>
      <c r="B155" s="3" t="s">
        <v>10</v>
      </c>
      <c r="C155" s="4" t="s">
        <v>11</v>
      </c>
      <c r="D155" s="400" t="s">
        <v>154</v>
      </c>
      <c r="E155" s="422">
        <f t="shared" si="16"/>
        <v>33.33839571091189</v>
      </c>
      <c r="F155" s="402">
        <v>13.754303930000001</v>
      </c>
      <c r="G155" s="407">
        <f t="shared" si="17"/>
        <v>54.714399562500006</v>
      </c>
      <c r="H155" s="402">
        <v>368.55759999999998</v>
      </c>
      <c r="I155" s="423">
        <v>7.3529411764705881E-3</v>
      </c>
      <c r="J155" s="407">
        <f t="shared" si="18"/>
        <v>15.960791869235743</v>
      </c>
      <c r="K155" s="402">
        <v>94.24</v>
      </c>
      <c r="L155" s="86">
        <v>4.5037298200000002</v>
      </c>
      <c r="M155" s="402">
        <v>9.5299999999999994</v>
      </c>
      <c r="N155" s="402">
        <v>1.01</v>
      </c>
      <c r="O155" s="407">
        <f t="shared" si="19"/>
        <v>37.929940207407405</v>
      </c>
      <c r="P155" s="399"/>
    </row>
    <row r="156" spans="1:17" ht="15.75" customHeight="1" x14ac:dyDescent="0.25">
      <c r="A156" s="2">
        <v>152</v>
      </c>
      <c r="B156" s="8" t="s">
        <v>16</v>
      </c>
      <c r="C156" s="21" t="s">
        <v>42</v>
      </c>
      <c r="D156" s="400" t="s">
        <v>54</v>
      </c>
      <c r="E156" s="422">
        <f t="shared" si="16"/>
        <v>33.299327109374381</v>
      </c>
      <c r="F156" s="402">
        <v>11.367097169999999</v>
      </c>
      <c r="G156" s="407">
        <f t="shared" si="17"/>
        <v>39.794357312499997</v>
      </c>
      <c r="H156" s="403">
        <v>374.59221945572222</v>
      </c>
      <c r="I156" s="423">
        <v>0</v>
      </c>
      <c r="J156" s="407">
        <f t="shared" si="18"/>
        <v>16.576048767938271</v>
      </c>
      <c r="K156" s="402">
        <v>98.32</v>
      </c>
      <c r="L156" s="86">
        <v>6.0900390499999997</v>
      </c>
      <c r="M156" s="402">
        <v>13.26</v>
      </c>
      <c r="N156" s="402">
        <v>1.91</v>
      </c>
      <c r="O156" s="407">
        <f t="shared" si="19"/>
        <v>47.772337925925918</v>
      </c>
      <c r="P156" s="399"/>
    </row>
    <row r="157" spans="1:17" ht="15.75" customHeight="1" x14ac:dyDescent="0.25">
      <c r="A157" s="2">
        <v>153</v>
      </c>
      <c r="B157" s="8" t="s">
        <v>16</v>
      </c>
      <c r="C157" s="21" t="s">
        <v>42</v>
      </c>
      <c r="D157" s="400" t="s">
        <v>66</v>
      </c>
      <c r="E157" s="422">
        <f t="shared" si="16"/>
        <v>33.232128365893523</v>
      </c>
      <c r="F157" s="402">
        <v>12.681947109999999</v>
      </c>
      <c r="G157" s="407">
        <f t="shared" si="17"/>
        <v>48.012169437499999</v>
      </c>
      <c r="H157" s="402">
        <v>370.61407000000003</v>
      </c>
      <c r="I157" s="423">
        <v>0</v>
      </c>
      <c r="J157" s="407">
        <f t="shared" si="18"/>
        <v>15.692015555555562</v>
      </c>
      <c r="K157" s="402">
        <v>78.569999999999993</v>
      </c>
      <c r="L157" s="86">
        <v>8.3226447920000002</v>
      </c>
      <c r="M157" s="403">
        <v>5.01</v>
      </c>
      <c r="N157" s="402">
        <v>1.53</v>
      </c>
      <c r="O157" s="407">
        <f t="shared" si="19"/>
        <v>42.720799383703699</v>
      </c>
      <c r="P157" s="399"/>
    </row>
    <row r="158" spans="1:17" ht="15.75" customHeight="1" x14ac:dyDescent="0.25">
      <c r="A158" s="2">
        <v>154</v>
      </c>
      <c r="B158" s="14" t="s">
        <v>23</v>
      </c>
      <c r="C158" s="16" t="s">
        <v>26</v>
      </c>
      <c r="D158" s="400" t="s">
        <v>96</v>
      </c>
      <c r="E158" s="422">
        <f t="shared" si="16"/>
        <v>33.162692920648588</v>
      </c>
      <c r="F158" s="402">
        <v>10.67763042</v>
      </c>
      <c r="G158" s="407">
        <f t="shared" si="17"/>
        <v>35.485190125000003</v>
      </c>
      <c r="H158" s="402">
        <v>405.25756999999999</v>
      </c>
      <c r="I158" s="423">
        <v>0.01</v>
      </c>
      <c r="J158" s="407">
        <f t="shared" si="18"/>
        <v>24.376321669422381</v>
      </c>
      <c r="K158" s="402">
        <v>95.36</v>
      </c>
      <c r="L158" s="86">
        <v>5.8473000529999997</v>
      </c>
      <c r="M158" s="402">
        <v>4.5199999999999996</v>
      </c>
      <c r="N158" s="402">
        <v>1.1000000000000001</v>
      </c>
      <c r="O158" s="407">
        <f t="shared" si="19"/>
        <v>41.545333490370375</v>
      </c>
      <c r="P158" s="399"/>
    </row>
    <row r="159" spans="1:17" ht="15.75" customHeight="1" x14ac:dyDescent="0.25">
      <c r="A159" s="2">
        <v>155</v>
      </c>
      <c r="B159" s="3" t="s">
        <v>10</v>
      </c>
      <c r="C159" s="4" t="s">
        <v>11</v>
      </c>
      <c r="D159" s="400" t="s">
        <v>37</v>
      </c>
      <c r="E159" s="422">
        <f t="shared" si="16"/>
        <v>33.110309634680803</v>
      </c>
      <c r="F159" s="402">
        <v>12.31016827</v>
      </c>
      <c r="G159" s="407">
        <f t="shared" si="17"/>
        <v>45.688551687500002</v>
      </c>
      <c r="H159" s="402">
        <v>368.31527999999997</v>
      </c>
      <c r="I159" s="423">
        <v>1.5277777777777777E-2</v>
      </c>
      <c r="J159" s="407">
        <f t="shared" si="18"/>
        <v>16.683253454607097</v>
      </c>
      <c r="K159" s="402">
        <v>93.45</v>
      </c>
      <c r="L159" s="86">
        <v>6.7899999619999996</v>
      </c>
      <c r="M159" s="402">
        <v>4.99</v>
      </c>
      <c r="N159" s="402">
        <v>0.85</v>
      </c>
      <c r="O159" s="407">
        <f t="shared" si="19"/>
        <v>42.899629517037035</v>
      </c>
      <c r="P159" s="399"/>
    </row>
    <row r="160" spans="1:17" ht="15.75" customHeight="1" x14ac:dyDescent="0.25">
      <c r="A160" s="2">
        <v>156</v>
      </c>
      <c r="B160" s="8" t="s">
        <v>16</v>
      </c>
      <c r="C160" s="11" t="s">
        <v>21</v>
      </c>
      <c r="D160" s="400" t="s">
        <v>213</v>
      </c>
      <c r="E160" s="422">
        <f t="shared" si="16"/>
        <v>32.979439682566465</v>
      </c>
      <c r="F160" s="402">
        <v>11.564048189999999</v>
      </c>
      <c r="G160" s="407">
        <f t="shared" si="17"/>
        <v>41.025301187499998</v>
      </c>
      <c r="H160" s="402">
        <v>397.15967000000001</v>
      </c>
      <c r="I160" s="423">
        <v>1.5625E-2</v>
      </c>
      <c r="J160" s="407">
        <f t="shared" si="18"/>
        <v>23.126992788673096</v>
      </c>
      <c r="K160" s="402">
        <v>85.15</v>
      </c>
      <c r="L160" s="86">
        <v>6.3236630820000004</v>
      </c>
      <c r="M160" s="402">
        <v>2.1</v>
      </c>
      <c r="N160" s="402">
        <v>1.32</v>
      </c>
      <c r="O160" s="407">
        <f t="shared" si="19"/>
        <v>38.49233505777778</v>
      </c>
      <c r="P160" s="399"/>
    </row>
    <row r="161" spans="1:17" x14ac:dyDescent="0.25">
      <c r="A161" s="2">
        <v>157</v>
      </c>
      <c r="B161" s="17" t="s">
        <v>29</v>
      </c>
      <c r="C161" s="26" t="s">
        <v>118</v>
      </c>
      <c r="D161" s="400" t="s">
        <v>145</v>
      </c>
      <c r="E161" s="422">
        <f t="shared" si="16"/>
        <v>32.885213053333338</v>
      </c>
      <c r="F161" s="402">
        <v>11.540085120000001</v>
      </c>
      <c r="G161" s="407">
        <f t="shared" si="17"/>
        <v>40.875532000000007</v>
      </c>
      <c r="H161" s="402">
        <v>379.90260000000001</v>
      </c>
      <c r="I161" s="423">
        <v>0</v>
      </c>
      <c r="J161" s="407">
        <f t="shared" si="18"/>
        <v>17.756133333333334</v>
      </c>
      <c r="K161" s="403">
        <v>91.92</v>
      </c>
      <c r="L161" s="86">
        <v>7.3325239800000004</v>
      </c>
      <c r="M161" s="403">
        <v>3.5</v>
      </c>
      <c r="N161" s="403">
        <v>1.2</v>
      </c>
      <c r="O161" s="407">
        <f t="shared" si="19"/>
        <v>44.468219199999993</v>
      </c>
      <c r="P161" s="399"/>
    </row>
    <row r="162" spans="1:17" s="30" customFormat="1" x14ac:dyDescent="0.2">
      <c r="A162" s="2">
        <v>158</v>
      </c>
      <c r="B162" s="17" t="s">
        <v>29</v>
      </c>
      <c r="C162" s="24" t="s">
        <v>85</v>
      </c>
      <c r="D162" s="400" t="s">
        <v>220</v>
      </c>
      <c r="E162" s="422">
        <f t="shared" si="16"/>
        <v>31.857745698370373</v>
      </c>
      <c r="F162" s="402">
        <v>11.81160992</v>
      </c>
      <c r="G162" s="407">
        <f t="shared" si="17"/>
        <v>42.572562000000005</v>
      </c>
      <c r="H162" s="402">
        <v>347.68581999999998</v>
      </c>
      <c r="I162" s="423">
        <v>0</v>
      </c>
      <c r="J162" s="407">
        <f t="shared" si="18"/>
        <v>10.596848888888884</v>
      </c>
      <c r="K162" s="402">
        <v>93.93</v>
      </c>
      <c r="L162" s="86">
        <v>7.1832097270000004</v>
      </c>
      <c r="M162" s="403">
        <v>3.5</v>
      </c>
      <c r="N162" s="402">
        <v>2.4900000000000002</v>
      </c>
      <c r="O162" s="407">
        <f t="shared" si="19"/>
        <v>48.502473265185188</v>
      </c>
      <c r="P162" s="399"/>
      <c r="Q162" s="359"/>
    </row>
    <row r="163" spans="1:17" s="30" customFormat="1" x14ac:dyDescent="0.2">
      <c r="A163" s="2">
        <v>159</v>
      </c>
      <c r="B163" s="8" t="s">
        <v>16</v>
      </c>
      <c r="C163" s="11" t="s">
        <v>21</v>
      </c>
      <c r="D163" s="400" t="s">
        <v>176</v>
      </c>
      <c r="E163" s="422">
        <f t="shared" si="16"/>
        <v>31.598264344322004</v>
      </c>
      <c r="F163" s="402">
        <v>12.59045029</v>
      </c>
      <c r="G163" s="407">
        <f t="shared" si="17"/>
        <v>47.4403143125</v>
      </c>
      <c r="H163" s="402">
        <v>358.08398</v>
      </c>
      <c r="I163" s="423">
        <v>8.6206896551724137E-3</v>
      </c>
      <c r="J163" s="407">
        <f t="shared" si="18"/>
        <v>13.757917823640666</v>
      </c>
      <c r="K163" s="402">
        <v>89.97</v>
      </c>
      <c r="L163" s="86">
        <v>4.8800001140000004</v>
      </c>
      <c r="M163" s="402">
        <v>7.39</v>
      </c>
      <c r="N163" s="402">
        <v>2.4500000000000002</v>
      </c>
      <c r="O163" s="407">
        <f t="shared" si="19"/>
        <v>40.671481819259256</v>
      </c>
      <c r="P163" s="399"/>
      <c r="Q163" s="120"/>
    </row>
    <row r="164" spans="1:17" s="30" customFormat="1" x14ac:dyDescent="0.2">
      <c r="A164" s="2">
        <v>160</v>
      </c>
      <c r="B164" s="8" t="s">
        <v>16</v>
      </c>
      <c r="C164" s="21" t="s">
        <v>42</v>
      </c>
      <c r="D164" s="400" t="s">
        <v>56</v>
      </c>
      <c r="E164" s="422">
        <f t="shared" si="16"/>
        <v>30.44971075075463</v>
      </c>
      <c r="F164" s="402">
        <v>10.79187965</v>
      </c>
      <c r="G164" s="407">
        <f t="shared" si="17"/>
        <v>36.199247812500005</v>
      </c>
      <c r="H164" s="402">
        <v>378.86883999999998</v>
      </c>
      <c r="I164" s="423">
        <v>0</v>
      </c>
      <c r="J164" s="407">
        <f t="shared" si="18"/>
        <v>17.526408888888884</v>
      </c>
      <c r="K164" s="402">
        <v>81.89</v>
      </c>
      <c r="L164" s="86">
        <v>6.5741804119999996</v>
      </c>
      <c r="M164" s="402">
        <v>8.32</v>
      </c>
      <c r="N164" s="402">
        <v>2.02</v>
      </c>
      <c r="O164" s="407">
        <f t="shared" si="19"/>
        <v>41.112386405925925</v>
      </c>
      <c r="P164" s="399"/>
      <c r="Q164" s="120"/>
    </row>
    <row r="165" spans="1:17" s="30" customFormat="1" x14ac:dyDescent="0.2">
      <c r="A165" s="2">
        <v>161</v>
      </c>
      <c r="B165" s="8" t="s">
        <v>16</v>
      </c>
      <c r="C165" s="11" t="s">
        <v>21</v>
      </c>
      <c r="D165" s="400" t="s">
        <v>684</v>
      </c>
      <c r="E165" s="422">
        <f t="shared" ref="E165:E196" si="20">(G165*25+J165*40+O165*35)/100</f>
        <v>29.029772365449336</v>
      </c>
      <c r="F165" s="402">
        <v>8.5857400889999997</v>
      </c>
      <c r="G165" s="407">
        <f t="shared" ref="G165:G196" si="21">((MIN(F165,21)-5)/(21-5))*100</f>
        <v>22.410875556249998</v>
      </c>
      <c r="H165" s="402">
        <v>388.48016000000001</v>
      </c>
      <c r="I165" s="423">
        <v>4.1666666666666666E-3</v>
      </c>
      <c r="J165" s="407">
        <f t="shared" ref="J165:J196" si="22">(((H165-300)/(600-300))*100*2+(LN(MIN(I165,0.4)+1)/LN(1.4))*100*1)/3</f>
        <v>20.074179842078198</v>
      </c>
      <c r="K165" s="402">
        <v>87.07</v>
      </c>
      <c r="L165" s="86">
        <v>6.0653500559999998</v>
      </c>
      <c r="M165" s="402">
        <v>3.08</v>
      </c>
      <c r="N165" s="402">
        <v>3.19</v>
      </c>
      <c r="O165" s="407">
        <f t="shared" ref="O165:O196" si="23">(((MAX(K165,50)-50)/(100-50))*100+(L165/15)*100*2+MIN(M165,100)+(N165/4)*100*0.5)/4.5</f>
        <v>43.992518684444441</v>
      </c>
      <c r="P165" s="399"/>
      <c r="Q165" s="120"/>
    </row>
    <row r="166" spans="1:17" s="30" customFormat="1" x14ac:dyDescent="0.2">
      <c r="A166" s="2">
        <v>162</v>
      </c>
      <c r="B166" s="8" t="s">
        <v>16</v>
      </c>
      <c r="C166" s="11" t="s">
        <v>21</v>
      </c>
      <c r="D166" s="400" t="s">
        <v>224</v>
      </c>
      <c r="E166" s="422">
        <f t="shared" si="20"/>
        <v>28.715776877513154</v>
      </c>
      <c r="F166" s="402">
        <v>11.02052892</v>
      </c>
      <c r="G166" s="407">
        <f t="shared" si="21"/>
        <v>37.628305750000003</v>
      </c>
      <c r="H166" s="402">
        <v>358.14044000000001</v>
      </c>
      <c r="I166" s="423">
        <v>4.9019607843137254E-3</v>
      </c>
      <c r="J166" s="407">
        <f t="shared" si="22"/>
        <v>13.40453450706992</v>
      </c>
      <c r="K166" s="402">
        <v>77.650000000000006</v>
      </c>
      <c r="L166" s="86">
        <v>7.3974085430000001</v>
      </c>
      <c r="M166" s="403">
        <v>5.01</v>
      </c>
      <c r="N166" s="402">
        <v>1.63</v>
      </c>
      <c r="O166" s="407">
        <f t="shared" si="23"/>
        <v>39.848247534814817</v>
      </c>
      <c r="P166" s="399"/>
      <c r="Q166" s="120"/>
    </row>
    <row r="167" spans="1:17" s="30" customFormat="1" x14ac:dyDescent="0.2">
      <c r="A167" s="2">
        <v>163</v>
      </c>
      <c r="B167" s="8" t="s">
        <v>16</v>
      </c>
      <c r="C167" s="21" t="s">
        <v>42</v>
      </c>
      <c r="D167" s="400" t="s">
        <v>53</v>
      </c>
      <c r="E167" s="422">
        <f t="shared" si="20"/>
        <v>28.66360131345602</v>
      </c>
      <c r="F167" s="402">
        <v>9.8294238790000001</v>
      </c>
      <c r="G167" s="407">
        <f t="shared" si="21"/>
        <v>30.183899243750002</v>
      </c>
      <c r="H167" s="402">
        <v>422.74779999999998</v>
      </c>
      <c r="I167" s="423">
        <v>0</v>
      </c>
      <c r="J167" s="407">
        <f t="shared" si="22"/>
        <v>27.277288888888886</v>
      </c>
      <c r="K167" s="402">
        <v>88.4</v>
      </c>
      <c r="L167" s="86">
        <v>3.4739355559999998</v>
      </c>
      <c r="M167" s="402">
        <v>4.1100000000000003</v>
      </c>
      <c r="N167" s="402">
        <v>0.32</v>
      </c>
      <c r="O167" s="407">
        <f t="shared" si="23"/>
        <v>29.162031277037038</v>
      </c>
      <c r="P167" s="399"/>
      <c r="Q167" s="120"/>
    </row>
    <row r="168" spans="1:17" s="30" customFormat="1" x14ac:dyDescent="0.2">
      <c r="A168" s="2">
        <v>164</v>
      </c>
      <c r="B168" s="17" t="s">
        <v>29</v>
      </c>
      <c r="C168" s="24" t="s">
        <v>85</v>
      </c>
      <c r="D168" s="400" t="s">
        <v>167</v>
      </c>
      <c r="E168" s="422">
        <f t="shared" si="20"/>
        <v>28.509544544430554</v>
      </c>
      <c r="F168" s="402">
        <v>11.51107187</v>
      </c>
      <c r="G168" s="407">
        <f t="shared" si="21"/>
        <v>40.694199187500004</v>
      </c>
      <c r="H168" s="402">
        <v>363.32062000000002</v>
      </c>
      <c r="I168" s="423">
        <v>0</v>
      </c>
      <c r="J168" s="407">
        <f t="shared" si="22"/>
        <v>14.071248888888894</v>
      </c>
      <c r="K168" s="402">
        <v>91.92</v>
      </c>
      <c r="L168" s="86">
        <v>4.9625310779999996</v>
      </c>
      <c r="M168" s="403">
        <v>3.5</v>
      </c>
      <c r="N168" s="402">
        <v>0.79</v>
      </c>
      <c r="O168" s="407">
        <f t="shared" si="23"/>
        <v>36.307129119999999</v>
      </c>
      <c r="P168" s="399"/>
      <c r="Q168" s="120"/>
    </row>
    <row r="169" spans="1:17" s="30" customFormat="1" x14ac:dyDescent="0.2">
      <c r="A169" s="2">
        <v>165</v>
      </c>
      <c r="B169" s="17" t="s">
        <v>29</v>
      </c>
      <c r="C169" s="24" t="s">
        <v>85</v>
      </c>
      <c r="D169" s="400" t="s">
        <v>188</v>
      </c>
      <c r="E169" s="422">
        <f t="shared" si="20"/>
        <v>28.411896145486107</v>
      </c>
      <c r="F169" s="402">
        <v>11.31304207</v>
      </c>
      <c r="G169" s="407">
        <f t="shared" si="21"/>
        <v>39.456512937500001</v>
      </c>
      <c r="H169" s="402">
        <v>350.51862</v>
      </c>
      <c r="I169" s="423">
        <v>0</v>
      </c>
      <c r="J169" s="407">
        <f t="shared" si="22"/>
        <v>11.22636</v>
      </c>
      <c r="K169" s="403">
        <v>91.92</v>
      </c>
      <c r="L169" s="86">
        <v>5.8796802000000001</v>
      </c>
      <c r="M169" s="403">
        <v>3.5</v>
      </c>
      <c r="N169" s="402">
        <v>1.2</v>
      </c>
      <c r="O169" s="407">
        <f t="shared" si="23"/>
        <v>40.163496888888886</v>
      </c>
      <c r="P169" s="399"/>
      <c r="Q169" s="120"/>
    </row>
    <row r="170" spans="1:17" s="30" customFormat="1" x14ac:dyDescent="0.2">
      <c r="A170" s="2">
        <v>166</v>
      </c>
      <c r="B170" s="3" t="s">
        <v>10</v>
      </c>
      <c r="C170" s="22" t="s">
        <v>49</v>
      </c>
      <c r="D170" s="400" t="s">
        <v>125</v>
      </c>
      <c r="E170" s="422">
        <f t="shared" si="20"/>
        <v>27.704509217141208</v>
      </c>
      <c r="F170" s="402">
        <v>9.6054830550000005</v>
      </c>
      <c r="G170" s="407">
        <f t="shared" si="21"/>
        <v>28.784269093750005</v>
      </c>
      <c r="H170" s="402">
        <v>368.14210000000003</v>
      </c>
      <c r="I170" s="423">
        <v>0</v>
      </c>
      <c r="J170" s="407">
        <f t="shared" si="22"/>
        <v>15.142688888888893</v>
      </c>
      <c r="K170" s="402">
        <v>90.39</v>
      </c>
      <c r="L170" s="86">
        <v>6.0602461600000002</v>
      </c>
      <c r="M170" s="402">
        <v>8.7200000000000006</v>
      </c>
      <c r="N170" s="402">
        <v>1.24</v>
      </c>
      <c r="O170" s="407">
        <f t="shared" si="23"/>
        <v>41.289618251851856</v>
      </c>
      <c r="P170" s="399"/>
      <c r="Q170" s="120"/>
    </row>
    <row r="171" spans="1:17" s="30" customFormat="1" x14ac:dyDescent="0.2">
      <c r="A171" s="2">
        <v>167</v>
      </c>
      <c r="B171" s="8" t="s">
        <v>16</v>
      </c>
      <c r="C171" s="21" t="s">
        <v>42</v>
      </c>
      <c r="D171" s="400" t="s">
        <v>93</v>
      </c>
      <c r="E171" s="422">
        <f t="shared" si="20"/>
        <v>27.569636726433504</v>
      </c>
      <c r="F171" s="402">
        <v>11.418459889999999</v>
      </c>
      <c r="G171" s="407">
        <f t="shared" si="21"/>
        <v>40.115374312499995</v>
      </c>
      <c r="H171" s="402">
        <v>307.2758</v>
      </c>
      <c r="I171" s="423">
        <v>1.6666666666666666E-2</v>
      </c>
      <c r="J171" s="407">
        <f t="shared" si="22"/>
        <v>3.254354680771268</v>
      </c>
      <c r="K171" s="402">
        <v>91.51</v>
      </c>
      <c r="L171" s="86">
        <v>7.1072101590000001</v>
      </c>
      <c r="M171" s="402">
        <v>15.88</v>
      </c>
      <c r="N171" s="402">
        <v>1.21</v>
      </c>
      <c r="O171" s="407">
        <f t="shared" si="23"/>
        <v>46.397289360000002</v>
      </c>
      <c r="P171" s="399"/>
      <c r="Q171" s="120"/>
    </row>
    <row r="172" spans="1:17" s="30" customFormat="1" x14ac:dyDescent="0.2">
      <c r="A172" s="2">
        <v>168</v>
      </c>
      <c r="B172" s="8" t="s">
        <v>16</v>
      </c>
      <c r="C172" s="21" t="s">
        <v>42</v>
      </c>
      <c r="D172" s="400" t="s">
        <v>43</v>
      </c>
      <c r="E172" s="422">
        <f t="shared" si="20"/>
        <v>26.419326209425925</v>
      </c>
      <c r="F172" s="402">
        <v>10.446479800000001</v>
      </c>
      <c r="G172" s="407">
        <f t="shared" si="21"/>
        <v>34.040498750000005</v>
      </c>
      <c r="H172" s="402">
        <v>383.92284999999998</v>
      </c>
      <c r="I172" s="423">
        <v>0</v>
      </c>
      <c r="J172" s="407">
        <f t="shared" si="22"/>
        <v>18.64952222222222</v>
      </c>
      <c r="K172" s="402">
        <v>71.25</v>
      </c>
      <c r="L172" s="86">
        <v>3.194200039</v>
      </c>
      <c r="M172" s="403">
        <v>5.01</v>
      </c>
      <c r="N172" s="402">
        <v>3.54</v>
      </c>
      <c r="O172" s="407">
        <f t="shared" si="23"/>
        <v>29.855407522962967</v>
      </c>
      <c r="P172" s="399"/>
      <c r="Q172" s="120"/>
    </row>
    <row r="173" spans="1:17" s="30" customFormat="1" x14ac:dyDescent="0.2">
      <c r="A173" s="2">
        <v>169</v>
      </c>
      <c r="B173" s="14" t="s">
        <v>23</v>
      </c>
      <c r="C173" s="16" t="s">
        <v>26</v>
      </c>
      <c r="D173" s="400" t="s">
        <v>100</v>
      </c>
      <c r="E173" s="422">
        <f t="shared" si="20"/>
        <v>25.565564934490741</v>
      </c>
      <c r="F173" s="402">
        <v>10.89635878</v>
      </c>
      <c r="G173" s="407">
        <f t="shared" si="21"/>
        <v>36.852242375000003</v>
      </c>
      <c r="H173" s="402">
        <v>337.81529999999998</v>
      </c>
      <c r="I173" s="423">
        <v>0</v>
      </c>
      <c r="J173" s="407">
        <f t="shared" si="22"/>
        <v>8.403399999999996</v>
      </c>
      <c r="K173" s="402">
        <v>88.87</v>
      </c>
      <c r="L173" s="86">
        <v>5.3822998999999996</v>
      </c>
      <c r="M173" s="403">
        <v>10.9</v>
      </c>
      <c r="N173" s="402">
        <v>0.53</v>
      </c>
      <c r="O173" s="407">
        <f t="shared" si="23"/>
        <v>37.117555259259262</v>
      </c>
      <c r="P173" s="399"/>
      <c r="Q173" s="120"/>
    </row>
    <row r="174" spans="1:17" s="30" customFormat="1" x14ac:dyDescent="0.2">
      <c r="A174" s="2">
        <v>170</v>
      </c>
      <c r="B174" s="3" t="s">
        <v>10</v>
      </c>
      <c r="C174" s="19" t="s">
        <v>35</v>
      </c>
      <c r="D174" s="400" t="s">
        <v>201</v>
      </c>
      <c r="E174" s="422">
        <f t="shared" si="20"/>
        <v>25.496869864457626</v>
      </c>
      <c r="F174" s="402">
        <v>7.4187545269999999</v>
      </c>
      <c r="G174" s="407">
        <f t="shared" si="21"/>
        <v>15.117215793749999</v>
      </c>
      <c r="H174" s="403">
        <v>369.13175454186768</v>
      </c>
      <c r="I174" s="423">
        <v>5.3191489361702126E-3</v>
      </c>
      <c r="J174" s="407">
        <f t="shared" si="22"/>
        <v>15.888168333013281</v>
      </c>
      <c r="K174" s="402">
        <v>98.39</v>
      </c>
      <c r="L174" s="86">
        <v>5.9355200620000002</v>
      </c>
      <c r="M174" s="402">
        <v>10.72</v>
      </c>
      <c r="N174" s="402">
        <v>0.87</v>
      </c>
      <c r="O174" s="407">
        <f t="shared" si="23"/>
        <v>43.892281665185187</v>
      </c>
      <c r="P174" s="399"/>
      <c r="Q174" s="120"/>
    </row>
    <row r="175" spans="1:17" s="30" customFormat="1" x14ac:dyDescent="0.2">
      <c r="A175" s="2">
        <v>171</v>
      </c>
      <c r="B175" s="8" t="s">
        <v>16</v>
      </c>
      <c r="C175" s="11" t="s">
        <v>21</v>
      </c>
      <c r="D175" s="400" t="s">
        <v>22</v>
      </c>
      <c r="E175" s="422">
        <f t="shared" si="20"/>
        <v>25.457245231555554</v>
      </c>
      <c r="F175" s="402">
        <v>12.1676</v>
      </c>
      <c r="G175" s="407">
        <f t="shared" si="21"/>
        <v>44.797499999999999</v>
      </c>
      <c r="H175" s="402">
        <v>325.96548000000001</v>
      </c>
      <c r="I175" s="423">
        <v>0</v>
      </c>
      <c r="J175" s="407">
        <f t="shared" si="22"/>
        <v>5.7701066666666696</v>
      </c>
      <c r="K175" s="402">
        <v>80.7</v>
      </c>
      <c r="L175" s="86">
        <v>5.9561730089999996</v>
      </c>
      <c r="M175" s="402">
        <v>5.2</v>
      </c>
      <c r="N175" s="402">
        <v>0.61</v>
      </c>
      <c r="O175" s="407">
        <f t="shared" si="23"/>
        <v>34.142364471111108</v>
      </c>
      <c r="P175" s="399"/>
      <c r="Q175" s="120"/>
    </row>
    <row r="176" spans="1:17" s="30" customFormat="1" x14ac:dyDescent="0.2">
      <c r="A176" s="2">
        <v>172</v>
      </c>
      <c r="B176" s="8" t="s">
        <v>16</v>
      </c>
      <c r="C176" s="21" t="s">
        <v>42</v>
      </c>
      <c r="D176" s="400" t="s">
        <v>68</v>
      </c>
      <c r="E176" s="422">
        <f t="shared" si="20"/>
        <v>25.22803013235648</v>
      </c>
      <c r="F176" s="402">
        <v>11.411129949999999</v>
      </c>
      <c r="G176" s="407">
        <f t="shared" si="21"/>
        <v>40.069562187499997</v>
      </c>
      <c r="H176" s="402">
        <v>373.23052999999999</v>
      </c>
      <c r="I176" s="423">
        <v>0</v>
      </c>
      <c r="J176" s="407">
        <f t="shared" si="22"/>
        <v>16.273451111111111</v>
      </c>
      <c r="K176" s="402">
        <v>66.84</v>
      </c>
      <c r="L176" s="86">
        <v>4.8699998859999996</v>
      </c>
      <c r="M176" s="403">
        <v>5.01</v>
      </c>
      <c r="N176" s="402">
        <v>0.66</v>
      </c>
      <c r="O176" s="407">
        <f t="shared" si="23"/>
        <v>24.860740402962964</v>
      </c>
      <c r="P176" s="399"/>
      <c r="Q176" s="120"/>
    </row>
    <row r="177" spans="1:17" s="30" customFormat="1" x14ac:dyDescent="0.2">
      <c r="A177" s="2">
        <v>173</v>
      </c>
      <c r="B177" s="8" t="s">
        <v>16</v>
      </c>
      <c r="C177" s="21" t="s">
        <v>42</v>
      </c>
      <c r="D177" s="400" t="s">
        <v>181</v>
      </c>
      <c r="E177" s="422">
        <f t="shared" si="20"/>
        <v>24.613131963963436</v>
      </c>
      <c r="F177" s="402">
        <v>9.1427097320000001</v>
      </c>
      <c r="G177" s="407">
        <f t="shared" si="21"/>
        <v>25.891935825000001</v>
      </c>
      <c r="H177" s="402">
        <v>412.45386000000002</v>
      </c>
      <c r="I177" s="423">
        <v>6.2500000000000003E-3</v>
      </c>
      <c r="J177" s="407">
        <f t="shared" si="22"/>
        <v>25.606989247431741</v>
      </c>
      <c r="K177" s="402">
        <v>67.45</v>
      </c>
      <c r="L177" s="86">
        <v>2.934554012</v>
      </c>
      <c r="M177" s="403">
        <v>5.01</v>
      </c>
      <c r="N177" s="402">
        <v>1.8</v>
      </c>
      <c r="O177" s="407">
        <f t="shared" si="23"/>
        <v>22.563863739259261</v>
      </c>
      <c r="P177" s="399"/>
      <c r="Q177" s="120"/>
    </row>
    <row r="178" spans="1:17" s="30" customFormat="1" x14ac:dyDescent="0.2">
      <c r="A178" s="2">
        <v>174</v>
      </c>
      <c r="B178" s="8" t="s">
        <v>16</v>
      </c>
      <c r="C178" s="11" t="s">
        <v>21</v>
      </c>
      <c r="D178" s="400" t="s">
        <v>150</v>
      </c>
      <c r="E178" s="422">
        <f t="shared" si="20"/>
        <v>24.444199474125</v>
      </c>
      <c r="F178" s="402">
        <v>10.84830885</v>
      </c>
      <c r="G178" s="407">
        <f t="shared" si="21"/>
        <v>36.551930312500005</v>
      </c>
      <c r="H178" s="402">
        <v>368.24360000000001</v>
      </c>
      <c r="I178" s="423">
        <v>0</v>
      </c>
      <c r="J178" s="407">
        <f t="shared" si="22"/>
        <v>15.165244444444447</v>
      </c>
      <c r="K178" s="402">
        <v>71.44</v>
      </c>
      <c r="L178" s="86">
        <v>4.5904898640000003</v>
      </c>
      <c r="M178" s="402">
        <v>4.09</v>
      </c>
      <c r="N178" s="402">
        <v>0.85</v>
      </c>
      <c r="O178" s="407">
        <f t="shared" si="23"/>
        <v>26.400340337777777</v>
      </c>
      <c r="P178" s="399"/>
      <c r="Q178" s="120"/>
    </row>
    <row r="179" spans="1:17" s="30" customFormat="1" x14ac:dyDescent="0.2">
      <c r="A179" s="2">
        <v>175</v>
      </c>
      <c r="B179" s="8" t="s">
        <v>16</v>
      </c>
      <c r="C179" s="21" t="s">
        <v>42</v>
      </c>
      <c r="D179" s="400" t="s">
        <v>98</v>
      </c>
      <c r="E179" s="422">
        <f t="shared" si="20"/>
        <v>24.290843901084489</v>
      </c>
      <c r="F179" s="402">
        <v>10.63534621</v>
      </c>
      <c r="G179" s="407">
        <f t="shared" si="21"/>
        <v>35.220913812500001</v>
      </c>
      <c r="H179" s="403">
        <v>358.01859878954428</v>
      </c>
      <c r="I179" s="423">
        <v>0</v>
      </c>
      <c r="J179" s="407">
        <f t="shared" si="22"/>
        <v>12.893021953232063</v>
      </c>
      <c r="K179" s="402">
        <v>82.23</v>
      </c>
      <c r="L179" s="86">
        <v>3.673035</v>
      </c>
      <c r="M179" s="403">
        <v>4.1100000000000003</v>
      </c>
      <c r="N179" s="402">
        <v>1.22</v>
      </c>
      <c r="O179" s="407">
        <f t="shared" si="23"/>
        <v>29.509733333333333</v>
      </c>
      <c r="P179" s="399"/>
      <c r="Q179" s="120"/>
    </row>
    <row r="180" spans="1:17" s="30" customFormat="1" x14ac:dyDescent="0.2">
      <c r="A180" s="2">
        <v>176</v>
      </c>
      <c r="B180" s="8" t="s">
        <v>16</v>
      </c>
      <c r="C180" s="21" t="s">
        <v>42</v>
      </c>
      <c r="D180" s="400" t="s">
        <v>159</v>
      </c>
      <c r="E180" s="422">
        <f t="shared" si="20"/>
        <v>24.113314488069392</v>
      </c>
      <c r="F180" s="402">
        <v>10.51407</v>
      </c>
      <c r="G180" s="407">
        <f t="shared" si="21"/>
        <v>34.462937500000002</v>
      </c>
      <c r="H180" s="402">
        <v>309.02496000000002</v>
      </c>
      <c r="I180" s="423">
        <v>9.4936708860759497E-3</v>
      </c>
      <c r="J180" s="407">
        <f t="shared" si="22"/>
        <v>2.9416208474882821</v>
      </c>
      <c r="K180" s="402">
        <v>81.36</v>
      </c>
      <c r="L180" s="86">
        <v>7.5859699249999997</v>
      </c>
      <c r="M180" s="403">
        <v>5.01</v>
      </c>
      <c r="N180" s="402">
        <v>1.22</v>
      </c>
      <c r="O180" s="407">
        <f t="shared" si="23"/>
        <v>40.916947925925925</v>
      </c>
      <c r="P180" s="399"/>
      <c r="Q180" s="120"/>
    </row>
    <row r="181" spans="1:17" s="30" customFormat="1" x14ac:dyDescent="0.2">
      <c r="A181" s="2">
        <v>177</v>
      </c>
      <c r="B181" s="8" t="s">
        <v>16</v>
      </c>
      <c r="C181" s="21" t="s">
        <v>42</v>
      </c>
      <c r="D181" s="400" t="s">
        <v>65</v>
      </c>
      <c r="E181" s="422">
        <f t="shared" si="20"/>
        <v>23.70643147691667</v>
      </c>
      <c r="F181" s="402">
        <v>10.911473859999999</v>
      </c>
      <c r="G181" s="407">
        <f t="shared" si="21"/>
        <v>36.946711624999992</v>
      </c>
      <c r="H181" s="402">
        <v>310.19713999999999</v>
      </c>
      <c r="I181" s="423">
        <v>0</v>
      </c>
      <c r="J181" s="407">
        <f t="shared" si="22"/>
        <v>2.2660311111111091</v>
      </c>
      <c r="K181" s="402">
        <v>77.900000000000006</v>
      </c>
      <c r="L181" s="86">
        <v>7.3785610860000004</v>
      </c>
      <c r="M181" s="402">
        <v>4.83</v>
      </c>
      <c r="N181" s="402">
        <v>1.23</v>
      </c>
      <c r="O181" s="407">
        <f t="shared" si="23"/>
        <v>38.752403217777783</v>
      </c>
      <c r="P181" s="399"/>
      <c r="Q181" s="120"/>
    </row>
    <row r="182" spans="1:17" s="30" customFormat="1" x14ac:dyDescent="0.2">
      <c r="A182" s="2">
        <v>178</v>
      </c>
      <c r="B182" s="8" t="s">
        <v>16</v>
      </c>
      <c r="C182" s="11" t="s">
        <v>21</v>
      </c>
      <c r="D182" s="400" t="s">
        <v>136</v>
      </c>
      <c r="E182" s="422">
        <f t="shared" si="20"/>
        <v>23.641558438914352</v>
      </c>
      <c r="F182" s="402">
        <v>9.9025917050000007</v>
      </c>
      <c r="G182" s="407">
        <f t="shared" si="21"/>
        <v>30.641198156250006</v>
      </c>
      <c r="H182" s="402">
        <v>359.48406999999997</v>
      </c>
      <c r="I182" s="423">
        <v>0</v>
      </c>
      <c r="J182" s="407">
        <f t="shared" si="22"/>
        <v>13.218682222222215</v>
      </c>
      <c r="K182" s="402">
        <v>80.73</v>
      </c>
      <c r="L182" s="86">
        <v>5.2437400820000004</v>
      </c>
      <c r="M182" s="402">
        <v>0.49</v>
      </c>
      <c r="N182" s="402">
        <v>0.45</v>
      </c>
      <c r="O182" s="407">
        <f t="shared" si="23"/>
        <v>30.553674317037039</v>
      </c>
      <c r="P182" s="399"/>
      <c r="Q182" s="120"/>
    </row>
    <row r="183" spans="1:17" s="30" customFormat="1" x14ac:dyDescent="0.2">
      <c r="A183" s="2">
        <v>179</v>
      </c>
      <c r="B183" s="8" t="s">
        <v>16</v>
      </c>
      <c r="C183" s="21" t="s">
        <v>42</v>
      </c>
      <c r="D183" s="400" t="s">
        <v>129</v>
      </c>
      <c r="E183" s="422">
        <f t="shared" si="20"/>
        <v>23.322164195810181</v>
      </c>
      <c r="F183" s="402">
        <v>10.465853689999999</v>
      </c>
      <c r="G183" s="407">
        <f t="shared" si="21"/>
        <v>34.161585562499994</v>
      </c>
      <c r="H183" s="402">
        <v>331.74594000000002</v>
      </c>
      <c r="I183" s="423">
        <v>0</v>
      </c>
      <c r="J183" s="407">
        <f t="shared" si="22"/>
        <v>7.0546533333333379</v>
      </c>
      <c r="K183" s="402">
        <v>75.06</v>
      </c>
      <c r="L183" s="86">
        <v>6.1698919549999998</v>
      </c>
      <c r="M183" s="402">
        <v>4.26</v>
      </c>
      <c r="N183" s="402">
        <v>1.37</v>
      </c>
      <c r="O183" s="407">
        <f t="shared" si="23"/>
        <v>34.171161348148146</v>
      </c>
      <c r="P183" s="399"/>
      <c r="Q183" s="120"/>
    </row>
    <row r="184" spans="1:17" s="30" customFormat="1" x14ac:dyDescent="0.2">
      <c r="A184" s="2">
        <v>180</v>
      </c>
      <c r="B184" s="8" t="s">
        <v>16</v>
      </c>
      <c r="C184" s="21" t="s">
        <v>42</v>
      </c>
      <c r="D184" s="400" t="s">
        <v>97</v>
      </c>
      <c r="E184" s="422">
        <f t="shared" si="20"/>
        <v>21.97044046458333</v>
      </c>
      <c r="F184" s="402">
        <v>10.393306259999999</v>
      </c>
      <c r="G184" s="407">
        <f t="shared" si="21"/>
        <v>33.708164124999996</v>
      </c>
      <c r="H184" s="402">
        <v>408.24907999999999</v>
      </c>
      <c r="I184" s="423">
        <v>0</v>
      </c>
      <c r="J184" s="407">
        <f t="shared" si="22"/>
        <v>24.055351111111108</v>
      </c>
      <c r="K184" s="402">
        <v>53.94</v>
      </c>
      <c r="L184" s="86">
        <v>2.4863390249999999</v>
      </c>
      <c r="M184" s="402">
        <v>5.01</v>
      </c>
      <c r="N184" s="402">
        <v>0.35</v>
      </c>
      <c r="O184" s="407">
        <f t="shared" si="23"/>
        <v>11.20359711111111</v>
      </c>
      <c r="P184" s="399"/>
      <c r="Q184" s="120"/>
    </row>
    <row r="185" spans="1:17" s="30" customFormat="1" x14ac:dyDescent="0.2">
      <c r="A185" s="2">
        <v>181</v>
      </c>
      <c r="B185" s="8" t="s">
        <v>16</v>
      </c>
      <c r="C185" s="11" t="s">
        <v>21</v>
      </c>
      <c r="D185" s="400" t="s">
        <v>81</v>
      </c>
      <c r="E185" s="422">
        <f t="shared" si="20"/>
        <v>21.519080826181799</v>
      </c>
      <c r="F185" s="402">
        <v>7.3366722969999998</v>
      </c>
      <c r="G185" s="407">
        <f t="shared" si="21"/>
        <v>14.604201856249999</v>
      </c>
      <c r="H185" s="403">
        <v>367.74421500717546</v>
      </c>
      <c r="I185" s="423">
        <v>0</v>
      </c>
      <c r="J185" s="407">
        <f t="shared" si="22"/>
        <v>15.054270001594546</v>
      </c>
      <c r="K185" s="402">
        <v>86.97</v>
      </c>
      <c r="L185" s="86">
        <v>5.0913644199999997</v>
      </c>
      <c r="M185" s="402">
        <v>2.11</v>
      </c>
      <c r="N185" s="402">
        <v>0.67</v>
      </c>
      <c r="O185" s="407">
        <f t="shared" si="23"/>
        <v>33.846635318518516</v>
      </c>
      <c r="P185" s="399"/>
      <c r="Q185" s="120"/>
    </row>
    <row r="186" spans="1:17" s="30" customFormat="1" x14ac:dyDescent="0.2">
      <c r="A186" s="2">
        <v>182</v>
      </c>
      <c r="B186" s="8" t="s">
        <v>16</v>
      </c>
      <c r="C186" s="11" t="s">
        <v>21</v>
      </c>
      <c r="D186" s="400" t="s">
        <v>135</v>
      </c>
      <c r="E186" s="422">
        <f t="shared" si="20"/>
        <v>21.145030309493055</v>
      </c>
      <c r="F186" s="402">
        <v>9.0625845030000001</v>
      </c>
      <c r="G186" s="407">
        <f t="shared" si="21"/>
        <v>25.39115314375</v>
      </c>
      <c r="H186" s="402">
        <v>350.77332000000001</v>
      </c>
      <c r="I186" s="423">
        <v>0</v>
      </c>
      <c r="J186" s="407">
        <f t="shared" si="22"/>
        <v>11.282960000000003</v>
      </c>
      <c r="K186" s="402">
        <v>82.38</v>
      </c>
      <c r="L186" s="86">
        <v>4.5925202369999996</v>
      </c>
      <c r="M186" s="402">
        <v>4.2300000000000004</v>
      </c>
      <c r="N186" s="402">
        <v>0.16</v>
      </c>
      <c r="O186" s="407">
        <f t="shared" si="23"/>
        <v>29.38302292444444</v>
      </c>
      <c r="P186" s="399"/>
      <c r="Q186" s="120"/>
    </row>
    <row r="187" spans="1:17" s="30" customFormat="1" x14ac:dyDescent="0.2">
      <c r="A187" s="2">
        <v>183</v>
      </c>
      <c r="B187" s="8" t="s">
        <v>16</v>
      </c>
      <c r="C187" s="11" t="s">
        <v>21</v>
      </c>
      <c r="D187" s="400" t="s">
        <v>84</v>
      </c>
      <c r="E187" s="422">
        <f t="shared" si="20"/>
        <v>20.99802210992193</v>
      </c>
      <c r="F187" s="402">
        <v>9.2176515709999993</v>
      </c>
      <c r="G187" s="407">
        <f t="shared" si="21"/>
        <v>26.360322318749997</v>
      </c>
      <c r="H187" s="402">
        <v>348.19904000000002</v>
      </c>
      <c r="I187" s="423">
        <v>1.6666666666666666E-2</v>
      </c>
      <c r="J187" s="407">
        <f t="shared" si="22"/>
        <v>12.348408014104606</v>
      </c>
      <c r="K187" s="402">
        <v>84.69</v>
      </c>
      <c r="L187" s="86">
        <v>2.4025398130000002</v>
      </c>
      <c r="M187" s="402">
        <v>4.7</v>
      </c>
      <c r="N187" s="402">
        <v>1.25</v>
      </c>
      <c r="O187" s="407">
        <f t="shared" si="23"/>
        <v>27.053080927407407</v>
      </c>
      <c r="P187" s="399"/>
      <c r="Q187" s="120"/>
    </row>
    <row r="188" spans="1:17" s="30" customFormat="1" x14ac:dyDescent="0.2">
      <c r="A188" s="2">
        <v>184</v>
      </c>
      <c r="B188" s="8" t="s">
        <v>16</v>
      </c>
      <c r="C188" s="11" t="s">
        <v>21</v>
      </c>
      <c r="D188" s="400" t="s">
        <v>197</v>
      </c>
      <c r="E188" s="422">
        <f t="shared" si="20"/>
        <v>20.776847006539111</v>
      </c>
      <c r="F188" s="402">
        <v>8.6203718780000003</v>
      </c>
      <c r="G188" s="407">
        <f t="shared" si="21"/>
        <v>22.627324237500002</v>
      </c>
      <c r="H188" s="402">
        <v>379.63367</v>
      </c>
      <c r="I188" s="423">
        <v>7.246376811594203E-3</v>
      </c>
      <c r="J188" s="407">
        <f t="shared" si="22"/>
        <v>18.41166023828065</v>
      </c>
      <c r="K188" s="402">
        <v>65.81</v>
      </c>
      <c r="L188" s="86">
        <v>3.9620000000000002</v>
      </c>
      <c r="M188" s="402">
        <v>10.64</v>
      </c>
      <c r="N188" s="402">
        <v>0.37</v>
      </c>
      <c r="O188" s="407">
        <f t="shared" si="23"/>
        <v>22.15814814814815</v>
      </c>
      <c r="P188" s="399"/>
      <c r="Q188" s="120"/>
    </row>
    <row r="189" spans="1:17" s="30" customFormat="1" x14ac:dyDescent="0.2">
      <c r="A189" s="2">
        <v>185</v>
      </c>
      <c r="B189" s="8" t="s">
        <v>16</v>
      </c>
      <c r="C189" s="21" t="s">
        <v>42</v>
      </c>
      <c r="D189" s="400" t="s">
        <v>52</v>
      </c>
      <c r="E189" s="422">
        <f t="shared" si="20"/>
        <v>20.693780968048614</v>
      </c>
      <c r="F189" s="402">
        <v>8.7333402630000005</v>
      </c>
      <c r="G189" s="407">
        <f t="shared" si="21"/>
        <v>23.333376643750004</v>
      </c>
      <c r="H189" s="402">
        <v>403.65433000000002</v>
      </c>
      <c r="I189" s="423">
        <v>0</v>
      </c>
      <c r="J189" s="407">
        <f t="shared" si="22"/>
        <v>23.034295555555559</v>
      </c>
      <c r="K189" s="402">
        <v>62.81</v>
      </c>
      <c r="L189" s="86">
        <v>2.266550064</v>
      </c>
      <c r="M189" s="402">
        <v>5.01</v>
      </c>
      <c r="N189" s="402">
        <v>0.94</v>
      </c>
      <c r="O189" s="407">
        <f t="shared" si="23"/>
        <v>16.133481671111113</v>
      </c>
      <c r="P189" s="399"/>
      <c r="Q189" s="120"/>
    </row>
    <row r="190" spans="1:17" s="30" customFormat="1" x14ac:dyDescent="0.2">
      <c r="A190" s="2">
        <v>186</v>
      </c>
      <c r="B190" s="8" t="s">
        <v>16</v>
      </c>
      <c r="C190" s="21" t="s">
        <v>42</v>
      </c>
      <c r="D190" s="400" t="s">
        <v>90</v>
      </c>
      <c r="E190" s="422">
        <f t="shared" si="20"/>
        <v>20.389800567226853</v>
      </c>
      <c r="F190" s="402">
        <v>8.9778996860000007</v>
      </c>
      <c r="G190" s="407">
        <f t="shared" si="21"/>
        <v>24.861873037500004</v>
      </c>
      <c r="H190" s="402">
        <v>352.89963</v>
      </c>
      <c r="I190" s="423">
        <v>0</v>
      </c>
      <c r="J190" s="407">
        <f t="shared" si="22"/>
        <v>11.755473333333335</v>
      </c>
      <c r="K190" s="402">
        <v>67.489999999999995</v>
      </c>
      <c r="L190" s="86">
        <v>4.6747271540000002</v>
      </c>
      <c r="M190" s="402">
        <v>0.1</v>
      </c>
      <c r="N190" s="402">
        <v>1.95</v>
      </c>
      <c r="O190" s="407">
        <f t="shared" si="23"/>
        <v>27.063265641481479</v>
      </c>
      <c r="P190" s="399"/>
      <c r="Q190" s="120"/>
    </row>
    <row r="191" spans="1:17" s="30" customFormat="1" x14ac:dyDescent="0.2">
      <c r="A191" s="2">
        <v>187</v>
      </c>
      <c r="B191" s="3" t="s">
        <v>10</v>
      </c>
      <c r="C191" s="4" t="s">
        <v>11</v>
      </c>
      <c r="D191" s="400" t="s">
        <v>12</v>
      </c>
      <c r="E191" s="422">
        <f t="shared" si="20"/>
        <v>19.493589243018519</v>
      </c>
      <c r="F191" s="402">
        <v>10.790143240000001</v>
      </c>
      <c r="G191" s="407">
        <f t="shared" si="21"/>
        <v>36.188395250000006</v>
      </c>
      <c r="H191" s="402">
        <v>354.75880000000001</v>
      </c>
      <c r="I191" s="423">
        <v>0</v>
      </c>
      <c r="J191" s="407">
        <f t="shared" si="22"/>
        <v>12.168622222222224</v>
      </c>
      <c r="K191" s="402">
        <v>62.66</v>
      </c>
      <c r="L191" s="86">
        <v>2.514790058</v>
      </c>
      <c r="M191" s="402">
        <v>11.13</v>
      </c>
      <c r="N191" s="402">
        <v>0.14000000000000001</v>
      </c>
      <c r="O191" s="407">
        <f t="shared" si="23"/>
        <v>15.940118690370367</v>
      </c>
      <c r="P191" s="399"/>
      <c r="Q191" s="120"/>
    </row>
    <row r="192" spans="1:17" s="30" customFormat="1" x14ac:dyDescent="0.2">
      <c r="A192" s="2">
        <v>188</v>
      </c>
      <c r="B192" s="3" t="s">
        <v>10</v>
      </c>
      <c r="C192" s="4" t="s">
        <v>11</v>
      </c>
      <c r="D192" s="400" t="s">
        <v>163</v>
      </c>
      <c r="E192" s="422">
        <f t="shared" si="20"/>
        <v>18.949902252371427</v>
      </c>
      <c r="F192" s="402">
        <v>7.8951084900000001</v>
      </c>
      <c r="G192" s="407">
        <f t="shared" si="21"/>
        <v>18.0944280625</v>
      </c>
      <c r="H192" s="402">
        <v>338.65656000000001</v>
      </c>
      <c r="I192" s="423">
        <v>3.0712530712530713E-2</v>
      </c>
      <c r="J192" s="407">
        <f t="shared" si="22"/>
        <v>11.58716058594014</v>
      </c>
      <c r="K192" s="402">
        <v>73.13</v>
      </c>
      <c r="L192" s="86">
        <v>4.3169870379999997</v>
      </c>
      <c r="M192" s="403">
        <v>11.32</v>
      </c>
      <c r="N192" s="402">
        <v>0.86</v>
      </c>
      <c r="O192" s="407">
        <f t="shared" si="23"/>
        <v>27.975517149629624</v>
      </c>
      <c r="P192" s="399"/>
      <c r="Q192" s="120"/>
    </row>
    <row r="193" spans="1:17" s="30" customFormat="1" x14ac:dyDescent="0.2">
      <c r="A193" s="2">
        <v>189</v>
      </c>
      <c r="B193" s="8" t="s">
        <v>16</v>
      </c>
      <c r="C193" s="11" t="s">
        <v>21</v>
      </c>
      <c r="D193" s="400" t="s">
        <v>74</v>
      </c>
      <c r="E193" s="422">
        <f t="shared" si="20"/>
        <v>17.822599484436665</v>
      </c>
      <c r="F193" s="402">
        <v>6.2073500160000004</v>
      </c>
      <c r="G193" s="407">
        <f t="shared" si="21"/>
        <v>7.545937600000002</v>
      </c>
      <c r="H193" s="403">
        <v>359.92061934991244</v>
      </c>
      <c r="I193" s="423">
        <v>0</v>
      </c>
      <c r="J193" s="407">
        <f t="shared" si="22"/>
        <v>13.315693188869432</v>
      </c>
      <c r="K193" s="402">
        <v>79.55</v>
      </c>
      <c r="L193" s="86">
        <v>3.9504150299999998</v>
      </c>
      <c r="M193" s="402">
        <v>2.64</v>
      </c>
      <c r="N193" s="402">
        <v>1.76</v>
      </c>
      <c r="O193" s="407">
        <f t="shared" si="23"/>
        <v>30.313822311111114</v>
      </c>
      <c r="P193" s="399"/>
      <c r="Q193" s="120"/>
    </row>
    <row r="194" spans="1:17" s="30" customFormat="1" x14ac:dyDescent="0.2">
      <c r="A194" s="2">
        <v>190</v>
      </c>
      <c r="B194" s="3" t="s">
        <v>10</v>
      </c>
      <c r="C194" s="19" t="s">
        <v>35</v>
      </c>
      <c r="D194" s="400" t="s">
        <v>223</v>
      </c>
      <c r="E194" s="422">
        <f t="shared" si="20"/>
        <v>17.499732565067127</v>
      </c>
      <c r="F194" s="402">
        <v>7.4949027350000001</v>
      </c>
      <c r="G194" s="407">
        <f t="shared" si="21"/>
        <v>15.59314209375</v>
      </c>
      <c r="H194" s="402">
        <v>321.32702999999998</v>
      </c>
      <c r="I194" s="423">
        <v>0</v>
      </c>
      <c r="J194" s="407">
        <f t="shared" si="22"/>
        <v>4.7393399999999959</v>
      </c>
      <c r="K194" s="403">
        <v>82.1</v>
      </c>
      <c r="L194" s="86">
        <v>5.4841499330000003</v>
      </c>
      <c r="M194" s="403">
        <v>10.68</v>
      </c>
      <c r="N194" s="402">
        <v>0.2</v>
      </c>
      <c r="O194" s="407">
        <f t="shared" si="23"/>
        <v>33.444888690370369</v>
      </c>
      <c r="P194" s="399"/>
      <c r="Q194" s="120"/>
    </row>
    <row r="195" spans="1:17" s="30" customFormat="1" x14ac:dyDescent="0.2">
      <c r="A195" s="2">
        <v>191</v>
      </c>
      <c r="B195" s="8" t="s">
        <v>16</v>
      </c>
      <c r="C195" s="21" t="s">
        <v>42</v>
      </c>
      <c r="D195" s="400" t="s">
        <v>142</v>
      </c>
      <c r="E195" s="422">
        <f t="shared" si="20"/>
        <v>17.109927322861108</v>
      </c>
      <c r="F195" s="402">
        <v>7.949540636</v>
      </c>
      <c r="G195" s="407">
        <f t="shared" si="21"/>
        <v>18.434628974999999</v>
      </c>
      <c r="H195" s="402">
        <v>342.09357</v>
      </c>
      <c r="I195" s="423">
        <v>0</v>
      </c>
      <c r="J195" s="407">
        <f t="shared" si="22"/>
        <v>9.3541266666666658</v>
      </c>
      <c r="K195" s="402">
        <v>70.86</v>
      </c>
      <c r="L195" s="86">
        <v>4.8520258619999996</v>
      </c>
      <c r="M195" s="402">
        <v>3.71</v>
      </c>
      <c r="N195" s="402">
        <v>0.2</v>
      </c>
      <c r="O195" s="407">
        <f t="shared" si="23"/>
        <v>25.027484035555553</v>
      </c>
      <c r="P195" s="399"/>
      <c r="Q195" s="120"/>
    </row>
    <row r="196" spans="1:17" s="30" customFormat="1" x14ac:dyDescent="0.2">
      <c r="A196" s="2">
        <v>192</v>
      </c>
      <c r="B196" s="8" t="s">
        <v>16</v>
      </c>
      <c r="C196" s="21" t="s">
        <v>42</v>
      </c>
      <c r="D196" s="400" t="s">
        <v>184</v>
      </c>
      <c r="E196" s="422">
        <f t="shared" si="20"/>
        <v>16.798180317030088</v>
      </c>
      <c r="F196" s="402">
        <v>9.0641245749999992</v>
      </c>
      <c r="G196" s="407">
        <f t="shared" si="21"/>
        <v>25.400778593749994</v>
      </c>
      <c r="H196" s="402">
        <v>315.87594999999999</v>
      </c>
      <c r="I196" s="423">
        <v>0</v>
      </c>
      <c r="J196" s="407">
        <f t="shared" si="22"/>
        <v>3.5279888888888866</v>
      </c>
      <c r="K196" s="402">
        <v>72.989999999999995</v>
      </c>
      <c r="L196" s="86">
        <v>3.5352976090000001</v>
      </c>
      <c r="M196" s="402">
        <v>1.82</v>
      </c>
      <c r="N196" s="402">
        <v>1.7</v>
      </c>
      <c r="O196" s="407">
        <f t="shared" si="23"/>
        <v>25.819400322962959</v>
      </c>
      <c r="P196" s="399"/>
      <c r="Q196" s="120"/>
    </row>
    <row r="197" spans="1:17" s="30" customFormat="1" x14ac:dyDescent="0.2">
      <c r="A197" s="2">
        <v>193</v>
      </c>
      <c r="B197" s="8" t="s">
        <v>16</v>
      </c>
      <c r="C197" s="21" t="s">
        <v>42</v>
      </c>
      <c r="D197" s="400" t="s">
        <v>59</v>
      </c>
      <c r="E197" s="422">
        <f t="shared" ref="E197:E202" si="24">(G197*25+J197*40+O197*35)/100</f>
        <v>15.301533999495371</v>
      </c>
      <c r="F197" s="402">
        <v>7.4357677779999998</v>
      </c>
      <c r="G197" s="407">
        <f t="shared" ref="G197:G202" si="25">((MIN(F197,21)-5)/(21-5))*100</f>
        <v>15.223548612499998</v>
      </c>
      <c r="H197" s="402">
        <v>368.73016000000001</v>
      </c>
      <c r="I197" s="423">
        <v>0</v>
      </c>
      <c r="J197" s="407">
        <f t="shared" ref="J197:J202" si="26">(((H197-300)/(600-300))*100*2+(LN(MIN(I197,0.4)+1)/LN(1.4))*100*1)/3</f>
        <v>15.273368888888891</v>
      </c>
      <c r="K197" s="402">
        <v>50.6</v>
      </c>
      <c r="L197" s="86">
        <v>3.989431459</v>
      </c>
      <c r="M197" s="403">
        <v>4.1100000000000003</v>
      </c>
      <c r="N197" s="402">
        <v>0.86</v>
      </c>
      <c r="O197" s="407">
        <f t="shared" ref="O197:O202" si="27">(((MAX(K197,50)-50)/(100-50))*100+(L197/15)*100*2+MIN(M197,100)+(N197/4)*100*0.5)/4.5</f>
        <v>15.389426545185184</v>
      </c>
      <c r="P197" s="399"/>
      <c r="Q197" s="120"/>
    </row>
    <row r="198" spans="1:17" s="30" customFormat="1" x14ac:dyDescent="0.2">
      <c r="A198" s="2">
        <v>194</v>
      </c>
      <c r="B198" s="8" t="s">
        <v>16</v>
      </c>
      <c r="C198" s="11" t="s">
        <v>21</v>
      </c>
      <c r="D198" s="400" t="s">
        <v>189</v>
      </c>
      <c r="E198" s="422">
        <f t="shared" si="24"/>
        <v>13.783846378901622</v>
      </c>
      <c r="F198" s="402">
        <v>7.4861651619999998</v>
      </c>
      <c r="G198" s="407">
        <f t="shared" si="25"/>
        <v>15.538532262499999</v>
      </c>
      <c r="H198" s="403">
        <v>345.86073338769535</v>
      </c>
      <c r="I198" s="423">
        <v>0</v>
      </c>
      <c r="J198" s="407">
        <f t="shared" si="26"/>
        <v>10.191274086154523</v>
      </c>
      <c r="K198" s="402">
        <v>70.709999999999994</v>
      </c>
      <c r="L198" s="86">
        <v>1.8999999759999999</v>
      </c>
      <c r="M198" s="403">
        <v>4.1100000000000003</v>
      </c>
      <c r="N198" s="402">
        <v>0.32</v>
      </c>
      <c r="O198" s="407">
        <f t="shared" si="27"/>
        <v>16.63629622518518</v>
      </c>
      <c r="P198" s="399"/>
      <c r="Q198" s="120"/>
    </row>
    <row r="199" spans="1:17" s="30" customFormat="1" x14ac:dyDescent="0.2">
      <c r="A199" s="2">
        <v>195</v>
      </c>
      <c r="B199" s="8" t="s">
        <v>16</v>
      </c>
      <c r="C199" s="21" t="s">
        <v>42</v>
      </c>
      <c r="D199" s="400" t="s">
        <v>60</v>
      </c>
      <c r="E199" s="422">
        <f t="shared" si="24"/>
        <v>11.58502710541898</v>
      </c>
      <c r="F199" s="402">
        <v>8.3475902309999999</v>
      </c>
      <c r="G199" s="407">
        <f t="shared" si="25"/>
        <v>20.922438943749999</v>
      </c>
      <c r="H199" s="402">
        <v>333.11133000000001</v>
      </c>
      <c r="I199" s="423">
        <v>0</v>
      </c>
      <c r="J199" s="407">
        <f t="shared" si="26"/>
        <v>7.3580733333333344</v>
      </c>
      <c r="K199" s="402">
        <v>45.13</v>
      </c>
      <c r="L199" s="86">
        <v>2.334984892</v>
      </c>
      <c r="M199" s="402">
        <v>0.35</v>
      </c>
      <c r="N199" s="402">
        <v>0.99</v>
      </c>
      <c r="O199" s="407">
        <f t="shared" si="27"/>
        <v>9.7462515318518523</v>
      </c>
      <c r="P199" s="399"/>
      <c r="Q199" s="120"/>
    </row>
    <row r="200" spans="1:17" s="30" customFormat="1" x14ac:dyDescent="0.2">
      <c r="A200" s="2">
        <v>196</v>
      </c>
      <c r="B200" s="8" t="s">
        <v>16</v>
      </c>
      <c r="C200" s="11" t="s">
        <v>21</v>
      </c>
      <c r="D200" s="400" t="s">
        <v>191</v>
      </c>
      <c r="E200" s="422">
        <f t="shared" si="24"/>
        <v>11.360099920571756</v>
      </c>
      <c r="F200" s="402">
        <v>5.6347701409999997</v>
      </c>
      <c r="G200" s="407">
        <f t="shared" si="25"/>
        <v>3.9673133812499985</v>
      </c>
      <c r="H200" s="402">
        <v>335.58742999999998</v>
      </c>
      <c r="I200" s="423">
        <v>0</v>
      </c>
      <c r="J200" s="407">
        <f t="shared" si="26"/>
        <v>7.9083177777777749</v>
      </c>
      <c r="K200" s="402">
        <v>36.700000000000003</v>
      </c>
      <c r="L200" s="86">
        <v>5.7300000190000002</v>
      </c>
      <c r="M200" s="403">
        <v>4.1100000000000003</v>
      </c>
      <c r="N200" s="402">
        <v>0.97</v>
      </c>
      <c r="O200" s="407">
        <f t="shared" si="27"/>
        <v>20.585555611851852</v>
      </c>
      <c r="P200" s="399"/>
      <c r="Q200" s="120"/>
    </row>
    <row r="201" spans="1:17" s="30" customFormat="1" x14ac:dyDescent="0.2">
      <c r="A201" s="2">
        <v>197</v>
      </c>
      <c r="B201" s="8" t="s">
        <v>16</v>
      </c>
      <c r="C201" s="21" t="s">
        <v>42</v>
      </c>
      <c r="D201" s="400" t="s">
        <v>158</v>
      </c>
      <c r="E201" s="422">
        <f t="shared" si="24"/>
        <v>8.8872604315810175</v>
      </c>
      <c r="F201" s="402">
        <v>8.308919801</v>
      </c>
      <c r="G201" s="407">
        <f t="shared" si="25"/>
        <v>20.680748756250001</v>
      </c>
      <c r="H201" s="402">
        <v>304.92223999999999</v>
      </c>
      <c r="I201" s="423">
        <v>0</v>
      </c>
      <c r="J201" s="407">
        <f t="shared" si="26"/>
        <v>1.0938311111111085</v>
      </c>
      <c r="K201" s="402">
        <v>53.91</v>
      </c>
      <c r="L201" s="86">
        <v>1.4122893409999999</v>
      </c>
      <c r="M201" s="402">
        <v>4.6399999999999997</v>
      </c>
      <c r="N201" s="402">
        <v>0.87</v>
      </c>
      <c r="O201" s="407">
        <f t="shared" si="27"/>
        <v>9.3701165659259242</v>
      </c>
      <c r="P201" s="399"/>
      <c r="Q201" s="120"/>
    </row>
    <row r="202" spans="1:17" s="30" customFormat="1" x14ac:dyDescent="0.2">
      <c r="A202" s="2">
        <v>198</v>
      </c>
      <c r="B202" s="8" t="s">
        <v>16</v>
      </c>
      <c r="C202" s="21" t="s">
        <v>42</v>
      </c>
      <c r="D202" s="400" t="s">
        <v>139</v>
      </c>
      <c r="E202" s="422">
        <f t="shared" si="24"/>
        <v>6.5995723299421298</v>
      </c>
      <c r="F202" s="402">
        <v>7.0113315329999999</v>
      </c>
      <c r="G202" s="407">
        <f t="shared" si="25"/>
        <v>12.57082208125</v>
      </c>
      <c r="H202" s="402">
        <v>307.36496</v>
      </c>
      <c r="I202" s="423">
        <v>0</v>
      </c>
      <c r="J202" s="407">
        <f t="shared" si="26"/>
        <v>1.6366577777777771</v>
      </c>
      <c r="K202" s="402">
        <v>50.33</v>
      </c>
      <c r="L202" s="86">
        <v>1.6299999949999999</v>
      </c>
      <c r="M202" s="403">
        <v>5.01</v>
      </c>
      <c r="N202" s="402">
        <v>0.69</v>
      </c>
      <c r="O202" s="407">
        <f t="shared" si="27"/>
        <v>8.0062962814814806</v>
      </c>
      <c r="P202" s="32"/>
      <c r="Q202" s="120"/>
    </row>
    <row r="203" spans="1:17" ht="4.5" customHeight="1" x14ac:dyDescent="0.25">
      <c r="A203" s="318"/>
      <c r="B203" s="319"/>
      <c r="C203" s="319"/>
      <c r="D203" s="320"/>
      <c r="E203" s="321"/>
      <c r="F203" s="1"/>
      <c r="G203" s="1"/>
      <c r="H203" s="1"/>
      <c r="I203" s="1"/>
      <c r="J203" s="1"/>
      <c r="K203" s="1"/>
      <c r="L203" s="1"/>
      <c r="M203" s="1"/>
      <c r="N203" s="1"/>
      <c r="O203" s="1"/>
      <c r="P203" s="1"/>
      <c r="Q203"/>
    </row>
    <row r="204" spans="1:17" x14ac:dyDescent="0.25">
      <c r="P204" s="365"/>
    </row>
    <row r="205" spans="1:17" ht="15" customHeight="1" x14ac:dyDescent="0.25">
      <c r="B205" s="50"/>
      <c r="C205" s="50"/>
      <c r="D205" s="50"/>
      <c r="E205" s="50"/>
      <c r="F205" s="413">
        <v>2023</v>
      </c>
      <c r="G205" s="50"/>
      <c r="H205" s="434">
        <v>2020</v>
      </c>
      <c r="I205" s="380"/>
      <c r="J205" s="50"/>
      <c r="K205" s="434">
        <v>2024</v>
      </c>
      <c r="L205" s="434"/>
      <c r="M205" s="434" t="s">
        <v>1029</v>
      </c>
      <c r="N205" s="434">
        <v>2025</v>
      </c>
      <c r="O205" s="50"/>
      <c r="P205" s="50"/>
      <c r="Q205" s="385"/>
    </row>
    <row r="206" spans="1:17" s="43" customFormat="1" ht="14.25" customHeight="1" x14ac:dyDescent="0.25">
      <c r="A206" s="372"/>
      <c r="B206" s="370"/>
      <c r="C206" s="370"/>
      <c r="D206" s="370"/>
      <c r="E206" s="370"/>
      <c r="F206" s="378" t="s">
        <v>1030</v>
      </c>
      <c r="G206" s="370"/>
      <c r="H206" s="378" t="s">
        <v>1031</v>
      </c>
      <c r="I206" s="370"/>
      <c r="J206" s="370"/>
      <c r="K206" s="378" t="s">
        <v>1032</v>
      </c>
      <c r="L206" s="378"/>
      <c r="M206" s="378" t="s">
        <v>1033</v>
      </c>
      <c r="N206" s="378" t="s">
        <v>1034</v>
      </c>
      <c r="O206" s="370"/>
      <c r="P206" s="370"/>
      <c r="Q206" s="375"/>
    </row>
    <row r="207" spans="1:17" s="43" customFormat="1" ht="40.5" customHeight="1" x14ac:dyDescent="0.25">
      <c r="A207" s="597" t="s">
        <v>1068</v>
      </c>
      <c r="B207" s="597"/>
      <c r="C207" s="597"/>
      <c r="D207" s="597"/>
      <c r="E207" s="370"/>
      <c r="F207" s="378"/>
      <c r="G207" s="370"/>
      <c r="H207" s="50" t="s">
        <v>1035</v>
      </c>
      <c r="I207" s="370"/>
      <c r="J207" s="370"/>
      <c r="K207" s="50" t="s">
        <v>1036</v>
      </c>
      <c r="L207" s="50"/>
      <c r="M207" s="50" t="s">
        <v>1036</v>
      </c>
      <c r="N207" s="50" t="s">
        <v>1036</v>
      </c>
      <c r="O207" s="370"/>
      <c r="P207" s="370"/>
      <c r="Q207" s="375">
        <f>MEDIAN(N131,N155,N164)</f>
        <v>2.02</v>
      </c>
    </row>
    <row r="208" spans="1:17" s="43" customFormat="1" ht="14.25" customHeight="1" x14ac:dyDescent="0.25">
      <c r="A208" s="372"/>
      <c r="B208" s="370"/>
      <c r="C208" s="370"/>
      <c r="D208" s="370"/>
      <c r="E208" s="370"/>
      <c r="F208" s="378"/>
      <c r="G208" s="370"/>
      <c r="H208" s="378"/>
      <c r="I208" s="370"/>
      <c r="J208" s="370"/>
      <c r="K208" s="378"/>
      <c r="L208" s="378"/>
      <c r="M208" s="370" t="s">
        <v>1037</v>
      </c>
      <c r="N208" s="370" t="s">
        <v>1038</v>
      </c>
      <c r="O208" s="370"/>
      <c r="P208" s="370"/>
      <c r="Q208" s="375"/>
    </row>
    <row r="209" spans="1:17" ht="12.75" customHeight="1" x14ac:dyDescent="0.25">
      <c r="B209" s="50"/>
      <c r="C209" s="50"/>
      <c r="D209" s="50"/>
      <c r="E209" s="50"/>
      <c r="F209" s="435" t="s">
        <v>1039</v>
      </c>
      <c r="G209" s="436" t="s">
        <v>1040</v>
      </c>
      <c r="H209" s="413"/>
      <c r="I209" s="377"/>
      <c r="J209" s="437" t="s">
        <v>1041</v>
      </c>
      <c r="K209" s="376" t="s">
        <v>1042</v>
      </c>
      <c r="L209" s="376"/>
      <c r="M209" s="413"/>
      <c r="N209" s="377"/>
      <c r="O209" s="50"/>
      <c r="P209" s="50"/>
    </row>
    <row r="210" spans="1:17" ht="16.5" customHeight="1" x14ac:dyDescent="0.25">
      <c r="A210"/>
      <c r="B210" s="383"/>
      <c r="C210" s="383"/>
      <c r="D210" s="383"/>
      <c r="E210" s="383"/>
      <c r="F210" s="437" t="s">
        <v>1043</v>
      </c>
      <c r="G210" s="566" t="s">
        <v>1044</v>
      </c>
      <c r="H210" s="50"/>
      <c r="I210" s="50"/>
      <c r="J210" s="437" t="s">
        <v>1043</v>
      </c>
      <c r="K210" s="376" t="s">
        <v>1045</v>
      </c>
      <c r="L210" s="376"/>
      <c r="M210" s="370"/>
      <c r="N210" s="50"/>
      <c r="O210" s="50"/>
      <c r="P210" s="50"/>
    </row>
    <row r="211" spans="1:17" ht="45.75" customHeight="1" x14ac:dyDescent="0.25">
      <c r="A211"/>
      <c r="B211" s="383"/>
      <c r="C211" s="383"/>
      <c r="D211" s="383"/>
      <c r="E211" s="383"/>
      <c r="F211" s="437" t="s">
        <v>1046</v>
      </c>
      <c r="G211" s="567"/>
      <c r="H211" s="50"/>
      <c r="I211" s="50"/>
      <c r="J211" s="437" t="s">
        <v>1047</v>
      </c>
      <c r="K211" s="376" t="s">
        <v>1048</v>
      </c>
      <c r="L211" s="376"/>
      <c r="M211" s="50"/>
      <c r="N211" s="50"/>
      <c r="O211" s="50"/>
      <c r="P211" s="50"/>
    </row>
    <row r="212" spans="1:17" ht="29.25" customHeight="1" x14ac:dyDescent="0.25">
      <c r="A212"/>
      <c r="B212" s="383"/>
      <c r="C212" s="383"/>
      <c r="D212" s="383"/>
      <c r="E212" s="383"/>
      <c r="F212" s="50"/>
      <c r="G212" s="50"/>
      <c r="H212" s="50"/>
      <c r="I212" s="50"/>
      <c r="J212" s="437" t="s">
        <v>1049</v>
      </c>
      <c r="K212" s="376" t="s">
        <v>1050</v>
      </c>
      <c r="L212" s="376"/>
      <c r="M212" s="370"/>
      <c r="N212" s="50"/>
      <c r="O212" s="50"/>
      <c r="P212" s="50"/>
    </row>
    <row r="213" spans="1:17" ht="16.5" customHeight="1" x14ac:dyDescent="0.25">
      <c r="A213"/>
      <c r="B213" s="383"/>
      <c r="C213" s="383"/>
      <c r="D213" s="383"/>
      <c r="E213" s="383"/>
      <c r="F213" s="50"/>
      <c r="G213" s="50"/>
      <c r="H213" s="50"/>
      <c r="I213" s="50"/>
      <c r="J213" s="437" t="s">
        <v>1051</v>
      </c>
      <c r="K213" s="376" t="s">
        <v>1052</v>
      </c>
      <c r="L213" s="376"/>
      <c r="M213" s="50"/>
      <c r="N213" s="50"/>
      <c r="O213" s="50"/>
      <c r="P213" s="50"/>
    </row>
    <row r="214" spans="1:17" ht="16.5" customHeight="1" x14ac:dyDescent="0.25">
      <c r="A214"/>
      <c r="B214" s="383"/>
      <c r="C214" s="383"/>
      <c r="D214" s="383"/>
      <c r="E214" s="383"/>
      <c r="F214" s="50"/>
      <c r="G214" s="50"/>
      <c r="H214" s="50"/>
      <c r="I214" s="50"/>
      <c r="J214" s="437" t="s">
        <v>1053</v>
      </c>
      <c r="K214" s="376" t="s">
        <v>1054</v>
      </c>
      <c r="L214" s="376"/>
      <c r="M214" s="50"/>
      <c r="N214" s="50"/>
      <c r="O214" s="50"/>
      <c r="P214" s="50"/>
    </row>
    <row r="215" spans="1:17" ht="16.5" customHeight="1" x14ac:dyDescent="0.25">
      <c r="A215"/>
      <c r="B215" s="383"/>
      <c r="C215" s="383"/>
      <c r="D215" s="383"/>
      <c r="E215" s="383"/>
      <c r="F215" s="50"/>
      <c r="G215" s="50"/>
      <c r="H215" s="50"/>
      <c r="I215" s="50"/>
      <c r="J215" s="437" t="s">
        <v>20</v>
      </c>
      <c r="K215" s="376" t="s">
        <v>1055</v>
      </c>
      <c r="L215" s="376"/>
      <c r="M215" s="50"/>
      <c r="N215" s="50"/>
      <c r="O215" s="50"/>
      <c r="P215" s="50"/>
    </row>
    <row r="216" spans="1:17" x14ac:dyDescent="0.25">
      <c r="A216"/>
      <c r="B216" s="383"/>
      <c r="C216" s="383"/>
      <c r="D216" s="383"/>
      <c r="E216" s="383"/>
      <c r="F216" s="50"/>
      <c r="G216" s="50"/>
      <c r="H216" s="50"/>
      <c r="I216" s="50"/>
      <c r="J216" s="50"/>
      <c r="K216" s="50"/>
      <c r="L216" s="50"/>
      <c r="M216" s="50"/>
      <c r="N216" s="50"/>
      <c r="O216" s="50"/>
      <c r="P216" s="50"/>
    </row>
    <row r="217" spans="1:17" x14ac:dyDescent="0.25">
      <c r="A217"/>
      <c r="B217" s="383"/>
      <c r="C217" s="383"/>
      <c r="D217" s="383"/>
      <c r="E217" s="383"/>
      <c r="F217" s="50"/>
      <c r="G217" s="50"/>
      <c r="H217" s="50"/>
      <c r="I217" s="50"/>
      <c r="J217" s="50"/>
      <c r="K217" s="50"/>
      <c r="L217" s="50"/>
      <c r="M217" s="50"/>
      <c r="N217" s="50"/>
      <c r="O217" s="50"/>
      <c r="P217" s="50"/>
    </row>
    <row r="218" spans="1:17" x14ac:dyDescent="0.25">
      <c r="A218"/>
      <c r="B218" s="383"/>
      <c r="C218" s="383"/>
      <c r="D218" s="383"/>
      <c r="E218" s="383"/>
      <c r="F218" s="50"/>
      <c r="G218" s="50"/>
      <c r="H218" s="50"/>
      <c r="I218" s="50"/>
      <c r="J218" s="50"/>
      <c r="K218" s="50"/>
      <c r="L218" s="50"/>
      <c r="M218" s="50"/>
      <c r="N218" s="50"/>
      <c r="O218" s="50"/>
      <c r="P218" s="50"/>
    </row>
    <row r="219" spans="1:17" x14ac:dyDescent="0.25">
      <c r="A219"/>
      <c r="B219" s="383"/>
      <c r="C219" s="383"/>
      <c r="D219" s="383"/>
      <c r="E219" s="383"/>
      <c r="F219" s="50"/>
      <c r="G219" s="50"/>
      <c r="H219" s="50"/>
      <c r="I219" s="50"/>
      <c r="J219" s="50"/>
      <c r="K219" s="50"/>
      <c r="L219" s="50"/>
      <c r="M219" s="50"/>
      <c r="N219" s="50"/>
      <c r="O219" s="50"/>
      <c r="P219" s="50"/>
    </row>
    <row r="220" spans="1:17" ht="17.25" customHeight="1" x14ac:dyDescent="0.25">
      <c r="A220"/>
      <c r="B220" s="383"/>
      <c r="C220" s="383"/>
      <c r="D220" s="383"/>
      <c r="E220" s="383"/>
      <c r="F220" s="50"/>
      <c r="G220" s="50"/>
      <c r="H220" s="50"/>
      <c r="I220" s="50"/>
      <c r="J220" s="50"/>
      <c r="K220" s="50"/>
      <c r="L220" s="50"/>
      <c r="M220" s="50"/>
      <c r="N220" s="50"/>
      <c r="O220" s="50"/>
      <c r="P220" s="50"/>
    </row>
    <row r="221" spans="1:17" ht="15" customHeight="1" x14ac:dyDescent="0.25">
      <c r="A221"/>
      <c r="B221" s="383"/>
      <c r="C221" s="383"/>
      <c r="D221" s="383"/>
      <c r="E221" s="383"/>
      <c r="F221" s="50"/>
      <c r="G221" s="50"/>
      <c r="H221" s="50"/>
      <c r="I221" s="50"/>
      <c r="J221" s="50"/>
      <c r="K221" s="50"/>
      <c r="L221" s="50"/>
      <c r="M221" s="50"/>
      <c r="N221" s="50"/>
      <c r="O221" s="50"/>
      <c r="P221" s="50"/>
    </row>
    <row r="222" spans="1:17" ht="15" customHeight="1" x14ac:dyDescent="0.25">
      <c r="A222"/>
      <c r="B222" s="383"/>
      <c r="C222" s="383"/>
      <c r="D222" s="383"/>
      <c r="E222" s="383"/>
      <c r="F222" s="50"/>
      <c r="G222" s="50"/>
      <c r="H222" s="50"/>
      <c r="I222" s="50"/>
      <c r="J222" s="50"/>
      <c r="K222" s="50"/>
      <c r="L222" s="50"/>
      <c r="M222" s="50"/>
      <c r="N222" s="50"/>
      <c r="O222" s="50"/>
      <c r="P222" s="50"/>
    </row>
    <row r="223" spans="1:17" x14ac:dyDescent="0.25">
      <c r="A223"/>
      <c r="B223" s="109"/>
      <c r="C223" s="109"/>
      <c r="D223" s="386"/>
      <c r="E223" s="387"/>
      <c r="F223" s="50"/>
      <c r="G223" s="50"/>
      <c r="H223" s="50"/>
      <c r="I223" s="50"/>
      <c r="J223" s="50"/>
      <c r="K223" s="50"/>
      <c r="L223" s="50"/>
      <c r="M223" s="50"/>
      <c r="N223" s="50"/>
      <c r="O223" s="50"/>
      <c r="P223" s="50"/>
      <c r="Q223"/>
    </row>
    <row r="224" spans="1:17" x14ac:dyDescent="0.25">
      <c r="A224"/>
      <c r="B224" s="109"/>
      <c r="C224" s="109"/>
      <c r="D224" s="386"/>
      <c r="E224" s="387"/>
      <c r="F224" s="50"/>
      <c r="G224" s="50"/>
      <c r="H224" s="50"/>
      <c r="I224" s="50"/>
      <c r="J224" s="50"/>
      <c r="K224" s="50"/>
      <c r="L224" s="50"/>
      <c r="M224" s="50"/>
      <c r="N224" s="50"/>
      <c r="O224" s="50"/>
      <c r="P224" s="50"/>
      <c r="Q224"/>
    </row>
    <row r="225" spans="1:17" x14ac:dyDescent="0.25">
      <c r="A225"/>
      <c r="B225" s="109"/>
      <c r="C225" s="109"/>
      <c r="D225" s="386"/>
      <c r="E225" s="387"/>
      <c r="F225" s="50"/>
      <c r="G225" s="50"/>
      <c r="H225" s="50"/>
      <c r="I225" s="50"/>
      <c r="J225" s="50"/>
      <c r="K225" s="50"/>
      <c r="L225" s="50"/>
      <c r="M225" s="50"/>
      <c r="N225" s="50"/>
      <c r="O225" s="50"/>
      <c r="P225" s="50"/>
      <c r="Q225"/>
    </row>
    <row r="226" spans="1:17" x14ac:dyDescent="0.25">
      <c r="A226"/>
      <c r="F226" s="50"/>
      <c r="G226" s="50"/>
      <c r="H226" s="50"/>
      <c r="I226" s="50"/>
      <c r="J226" s="50"/>
      <c r="K226" s="50"/>
      <c r="L226" s="50"/>
      <c r="M226" s="50"/>
      <c r="N226" s="50"/>
      <c r="O226" s="50"/>
      <c r="P226" s="50"/>
      <c r="Q226"/>
    </row>
    <row r="227" spans="1:17" x14ac:dyDescent="0.25">
      <c r="A227"/>
      <c r="F227" s="50"/>
      <c r="G227" s="50"/>
      <c r="H227" s="50"/>
      <c r="I227" s="50"/>
      <c r="J227" s="50"/>
      <c r="K227" s="50"/>
      <c r="L227" s="50"/>
      <c r="M227" s="50"/>
      <c r="N227" s="50"/>
      <c r="O227" s="50"/>
      <c r="P227" s="50"/>
      <c r="Q227"/>
    </row>
    <row r="228" spans="1:17" x14ac:dyDescent="0.25">
      <c r="A228"/>
      <c r="F228" s="50"/>
      <c r="G228" s="50"/>
      <c r="H228" s="50"/>
      <c r="I228" s="50"/>
      <c r="J228" s="50"/>
      <c r="K228" s="50"/>
      <c r="L228" s="50"/>
      <c r="M228" s="50"/>
      <c r="N228" s="50"/>
      <c r="O228" s="50"/>
      <c r="P228" s="50"/>
      <c r="Q228"/>
    </row>
    <row r="229" spans="1:17" x14ac:dyDescent="0.25">
      <c r="A229"/>
      <c r="F229" s="50"/>
      <c r="G229" s="50"/>
      <c r="H229" s="50"/>
      <c r="I229" s="50"/>
      <c r="J229" s="50"/>
      <c r="K229" s="50"/>
      <c r="L229" s="50"/>
      <c r="M229" s="50"/>
      <c r="N229" s="50"/>
      <c r="O229" s="50"/>
      <c r="P229" s="50"/>
      <c r="Q229"/>
    </row>
    <row r="230" spans="1:17" x14ac:dyDescent="0.25">
      <c r="A230"/>
      <c r="F230" s="50"/>
      <c r="G230" s="50"/>
      <c r="H230" s="50"/>
      <c r="I230" s="50"/>
      <c r="J230" s="50"/>
      <c r="K230" s="50"/>
      <c r="L230" s="50"/>
      <c r="M230" s="50"/>
      <c r="N230" s="50"/>
      <c r="O230" s="50"/>
      <c r="P230" s="50"/>
      <c r="Q230"/>
    </row>
    <row r="231" spans="1:17" x14ac:dyDescent="0.25">
      <c r="A231"/>
      <c r="F231" s="50"/>
      <c r="G231" s="50"/>
      <c r="H231" s="50"/>
      <c r="I231" s="50"/>
      <c r="J231" s="50"/>
      <c r="K231" s="50"/>
      <c r="L231" s="50"/>
      <c r="M231" s="50"/>
      <c r="N231" s="50"/>
      <c r="O231" s="50"/>
      <c r="P231" s="50"/>
      <c r="Q231"/>
    </row>
    <row r="232" spans="1:17" x14ac:dyDescent="0.25">
      <c r="A232"/>
      <c r="F232" s="50"/>
      <c r="G232" s="50"/>
      <c r="H232" s="50"/>
      <c r="I232" s="50"/>
      <c r="J232" s="50"/>
      <c r="K232" s="50"/>
      <c r="L232" s="50"/>
      <c r="M232" s="50"/>
      <c r="N232" s="50"/>
      <c r="O232" s="50"/>
      <c r="P232" s="50"/>
      <c r="Q232"/>
    </row>
    <row r="233" spans="1:17" x14ac:dyDescent="0.25">
      <c r="A233"/>
      <c r="F233" s="50"/>
      <c r="G233" s="50"/>
      <c r="H233" s="50"/>
      <c r="I233" s="50"/>
      <c r="J233" s="50"/>
      <c r="K233" s="50"/>
      <c r="L233" s="50"/>
      <c r="M233" s="50"/>
      <c r="N233" s="50"/>
      <c r="O233" s="50"/>
      <c r="P233" s="50"/>
      <c r="Q233"/>
    </row>
    <row r="234" spans="1:17" x14ac:dyDescent="0.25">
      <c r="A234"/>
      <c r="F234" s="50"/>
      <c r="G234" s="50"/>
      <c r="H234" s="50"/>
      <c r="I234" s="50"/>
      <c r="J234" s="50"/>
      <c r="K234" s="50"/>
      <c r="L234" s="50"/>
      <c r="M234" s="50"/>
      <c r="N234" s="50"/>
      <c r="O234" s="50"/>
      <c r="P234" s="50"/>
      <c r="Q234"/>
    </row>
    <row r="235" spans="1:17" x14ac:dyDescent="0.25">
      <c r="A235"/>
      <c r="F235" s="50"/>
      <c r="G235" s="50"/>
      <c r="H235" s="50"/>
      <c r="I235" s="50"/>
      <c r="J235" s="50"/>
      <c r="K235" s="50"/>
      <c r="L235" s="50"/>
      <c r="M235" s="50"/>
      <c r="N235" s="50"/>
      <c r="O235" s="50"/>
      <c r="P235" s="50"/>
      <c r="Q235"/>
    </row>
    <row r="236" spans="1:17" x14ac:dyDescent="0.25">
      <c r="A236"/>
      <c r="F236" s="50"/>
      <c r="G236" s="50"/>
      <c r="H236" s="50"/>
      <c r="I236" s="50"/>
      <c r="J236" s="50"/>
      <c r="K236" s="50"/>
      <c r="L236" s="50"/>
      <c r="M236" s="50"/>
      <c r="N236" s="50"/>
      <c r="O236" s="50"/>
      <c r="P236" s="50"/>
      <c r="Q236"/>
    </row>
    <row r="237" spans="1:17" x14ac:dyDescent="0.25">
      <c r="A237"/>
      <c r="F237" s="50"/>
      <c r="G237" s="50"/>
      <c r="H237" s="50"/>
      <c r="I237" s="50"/>
      <c r="J237" s="50"/>
      <c r="K237" s="50"/>
      <c r="L237" s="50"/>
      <c r="M237" s="50"/>
      <c r="N237" s="50"/>
      <c r="O237" s="50"/>
      <c r="P237" s="50"/>
      <c r="Q237"/>
    </row>
    <row r="238" spans="1:17" x14ac:dyDescent="0.25">
      <c r="A238"/>
      <c r="F238" s="50"/>
      <c r="G238" s="50"/>
      <c r="H238" s="50"/>
      <c r="I238" s="50"/>
      <c r="J238" s="50"/>
      <c r="K238" s="50"/>
      <c r="L238" s="50"/>
      <c r="M238" s="50"/>
      <c r="N238" s="50"/>
      <c r="O238" s="50"/>
      <c r="P238" s="50"/>
      <c r="Q238"/>
    </row>
    <row r="239" spans="1:17" x14ac:dyDescent="0.25">
      <c r="A239"/>
      <c r="B239"/>
      <c r="C239"/>
      <c r="D239"/>
      <c r="E239"/>
      <c r="F239" s="50"/>
      <c r="G239" s="50"/>
      <c r="H239" s="50"/>
      <c r="I239" s="50"/>
      <c r="J239" s="50"/>
      <c r="K239" s="50"/>
      <c r="L239" s="50"/>
      <c r="M239" s="50"/>
      <c r="N239" s="50"/>
      <c r="O239" s="50"/>
      <c r="P239" s="50"/>
      <c r="Q239"/>
    </row>
    <row r="240" spans="1:17" x14ac:dyDescent="0.25">
      <c r="A240"/>
      <c r="B240"/>
      <c r="C240"/>
      <c r="D240"/>
      <c r="E240"/>
      <c r="F240" s="50"/>
      <c r="G240" s="50"/>
      <c r="H240" s="50"/>
      <c r="I240" s="50"/>
      <c r="J240" s="50"/>
      <c r="K240" s="50"/>
      <c r="L240" s="50"/>
      <c r="M240" s="50"/>
      <c r="N240" s="50"/>
      <c r="O240" s="50"/>
      <c r="P240" s="50"/>
      <c r="Q240"/>
    </row>
    <row r="241" spans="1:17" x14ac:dyDescent="0.25">
      <c r="A241"/>
      <c r="B241"/>
      <c r="C241"/>
      <c r="D241"/>
      <c r="E241"/>
      <c r="F241" s="50"/>
      <c r="G241" s="50"/>
      <c r="H241" s="50"/>
      <c r="I241" s="50"/>
      <c r="J241" s="50"/>
      <c r="K241" s="50"/>
      <c r="L241" s="50"/>
      <c r="M241" s="50"/>
      <c r="N241" s="50"/>
      <c r="O241" s="50"/>
      <c r="P241" s="50"/>
      <c r="Q241"/>
    </row>
    <row r="242" spans="1:17" x14ac:dyDescent="0.25">
      <c r="A242"/>
      <c r="B242"/>
      <c r="C242"/>
      <c r="D242"/>
      <c r="E242"/>
      <c r="F242" s="50"/>
      <c r="G242" s="50"/>
      <c r="H242" s="50"/>
      <c r="I242" s="50"/>
      <c r="J242" s="50"/>
      <c r="K242" s="50"/>
      <c r="L242" s="50"/>
      <c r="M242" s="50"/>
      <c r="N242" s="50"/>
      <c r="O242" s="50"/>
      <c r="P242" s="50"/>
      <c r="Q242"/>
    </row>
    <row r="243" spans="1:17" x14ac:dyDescent="0.25">
      <c r="A243"/>
      <c r="B243"/>
      <c r="C243"/>
      <c r="D243"/>
      <c r="E243"/>
      <c r="F243" s="50"/>
      <c r="G243" s="50"/>
      <c r="H243" s="50"/>
      <c r="I243" s="50"/>
      <c r="J243" s="50"/>
      <c r="K243" s="50"/>
      <c r="L243" s="50"/>
      <c r="M243" s="50"/>
      <c r="N243" s="50"/>
      <c r="O243" s="50"/>
      <c r="P243" s="50"/>
      <c r="Q243"/>
    </row>
    <row r="244" spans="1:17" x14ac:dyDescent="0.25">
      <c r="A244"/>
      <c r="B244"/>
      <c r="C244"/>
      <c r="D244"/>
      <c r="E244"/>
      <c r="F244" s="50"/>
      <c r="G244" s="50"/>
      <c r="H244" s="50"/>
      <c r="I244" s="50"/>
      <c r="J244" s="50"/>
      <c r="K244" s="50"/>
      <c r="L244" s="50"/>
      <c r="M244" s="50"/>
      <c r="N244" s="50"/>
      <c r="O244" s="50"/>
      <c r="P244" s="50"/>
      <c r="Q244"/>
    </row>
    <row r="245" spans="1:17" x14ac:dyDescent="0.25">
      <c r="A245"/>
      <c r="B245"/>
      <c r="C245"/>
      <c r="D245"/>
      <c r="E245"/>
      <c r="F245" s="50"/>
      <c r="G245" s="50"/>
      <c r="H245" s="50"/>
      <c r="I245" s="50"/>
      <c r="J245" s="50"/>
      <c r="K245" s="50"/>
      <c r="L245" s="50"/>
      <c r="M245" s="50"/>
      <c r="N245" s="50"/>
      <c r="O245" s="50"/>
      <c r="P245" s="50"/>
      <c r="Q245"/>
    </row>
    <row r="246" spans="1:17" x14ac:dyDescent="0.25">
      <c r="A246"/>
      <c r="B246"/>
      <c r="C246"/>
      <c r="D246"/>
      <c r="E246"/>
      <c r="F246" s="50"/>
      <c r="G246" s="50"/>
      <c r="H246" s="50"/>
      <c r="I246" s="50"/>
      <c r="J246" s="50"/>
      <c r="K246" s="50"/>
      <c r="L246" s="50"/>
      <c r="M246" s="50"/>
      <c r="N246" s="50"/>
      <c r="O246" s="50"/>
      <c r="P246" s="50"/>
      <c r="Q246"/>
    </row>
    <row r="247" spans="1:17" x14ac:dyDescent="0.25">
      <c r="A247"/>
      <c r="B247"/>
      <c r="C247"/>
      <c r="D247"/>
      <c r="E247"/>
      <c r="F247" s="50"/>
      <c r="G247" s="50"/>
      <c r="H247" s="50"/>
      <c r="I247" s="50"/>
      <c r="J247" s="50"/>
      <c r="K247" s="50"/>
      <c r="L247" s="50"/>
      <c r="M247" s="50"/>
      <c r="N247" s="50"/>
      <c r="O247" s="50"/>
      <c r="P247" s="50"/>
      <c r="Q247"/>
    </row>
    <row r="248" spans="1:17" x14ac:dyDescent="0.25">
      <c r="A248"/>
      <c r="B248"/>
      <c r="C248"/>
      <c r="D248"/>
      <c r="E248"/>
      <c r="F248" s="50"/>
      <c r="G248" s="50"/>
      <c r="H248" s="50"/>
      <c r="I248" s="50"/>
      <c r="J248" s="50"/>
      <c r="K248" s="50"/>
      <c r="L248" s="50"/>
      <c r="M248" s="50"/>
      <c r="N248" s="50"/>
      <c r="O248" s="50"/>
      <c r="P248" s="50"/>
      <c r="Q248"/>
    </row>
    <row r="249" spans="1:17" x14ac:dyDescent="0.25">
      <c r="A249"/>
      <c r="B249"/>
      <c r="C249"/>
      <c r="D249"/>
      <c r="E249"/>
      <c r="F249" s="50"/>
      <c r="G249" s="50"/>
      <c r="H249" s="50"/>
      <c r="I249" s="50"/>
      <c r="J249" s="50"/>
      <c r="K249" s="50"/>
      <c r="L249" s="50"/>
      <c r="M249" s="50"/>
      <c r="N249" s="50"/>
      <c r="O249" s="50"/>
      <c r="P249" s="50"/>
      <c r="Q249"/>
    </row>
    <row r="250" spans="1:17" x14ac:dyDescent="0.25">
      <c r="A250"/>
      <c r="B250"/>
      <c r="C250"/>
      <c r="D250"/>
      <c r="E250"/>
      <c r="F250" s="50"/>
      <c r="G250" s="50"/>
      <c r="H250" s="50"/>
      <c r="I250" s="50"/>
      <c r="J250" s="50"/>
      <c r="K250" s="50"/>
      <c r="L250" s="50"/>
      <c r="M250" s="50"/>
      <c r="N250" s="50"/>
      <c r="O250" s="50"/>
      <c r="P250" s="50"/>
      <c r="Q250"/>
    </row>
    <row r="251" spans="1:17" x14ac:dyDescent="0.25">
      <c r="A251"/>
      <c r="B251"/>
      <c r="C251"/>
      <c r="D251"/>
      <c r="E251"/>
      <c r="F251" s="50"/>
      <c r="G251" s="50"/>
      <c r="H251" s="50"/>
      <c r="I251" s="50"/>
      <c r="J251" s="50"/>
      <c r="K251" s="50"/>
      <c r="L251" s="50"/>
      <c r="M251" s="50"/>
      <c r="N251" s="50"/>
      <c r="O251" s="50"/>
      <c r="P251" s="50"/>
      <c r="Q251"/>
    </row>
    <row r="252" spans="1:17" x14ac:dyDescent="0.25">
      <c r="A252"/>
      <c r="B252"/>
      <c r="C252"/>
      <c r="D252"/>
      <c r="E252"/>
      <c r="F252" s="50"/>
      <c r="G252" s="50"/>
      <c r="H252" s="50"/>
      <c r="I252" s="50"/>
      <c r="J252" s="50"/>
      <c r="K252" s="50"/>
      <c r="L252" s="50"/>
      <c r="M252" s="50"/>
      <c r="N252" s="50"/>
      <c r="O252" s="50"/>
      <c r="P252" s="50"/>
      <c r="Q252"/>
    </row>
    <row r="253" spans="1:17" x14ac:dyDescent="0.25">
      <c r="A253"/>
      <c r="B253"/>
      <c r="C253"/>
      <c r="D253"/>
      <c r="E253"/>
      <c r="F253" s="50"/>
      <c r="G253" s="50"/>
      <c r="H253" s="50"/>
      <c r="I253" s="50"/>
      <c r="J253" s="50"/>
      <c r="K253" s="50"/>
      <c r="L253" s="50"/>
      <c r="M253" s="50"/>
      <c r="N253" s="50"/>
      <c r="O253" s="50"/>
      <c r="P253" s="50"/>
      <c r="Q253"/>
    </row>
    <row r="254" spans="1:17" x14ac:dyDescent="0.25">
      <c r="A254"/>
      <c r="B254"/>
      <c r="C254"/>
      <c r="D254"/>
      <c r="E254"/>
      <c r="F254" s="50"/>
      <c r="G254" s="50"/>
      <c r="H254" s="50"/>
      <c r="I254" s="50"/>
      <c r="J254" s="50"/>
      <c r="K254" s="50"/>
      <c r="L254" s="50"/>
      <c r="M254" s="50"/>
      <c r="N254" s="50"/>
      <c r="O254" s="50"/>
      <c r="P254" s="50"/>
      <c r="Q254"/>
    </row>
    <row r="255" spans="1:17" x14ac:dyDescent="0.25">
      <c r="A255"/>
      <c r="B255"/>
      <c r="C255"/>
      <c r="D255"/>
      <c r="E255"/>
      <c r="F255" s="50"/>
      <c r="G255" s="50"/>
      <c r="H255" s="50"/>
      <c r="I255" s="50"/>
      <c r="J255" s="50"/>
      <c r="K255" s="50"/>
      <c r="L255" s="50"/>
      <c r="M255" s="50"/>
      <c r="N255" s="50"/>
      <c r="O255" s="50"/>
      <c r="P255" s="50"/>
      <c r="Q255"/>
    </row>
    <row r="256" spans="1:17" x14ac:dyDescent="0.25">
      <c r="A256"/>
      <c r="B256"/>
      <c r="C256"/>
      <c r="D256"/>
      <c r="E256"/>
      <c r="F256" s="50"/>
      <c r="G256" s="50"/>
      <c r="H256" s="50"/>
      <c r="I256" s="50"/>
      <c r="J256" s="50"/>
      <c r="K256" s="50"/>
      <c r="L256" s="50"/>
      <c r="M256" s="50"/>
      <c r="N256" s="50"/>
      <c r="O256" s="50"/>
      <c r="P256" s="50"/>
      <c r="Q256"/>
    </row>
    <row r="257" spans="1:17" x14ac:dyDescent="0.25">
      <c r="A257"/>
      <c r="B257"/>
      <c r="C257"/>
      <c r="D257"/>
      <c r="E257"/>
      <c r="F257" s="50"/>
      <c r="G257" s="50"/>
      <c r="H257" s="50"/>
      <c r="I257" s="50"/>
      <c r="J257" s="50"/>
      <c r="K257" s="50"/>
      <c r="L257" s="50"/>
      <c r="M257" s="50"/>
      <c r="N257" s="50"/>
      <c r="O257" s="50"/>
      <c r="P257" s="50"/>
      <c r="Q257"/>
    </row>
    <row r="258" spans="1:17" x14ac:dyDescent="0.25">
      <c r="A258"/>
      <c r="B258"/>
      <c r="C258"/>
      <c r="D258"/>
      <c r="E258"/>
      <c r="F258" s="50"/>
      <c r="G258" s="50"/>
      <c r="H258" s="50"/>
      <c r="I258" s="50"/>
      <c r="J258" s="50"/>
      <c r="K258" s="50"/>
      <c r="L258" s="50"/>
      <c r="M258" s="50"/>
      <c r="N258" s="50"/>
      <c r="O258" s="50"/>
      <c r="P258" s="50"/>
      <c r="Q258"/>
    </row>
    <row r="259" spans="1:17" x14ac:dyDescent="0.25">
      <c r="A259"/>
      <c r="B259"/>
      <c r="C259"/>
      <c r="D259"/>
      <c r="E259"/>
      <c r="F259" s="50"/>
      <c r="G259" s="50"/>
      <c r="H259" s="50"/>
      <c r="I259" s="50"/>
      <c r="J259" s="50"/>
      <c r="K259" s="50"/>
      <c r="L259" s="50"/>
      <c r="M259" s="50"/>
      <c r="N259" s="50"/>
      <c r="O259" s="50"/>
      <c r="P259" s="50"/>
      <c r="Q259"/>
    </row>
    <row r="260" spans="1:17" x14ac:dyDescent="0.25">
      <c r="A260"/>
      <c r="B260"/>
      <c r="C260"/>
      <c r="D260"/>
      <c r="E260"/>
      <c r="F260" s="50"/>
      <c r="G260" s="50"/>
      <c r="H260" s="50"/>
      <c r="I260" s="50"/>
      <c r="J260" s="50"/>
      <c r="K260" s="50"/>
      <c r="L260" s="50"/>
      <c r="M260" s="50"/>
      <c r="N260" s="50"/>
      <c r="O260" s="50"/>
      <c r="P260" s="50"/>
      <c r="Q260"/>
    </row>
    <row r="261" spans="1:17" x14ac:dyDescent="0.25">
      <c r="A261"/>
      <c r="B261"/>
      <c r="C261"/>
      <c r="D261"/>
      <c r="E261"/>
      <c r="F261" s="50"/>
      <c r="G261" s="50"/>
      <c r="H261" s="50"/>
      <c r="I261" s="50"/>
      <c r="J261" s="50"/>
      <c r="K261" s="50"/>
      <c r="L261" s="50"/>
      <c r="M261" s="50"/>
      <c r="N261" s="50"/>
      <c r="O261" s="50"/>
      <c r="P261" s="50"/>
      <c r="Q261"/>
    </row>
    <row r="262" spans="1:17" x14ac:dyDescent="0.25">
      <c r="A262"/>
      <c r="B262"/>
      <c r="C262"/>
      <c r="D262"/>
      <c r="E262"/>
      <c r="F262" s="50"/>
      <c r="G262" s="50"/>
      <c r="H262" s="50"/>
      <c r="I262" s="50"/>
      <c r="J262" s="50"/>
      <c r="K262" s="50"/>
      <c r="L262" s="50"/>
      <c r="M262" s="50"/>
      <c r="N262" s="50"/>
      <c r="O262" s="50"/>
      <c r="P262" s="50"/>
      <c r="Q262"/>
    </row>
    <row r="263" spans="1:17" x14ac:dyDescent="0.25">
      <c r="A263"/>
      <c r="B263"/>
      <c r="C263"/>
      <c r="D263"/>
      <c r="E263"/>
      <c r="F263" s="50"/>
      <c r="G263" s="50"/>
      <c r="H263" s="50"/>
      <c r="I263" s="50"/>
      <c r="J263" s="50"/>
      <c r="K263" s="50"/>
      <c r="L263" s="50"/>
      <c r="M263" s="50"/>
      <c r="N263" s="50"/>
      <c r="O263" s="50"/>
      <c r="P263" s="50"/>
      <c r="Q263"/>
    </row>
    <row r="264" spans="1:17" x14ac:dyDescent="0.25">
      <c r="A264"/>
      <c r="B264"/>
      <c r="C264"/>
      <c r="D264"/>
      <c r="E264"/>
      <c r="F264" s="50"/>
      <c r="G264" s="50"/>
      <c r="H264" s="50"/>
      <c r="I264" s="50"/>
      <c r="J264" s="50"/>
      <c r="K264" s="50"/>
      <c r="L264" s="50"/>
      <c r="M264" s="50"/>
      <c r="N264" s="50"/>
      <c r="O264" s="50"/>
      <c r="P264" s="50"/>
      <c r="Q264"/>
    </row>
    <row r="265" spans="1:17" x14ac:dyDescent="0.25">
      <c r="A265"/>
      <c r="B265"/>
      <c r="C265"/>
      <c r="D265"/>
      <c r="E265"/>
      <c r="F265" s="50"/>
      <c r="G265" s="50"/>
      <c r="H265" s="50"/>
      <c r="I265" s="50"/>
      <c r="J265" s="50"/>
      <c r="K265" s="50"/>
      <c r="L265" s="50"/>
      <c r="M265" s="50"/>
      <c r="N265" s="50"/>
      <c r="O265" s="50"/>
      <c r="P265" s="50"/>
      <c r="Q265"/>
    </row>
    <row r="266" spans="1:17" x14ac:dyDescent="0.25">
      <c r="A266"/>
      <c r="B266"/>
      <c r="C266"/>
      <c r="D266"/>
      <c r="E266"/>
      <c r="F266" s="50"/>
      <c r="G266" s="50"/>
      <c r="H266" s="50"/>
      <c r="I266" s="50"/>
      <c r="J266" s="50"/>
      <c r="K266" s="50"/>
      <c r="L266" s="50"/>
      <c r="M266" s="50"/>
      <c r="N266" s="50"/>
      <c r="O266" s="50"/>
      <c r="P266" s="50"/>
      <c r="Q266"/>
    </row>
    <row r="267" spans="1:17" x14ac:dyDescent="0.25">
      <c r="A267"/>
      <c r="B267"/>
      <c r="C267"/>
      <c r="D267"/>
      <c r="E267"/>
      <c r="F267" s="50"/>
      <c r="G267" s="50"/>
      <c r="H267" s="50"/>
      <c r="I267" s="50"/>
      <c r="J267" s="50"/>
      <c r="K267" s="50"/>
      <c r="L267" s="50"/>
      <c r="M267" s="50"/>
      <c r="N267" s="50"/>
      <c r="O267" s="50"/>
      <c r="P267" s="50"/>
      <c r="Q267"/>
    </row>
    <row r="268" spans="1:17" x14ac:dyDescent="0.25">
      <c r="A268"/>
      <c r="B268"/>
      <c r="C268"/>
      <c r="D268"/>
      <c r="E268"/>
      <c r="F268" s="50"/>
      <c r="G268" s="50"/>
      <c r="H268" s="50"/>
      <c r="I268" s="50"/>
      <c r="J268" s="50"/>
      <c r="K268" s="50"/>
      <c r="L268" s="50"/>
      <c r="M268" s="50"/>
      <c r="N268" s="50"/>
      <c r="O268" s="50"/>
      <c r="P268" s="50"/>
      <c r="Q268"/>
    </row>
    <row r="269" spans="1:17" x14ac:dyDescent="0.25">
      <c r="A269"/>
      <c r="B269"/>
      <c r="C269"/>
      <c r="D269"/>
      <c r="E269"/>
      <c r="F269" s="50"/>
      <c r="G269" s="50"/>
      <c r="H269" s="50"/>
      <c r="I269" s="50"/>
      <c r="J269" s="50"/>
      <c r="K269" s="50"/>
      <c r="L269" s="50"/>
      <c r="M269" s="50"/>
      <c r="N269" s="50"/>
      <c r="O269" s="50"/>
      <c r="P269" s="50"/>
      <c r="Q269"/>
    </row>
    <row r="270" spans="1:17" x14ac:dyDescent="0.25">
      <c r="A270"/>
      <c r="B270"/>
      <c r="C270"/>
      <c r="D270"/>
      <c r="E270"/>
      <c r="F270" s="50"/>
      <c r="G270" s="50"/>
      <c r="H270" s="50"/>
      <c r="I270" s="50"/>
      <c r="J270" s="50"/>
      <c r="K270" s="50"/>
      <c r="L270" s="50"/>
      <c r="M270" s="50"/>
      <c r="N270" s="50"/>
      <c r="O270" s="50"/>
      <c r="P270" s="50"/>
      <c r="Q270"/>
    </row>
    <row r="271" spans="1:17" x14ac:dyDescent="0.25">
      <c r="A271"/>
      <c r="B271"/>
      <c r="C271"/>
      <c r="D271"/>
      <c r="E271"/>
      <c r="F271" s="50"/>
      <c r="G271" s="50"/>
      <c r="H271" s="50"/>
      <c r="I271" s="50"/>
      <c r="J271" s="50"/>
      <c r="K271" s="50"/>
      <c r="L271" s="50"/>
      <c r="M271" s="50"/>
      <c r="N271" s="50"/>
      <c r="O271" s="50"/>
      <c r="P271" s="50"/>
      <c r="Q271"/>
    </row>
    <row r="272" spans="1:17" x14ac:dyDescent="0.25">
      <c r="A272"/>
      <c r="B272"/>
      <c r="C272"/>
      <c r="D272"/>
      <c r="E272"/>
      <c r="F272" s="50"/>
      <c r="G272" s="50"/>
      <c r="H272" s="50"/>
      <c r="I272" s="50"/>
      <c r="J272" s="50"/>
      <c r="K272" s="50"/>
      <c r="L272" s="50"/>
      <c r="M272" s="50"/>
      <c r="N272" s="50"/>
      <c r="O272" s="50"/>
      <c r="P272" s="50"/>
      <c r="Q272"/>
    </row>
    <row r="273" spans="1:17" x14ac:dyDescent="0.25">
      <c r="A273"/>
      <c r="B273"/>
      <c r="C273"/>
      <c r="D273"/>
      <c r="E273"/>
      <c r="F273" s="50"/>
      <c r="G273" s="50"/>
      <c r="H273" s="50"/>
      <c r="I273" s="50"/>
      <c r="J273" s="50"/>
      <c r="K273" s="50"/>
      <c r="L273" s="50"/>
      <c r="M273" s="50"/>
      <c r="N273" s="50"/>
      <c r="O273" s="50"/>
      <c r="P273" s="50"/>
      <c r="Q273"/>
    </row>
    <row r="274" spans="1:17" x14ac:dyDescent="0.25">
      <c r="A274"/>
      <c r="B274"/>
      <c r="C274"/>
      <c r="D274"/>
      <c r="E274"/>
      <c r="F274" s="50"/>
      <c r="G274" s="50"/>
      <c r="H274" s="50"/>
      <c r="I274" s="50"/>
      <c r="J274" s="50"/>
      <c r="K274" s="50"/>
      <c r="L274" s="50"/>
      <c r="M274" s="50"/>
      <c r="N274" s="50"/>
      <c r="O274" s="50"/>
      <c r="P274" s="50"/>
      <c r="Q274"/>
    </row>
    <row r="275" spans="1:17" x14ac:dyDescent="0.25">
      <c r="A275"/>
      <c r="B275"/>
      <c r="C275"/>
      <c r="D275"/>
      <c r="E275"/>
      <c r="F275" s="50"/>
      <c r="G275" s="50"/>
      <c r="H275" s="50"/>
      <c r="I275" s="50"/>
      <c r="J275" s="50"/>
      <c r="K275" s="50"/>
      <c r="L275" s="50"/>
      <c r="M275" s="50"/>
      <c r="N275" s="50"/>
      <c r="O275" s="50"/>
      <c r="P275" s="50"/>
      <c r="Q275"/>
    </row>
    <row r="276" spans="1:17" x14ac:dyDescent="0.25">
      <c r="A276"/>
      <c r="B276"/>
      <c r="C276"/>
      <c r="D276"/>
      <c r="E276"/>
      <c r="F276" s="50"/>
      <c r="G276" s="50"/>
      <c r="H276" s="50"/>
      <c r="I276" s="50"/>
      <c r="J276" s="50"/>
      <c r="K276" s="50"/>
      <c r="L276" s="50"/>
      <c r="M276" s="50"/>
      <c r="N276" s="50"/>
      <c r="O276" s="50"/>
      <c r="P276" s="50"/>
      <c r="Q276"/>
    </row>
    <row r="277" spans="1:17" x14ac:dyDescent="0.25">
      <c r="A277"/>
      <c r="B277"/>
      <c r="C277"/>
      <c r="D277"/>
      <c r="E277"/>
      <c r="F277" s="50"/>
      <c r="G277" s="50"/>
      <c r="H277" s="50"/>
      <c r="I277" s="50"/>
      <c r="J277" s="50"/>
      <c r="K277" s="50"/>
      <c r="L277" s="50"/>
      <c r="M277" s="50"/>
      <c r="N277" s="50"/>
      <c r="O277" s="50"/>
      <c r="P277" s="50"/>
      <c r="Q277"/>
    </row>
    <row r="278" spans="1:17" x14ac:dyDescent="0.25">
      <c r="A278"/>
      <c r="B278"/>
      <c r="C278"/>
      <c r="D278"/>
      <c r="E278"/>
      <c r="F278" s="50"/>
      <c r="G278" s="50"/>
      <c r="H278" s="50"/>
      <c r="I278" s="50"/>
      <c r="J278" s="50"/>
      <c r="K278" s="50"/>
      <c r="L278" s="50"/>
      <c r="M278" s="50"/>
      <c r="N278" s="50"/>
      <c r="O278" s="50"/>
      <c r="P278" s="50"/>
      <c r="Q278"/>
    </row>
    <row r="279" spans="1:17" x14ac:dyDescent="0.25">
      <c r="A279"/>
      <c r="B279"/>
      <c r="C279"/>
      <c r="D279"/>
      <c r="E279"/>
      <c r="F279" s="50"/>
      <c r="G279" s="50"/>
      <c r="H279" s="50"/>
      <c r="I279" s="50"/>
      <c r="J279" s="50"/>
      <c r="K279" s="50"/>
      <c r="L279" s="50"/>
      <c r="M279" s="50"/>
      <c r="N279" s="50"/>
      <c r="O279" s="50"/>
      <c r="P279" s="50"/>
      <c r="Q279"/>
    </row>
    <row r="280" spans="1:17" x14ac:dyDescent="0.25">
      <c r="A280"/>
      <c r="B280"/>
      <c r="C280"/>
      <c r="D280"/>
      <c r="E280"/>
      <c r="F280" s="50"/>
      <c r="G280" s="50"/>
      <c r="H280" s="50"/>
      <c r="I280" s="50"/>
      <c r="J280" s="50"/>
      <c r="K280" s="50"/>
      <c r="L280" s="50"/>
      <c r="M280" s="50"/>
      <c r="N280" s="50"/>
      <c r="O280" s="50"/>
      <c r="P280" s="50"/>
      <c r="Q280"/>
    </row>
    <row r="281" spans="1:17" x14ac:dyDescent="0.25">
      <c r="A281"/>
      <c r="B281"/>
      <c r="C281"/>
      <c r="D281"/>
      <c r="E281"/>
      <c r="F281" s="50"/>
      <c r="G281" s="50"/>
      <c r="H281" s="50"/>
      <c r="I281" s="50"/>
      <c r="J281" s="50"/>
      <c r="K281" s="50"/>
      <c r="L281" s="50"/>
      <c r="M281" s="50"/>
      <c r="N281" s="50"/>
      <c r="O281" s="50"/>
      <c r="P281" s="50"/>
      <c r="Q281"/>
    </row>
    <row r="282" spans="1:17" x14ac:dyDescent="0.25">
      <c r="A282"/>
      <c r="B282"/>
      <c r="C282"/>
      <c r="D282"/>
      <c r="E282"/>
      <c r="F282" s="50"/>
      <c r="G282" s="50"/>
      <c r="H282" s="50"/>
      <c r="I282" s="50"/>
      <c r="J282" s="50"/>
      <c r="K282" s="50"/>
      <c r="L282" s="50"/>
      <c r="M282" s="50"/>
      <c r="N282" s="50"/>
      <c r="O282" s="50"/>
      <c r="P282" s="50"/>
      <c r="Q282"/>
    </row>
    <row r="283" spans="1:17" x14ac:dyDescent="0.25">
      <c r="A283"/>
      <c r="B283"/>
      <c r="C283"/>
      <c r="D283"/>
      <c r="E283"/>
      <c r="F283" s="50"/>
      <c r="G283" s="50"/>
      <c r="H283" s="50"/>
      <c r="I283" s="50"/>
      <c r="J283" s="50"/>
      <c r="K283" s="50"/>
      <c r="L283" s="50"/>
      <c r="M283" s="50"/>
      <c r="N283" s="50"/>
      <c r="O283" s="50"/>
      <c r="P283" s="50"/>
      <c r="Q283"/>
    </row>
    <row r="284" spans="1:17" x14ac:dyDescent="0.25">
      <c r="A284"/>
      <c r="B284"/>
      <c r="C284"/>
      <c r="D284"/>
      <c r="E284"/>
      <c r="F284" s="50"/>
      <c r="G284" s="50"/>
      <c r="H284" s="50"/>
      <c r="I284" s="50"/>
      <c r="J284" s="50"/>
      <c r="K284" s="50"/>
      <c r="L284" s="50"/>
      <c r="M284" s="50"/>
      <c r="N284" s="50"/>
      <c r="O284" s="50"/>
      <c r="P284" s="50"/>
      <c r="Q284"/>
    </row>
    <row r="285" spans="1:17" x14ac:dyDescent="0.25">
      <c r="A285"/>
      <c r="B285"/>
      <c r="C285"/>
      <c r="D285"/>
      <c r="E285"/>
      <c r="F285" s="50"/>
      <c r="G285" s="50"/>
      <c r="H285" s="50"/>
      <c r="I285" s="50"/>
      <c r="J285" s="50"/>
      <c r="K285" s="50"/>
      <c r="L285" s="50"/>
      <c r="M285" s="50"/>
      <c r="N285" s="50"/>
      <c r="O285" s="50"/>
      <c r="P285" s="50"/>
      <c r="Q285"/>
    </row>
    <row r="286" spans="1:17" x14ac:dyDescent="0.25">
      <c r="A286"/>
      <c r="B286"/>
      <c r="C286"/>
      <c r="D286"/>
      <c r="E286"/>
      <c r="F286" s="50"/>
      <c r="G286" s="50"/>
      <c r="H286" s="50"/>
      <c r="I286" s="50"/>
      <c r="J286" s="50"/>
      <c r="K286" s="50"/>
      <c r="L286" s="50"/>
      <c r="M286" s="50"/>
      <c r="N286" s="50"/>
      <c r="O286" s="50"/>
      <c r="P286" s="50"/>
      <c r="Q286"/>
    </row>
    <row r="287" spans="1:17" x14ac:dyDescent="0.25">
      <c r="A287"/>
      <c r="B287"/>
      <c r="C287"/>
      <c r="D287"/>
      <c r="E287"/>
      <c r="F287" s="50"/>
      <c r="G287" s="50"/>
      <c r="H287" s="50"/>
      <c r="I287" s="50"/>
      <c r="J287" s="50"/>
      <c r="K287" s="50"/>
      <c r="L287" s="50"/>
      <c r="M287" s="50"/>
      <c r="N287" s="50"/>
      <c r="O287" s="50"/>
      <c r="P287" s="50"/>
      <c r="Q287"/>
    </row>
    <row r="288" spans="1:17" x14ac:dyDescent="0.25">
      <c r="A288"/>
      <c r="B288"/>
      <c r="C288"/>
      <c r="D288"/>
      <c r="E288"/>
      <c r="F288" s="50"/>
      <c r="G288" s="50"/>
      <c r="H288" s="50"/>
      <c r="I288" s="50"/>
      <c r="J288" s="50"/>
      <c r="K288" s="50"/>
      <c r="L288" s="50"/>
      <c r="M288" s="50"/>
      <c r="N288" s="50"/>
      <c r="O288" s="50"/>
      <c r="P288" s="50"/>
      <c r="Q288"/>
    </row>
    <row r="289" spans="1:17" x14ac:dyDescent="0.25">
      <c r="A289"/>
      <c r="B289"/>
      <c r="C289"/>
      <c r="D289"/>
      <c r="E289"/>
      <c r="F289" s="50"/>
      <c r="G289" s="50"/>
      <c r="H289" s="50"/>
      <c r="I289" s="50"/>
      <c r="J289" s="50"/>
      <c r="K289" s="50"/>
      <c r="L289" s="50"/>
      <c r="M289" s="50"/>
      <c r="N289" s="50"/>
      <c r="O289" s="50"/>
      <c r="P289" s="50"/>
      <c r="Q289"/>
    </row>
    <row r="290" spans="1:17" x14ac:dyDescent="0.25">
      <c r="A290"/>
      <c r="B290"/>
      <c r="C290"/>
      <c r="D290"/>
      <c r="E290"/>
      <c r="F290" s="50"/>
      <c r="G290" s="50"/>
      <c r="H290" s="50"/>
      <c r="I290" s="50"/>
      <c r="J290" s="50"/>
      <c r="K290" s="50"/>
      <c r="L290" s="50"/>
      <c r="M290" s="50"/>
      <c r="N290" s="50"/>
      <c r="O290" s="50"/>
      <c r="P290" s="50"/>
      <c r="Q290"/>
    </row>
    <row r="291" spans="1:17" x14ac:dyDescent="0.25">
      <c r="A291"/>
      <c r="B291"/>
      <c r="C291"/>
      <c r="D291"/>
      <c r="E291"/>
      <c r="F291" s="50"/>
      <c r="G291" s="50"/>
      <c r="H291" s="50"/>
      <c r="I291" s="50"/>
      <c r="J291" s="50"/>
      <c r="K291" s="50"/>
      <c r="L291" s="50"/>
      <c r="M291" s="50"/>
      <c r="N291" s="50"/>
      <c r="O291" s="50"/>
      <c r="P291" s="50"/>
      <c r="Q291"/>
    </row>
    <row r="292" spans="1:17" x14ac:dyDescent="0.25">
      <c r="A292"/>
      <c r="B292"/>
      <c r="C292"/>
      <c r="D292"/>
      <c r="E292"/>
      <c r="F292" s="50"/>
      <c r="G292" s="50"/>
      <c r="H292" s="50"/>
      <c r="I292" s="50"/>
      <c r="J292" s="50"/>
      <c r="K292" s="50"/>
      <c r="L292" s="50"/>
      <c r="M292" s="50"/>
      <c r="N292" s="50"/>
      <c r="O292" s="50"/>
      <c r="P292" s="50"/>
      <c r="Q292"/>
    </row>
    <row r="293" spans="1:17" x14ac:dyDescent="0.25">
      <c r="A293"/>
      <c r="B293"/>
      <c r="C293"/>
      <c r="D293"/>
      <c r="E293"/>
      <c r="F293" s="50"/>
      <c r="G293" s="50"/>
      <c r="H293" s="50"/>
      <c r="I293" s="50"/>
      <c r="J293" s="50"/>
      <c r="K293" s="50"/>
      <c r="L293" s="50"/>
      <c r="M293" s="50"/>
      <c r="N293" s="50"/>
      <c r="O293" s="50"/>
      <c r="P293" s="50"/>
      <c r="Q293"/>
    </row>
    <row r="294" spans="1:17" x14ac:dyDescent="0.25">
      <c r="A294"/>
      <c r="B294"/>
      <c r="C294"/>
      <c r="D294"/>
      <c r="E294"/>
      <c r="F294" s="50"/>
      <c r="G294" s="50"/>
      <c r="H294" s="50"/>
      <c r="I294" s="50"/>
      <c r="J294" s="50"/>
      <c r="K294" s="50"/>
      <c r="L294" s="50"/>
      <c r="M294" s="50"/>
      <c r="N294" s="50"/>
      <c r="O294" s="50"/>
      <c r="P294" s="50"/>
      <c r="Q294"/>
    </row>
    <row r="295" spans="1:17" x14ac:dyDescent="0.25">
      <c r="A295"/>
      <c r="B295"/>
      <c r="C295"/>
      <c r="D295"/>
      <c r="E295"/>
      <c r="F295" s="50"/>
      <c r="G295" s="50"/>
      <c r="H295" s="50"/>
      <c r="I295" s="50"/>
      <c r="J295" s="50"/>
      <c r="K295" s="50"/>
      <c r="L295" s="50"/>
      <c r="M295" s="50"/>
      <c r="N295" s="50"/>
      <c r="O295" s="50"/>
      <c r="P295" s="50"/>
      <c r="Q295"/>
    </row>
    <row r="296" spans="1:17" x14ac:dyDescent="0.25">
      <c r="A296"/>
      <c r="B296"/>
      <c r="C296"/>
      <c r="D296"/>
      <c r="E296"/>
      <c r="F296" s="50"/>
      <c r="G296" s="50"/>
      <c r="H296" s="50"/>
      <c r="I296" s="50"/>
      <c r="J296" s="50"/>
      <c r="K296" s="50"/>
      <c r="L296" s="50"/>
      <c r="M296" s="50"/>
      <c r="N296" s="50"/>
      <c r="O296" s="50"/>
      <c r="P296" s="50"/>
      <c r="Q296"/>
    </row>
    <row r="297" spans="1:17" x14ac:dyDescent="0.25">
      <c r="A297"/>
      <c r="B297"/>
      <c r="C297"/>
      <c r="D297"/>
      <c r="E297"/>
      <c r="F297" s="50"/>
      <c r="G297" s="50"/>
      <c r="H297" s="50"/>
      <c r="I297" s="50"/>
      <c r="J297" s="50"/>
      <c r="K297" s="50"/>
      <c r="L297" s="50"/>
      <c r="M297" s="50"/>
      <c r="N297" s="50"/>
      <c r="O297" s="50"/>
      <c r="P297" s="50"/>
      <c r="Q297"/>
    </row>
    <row r="298" spans="1:17" x14ac:dyDescent="0.25">
      <c r="A298"/>
      <c r="B298"/>
      <c r="C298"/>
      <c r="D298"/>
      <c r="E298"/>
      <c r="F298" s="50"/>
      <c r="G298" s="50"/>
      <c r="H298" s="50"/>
      <c r="I298" s="50"/>
      <c r="J298" s="50"/>
      <c r="K298" s="50"/>
      <c r="L298" s="50"/>
      <c r="M298" s="50"/>
      <c r="N298" s="50"/>
      <c r="O298" s="50"/>
      <c r="P298" s="50"/>
      <c r="Q298"/>
    </row>
    <row r="299" spans="1:17" x14ac:dyDescent="0.25">
      <c r="A299"/>
      <c r="B299"/>
      <c r="C299"/>
      <c r="D299"/>
      <c r="E299"/>
      <c r="F299" s="50"/>
      <c r="G299" s="50"/>
      <c r="H299" s="50"/>
      <c r="I299" s="50"/>
      <c r="J299" s="50"/>
      <c r="K299" s="50"/>
      <c r="L299" s="50"/>
      <c r="M299" s="50"/>
      <c r="N299" s="50"/>
      <c r="O299" s="50"/>
      <c r="P299" s="50"/>
      <c r="Q299"/>
    </row>
    <row r="300" spans="1:17" x14ac:dyDescent="0.25">
      <c r="A300"/>
      <c r="B300"/>
      <c r="C300"/>
      <c r="D300"/>
      <c r="E300"/>
      <c r="F300" s="50"/>
      <c r="G300" s="50"/>
      <c r="H300" s="50"/>
      <c r="I300" s="50"/>
      <c r="J300" s="50"/>
      <c r="K300" s="50"/>
      <c r="L300" s="50"/>
      <c r="M300" s="50"/>
      <c r="N300" s="50"/>
      <c r="O300" s="50"/>
      <c r="P300" s="50"/>
      <c r="Q300"/>
    </row>
    <row r="301" spans="1:17" x14ac:dyDescent="0.25">
      <c r="A301"/>
      <c r="B301"/>
      <c r="C301"/>
      <c r="D301"/>
      <c r="E301"/>
      <c r="F301" s="50"/>
      <c r="G301" s="50"/>
      <c r="H301" s="50"/>
      <c r="I301" s="50"/>
      <c r="J301" s="50"/>
      <c r="K301" s="50"/>
      <c r="L301" s="50"/>
      <c r="M301" s="50"/>
      <c r="N301" s="50"/>
      <c r="O301" s="50"/>
      <c r="P301" s="50"/>
      <c r="Q301"/>
    </row>
    <row r="302" spans="1:17" x14ac:dyDescent="0.25">
      <c r="A302"/>
      <c r="B302"/>
      <c r="C302"/>
      <c r="D302"/>
      <c r="E302"/>
      <c r="F302" s="50"/>
      <c r="G302" s="50"/>
      <c r="H302" s="50"/>
      <c r="I302" s="50"/>
      <c r="J302" s="50"/>
      <c r="K302" s="50"/>
      <c r="L302" s="50"/>
      <c r="M302" s="50"/>
      <c r="N302" s="50"/>
      <c r="O302" s="50"/>
      <c r="P302" s="50"/>
      <c r="Q302"/>
    </row>
    <row r="303" spans="1:17" x14ac:dyDescent="0.25">
      <c r="A303"/>
      <c r="B303"/>
      <c r="C303"/>
      <c r="D303"/>
      <c r="E303"/>
      <c r="F303" s="50"/>
      <c r="G303" s="50"/>
      <c r="H303" s="50"/>
      <c r="I303" s="50"/>
      <c r="J303" s="50"/>
      <c r="K303" s="50"/>
      <c r="L303" s="50"/>
      <c r="M303" s="50"/>
      <c r="N303" s="50"/>
      <c r="O303" s="50"/>
      <c r="P303" s="50"/>
      <c r="Q303"/>
    </row>
    <row r="304" spans="1:17" x14ac:dyDescent="0.25">
      <c r="A304"/>
      <c r="B304"/>
      <c r="C304"/>
      <c r="D304"/>
      <c r="E304"/>
      <c r="F304" s="50"/>
      <c r="G304" s="50"/>
      <c r="H304" s="50"/>
      <c r="I304" s="50"/>
      <c r="J304" s="50"/>
      <c r="K304" s="50"/>
      <c r="L304" s="50"/>
      <c r="M304" s="50"/>
      <c r="N304" s="50"/>
      <c r="O304" s="50"/>
      <c r="P304" s="50"/>
      <c r="Q304"/>
    </row>
    <row r="305" spans="1:17" x14ac:dyDescent="0.25">
      <c r="A305"/>
      <c r="B305"/>
      <c r="C305"/>
      <c r="D305"/>
      <c r="E305"/>
      <c r="F305" s="50"/>
      <c r="G305" s="50"/>
      <c r="H305" s="50"/>
      <c r="I305" s="50"/>
      <c r="J305" s="50"/>
      <c r="K305" s="50"/>
      <c r="L305" s="50"/>
      <c r="M305" s="50"/>
      <c r="N305" s="50"/>
      <c r="O305" s="50"/>
      <c r="P305" s="50"/>
      <c r="Q305"/>
    </row>
    <row r="306" spans="1:17" x14ac:dyDescent="0.25">
      <c r="A306"/>
      <c r="B306"/>
      <c r="C306"/>
      <c r="D306"/>
      <c r="E306"/>
      <c r="F306" s="50"/>
      <c r="G306" s="50"/>
      <c r="H306" s="50"/>
      <c r="I306" s="50"/>
      <c r="J306" s="50"/>
      <c r="K306" s="50"/>
      <c r="L306" s="50"/>
      <c r="M306" s="50"/>
      <c r="N306" s="50"/>
      <c r="O306" s="50"/>
      <c r="P306" s="50"/>
      <c r="Q306"/>
    </row>
    <row r="307" spans="1:17" x14ac:dyDescent="0.25">
      <c r="A307"/>
      <c r="B307"/>
      <c r="C307"/>
      <c r="D307"/>
      <c r="E307"/>
      <c r="F307" s="50"/>
      <c r="G307" s="50"/>
      <c r="H307" s="50"/>
      <c r="I307" s="50"/>
      <c r="J307" s="50"/>
      <c r="K307" s="50"/>
      <c r="L307" s="50"/>
      <c r="M307" s="50"/>
      <c r="N307" s="50"/>
      <c r="O307" s="50"/>
      <c r="P307" s="50"/>
      <c r="Q307"/>
    </row>
    <row r="308" spans="1:17" x14ac:dyDescent="0.25">
      <c r="A308"/>
      <c r="B308"/>
      <c r="C308"/>
      <c r="D308"/>
      <c r="E308"/>
      <c r="F308" s="50"/>
      <c r="G308" s="50"/>
      <c r="H308" s="50"/>
      <c r="I308" s="50"/>
      <c r="J308" s="50"/>
      <c r="K308" s="50"/>
      <c r="L308" s="50"/>
      <c r="M308" s="50"/>
      <c r="N308" s="50"/>
      <c r="O308" s="50"/>
      <c r="P308" s="50"/>
      <c r="Q308"/>
    </row>
    <row r="309" spans="1:17" x14ac:dyDescent="0.25">
      <c r="A309"/>
      <c r="B309"/>
      <c r="C309"/>
      <c r="D309"/>
      <c r="E309"/>
      <c r="F309" s="50"/>
      <c r="G309" s="50"/>
      <c r="H309" s="50"/>
      <c r="I309" s="50"/>
      <c r="J309" s="50"/>
      <c r="K309" s="50"/>
      <c r="L309" s="50"/>
      <c r="M309" s="50"/>
      <c r="N309" s="50"/>
      <c r="O309" s="50"/>
      <c r="P309" s="50"/>
      <c r="Q309"/>
    </row>
    <row r="310" spans="1:17" x14ac:dyDescent="0.25">
      <c r="A310"/>
      <c r="B310"/>
      <c r="C310"/>
      <c r="D310"/>
      <c r="E310"/>
      <c r="F310" s="50"/>
      <c r="G310" s="50"/>
      <c r="H310" s="50"/>
      <c r="I310" s="50"/>
      <c r="J310" s="50"/>
      <c r="K310" s="50"/>
      <c r="L310" s="50"/>
      <c r="M310" s="50"/>
      <c r="N310" s="50"/>
      <c r="O310" s="50"/>
      <c r="P310" s="50"/>
      <c r="Q310"/>
    </row>
    <row r="311" spans="1:17" x14ac:dyDescent="0.25">
      <c r="A311"/>
      <c r="B311"/>
      <c r="C311"/>
      <c r="D311"/>
      <c r="E311"/>
      <c r="F311" s="50"/>
      <c r="G311" s="50"/>
      <c r="H311" s="50"/>
      <c r="I311" s="50"/>
      <c r="J311" s="50"/>
      <c r="K311" s="50"/>
      <c r="L311" s="50"/>
      <c r="M311" s="50"/>
      <c r="N311" s="50"/>
      <c r="O311" s="50"/>
      <c r="P311" s="50"/>
      <c r="Q311"/>
    </row>
    <row r="312" spans="1:17" x14ac:dyDescent="0.25">
      <c r="A312"/>
      <c r="B312"/>
      <c r="C312"/>
      <c r="D312"/>
      <c r="E312"/>
      <c r="F312" s="50"/>
      <c r="G312" s="50"/>
      <c r="H312" s="50"/>
      <c r="I312" s="50"/>
      <c r="J312" s="50"/>
      <c r="K312" s="50"/>
      <c r="L312" s="50"/>
      <c r="M312" s="50"/>
      <c r="N312" s="50"/>
      <c r="O312" s="50"/>
      <c r="P312" s="50"/>
      <c r="Q312"/>
    </row>
  </sheetData>
  <autoFilter ref="B4:O4" xr:uid="{D89C810C-B74A-466E-910C-79F0C8D92D41}">
    <sortState ref="B8:O202">
      <sortCondition descending="1" ref="E4"/>
    </sortState>
  </autoFilter>
  <mergeCells count="13">
    <mergeCell ref="O3:O4"/>
    <mergeCell ref="G210:G211"/>
    <mergeCell ref="A1:A4"/>
    <mergeCell ref="B1:B4"/>
    <mergeCell ref="C1:C4"/>
    <mergeCell ref="D1:O1"/>
    <mergeCell ref="E2:E4"/>
    <mergeCell ref="F2:G2"/>
    <mergeCell ref="H2:J2"/>
    <mergeCell ref="K2:O2"/>
    <mergeCell ref="G3:G4"/>
    <mergeCell ref="J3:J4"/>
    <mergeCell ref="A207:D207"/>
  </mergeCells>
  <conditionalFormatting sqref="P202">
    <cfRule type="colorScale" priority="17">
      <colorScale>
        <cfvo type="min"/>
        <cfvo type="percentile" val="50"/>
        <cfvo type="max"/>
        <color rgb="FFF8696B"/>
        <color rgb="FFFFEB84"/>
        <color rgb="FF63BE7B"/>
      </colorScale>
    </cfRule>
  </conditionalFormatting>
  <conditionalFormatting sqref="P282:P1048576">
    <cfRule type="colorScale" priority="16">
      <colorScale>
        <cfvo type="min"/>
        <cfvo type="percentile" val="50"/>
        <cfvo type="max"/>
        <color rgb="FFF8696B"/>
        <color rgb="FFFFEB84"/>
        <color rgb="FF63BE7B"/>
      </colorScale>
    </cfRule>
  </conditionalFormatting>
  <conditionalFormatting sqref="P4:P201">
    <cfRule type="colorScale" priority="15">
      <colorScale>
        <cfvo type="min"/>
        <cfvo type="percentile" val="50"/>
        <cfvo type="max"/>
        <color rgb="FFF8696B"/>
        <color rgb="FFFFEB84"/>
        <color rgb="FF63BE7B"/>
      </colorScale>
    </cfRule>
  </conditionalFormatting>
  <conditionalFormatting sqref="E203">
    <cfRule type="colorScale" priority="14">
      <colorScale>
        <cfvo type="min"/>
        <cfvo type="percentile" val="50"/>
        <cfvo type="max"/>
        <color rgb="FFF8696B"/>
        <color rgb="FFFFEB84"/>
        <color rgb="FF63BE7B"/>
      </colorScale>
    </cfRule>
  </conditionalFormatting>
  <conditionalFormatting sqref="G5:G1048576 G3">
    <cfRule type="colorScale" priority="13">
      <colorScale>
        <cfvo type="min"/>
        <cfvo type="percentile" val="50"/>
        <cfvo type="max"/>
        <color rgb="FFF8696B"/>
        <color rgb="FFFFEB84"/>
        <color rgb="FF63BE7B"/>
      </colorScale>
    </cfRule>
  </conditionalFormatting>
  <conditionalFormatting sqref="F5:F202">
    <cfRule type="colorScale" priority="12">
      <colorScale>
        <cfvo type="min"/>
        <cfvo type="percentile" val="50"/>
        <cfvo type="max"/>
        <color rgb="FFF8696B"/>
        <color rgb="FFFFEB84"/>
        <color rgb="FF63BE7B"/>
      </colorScale>
    </cfRule>
  </conditionalFormatting>
  <conditionalFormatting sqref="H5:H202">
    <cfRule type="colorScale" priority="11">
      <colorScale>
        <cfvo type="min"/>
        <cfvo type="percentile" val="50"/>
        <cfvo type="max"/>
        <color rgb="FFF8696B"/>
        <color rgb="FFFFEB84"/>
        <color rgb="FF63BE7B"/>
      </colorScale>
    </cfRule>
  </conditionalFormatting>
  <conditionalFormatting sqref="I5:I202">
    <cfRule type="colorScale" priority="10">
      <colorScale>
        <cfvo type="min"/>
        <cfvo type="percentile" val="50"/>
        <cfvo type="num" val="0.5"/>
        <color rgb="FFF8696B"/>
        <color rgb="FFFFEB84"/>
        <color rgb="FF63BE7B"/>
      </colorScale>
    </cfRule>
  </conditionalFormatting>
  <conditionalFormatting sqref="J5:J202">
    <cfRule type="colorScale" priority="9">
      <colorScale>
        <cfvo type="min"/>
        <cfvo type="percentile" val="50"/>
        <cfvo type="max"/>
        <color rgb="FFF8696B"/>
        <color rgb="FFFFEB84"/>
        <color rgb="FF63BE7B"/>
      </colorScale>
    </cfRule>
  </conditionalFormatting>
  <conditionalFormatting sqref="J3">
    <cfRule type="colorScale" priority="8">
      <colorScale>
        <cfvo type="min"/>
        <cfvo type="percentile" val="50"/>
        <cfvo type="max"/>
        <color rgb="FFF8696B"/>
        <color rgb="FFFFEB84"/>
        <color rgb="FF63BE7B"/>
      </colorScale>
    </cfRule>
  </conditionalFormatting>
  <conditionalFormatting sqref="O3">
    <cfRule type="colorScale" priority="7">
      <colorScale>
        <cfvo type="min"/>
        <cfvo type="percentile" val="50"/>
        <cfvo type="max"/>
        <color rgb="FFF8696B"/>
        <color rgb="FFFFEB84"/>
        <color rgb="FF63BE7B"/>
      </colorScale>
    </cfRule>
  </conditionalFormatting>
  <conditionalFormatting sqref="M5:M202">
    <cfRule type="colorScale" priority="6">
      <colorScale>
        <cfvo type="min"/>
        <cfvo type="percentile" val="50"/>
        <cfvo type="num" val="100"/>
        <color rgb="FFF8696B"/>
        <color rgb="FFFFEB84"/>
        <color rgb="FF63BE7B"/>
      </colorScale>
    </cfRule>
  </conditionalFormatting>
  <conditionalFormatting sqref="K5:K202">
    <cfRule type="colorScale" priority="5">
      <colorScale>
        <cfvo type="min"/>
        <cfvo type="percentile" val="50"/>
        <cfvo type="max"/>
        <color rgb="FFF8696B"/>
        <color rgb="FFFFEB84"/>
        <color rgb="FF63BE7B"/>
      </colorScale>
    </cfRule>
  </conditionalFormatting>
  <conditionalFormatting sqref="N5:N202">
    <cfRule type="colorScale" priority="4">
      <colorScale>
        <cfvo type="min"/>
        <cfvo type="percentile" val="50"/>
        <cfvo type="max"/>
        <color rgb="FFF8696B"/>
        <color rgb="FFFFEB84"/>
        <color rgb="FF63BE7B"/>
      </colorScale>
    </cfRule>
  </conditionalFormatting>
  <conditionalFormatting sqref="O5:O202">
    <cfRule type="colorScale" priority="3">
      <colorScale>
        <cfvo type="min"/>
        <cfvo type="percentile" val="50"/>
        <cfvo type="max"/>
        <color rgb="FFF8696B"/>
        <color rgb="FFFFEB84"/>
        <color rgb="FF63BE7B"/>
      </colorScale>
    </cfRule>
  </conditionalFormatting>
  <conditionalFormatting sqref="E5:E202">
    <cfRule type="colorScale" priority="2">
      <colorScale>
        <cfvo type="min"/>
        <cfvo type="percentile" val="50"/>
        <cfvo type="max"/>
        <color rgb="FFF8696B"/>
        <color rgb="FFFFEB84"/>
        <color rgb="FF63BE7B"/>
      </colorScale>
    </cfRule>
  </conditionalFormatting>
  <conditionalFormatting sqref="L5:L202">
    <cfRule type="colorScale" priority="1">
      <colorScale>
        <cfvo type="min"/>
        <cfvo type="percentile" val="50"/>
        <cfvo type="max"/>
        <color rgb="FFF8696B"/>
        <color rgb="FFFFEB84"/>
        <color rgb="FF63BE7B"/>
      </colorScale>
    </cfRule>
  </conditionalFormatting>
  <hyperlinks>
    <hyperlink ref="F206" r:id="rId1" xr:uid="{8D6D35CC-63AF-4E3B-94FD-431BE15C4F3B}"/>
    <hyperlink ref="G209" r:id="rId2" xr:uid="{9BAD08BA-BB6C-41B4-B8AA-A93A0A12CAE6}"/>
    <hyperlink ref="G210" r:id="rId3" xr:uid="{41ACC01D-D302-4C04-A25B-D9A6753AC543}"/>
    <hyperlink ref="H206" r:id="rId4" xr:uid="{2F1820E6-86E3-4CA6-B063-23CF6A76AFB8}"/>
    <hyperlink ref="K206" r:id="rId5" xr:uid="{8877F859-EA84-4E3F-9D3B-26C190093648}"/>
    <hyperlink ref="M206" r:id="rId6" location="indicatorPaths=UIS-EducationOPRI%3A0%3AREPR.1.CP%2CUIS-EducationOPRI%3A0%3AGGR.6T7&amp;geoMode=countries&amp;geoUnits=&amp;browsePath=EDUCATION%2FUIS-EducationOPRI%2Fgraduation&amp;timeMode=range&amp;view=table&amp;chartMode=multiple&amp;tableIndicatorId=GGR.6T7&amp;chartIndicatorId=GGR.6T7&amp;chartHighlightSeries=&amp;chartHighlightEnabled=true" display="https://databrowser.uis.unesco.org/view#indicatorPaths=UIS-EducationOPRI%3A0%3AREPR.1.CP%2CUIS-EducationOPRI%3A0%3AGGR.6T7&amp;geoMode=countries&amp;geoUnits=&amp;browsePath=EDUCATION%2FUIS-EducationOPRI%2Fgraduation&amp;timeMode=range&amp;view=table&amp;chartMode=multiple&amp;tableIndicatorId=GGR.6T7&amp;chartIndicatorId=GGR.6T7&amp;chartHighlightSeries=&amp;chartHighlightEnabled=true" xr:uid="{1E68CC5A-7E02-4E33-B6E3-BD70820E5007}"/>
    <hyperlink ref="N206" r:id="rId7" xr:uid="{D407D2FB-7EFC-4E36-9C4F-600B44845BB6}"/>
    <hyperlink ref="K209" r:id="rId8" xr:uid="{9E1299E2-0880-4387-8124-41701B6DAAB2}"/>
    <hyperlink ref="K210" r:id="rId9" xr:uid="{FB1450F9-B621-4C76-8FDF-BA9021274A49}"/>
    <hyperlink ref="K211" r:id="rId10" xr:uid="{7F7633DC-AE70-4EB9-B4A7-7A9CCEC96C78}"/>
    <hyperlink ref="K212" r:id="rId11" xr:uid="{461B9317-8BBC-449F-90F6-E7DB4AD51A75}"/>
    <hyperlink ref="K213" r:id="rId12" xr:uid="{7DC63D9A-FFD9-4934-88D6-D9EE5DAFD96A}"/>
    <hyperlink ref="K214" r:id="rId13" xr:uid="{AC13D4A0-BCC0-4467-A3FB-BFB64761D715}"/>
    <hyperlink ref="K215" r:id="rId14" xr:uid="{3FE5D07C-D767-47ED-AECE-00E07995FE8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C079C-B3C0-4229-87B1-5EF73597BB8C}">
  <dimension ref="A1:M306"/>
  <sheetViews>
    <sheetView zoomScale="115" zoomScaleNormal="115" workbookViewId="0">
      <selection activeCell="E209" sqref="E209"/>
    </sheetView>
  </sheetViews>
  <sheetFormatPr baseColWidth="10" defaultRowHeight="15" x14ac:dyDescent="0.25"/>
  <cols>
    <col min="1" max="1" width="6.140625" style="52" customWidth="1"/>
    <col min="2" max="2" width="9.85546875" style="30" customWidth="1"/>
    <col min="3" max="3" width="21.28515625" style="30" customWidth="1"/>
    <col min="4" max="4" width="31.28515625" style="51" customWidth="1"/>
    <col min="5" max="10" width="9.140625" style="282" customWidth="1"/>
    <col min="11" max="11" width="10.28515625" style="282" customWidth="1"/>
    <col min="12" max="12" width="11.140625" style="446" customWidth="1"/>
    <col min="13" max="13" width="1.140625" customWidth="1"/>
  </cols>
  <sheetData>
    <row r="1" spans="1:13" ht="15" customHeight="1" x14ac:dyDescent="0.25">
      <c r="A1" s="570" t="s">
        <v>875</v>
      </c>
      <c r="B1" s="518" t="s">
        <v>0</v>
      </c>
      <c r="C1" s="544" t="s">
        <v>1</v>
      </c>
      <c r="D1" s="502" t="s">
        <v>2</v>
      </c>
      <c r="E1" s="572" t="s">
        <v>1056</v>
      </c>
      <c r="F1" s="573"/>
      <c r="G1" s="573"/>
      <c r="H1" s="573"/>
      <c r="I1" s="573"/>
      <c r="J1" s="574"/>
      <c r="K1" s="575" t="s">
        <v>1057</v>
      </c>
      <c r="L1" s="568" t="s">
        <v>1058</v>
      </c>
      <c r="M1" s="1"/>
    </row>
    <row r="2" spans="1:13" ht="71.25" customHeight="1" x14ac:dyDescent="0.25">
      <c r="A2" s="571"/>
      <c r="B2" s="520"/>
      <c r="C2" s="546"/>
      <c r="D2" s="504"/>
      <c r="E2" s="438" t="s">
        <v>1059</v>
      </c>
      <c r="F2" s="439" t="s">
        <v>1060</v>
      </c>
      <c r="G2" s="439" t="s">
        <v>1061</v>
      </c>
      <c r="H2" s="439" t="s">
        <v>1062</v>
      </c>
      <c r="I2" s="439" t="s">
        <v>1063</v>
      </c>
      <c r="J2" s="439" t="s">
        <v>1064</v>
      </c>
      <c r="K2" s="576"/>
      <c r="L2" s="569"/>
      <c r="M2" s="1"/>
    </row>
    <row r="3" spans="1:13" x14ac:dyDescent="0.25">
      <c r="A3" s="2">
        <v>1</v>
      </c>
      <c r="B3" s="3" t="s">
        <v>10</v>
      </c>
      <c r="C3" s="22" t="s">
        <v>49</v>
      </c>
      <c r="D3" s="400" t="s">
        <v>102</v>
      </c>
      <c r="E3" s="440">
        <v>2</v>
      </c>
      <c r="F3" s="440">
        <v>1</v>
      </c>
      <c r="G3" s="440">
        <v>2</v>
      </c>
      <c r="H3" s="440">
        <v>0</v>
      </c>
      <c r="I3" s="440">
        <v>0</v>
      </c>
      <c r="J3" s="440">
        <v>4</v>
      </c>
      <c r="K3" s="441">
        <v>30</v>
      </c>
      <c r="L3" s="422">
        <f t="shared" ref="L3:L34" si="0">(E3*5+F3*4+G3*3+H3*2+I3*1+J3*0.25)/K3</f>
        <v>0.7</v>
      </c>
      <c r="M3" s="1"/>
    </row>
    <row r="4" spans="1:13" x14ac:dyDescent="0.25">
      <c r="A4" s="2">
        <v>2</v>
      </c>
      <c r="B4" s="6" t="s">
        <v>13</v>
      </c>
      <c r="C4" s="10" t="s">
        <v>19</v>
      </c>
      <c r="D4" s="400" t="s">
        <v>199</v>
      </c>
      <c r="E4" s="440">
        <v>0</v>
      </c>
      <c r="F4" s="440">
        <v>6</v>
      </c>
      <c r="G4" s="440">
        <v>1</v>
      </c>
      <c r="H4" s="440">
        <v>1</v>
      </c>
      <c r="I4" s="440">
        <v>2</v>
      </c>
      <c r="J4" s="440">
        <v>17</v>
      </c>
      <c r="K4" s="441">
        <v>54</v>
      </c>
      <c r="L4" s="422">
        <f t="shared" si="0"/>
        <v>0.65277777777777779</v>
      </c>
      <c r="M4" s="1"/>
    </row>
    <row r="5" spans="1:13" x14ac:dyDescent="0.25">
      <c r="A5" s="2">
        <v>3</v>
      </c>
      <c r="B5" s="3" t="s">
        <v>10</v>
      </c>
      <c r="C5" s="22" t="s">
        <v>49</v>
      </c>
      <c r="D5" s="400" t="s">
        <v>1065</v>
      </c>
      <c r="E5" s="440">
        <v>0</v>
      </c>
      <c r="F5" s="440">
        <v>0</v>
      </c>
      <c r="G5" s="440">
        <v>1</v>
      </c>
      <c r="H5" s="440">
        <v>1</v>
      </c>
      <c r="I5" s="440">
        <v>1</v>
      </c>
      <c r="J5" s="440">
        <v>1</v>
      </c>
      <c r="K5" s="442">
        <v>10</v>
      </c>
      <c r="L5" s="422">
        <f t="shared" si="0"/>
        <v>0.625</v>
      </c>
      <c r="M5" s="1"/>
    </row>
    <row r="6" spans="1:13" x14ac:dyDescent="0.25">
      <c r="A6" s="2">
        <v>4</v>
      </c>
      <c r="B6" s="6" t="s">
        <v>13</v>
      </c>
      <c r="C6" s="10" t="s">
        <v>19</v>
      </c>
      <c r="D6" s="400" t="s">
        <v>216</v>
      </c>
      <c r="E6" s="440">
        <v>5</v>
      </c>
      <c r="F6" s="440">
        <v>13</v>
      </c>
      <c r="G6" s="440">
        <v>22</v>
      </c>
      <c r="H6" s="440">
        <v>34</v>
      </c>
      <c r="I6" s="440">
        <v>15</v>
      </c>
      <c r="J6" s="440">
        <v>37</v>
      </c>
      <c r="K6" s="441">
        <v>383</v>
      </c>
      <c r="L6" s="422">
        <f t="shared" si="0"/>
        <v>0.61422976501305482</v>
      </c>
      <c r="M6" s="1"/>
    </row>
    <row r="7" spans="1:13" x14ac:dyDescent="0.25">
      <c r="A7" s="2">
        <v>5</v>
      </c>
      <c r="B7" s="6" t="s">
        <v>13</v>
      </c>
      <c r="C7" s="10" t="s">
        <v>19</v>
      </c>
      <c r="D7" s="400" t="s">
        <v>87</v>
      </c>
      <c r="E7" s="443">
        <v>0</v>
      </c>
      <c r="F7" s="440">
        <v>2</v>
      </c>
      <c r="G7" s="440">
        <v>4</v>
      </c>
      <c r="H7" s="440">
        <v>1</v>
      </c>
      <c r="I7" s="440">
        <v>0</v>
      </c>
      <c r="J7" s="440">
        <v>6</v>
      </c>
      <c r="K7" s="441">
        <v>50</v>
      </c>
      <c r="L7" s="422">
        <f t="shared" si="0"/>
        <v>0.47</v>
      </c>
      <c r="M7" s="1"/>
    </row>
    <row r="8" spans="1:13" x14ac:dyDescent="0.25">
      <c r="A8" s="2">
        <v>6</v>
      </c>
      <c r="B8" s="6" t="s">
        <v>13</v>
      </c>
      <c r="C8" s="10" t="s">
        <v>19</v>
      </c>
      <c r="D8" s="400" t="s">
        <v>111</v>
      </c>
      <c r="E8" s="440">
        <v>0</v>
      </c>
      <c r="F8" s="440">
        <v>7</v>
      </c>
      <c r="G8" s="440">
        <v>8</v>
      </c>
      <c r="H8" s="440">
        <v>25</v>
      </c>
      <c r="I8" s="440">
        <v>10</v>
      </c>
      <c r="J8" s="440">
        <v>25</v>
      </c>
      <c r="K8" s="441">
        <v>310</v>
      </c>
      <c r="L8" s="422">
        <f t="shared" si="0"/>
        <v>0.38145161290322582</v>
      </c>
      <c r="M8" s="1"/>
    </row>
    <row r="9" spans="1:13" x14ac:dyDescent="0.25">
      <c r="A9" s="2">
        <v>7</v>
      </c>
      <c r="B9" s="17" t="s">
        <v>29</v>
      </c>
      <c r="C9" s="18" t="s">
        <v>30</v>
      </c>
      <c r="D9" s="400" t="s">
        <v>31</v>
      </c>
      <c r="E9" s="440">
        <v>0</v>
      </c>
      <c r="F9" s="440">
        <v>3</v>
      </c>
      <c r="G9" s="440">
        <v>15</v>
      </c>
      <c r="H9" s="440">
        <v>11</v>
      </c>
      <c r="I9" s="440">
        <v>7</v>
      </c>
      <c r="J9" s="440">
        <v>2</v>
      </c>
      <c r="K9" s="441">
        <v>234</v>
      </c>
      <c r="L9" s="422">
        <f t="shared" si="0"/>
        <v>0.36965811965811968</v>
      </c>
      <c r="M9" s="1"/>
    </row>
    <row r="10" spans="1:13" x14ac:dyDescent="0.25">
      <c r="A10" s="2">
        <v>8</v>
      </c>
      <c r="B10" s="6" t="s">
        <v>13</v>
      </c>
      <c r="C10" s="10" t="s">
        <v>19</v>
      </c>
      <c r="D10" s="400" t="s">
        <v>155</v>
      </c>
      <c r="E10" s="440">
        <v>2</v>
      </c>
      <c r="F10" s="440">
        <v>6</v>
      </c>
      <c r="G10" s="440">
        <v>2</v>
      </c>
      <c r="H10" s="440">
        <v>3</v>
      </c>
      <c r="I10" s="440">
        <v>0</v>
      </c>
      <c r="J10" s="440">
        <v>8</v>
      </c>
      <c r="K10" s="441">
        <v>158</v>
      </c>
      <c r="L10" s="422">
        <f t="shared" si="0"/>
        <v>0.30379746835443039</v>
      </c>
      <c r="M10" s="1"/>
    </row>
    <row r="11" spans="1:13" x14ac:dyDescent="0.25">
      <c r="A11" s="2">
        <v>9</v>
      </c>
      <c r="B11" s="6" t="s">
        <v>13</v>
      </c>
      <c r="C11" s="10" t="s">
        <v>19</v>
      </c>
      <c r="D11" s="400" t="s">
        <v>192</v>
      </c>
      <c r="E11" s="440">
        <v>0</v>
      </c>
      <c r="F11" s="440">
        <v>3</v>
      </c>
      <c r="G11" s="440">
        <v>11</v>
      </c>
      <c r="H11" s="440">
        <v>17</v>
      </c>
      <c r="I11" s="440">
        <v>9</v>
      </c>
      <c r="J11" s="440">
        <v>27</v>
      </c>
      <c r="K11" s="441">
        <v>322</v>
      </c>
      <c r="L11" s="422">
        <f t="shared" si="0"/>
        <v>0.29425465838509318</v>
      </c>
      <c r="M11" s="1"/>
    </row>
    <row r="12" spans="1:13" x14ac:dyDescent="0.25">
      <c r="A12" s="2">
        <v>10</v>
      </c>
      <c r="B12" s="6" t="s">
        <v>13</v>
      </c>
      <c r="C12" s="10" t="s">
        <v>19</v>
      </c>
      <c r="D12" s="400" t="s">
        <v>200</v>
      </c>
      <c r="E12" s="440">
        <v>2</v>
      </c>
      <c r="F12" s="440">
        <v>4</v>
      </c>
      <c r="G12" s="440">
        <v>0</v>
      </c>
      <c r="H12" s="440">
        <v>3</v>
      </c>
      <c r="I12" s="440">
        <v>1</v>
      </c>
      <c r="J12" s="440">
        <v>8</v>
      </c>
      <c r="K12" s="441">
        <v>121</v>
      </c>
      <c r="L12" s="422">
        <f t="shared" si="0"/>
        <v>0.28925619834710742</v>
      </c>
      <c r="M12" s="1"/>
    </row>
    <row r="13" spans="1:13" x14ac:dyDescent="0.25">
      <c r="A13" s="2">
        <v>11</v>
      </c>
      <c r="B13" s="3" t="s">
        <v>10</v>
      </c>
      <c r="C13" s="19" t="s">
        <v>35</v>
      </c>
      <c r="D13" s="400" t="s">
        <v>110</v>
      </c>
      <c r="E13" s="440">
        <v>0</v>
      </c>
      <c r="F13" s="440">
        <v>1</v>
      </c>
      <c r="G13" s="440">
        <v>2</v>
      </c>
      <c r="H13" s="440">
        <v>2</v>
      </c>
      <c r="I13" s="440">
        <v>0</v>
      </c>
      <c r="J13" s="440">
        <v>7</v>
      </c>
      <c r="K13" s="441">
        <v>59</v>
      </c>
      <c r="L13" s="422">
        <f t="shared" si="0"/>
        <v>0.26694915254237289</v>
      </c>
      <c r="M13" s="1"/>
    </row>
    <row r="14" spans="1:13" x14ac:dyDescent="0.25">
      <c r="A14" s="2">
        <v>12</v>
      </c>
      <c r="B14" s="14" t="s">
        <v>23</v>
      </c>
      <c r="C14" s="23" t="s">
        <v>57</v>
      </c>
      <c r="D14" s="400" t="s">
        <v>58</v>
      </c>
      <c r="E14" s="440">
        <v>4</v>
      </c>
      <c r="F14" s="440">
        <v>7</v>
      </c>
      <c r="G14" s="440">
        <v>10</v>
      </c>
      <c r="H14" s="440">
        <v>7</v>
      </c>
      <c r="I14" s="440">
        <v>6</v>
      </c>
      <c r="J14" s="440">
        <v>28</v>
      </c>
      <c r="K14" s="441">
        <v>416</v>
      </c>
      <c r="L14" s="422">
        <f t="shared" si="0"/>
        <v>0.25240384615384615</v>
      </c>
      <c r="M14" s="1"/>
    </row>
    <row r="15" spans="1:13" x14ac:dyDescent="0.25">
      <c r="A15" s="2">
        <v>13</v>
      </c>
      <c r="B15" s="6" t="s">
        <v>13</v>
      </c>
      <c r="C15" s="10" t="s">
        <v>19</v>
      </c>
      <c r="D15" s="400" t="s">
        <v>140</v>
      </c>
      <c r="E15" s="440">
        <v>0</v>
      </c>
      <c r="F15" s="440">
        <v>0</v>
      </c>
      <c r="G15" s="440">
        <v>0</v>
      </c>
      <c r="H15" s="440">
        <v>1</v>
      </c>
      <c r="I15" s="440">
        <v>0</v>
      </c>
      <c r="J15" s="440">
        <v>0</v>
      </c>
      <c r="K15" s="441">
        <v>8</v>
      </c>
      <c r="L15" s="422">
        <f t="shared" si="0"/>
        <v>0.25</v>
      </c>
      <c r="M15" s="1"/>
    </row>
    <row r="16" spans="1:13" x14ac:dyDescent="0.25">
      <c r="A16" s="2">
        <v>14</v>
      </c>
      <c r="B16" s="6" t="s">
        <v>13</v>
      </c>
      <c r="C16" s="10" t="s">
        <v>19</v>
      </c>
      <c r="D16" s="400" t="s">
        <v>109</v>
      </c>
      <c r="E16" s="440">
        <v>0</v>
      </c>
      <c r="F16" s="440">
        <v>2</v>
      </c>
      <c r="G16" s="440">
        <v>2</v>
      </c>
      <c r="H16" s="440">
        <v>2</v>
      </c>
      <c r="I16" s="440">
        <v>1</v>
      </c>
      <c r="J16" s="440">
        <v>3</v>
      </c>
      <c r="K16" s="441">
        <v>80</v>
      </c>
      <c r="L16" s="422">
        <f t="shared" si="0"/>
        <v>0.24687500000000001</v>
      </c>
      <c r="M16" s="1"/>
    </row>
    <row r="17" spans="1:13" x14ac:dyDescent="0.25">
      <c r="A17" s="2">
        <v>15</v>
      </c>
      <c r="B17" s="6" t="s">
        <v>13</v>
      </c>
      <c r="C17" s="10" t="s">
        <v>19</v>
      </c>
      <c r="D17" s="400" t="s">
        <v>32</v>
      </c>
      <c r="E17" s="440">
        <v>0</v>
      </c>
      <c r="F17" s="440">
        <v>1</v>
      </c>
      <c r="G17" s="440">
        <v>2</v>
      </c>
      <c r="H17" s="440">
        <v>4</v>
      </c>
      <c r="I17" s="440">
        <v>2</v>
      </c>
      <c r="J17" s="440">
        <v>6</v>
      </c>
      <c r="K17" s="441">
        <v>91</v>
      </c>
      <c r="L17" s="422">
        <f t="shared" si="0"/>
        <v>0.23626373626373626</v>
      </c>
      <c r="M17" s="1"/>
    </row>
    <row r="18" spans="1:13" x14ac:dyDescent="0.25">
      <c r="A18" s="2">
        <v>16</v>
      </c>
      <c r="B18" s="6" t="s">
        <v>13</v>
      </c>
      <c r="C18" s="10" t="s">
        <v>19</v>
      </c>
      <c r="D18" s="400" t="s">
        <v>104</v>
      </c>
      <c r="E18" s="440">
        <v>0</v>
      </c>
      <c r="F18" s="440">
        <v>0</v>
      </c>
      <c r="G18" s="440">
        <v>0</v>
      </c>
      <c r="H18" s="440">
        <v>1</v>
      </c>
      <c r="I18" s="440">
        <v>0</v>
      </c>
      <c r="J18" s="440">
        <v>1</v>
      </c>
      <c r="K18" s="441">
        <v>10</v>
      </c>
      <c r="L18" s="422">
        <f t="shared" si="0"/>
        <v>0.22500000000000001</v>
      </c>
      <c r="M18" s="1"/>
    </row>
    <row r="19" spans="1:13" x14ac:dyDescent="0.25">
      <c r="A19" s="2">
        <v>17</v>
      </c>
      <c r="B19" s="3" t="s">
        <v>10</v>
      </c>
      <c r="C19" s="22" t="s">
        <v>49</v>
      </c>
      <c r="D19" s="400" t="s">
        <v>202</v>
      </c>
      <c r="E19" s="440">
        <v>0</v>
      </c>
      <c r="F19" s="440">
        <v>0</v>
      </c>
      <c r="G19" s="440">
        <v>2</v>
      </c>
      <c r="H19" s="440">
        <v>9</v>
      </c>
      <c r="I19" s="440">
        <v>8</v>
      </c>
      <c r="J19" s="440">
        <v>34</v>
      </c>
      <c r="K19" s="441">
        <v>180</v>
      </c>
      <c r="L19" s="422">
        <f t="shared" si="0"/>
        <v>0.22500000000000001</v>
      </c>
      <c r="M19" s="1"/>
    </row>
    <row r="20" spans="1:13" x14ac:dyDescent="0.25">
      <c r="A20" s="2">
        <v>18</v>
      </c>
      <c r="B20" s="3" t="s">
        <v>10</v>
      </c>
      <c r="C20" s="22" t="s">
        <v>49</v>
      </c>
      <c r="D20" s="400" t="s">
        <v>185</v>
      </c>
      <c r="E20" s="440">
        <v>1</v>
      </c>
      <c r="F20" s="440">
        <v>1</v>
      </c>
      <c r="G20" s="440">
        <v>0</v>
      </c>
      <c r="H20" s="440">
        <v>1</v>
      </c>
      <c r="I20" s="440">
        <v>1</v>
      </c>
      <c r="J20" s="440">
        <v>1</v>
      </c>
      <c r="K20" s="441">
        <v>55</v>
      </c>
      <c r="L20" s="422">
        <f t="shared" si="0"/>
        <v>0.22272727272727272</v>
      </c>
      <c r="M20" s="1"/>
    </row>
    <row r="21" spans="1:13" x14ac:dyDescent="0.25">
      <c r="A21" s="2">
        <v>19</v>
      </c>
      <c r="B21" s="6" t="s">
        <v>13</v>
      </c>
      <c r="C21" s="10" t="s">
        <v>19</v>
      </c>
      <c r="D21" s="400" t="s">
        <v>73</v>
      </c>
      <c r="E21" s="440">
        <v>1</v>
      </c>
      <c r="F21" s="440">
        <v>2</v>
      </c>
      <c r="G21" s="440">
        <v>1</v>
      </c>
      <c r="H21" s="440">
        <v>2</v>
      </c>
      <c r="I21" s="440">
        <v>1</v>
      </c>
      <c r="J21" s="440">
        <v>1</v>
      </c>
      <c r="K21" s="441">
        <v>96</v>
      </c>
      <c r="L21" s="422">
        <f t="shared" si="0"/>
        <v>0.22135416666666666</v>
      </c>
      <c r="M21" s="1"/>
    </row>
    <row r="22" spans="1:13" x14ac:dyDescent="0.25">
      <c r="A22" s="2">
        <v>20</v>
      </c>
      <c r="B22" s="6" t="s">
        <v>13</v>
      </c>
      <c r="C22" s="10" t="s">
        <v>19</v>
      </c>
      <c r="D22" s="400" t="s">
        <v>161</v>
      </c>
      <c r="E22" s="440">
        <v>0</v>
      </c>
      <c r="F22" s="440">
        <v>3</v>
      </c>
      <c r="G22" s="440">
        <v>0</v>
      </c>
      <c r="H22" s="440">
        <v>0</v>
      </c>
      <c r="I22" s="440">
        <v>0</v>
      </c>
      <c r="J22" s="440">
        <v>12</v>
      </c>
      <c r="K22" s="441">
        <v>69</v>
      </c>
      <c r="L22" s="422">
        <f t="shared" si="0"/>
        <v>0.21739130434782608</v>
      </c>
      <c r="M22" s="1"/>
    </row>
    <row r="23" spans="1:13" x14ac:dyDescent="0.25">
      <c r="A23" s="2">
        <v>21</v>
      </c>
      <c r="B23" s="6" t="s">
        <v>13</v>
      </c>
      <c r="C23" s="10" t="s">
        <v>19</v>
      </c>
      <c r="D23" s="400" t="s">
        <v>94</v>
      </c>
      <c r="E23" s="440">
        <v>0</v>
      </c>
      <c r="F23" s="440">
        <v>0</v>
      </c>
      <c r="G23" s="440">
        <v>3</v>
      </c>
      <c r="H23" s="440">
        <v>2</v>
      </c>
      <c r="I23" s="440">
        <v>2</v>
      </c>
      <c r="J23" s="440">
        <v>14</v>
      </c>
      <c r="K23" s="441">
        <v>90</v>
      </c>
      <c r="L23" s="422">
        <f t="shared" si="0"/>
        <v>0.20555555555555555</v>
      </c>
      <c r="M23" s="1"/>
    </row>
    <row r="24" spans="1:13" x14ac:dyDescent="0.25">
      <c r="A24" s="2">
        <v>22</v>
      </c>
      <c r="B24" s="6" t="s">
        <v>13</v>
      </c>
      <c r="C24" s="10" t="s">
        <v>19</v>
      </c>
      <c r="D24" s="400" t="s">
        <v>40</v>
      </c>
      <c r="E24" s="440">
        <v>1</v>
      </c>
      <c r="F24" s="440">
        <v>2</v>
      </c>
      <c r="G24" s="440">
        <v>1</v>
      </c>
      <c r="H24" s="440">
        <v>2</v>
      </c>
      <c r="I24" s="440">
        <v>2</v>
      </c>
      <c r="J24" s="440">
        <v>4</v>
      </c>
      <c r="K24" s="441">
        <v>112</v>
      </c>
      <c r="L24" s="422">
        <f t="shared" si="0"/>
        <v>0.20535714285714285</v>
      </c>
      <c r="M24" s="1"/>
    </row>
    <row r="25" spans="1:13" x14ac:dyDescent="0.25">
      <c r="A25" s="2">
        <v>23</v>
      </c>
      <c r="B25" s="14" t="s">
        <v>23</v>
      </c>
      <c r="C25" s="23" t="s">
        <v>57</v>
      </c>
      <c r="D25" s="400" t="s">
        <v>217</v>
      </c>
      <c r="E25" s="440">
        <v>29</v>
      </c>
      <c r="F25" s="440">
        <v>26</v>
      </c>
      <c r="G25" s="440">
        <v>51</v>
      </c>
      <c r="H25" s="440">
        <v>78</v>
      </c>
      <c r="I25" s="440">
        <v>64</v>
      </c>
      <c r="J25" s="440">
        <v>407</v>
      </c>
      <c r="K25" s="441">
        <v>3538</v>
      </c>
      <c r="L25" s="422">
        <f t="shared" si="0"/>
        <v>0.20456472583380442</v>
      </c>
      <c r="M25" s="1"/>
    </row>
    <row r="26" spans="1:13" x14ac:dyDescent="0.25">
      <c r="A26" s="2">
        <v>24</v>
      </c>
      <c r="B26" s="3" t="s">
        <v>10</v>
      </c>
      <c r="C26" s="19" t="s">
        <v>35</v>
      </c>
      <c r="D26" s="400" t="s">
        <v>180</v>
      </c>
      <c r="E26" s="440">
        <v>0</v>
      </c>
      <c r="F26" s="440">
        <v>1</v>
      </c>
      <c r="G26" s="440">
        <v>1</v>
      </c>
      <c r="H26" s="440">
        <v>1</v>
      </c>
      <c r="I26" s="440">
        <v>3</v>
      </c>
      <c r="J26" s="440">
        <v>18</v>
      </c>
      <c r="K26" s="441">
        <v>82</v>
      </c>
      <c r="L26" s="422">
        <f t="shared" si="0"/>
        <v>0.20121951219512196</v>
      </c>
      <c r="M26" s="1"/>
    </row>
    <row r="27" spans="1:13" x14ac:dyDescent="0.25">
      <c r="A27" s="2">
        <v>25</v>
      </c>
      <c r="B27" s="3" t="s">
        <v>10</v>
      </c>
      <c r="C27" s="19" t="s">
        <v>35</v>
      </c>
      <c r="D27" s="400" t="s">
        <v>114</v>
      </c>
      <c r="E27" s="440">
        <v>0</v>
      </c>
      <c r="F27" s="440">
        <v>0</v>
      </c>
      <c r="G27" s="440">
        <v>1</v>
      </c>
      <c r="H27" s="440">
        <v>1</v>
      </c>
      <c r="I27" s="440">
        <v>0</v>
      </c>
      <c r="J27" s="440">
        <v>7</v>
      </c>
      <c r="K27" s="441">
        <v>34</v>
      </c>
      <c r="L27" s="422">
        <f t="shared" si="0"/>
        <v>0.19852941176470587</v>
      </c>
      <c r="M27" s="1"/>
    </row>
    <row r="28" spans="1:13" x14ac:dyDescent="0.25">
      <c r="A28" s="2">
        <v>26</v>
      </c>
      <c r="B28" s="6" t="s">
        <v>13</v>
      </c>
      <c r="C28" s="10" t="s">
        <v>19</v>
      </c>
      <c r="D28" s="400" t="s">
        <v>172</v>
      </c>
      <c r="E28" s="440">
        <v>0</v>
      </c>
      <c r="F28" s="440">
        <v>1</v>
      </c>
      <c r="G28" s="440">
        <v>3</v>
      </c>
      <c r="H28" s="440">
        <v>2</v>
      </c>
      <c r="I28" s="440">
        <v>4</v>
      </c>
      <c r="J28" s="440">
        <v>12</v>
      </c>
      <c r="K28" s="441">
        <v>142</v>
      </c>
      <c r="L28" s="422">
        <f t="shared" si="0"/>
        <v>0.16901408450704225</v>
      </c>
      <c r="M28" s="1"/>
    </row>
    <row r="29" spans="1:13" x14ac:dyDescent="0.25">
      <c r="A29" s="2">
        <v>27</v>
      </c>
      <c r="B29" s="8" t="s">
        <v>16</v>
      </c>
      <c r="C29" s="9" t="s">
        <v>17</v>
      </c>
      <c r="D29" s="400" t="s">
        <v>78</v>
      </c>
      <c r="E29" s="440">
        <v>0</v>
      </c>
      <c r="F29" s="440">
        <v>0</v>
      </c>
      <c r="G29" s="440">
        <v>0</v>
      </c>
      <c r="H29" s="440">
        <v>1</v>
      </c>
      <c r="I29" s="440">
        <v>4</v>
      </c>
      <c r="J29" s="440">
        <v>19</v>
      </c>
      <c r="K29" s="441">
        <v>64</v>
      </c>
      <c r="L29" s="422">
        <f t="shared" si="0"/>
        <v>0.16796875</v>
      </c>
      <c r="M29" s="1"/>
    </row>
    <row r="30" spans="1:13" x14ac:dyDescent="0.25">
      <c r="A30" s="2">
        <v>28</v>
      </c>
      <c r="B30" s="3" t="s">
        <v>10</v>
      </c>
      <c r="C30" s="22" t="s">
        <v>49</v>
      </c>
      <c r="D30" s="400" t="s">
        <v>121</v>
      </c>
      <c r="E30" s="440">
        <v>1</v>
      </c>
      <c r="F30" s="440">
        <v>0</v>
      </c>
      <c r="G30" s="440">
        <v>8</v>
      </c>
      <c r="H30" s="440">
        <v>11</v>
      </c>
      <c r="I30" s="440">
        <v>6</v>
      </c>
      <c r="J30" s="440">
        <v>44</v>
      </c>
      <c r="K30" s="441">
        <v>407</v>
      </c>
      <c r="L30" s="422">
        <f t="shared" si="0"/>
        <v>0.16707616707616707</v>
      </c>
      <c r="M30" s="1"/>
    </row>
    <row r="31" spans="1:13" x14ac:dyDescent="0.25">
      <c r="A31" s="2">
        <v>29</v>
      </c>
      <c r="B31" s="6" t="s">
        <v>13</v>
      </c>
      <c r="C31" s="7" t="s">
        <v>14</v>
      </c>
      <c r="D31" s="400" t="s">
        <v>72</v>
      </c>
      <c r="E31" s="440">
        <v>0</v>
      </c>
      <c r="F31" s="440">
        <v>0</v>
      </c>
      <c r="G31" s="440">
        <v>1</v>
      </c>
      <c r="H31" s="440">
        <v>3</v>
      </c>
      <c r="I31" s="440">
        <v>4</v>
      </c>
      <c r="J31" s="440">
        <v>10</v>
      </c>
      <c r="K31" s="441">
        <v>95</v>
      </c>
      <c r="L31" s="422">
        <f t="shared" si="0"/>
        <v>0.16315789473684211</v>
      </c>
      <c r="M31" s="1"/>
    </row>
    <row r="32" spans="1:13" x14ac:dyDescent="0.25">
      <c r="A32" s="2">
        <v>30</v>
      </c>
      <c r="B32" s="6" t="s">
        <v>13</v>
      </c>
      <c r="C32" s="7" t="s">
        <v>14</v>
      </c>
      <c r="D32" s="400" t="s">
        <v>186</v>
      </c>
      <c r="E32" s="440">
        <v>0</v>
      </c>
      <c r="F32" s="440">
        <v>0</v>
      </c>
      <c r="G32" s="440">
        <v>0</v>
      </c>
      <c r="H32" s="440">
        <v>1</v>
      </c>
      <c r="I32" s="440">
        <v>2</v>
      </c>
      <c r="J32" s="440">
        <v>9</v>
      </c>
      <c r="K32" s="441">
        <v>40</v>
      </c>
      <c r="L32" s="422">
        <f t="shared" si="0"/>
        <v>0.15625</v>
      </c>
      <c r="M32" s="1"/>
    </row>
    <row r="33" spans="1:13" x14ac:dyDescent="0.25">
      <c r="A33" s="2">
        <v>31</v>
      </c>
      <c r="B33" s="3" t="s">
        <v>10</v>
      </c>
      <c r="C33" s="19" t="s">
        <v>35</v>
      </c>
      <c r="D33" s="400" t="s">
        <v>210</v>
      </c>
      <c r="E33" s="440">
        <v>0</v>
      </c>
      <c r="F33" s="440">
        <v>0</v>
      </c>
      <c r="G33" s="440">
        <v>0</v>
      </c>
      <c r="H33" s="440">
        <v>7</v>
      </c>
      <c r="I33" s="440">
        <v>8</v>
      </c>
      <c r="J33" s="440">
        <v>57</v>
      </c>
      <c r="K33" s="441">
        <v>248</v>
      </c>
      <c r="L33" s="422">
        <f t="shared" si="0"/>
        <v>0.14616935483870969</v>
      </c>
      <c r="M33" s="1"/>
    </row>
    <row r="34" spans="1:13" x14ac:dyDescent="0.25">
      <c r="A34" s="2">
        <v>32</v>
      </c>
      <c r="B34" s="17" t="s">
        <v>29</v>
      </c>
      <c r="C34" s="18" t="s">
        <v>30</v>
      </c>
      <c r="D34" s="400" t="s">
        <v>156</v>
      </c>
      <c r="E34" s="440">
        <v>0</v>
      </c>
      <c r="F34" s="440">
        <v>0</v>
      </c>
      <c r="G34" s="440">
        <v>1</v>
      </c>
      <c r="H34" s="440">
        <v>2</v>
      </c>
      <c r="I34" s="440">
        <v>2</v>
      </c>
      <c r="J34" s="440">
        <v>2</v>
      </c>
      <c r="K34" s="441">
        <v>73</v>
      </c>
      <c r="L34" s="422">
        <f t="shared" si="0"/>
        <v>0.13013698630136986</v>
      </c>
      <c r="M34" s="1"/>
    </row>
    <row r="35" spans="1:13" x14ac:dyDescent="0.25">
      <c r="A35" s="2">
        <v>33</v>
      </c>
      <c r="B35" s="14" t="s">
        <v>23</v>
      </c>
      <c r="C35" s="15" t="s">
        <v>24</v>
      </c>
      <c r="D35" s="400" t="s">
        <v>95</v>
      </c>
      <c r="E35" s="440">
        <v>0</v>
      </c>
      <c r="F35" s="440">
        <v>0</v>
      </c>
      <c r="G35" s="440">
        <v>0</v>
      </c>
      <c r="H35" s="440">
        <v>0</v>
      </c>
      <c r="I35" s="440">
        <v>0</v>
      </c>
      <c r="J35" s="440">
        <v>1</v>
      </c>
      <c r="K35" s="441">
        <v>2</v>
      </c>
      <c r="L35" s="422">
        <f t="shared" ref="L35:L66" si="1">(E35*5+F35*4+G35*3+H35*2+I35*1+J35*0.25)/K35</f>
        <v>0.125</v>
      </c>
      <c r="M35" s="1"/>
    </row>
    <row r="36" spans="1:13" x14ac:dyDescent="0.25">
      <c r="A36" s="2">
        <v>34</v>
      </c>
      <c r="B36" s="3" t="s">
        <v>10</v>
      </c>
      <c r="C36" s="19" t="s">
        <v>35</v>
      </c>
      <c r="D36" s="400" t="s">
        <v>173</v>
      </c>
      <c r="E36" s="440">
        <v>0</v>
      </c>
      <c r="F36" s="440">
        <v>0</v>
      </c>
      <c r="G36" s="440">
        <v>0</v>
      </c>
      <c r="H36" s="440">
        <v>1</v>
      </c>
      <c r="I36" s="440">
        <v>0</v>
      </c>
      <c r="J36" s="440">
        <v>2</v>
      </c>
      <c r="K36" s="441">
        <v>20</v>
      </c>
      <c r="L36" s="422">
        <f t="shared" si="1"/>
        <v>0.125</v>
      </c>
      <c r="M36" s="1"/>
    </row>
    <row r="37" spans="1:13" x14ac:dyDescent="0.25">
      <c r="A37" s="2">
        <v>35</v>
      </c>
      <c r="B37" s="8" t="s">
        <v>16</v>
      </c>
      <c r="C37" s="11" t="s">
        <v>21</v>
      </c>
      <c r="D37" s="400" t="s">
        <v>190</v>
      </c>
      <c r="E37" s="440">
        <v>0</v>
      </c>
      <c r="F37" s="440">
        <v>0</v>
      </c>
      <c r="G37" s="440">
        <v>2</v>
      </c>
      <c r="H37" s="440">
        <v>4</v>
      </c>
      <c r="I37" s="440">
        <v>2</v>
      </c>
      <c r="J37" s="440">
        <v>10</v>
      </c>
      <c r="K37" s="441">
        <v>150</v>
      </c>
      <c r="L37" s="422">
        <f t="shared" si="1"/>
        <v>0.12333333333333334</v>
      </c>
      <c r="M37" s="1"/>
    </row>
    <row r="38" spans="1:13" x14ac:dyDescent="0.25">
      <c r="A38" s="2">
        <v>36</v>
      </c>
      <c r="B38" s="14" t="s">
        <v>23</v>
      </c>
      <c r="C38" s="16" t="s">
        <v>26</v>
      </c>
      <c r="D38" s="400" t="s">
        <v>61</v>
      </c>
      <c r="E38" s="440">
        <v>0</v>
      </c>
      <c r="F38" s="440">
        <v>0</v>
      </c>
      <c r="G38" s="440">
        <v>2</v>
      </c>
      <c r="H38" s="440">
        <v>1</v>
      </c>
      <c r="I38" s="440">
        <v>3</v>
      </c>
      <c r="J38" s="440">
        <v>23</v>
      </c>
      <c r="K38" s="441">
        <v>157</v>
      </c>
      <c r="L38" s="422">
        <f t="shared" si="1"/>
        <v>0.10668789808917198</v>
      </c>
      <c r="M38" s="1"/>
    </row>
    <row r="39" spans="1:13" x14ac:dyDescent="0.25">
      <c r="A39" s="2">
        <v>37</v>
      </c>
      <c r="B39" s="6" t="s">
        <v>13</v>
      </c>
      <c r="C39" s="7" t="s">
        <v>14</v>
      </c>
      <c r="D39" s="400" t="s">
        <v>82</v>
      </c>
      <c r="E39" s="440">
        <v>0</v>
      </c>
      <c r="F39" s="440">
        <v>0</v>
      </c>
      <c r="G39" s="440">
        <v>1</v>
      </c>
      <c r="H39" s="440">
        <v>0</v>
      </c>
      <c r="I39" s="440">
        <v>0</v>
      </c>
      <c r="J39" s="440">
        <v>3</v>
      </c>
      <c r="K39" s="441">
        <v>37</v>
      </c>
      <c r="L39" s="422">
        <f t="shared" si="1"/>
        <v>0.10135135135135136</v>
      </c>
      <c r="M39" s="1"/>
    </row>
    <row r="40" spans="1:13" x14ac:dyDescent="0.25">
      <c r="A40" s="2">
        <v>38</v>
      </c>
      <c r="B40" s="3" t="s">
        <v>10</v>
      </c>
      <c r="C40" s="19" t="s">
        <v>35</v>
      </c>
      <c r="D40" s="400" t="s">
        <v>127</v>
      </c>
      <c r="E40" s="440">
        <v>0</v>
      </c>
      <c r="F40" s="440">
        <v>0</v>
      </c>
      <c r="G40" s="440">
        <v>1</v>
      </c>
      <c r="H40" s="440">
        <v>0</v>
      </c>
      <c r="I40" s="440">
        <v>0</v>
      </c>
      <c r="J40" s="440">
        <v>7</v>
      </c>
      <c r="K40" s="441">
        <v>53</v>
      </c>
      <c r="L40" s="422">
        <f t="shared" si="1"/>
        <v>8.9622641509433956E-2</v>
      </c>
      <c r="M40" s="1"/>
    </row>
    <row r="41" spans="1:13" x14ac:dyDescent="0.25">
      <c r="A41" s="2">
        <v>39</v>
      </c>
      <c r="B41" s="3" t="s">
        <v>10</v>
      </c>
      <c r="C41" s="22" t="s">
        <v>49</v>
      </c>
      <c r="D41" s="400" t="s">
        <v>62</v>
      </c>
      <c r="E41" s="440">
        <v>0</v>
      </c>
      <c r="F41" s="440">
        <v>5</v>
      </c>
      <c r="G41" s="440">
        <v>20</v>
      </c>
      <c r="H41" s="440">
        <v>38</v>
      </c>
      <c r="I41" s="440">
        <v>38</v>
      </c>
      <c r="J41" s="440">
        <v>292</v>
      </c>
      <c r="K41" s="441">
        <v>3008</v>
      </c>
      <c r="L41" s="422">
        <f t="shared" si="1"/>
        <v>8.8763297872340427E-2</v>
      </c>
      <c r="M41" s="1"/>
    </row>
    <row r="42" spans="1:13" x14ac:dyDescent="0.25">
      <c r="A42" s="2">
        <v>40</v>
      </c>
      <c r="B42" s="6" t="s">
        <v>13</v>
      </c>
      <c r="C42" s="7" t="s">
        <v>14</v>
      </c>
      <c r="D42" s="400" t="s">
        <v>103</v>
      </c>
      <c r="E42" s="440">
        <v>0</v>
      </c>
      <c r="F42" s="440">
        <v>0</v>
      </c>
      <c r="G42" s="440">
        <v>0</v>
      </c>
      <c r="H42" s="440">
        <v>3</v>
      </c>
      <c r="I42" s="440">
        <v>1</v>
      </c>
      <c r="J42" s="440">
        <v>4</v>
      </c>
      <c r="K42" s="441">
        <v>93</v>
      </c>
      <c r="L42" s="422">
        <f t="shared" si="1"/>
        <v>8.6021505376344093E-2</v>
      </c>
      <c r="M42" s="1"/>
    </row>
    <row r="43" spans="1:13" x14ac:dyDescent="0.25">
      <c r="A43" s="2">
        <v>41</v>
      </c>
      <c r="B43" s="3" t="s">
        <v>10</v>
      </c>
      <c r="C43" s="22" t="s">
        <v>49</v>
      </c>
      <c r="D43" s="400" t="s">
        <v>204</v>
      </c>
      <c r="E43" s="440">
        <v>0</v>
      </c>
      <c r="F43" s="440">
        <v>0</v>
      </c>
      <c r="G43" s="440">
        <v>2</v>
      </c>
      <c r="H43" s="440">
        <v>2</v>
      </c>
      <c r="I43" s="440">
        <v>3</v>
      </c>
      <c r="J43" s="440">
        <v>17</v>
      </c>
      <c r="K43" s="441">
        <v>203</v>
      </c>
      <c r="L43" s="422">
        <f t="shared" si="1"/>
        <v>8.4975369458128072E-2</v>
      </c>
      <c r="M43" s="1"/>
    </row>
    <row r="44" spans="1:13" x14ac:dyDescent="0.25">
      <c r="A44" s="2">
        <v>42</v>
      </c>
      <c r="B44" s="6" t="s">
        <v>13</v>
      </c>
      <c r="C44" s="10" t="s">
        <v>19</v>
      </c>
      <c r="D44" s="400" t="s">
        <v>131</v>
      </c>
      <c r="E44" s="440">
        <v>0</v>
      </c>
      <c r="F44" s="440">
        <v>0</v>
      </c>
      <c r="G44" s="440">
        <v>0</v>
      </c>
      <c r="H44" s="440">
        <v>0</v>
      </c>
      <c r="I44" s="440">
        <v>0</v>
      </c>
      <c r="J44" s="440">
        <v>1</v>
      </c>
      <c r="K44" s="441">
        <v>3</v>
      </c>
      <c r="L44" s="422">
        <f t="shared" si="1"/>
        <v>8.3333333333333329E-2</v>
      </c>
      <c r="M44" s="1"/>
    </row>
    <row r="45" spans="1:13" x14ac:dyDescent="0.25">
      <c r="A45" s="2">
        <v>43</v>
      </c>
      <c r="B45" s="14" t="s">
        <v>23</v>
      </c>
      <c r="C45" s="16" t="s">
        <v>26</v>
      </c>
      <c r="D45" s="400" t="s">
        <v>27</v>
      </c>
      <c r="E45" s="440">
        <v>0</v>
      </c>
      <c r="F45" s="440">
        <v>0</v>
      </c>
      <c r="G45" s="440">
        <v>1</v>
      </c>
      <c r="H45" s="440">
        <v>1</v>
      </c>
      <c r="I45" s="440">
        <v>1</v>
      </c>
      <c r="J45" s="440">
        <v>24</v>
      </c>
      <c r="K45" s="441">
        <v>153</v>
      </c>
      <c r="L45" s="422">
        <f t="shared" si="1"/>
        <v>7.8431372549019607E-2</v>
      </c>
      <c r="M45" s="1"/>
    </row>
    <row r="46" spans="1:13" x14ac:dyDescent="0.25">
      <c r="A46" s="2">
        <v>44</v>
      </c>
      <c r="B46" s="6" t="s">
        <v>13</v>
      </c>
      <c r="C46" s="7" t="s">
        <v>14</v>
      </c>
      <c r="D46" s="400" t="s">
        <v>174</v>
      </c>
      <c r="E46" s="440">
        <v>0</v>
      </c>
      <c r="F46" s="440">
        <v>0</v>
      </c>
      <c r="G46" s="440">
        <v>0</v>
      </c>
      <c r="H46" s="440">
        <v>0</v>
      </c>
      <c r="I46" s="440">
        <v>4</v>
      </c>
      <c r="J46" s="440">
        <v>19</v>
      </c>
      <c r="K46" s="441">
        <v>113</v>
      </c>
      <c r="L46" s="422">
        <f t="shared" si="1"/>
        <v>7.7433628318584066E-2</v>
      </c>
      <c r="M46" s="1"/>
    </row>
    <row r="47" spans="1:13" x14ac:dyDescent="0.25">
      <c r="A47" s="2">
        <v>45</v>
      </c>
      <c r="B47" s="6" t="s">
        <v>13</v>
      </c>
      <c r="C47" s="10" t="s">
        <v>19</v>
      </c>
      <c r="D47" s="400" t="s">
        <v>71</v>
      </c>
      <c r="E47" s="440">
        <v>0</v>
      </c>
      <c r="F47" s="440">
        <v>0</v>
      </c>
      <c r="G47" s="440">
        <v>0</v>
      </c>
      <c r="H47" s="440">
        <v>1</v>
      </c>
      <c r="I47" s="440">
        <v>0</v>
      </c>
      <c r="J47" s="440">
        <v>4</v>
      </c>
      <c r="K47" s="441">
        <v>40</v>
      </c>
      <c r="L47" s="422">
        <f t="shared" si="1"/>
        <v>7.4999999999999997E-2</v>
      </c>
      <c r="M47" s="1"/>
    </row>
    <row r="48" spans="1:13" x14ac:dyDescent="0.25">
      <c r="A48" s="2">
        <v>46</v>
      </c>
      <c r="B48" s="6" t="s">
        <v>13</v>
      </c>
      <c r="C48" s="7" t="s">
        <v>14</v>
      </c>
      <c r="D48" s="400" t="s">
        <v>132</v>
      </c>
      <c r="E48" s="440">
        <v>0</v>
      </c>
      <c r="F48" s="440">
        <v>0</v>
      </c>
      <c r="G48" s="440">
        <v>0</v>
      </c>
      <c r="H48" s="440">
        <v>1</v>
      </c>
      <c r="I48" s="440">
        <v>0</v>
      </c>
      <c r="J48" s="440">
        <v>5</v>
      </c>
      <c r="K48" s="441">
        <v>47</v>
      </c>
      <c r="L48" s="422">
        <f t="shared" si="1"/>
        <v>6.9148936170212769E-2</v>
      </c>
      <c r="M48" s="1"/>
    </row>
    <row r="49" spans="1:13" x14ac:dyDescent="0.25">
      <c r="A49" s="2">
        <v>47</v>
      </c>
      <c r="B49" s="3" t="s">
        <v>10</v>
      </c>
      <c r="C49" s="19" t="s">
        <v>35</v>
      </c>
      <c r="D49" s="400" t="s">
        <v>215</v>
      </c>
      <c r="E49" s="440">
        <v>0</v>
      </c>
      <c r="F49" s="440">
        <v>0</v>
      </c>
      <c r="G49" s="440">
        <v>0</v>
      </c>
      <c r="H49" s="440">
        <v>1</v>
      </c>
      <c r="I49" s="440">
        <v>2</v>
      </c>
      <c r="J49" s="440">
        <v>8</v>
      </c>
      <c r="K49" s="441">
        <v>99</v>
      </c>
      <c r="L49" s="422">
        <f t="shared" si="1"/>
        <v>6.0606060606060608E-2</v>
      </c>
      <c r="M49" s="1"/>
    </row>
    <row r="50" spans="1:13" x14ac:dyDescent="0.25">
      <c r="A50" s="2">
        <v>48</v>
      </c>
      <c r="B50" s="3" t="s">
        <v>10</v>
      </c>
      <c r="C50" s="19" t="s">
        <v>35</v>
      </c>
      <c r="D50" s="400" t="s">
        <v>107</v>
      </c>
      <c r="E50" s="440">
        <v>0</v>
      </c>
      <c r="F50" s="440">
        <v>0</v>
      </c>
      <c r="G50" s="440">
        <v>1</v>
      </c>
      <c r="H50" s="440">
        <v>11</v>
      </c>
      <c r="I50" s="440">
        <v>4</v>
      </c>
      <c r="J50" s="440">
        <v>74</v>
      </c>
      <c r="K50" s="441">
        <v>797</v>
      </c>
      <c r="L50" s="422">
        <f t="shared" si="1"/>
        <v>5.9598494353826852E-2</v>
      </c>
      <c r="M50" s="1"/>
    </row>
    <row r="51" spans="1:13" x14ac:dyDescent="0.25">
      <c r="A51" s="2">
        <v>49</v>
      </c>
      <c r="B51" s="14" t="s">
        <v>23</v>
      </c>
      <c r="C51" s="16" t="s">
        <v>26</v>
      </c>
      <c r="D51" s="400" t="s">
        <v>77</v>
      </c>
      <c r="E51" s="440">
        <v>0</v>
      </c>
      <c r="F51" s="440">
        <v>0</v>
      </c>
      <c r="G51" s="440">
        <v>0</v>
      </c>
      <c r="H51" s="440">
        <v>0</v>
      </c>
      <c r="I51" s="440">
        <v>1</v>
      </c>
      <c r="J51" s="440">
        <v>10</v>
      </c>
      <c r="K51" s="441">
        <v>66</v>
      </c>
      <c r="L51" s="422">
        <f t="shared" si="1"/>
        <v>5.3030303030303032E-2</v>
      </c>
      <c r="M51" s="1"/>
    </row>
    <row r="52" spans="1:13" x14ac:dyDescent="0.25">
      <c r="A52" s="2">
        <v>50</v>
      </c>
      <c r="B52" s="6" t="s">
        <v>13</v>
      </c>
      <c r="C52" s="7" t="s">
        <v>14</v>
      </c>
      <c r="D52" s="400" t="s">
        <v>69</v>
      </c>
      <c r="E52" s="440">
        <v>0</v>
      </c>
      <c r="F52" s="440">
        <v>0</v>
      </c>
      <c r="G52" s="440">
        <v>0</v>
      </c>
      <c r="H52" s="440">
        <v>1</v>
      </c>
      <c r="I52" s="440">
        <v>1</v>
      </c>
      <c r="J52" s="440">
        <v>2</v>
      </c>
      <c r="K52" s="441">
        <v>70</v>
      </c>
      <c r="L52" s="422">
        <f t="shared" si="1"/>
        <v>0.05</v>
      </c>
      <c r="M52" s="1"/>
    </row>
    <row r="53" spans="1:13" x14ac:dyDescent="0.25">
      <c r="A53" s="2">
        <v>51</v>
      </c>
      <c r="B53" s="17" t="s">
        <v>29</v>
      </c>
      <c r="C53" s="24" t="s">
        <v>85</v>
      </c>
      <c r="D53" s="400" t="s">
        <v>86</v>
      </c>
      <c r="E53" s="440">
        <v>0</v>
      </c>
      <c r="F53" s="440">
        <v>0</v>
      </c>
      <c r="G53" s="440">
        <v>0</v>
      </c>
      <c r="H53" s="440">
        <v>0</v>
      </c>
      <c r="I53" s="440">
        <v>0</v>
      </c>
      <c r="J53" s="440">
        <v>1</v>
      </c>
      <c r="K53" s="441">
        <v>5</v>
      </c>
      <c r="L53" s="422">
        <f t="shared" si="1"/>
        <v>0.05</v>
      </c>
      <c r="M53" s="1"/>
    </row>
    <row r="54" spans="1:13" x14ac:dyDescent="0.25">
      <c r="A54" s="2">
        <v>52</v>
      </c>
      <c r="B54" s="3" t="s">
        <v>10</v>
      </c>
      <c r="C54" s="19" t="s">
        <v>35</v>
      </c>
      <c r="D54" s="400" t="s">
        <v>162</v>
      </c>
      <c r="E54" s="440">
        <v>0</v>
      </c>
      <c r="F54" s="440">
        <v>0</v>
      </c>
      <c r="G54" s="440">
        <v>0</v>
      </c>
      <c r="H54" s="440">
        <v>1</v>
      </c>
      <c r="I54" s="440">
        <v>0</v>
      </c>
      <c r="J54" s="440">
        <v>1</v>
      </c>
      <c r="K54" s="441">
        <v>45</v>
      </c>
      <c r="L54" s="422">
        <f t="shared" si="1"/>
        <v>0.05</v>
      </c>
      <c r="M54" s="1"/>
    </row>
    <row r="55" spans="1:13" x14ac:dyDescent="0.25">
      <c r="A55" s="2">
        <v>53</v>
      </c>
      <c r="B55" s="3" t="s">
        <v>10</v>
      </c>
      <c r="C55" s="19" t="s">
        <v>35</v>
      </c>
      <c r="D55" s="400" t="s">
        <v>165</v>
      </c>
      <c r="E55" s="440">
        <v>0</v>
      </c>
      <c r="F55" s="440">
        <v>0</v>
      </c>
      <c r="G55" s="440">
        <v>0</v>
      </c>
      <c r="H55" s="440">
        <v>0</v>
      </c>
      <c r="I55" s="440">
        <v>1</v>
      </c>
      <c r="J55" s="440">
        <v>2</v>
      </c>
      <c r="K55" s="441">
        <v>31</v>
      </c>
      <c r="L55" s="422">
        <f t="shared" si="1"/>
        <v>4.8387096774193547E-2</v>
      </c>
      <c r="M55" s="1"/>
    </row>
    <row r="56" spans="1:13" x14ac:dyDescent="0.25">
      <c r="A56" s="2">
        <v>54</v>
      </c>
      <c r="B56" s="3" t="s">
        <v>10</v>
      </c>
      <c r="C56" s="22" t="s">
        <v>49</v>
      </c>
      <c r="D56" s="400" t="s">
        <v>137</v>
      </c>
      <c r="E56" s="440">
        <v>0</v>
      </c>
      <c r="F56" s="440">
        <v>0</v>
      </c>
      <c r="G56" s="440">
        <v>4</v>
      </c>
      <c r="H56" s="440">
        <v>0</v>
      </c>
      <c r="I56" s="440">
        <v>5</v>
      </c>
      <c r="J56" s="440">
        <v>20</v>
      </c>
      <c r="K56" s="441">
        <v>480</v>
      </c>
      <c r="L56" s="422">
        <f t="shared" si="1"/>
        <v>4.583333333333333E-2</v>
      </c>
      <c r="M56" s="1"/>
    </row>
    <row r="57" spans="1:13" x14ac:dyDescent="0.25">
      <c r="A57" s="2">
        <v>55</v>
      </c>
      <c r="B57" s="3" t="s">
        <v>10</v>
      </c>
      <c r="C57" s="22" t="s">
        <v>49</v>
      </c>
      <c r="D57" s="400" t="s">
        <v>113</v>
      </c>
      <c r="E57" s="440">
        <v>0</v>
      </c>
      <c r="F57" s="440">
        <v>1</v>
      </c>
      <c r="G57" s="440">
        <v>5</v>
      </c>
      <c r="H57" s="440">
        <v>4</v>
      </c>
      <c r="I57" s="440">
        <v>7</v>
      </c>
      <c r="J57" s="440">
        <v>51</v>
      </c>
      <c r="K57" s="441">
        <v>1041</v>
      </c>
      <c r="L57" s="422">
        <f t="shared" si="1"/>
        <v>4.4908741594620556E-2</v>
      </c>
      <c r="M57" s="1"/>
    </row>
    <row r="58" spans="1:13" x14ac:dyDescent="0.25">
      <c r="A58" s="2">
        <v>56</v>
      </c>
      <c r="B58" s="6" t="s">
        <v>13</v>
      </c>
      <c r="C58" s="7" t="s">
        <v>14</v>
      </c>
      <c r="D58" s="400" t="s">
        <v>182</v>
      </c>
      <c r="E58" s="440">
        <v>0</v>
      </c>
      <c r="F58" s="440">
        <v>0</v>
      </c>
      <c r="G58" s="440">
        <v>1</v>
      </c>
      <c r="H58" s="440">
        <v>0</v>
      </c>
      <c r="I58" s="440">
        <v>1</v>
      </c>
      <c r="J58" s="440">
        <v>3</v>
      </c>
      <c r="K58" s="441">
        <v>108</v>
      </c>
      <c r="L58" s="422">
        <f t="shared" si="1"/>
        <v>4.3981481481481483E-2</v>
      </c>
      <c r="M58" s="1"/>
    </row>
    <row r="59" spans="1:13" x14ac:dyDescent="0.25">
      <c r="A59" s="2">
        <v>57</v>
      </c>
      <c r="B59" s="6" t="s">
        <v>13</v>
      </c>
      <c r="C59" s="7" t="s">
        <v>14</v>
      </c>
      <c r="D59" s="400" t="s">
        <v>39</v>
      </c>
      <c r="E59" s="440">
        <v>0</v>
      </c>
      <c r="F59" s="440">
        <v>0</v>
      </c>
      <c r="G59" s="440">
        <v>0</v>
      </c>
      <c r="H59" s="440">
        <v>1</v>
      </c>
      <c r="I59" s="440">
        <v>0</v>
      </c>
      <c r="J59" s="440">
        <v>3</v>
      </c>
      <c r="K59" s="441">
        <v>65</v>
      </c>
      <c r="L59" s="422">
        <f t="shared" si="1"/>
        <v>4.230769230769231E-2</v>
      </c>
      <c r="M59" s="1"/>
    </row>
    <row r="60" spans="1:13" x14ac:dyDescent="0.25">
      <c r="A60" s="2">
        <v>58</v>
      </c>
      <c r="B60" s="8" t="s">
        <v>16</v>
      </c>
      <c r="C60" s="11" t="s">
        <v>21</v>
      </c>
      <c r="D60" s="400" t="s">
        <v>152</v>
      </c>
      <c r="E60" s="440">
        <v>0</v>
      </c>
      <c r="F60" s="440">
        <v>0</v>
      </c>
      <c r="G60" s="440">
        <v>0</v>
      </c>
      <c r="H60" s="440">
        <v>0</v>
      </c>
      <c r="I60" s="440">
        <v>0</v>
      </c>
      <c r="J60" s="440">
        <v>1</v>
      </c>
      <c r="K60" s="441">
        <v>6</v>
      </c>
      <c r="L60" s="422">
        <f t="shared" si="1"/>
        <v>4.1666666666666664E-2</v>
      </c>
      <c r="M60" s="1"/>
    </row>
    <row r="61" spans="1:13" x14ac:dyDescent="0.25">
      <c r="A61" s="2">
        <v>59</v>
      </c>
      <c r="B61" s="14" t="s">
        <v>23</v>
      </c>
      <c r="C61" s="16" t="s">
        <v>26</v>
      </c>
      <c r="D61" s="400" t="s">
        <v>63</v>
      </c>
      <c r="E61" s="440">
        <v>0</v>
      </c>
      <c r="F61" s="440">
        <v>0</v>
      </c>
      <c r="G61" s="440">
        <v>0</v>
      </c>
      <c r="H61" s="440">
        <v>3</v>
      </c>
      <c r="I61" s="440">
        <v>1</v>
      </c>
      <c r="J61" s="440">
        <v>24</v>
      </c>
      <c r="K61" s="441">
        <v>325</v>
      </c>
      <c r="L61" s="422">
        <f t="shared" si="1"/>
        <v>0.04</v>
      </c>
      <c r="M61" s="1"/>
    </row>
    <row r="62" spans="1:13" x14ac:dyDescent="0.25">
      <c r="A62" s="2">
        <v>60</v>
      </c>
      <c r="B62" s="6" t="s">
        <v>13</v>
      </c>
      <c r="C62" s="7" t="s">
        <v>14</v>
      </c>
      <c r="D62" s="400" t="s">
        <v>126</v>
      </c>
      <c r="E62" s="440">
        <v>0</v>
      </c>
      <c r="F62" s="440">
        <v>0</v>
      </c>
      <c r="G62" s="440">
        <v>0</v>
      </c>
      <c r="H62" s="440">
        <v>0</v>
      </c>
      <c r="I62" s="440">
        <v>2</v>
      </c>
      <c r="J62" s="440">
        <v>1</v>
      </c>
      <c r="K62" s="441">
        <v>65</v>
      </c>
      <c r="L62" s="422">
        <f t="shared" si="1"/>
        <v>3.4615384615384617E-2</v>
      </c>
      <c r="M62" s="1"/>
    </row>
    <row r="63" spans="1:13" x14ac:dyDescent="0.25">
      <c r="A63" s="2">
        <v>61</v>
      </c>
      <c r="B63" s="14" t="s">
        <v>23</v>
      </c>
      <c r="C63" s="16" t="s">
        <v>26</v>
      </c>
      <c r="D63" s="400" t="s">
        <v>48</v>
      </c>
      <c r="E63" s="440">
        <v>1</v>
      </c>
      <c r="F63" s="440">
        <v>1</v>
      </c>
      <c r="G63" s="440">
        <v>2</v>
      </c>
      <c r="H63" s="440">
        <v>11</v>
      </c>
      <c r="I63" s="440">
        <v>8</v>
      </c>
      <c r="J63" s="440">
        <v>63</v>
      </c>
      <c r="K63" s="441">
        <v>1785</v>
      </c>
      <c r="L63" s="422">
        <f t="shared" si="1"/>
        <v>3.4033613445378148E-2</v>
      </c>
      <c r="M63" s="1"/>
    </row>
    <row r="64" spans="1:13" x14ac:dyDescent="0.25">
      <c r="A64" s="2">
        <v>62</v>
      </c>
      <c r="B64" s="6" t="s">
        <v>13</v>
      </c>
      <c r="C64" s="7" t="s">
        <v>14</v>
      </c>
      <c r="D64" s="400" t="s">
        <v>171</v>
      </c>
      <c r="E64" s="440">
        <v>0</v>
      </c>
      <c r="F64" s="440">
        <v>0</v>
      </c>
      <c r="G64" s="440">
        <v>0</v>
      </c>
      <c r="H64" s="440">
        <v>2</v>
      </c>
      <c r="I64" s="440">
        <v>3</v>
      </c>
      <c r="J64" s="440">
        <v>41</v>
      </c>
      <c r="K64" s="441">
        <v>518</v>
      </c>
      <c r="L64" s="422">
        <f t="shared" si="1"/>
        <v>3.3301158301158304E-2</v>
      </c>
      <c r="M64" s="1"/>
    </row>
    <row r="65" spans="1:13" x14ac:dyDescent="0.25">
      <c r="A65" s="2">
        <v>63</v>
      </c>
      <c r="B65" s="6" t="s">
        <v>13</v>
      </c>
      <c r="C65" s="10" t="s">
        <v>19</v>
      </c>
      <c r="D65" s="400" t="s">
        <v>92</v>
      </c>
      <c r="E65" s="440">
        <v>1</v>
      </c>
      <c r="F65" s="440">
        <v>1</v>
      </c>
      <c r="G65" s="440">
        <v>0</v>
      </c>
      <c r="H65" s="440">
        <v>2</v>
      </c>
      <c r="I65" s="440">
        <v>2</v>
      </c>
      <c r="J65" s="440">
        <v>12</v>
      </c>
      <c r="K65" s="441">
        <v>561</v>
      </c>
      <c r="L65" s="422">
        <f t="shared" si="1"/>
        <v>3.2085561497326207E-2</v>
      </c>
      <c r="M65" s="1"/>
    </row>
    <row r="66" spans="1:13" x14ac:dyDescent="0.25">
      <c r="A66" s="2">
        <v>64</v>
      </c>
      <c r="B66" s="6" t="s">
        <v>13</v>
      </c>
      <c r="C66" s="7" t="s">
        <v>14</v>
      </c>
      <c r="D66" s="400" t="s">
        <v>175</v>
      </c>
      <c r="E66" s="440">
        <v>0</v>
      </c>
      <c r="F66" s="440">
        <v>0</v>
      </c>
      <c r="G66" s="440">
        <v>4</v>
      </c>
      <c r="H66" s="440">
        <v>8</v>
      </c>
      <c r="I66" s="440">
        <v>7</v>
      </c>
      <c r="J66" s="440">
        <v>55</v>
      </c>
      <c r="K66" s="441">
        <v>1558</v>
      </c>
      <c r="L66" s="422">
        <f t="shared" si="1"/>
        <v>3.1290115532734274E-2</v>
      </c>
      <c r="M66" s="1"/>
    </row>
    <row r="67" spans="1:13" x14ac:dyDescent="0.25">
      <c r="A67" s="2">
        <v>65</v>
      </c>
      <c r="B67" s="3" t="s">
        <v>10</v>
      </c>
      <c r="C67" s="22" t="s">
        <v>49</v>
      </c>
      <c r="D67" s="400" t="s">
        <v>50</v>
      </c>
      <c r="E67" s="440">
        <v>0</v>
      </c>
      <c r="F67" s="440">
        <v>0</v>
      </c>
      <c r="G67" s="440">
        <v>0</v>
      </c>
      <c r="H67" s="440">
        <v>0</v>
      </c>
      <c r="I67" s="440">
        <v>0</v>
      </c>
      <c r="J67" s="440">
        <v>1</v>
      </c>
      <c r="K67" s="441">
        <v>8</v>
      </c>
      <c r="L67" s="422">
        <f t="shared" ref="L67:L98" si="2">(E67*5+F67*4+G67*3+H67*2+I67*1+J67*0.25)/K67</f>
        <v>3.125E-2</v>
      </c>
      <c r="M67" s="1"/>
    </row>
    <row r="68" spans="1:13" x14ac:dyDescent="0.25">
      <c r="A68" s="2">
        <v>66</v>
      </c>
      <c r="B68" s="6" t="s">
        <v>13</v>
      </c>
      <c r="C68" s="7" t="s">
        <v>14</v>
      </c>
      <c r="D68" s="400" t="s">
        <v>148</v>
      </c>
      <c r="E68" s="440">
        <v>0</v>
      </c>
      <c r="F68" s="440">
        <v>0</v>
      </c>
      <c r="G68" s="440">
        <v>0</v>
      </c>
      <c r="H68" s="440">
        <v>0</v>
      </c>
      <c r="I68" s="440">
        <v>0</v>
      </c>
      <c r="J68" s="440">
        <v>1</v>
      </c>
      <c r="K68" s="441">
        <v>8</v>
      </c>
      <c r="L68" s="422">
        <f t="shared" si="2"/>
        <v>3.125E-2</v>
      </c>
      <c r="M68" s="1"/>
    </row>
    <row r="69" spans="1:13" x14ac:dyDescent="0.25">
      <c r="A69" s="2">
        <v>67</v>
      </c>
      <c r="B69" s="3" t="s">
        <v>10</v>
      </c>
      <c r="C69" s="4" t="s">
        <v>11</v>
      </c>
      <c r="D69" s="400" t="s">
        <v>163</v>
      </c>
      <c r="E69" s="440">
        <v>0</v>
      </c>
      <c r="F69" s="440">
        <v>0</v>
      </c>
      <c r="G69" s="440">
        <v>0</v>
      </c>
      <c r="H69" s="440">
        <v>1</v>
      </c>
      <c r="I69" s="440">
        <v>4</v>
      </c>
      <c r="J69" s="440">
        <v>26</v>
      </c>
      <c r="K69" s="441">
        <v>407</v>
      </c>
      <c r="L69" s="422">
        <f t="shared" si="2"/>
        <v>3.0712530712530713E-2</v>
      </c>
      <c r="M69" s="1"/>
    </row>
    <row r="70" spans="1:13" x14ac:dyDescent="0.25">
      <c r="A70" s="2">
        <v>68</v>
      </c>
      <c r="B70" s="3" t="s">
        <v>10</v>
      </c>
      <c r="C70" s="22" t="s">
        <v>49</v>
      </c>
      <c r="D70" s="400" t="s">
        <v>222</v>
      </c>
      <c r="E70" s="440">
        <v>0</v>
      </c>
      <c r="F70" s="440">
        <v>0</v>
      </c>
      <c r="G70" s="440">
        <v>0</v>
      </c>
      <c r="H70" s="440">
        <v>1</v>
      </c>
      <c r="I70" s="440">
        <v>1</v>
      </c>
      <c r="J70" s="440">
        <v>12</v>
      </c>
      <c r="K70" s="441">
        <v>208</v>
      </c>
      <c r="L70" s="422">
        <f t="shared" si="2"/>
        <v>2.8846153846153848E-2</v>
      </c>
      <c r="M70" s="1"/>
    </row>
    <row r="71" spans="1:13" x14ac:dyDescent="0.25">
      <c r="A71" s="2">
        <v>69</v>
      </c>
      <c r="B71" s="6" t="s">
        <v>13</v>
      </c>
      <c r="C71" s="10" t="s">
        <v>19</v>
      </c>
      <c r="D71" s="400" t="s">
        <v>88</v>
      </c>
      <c r="E71" s="440">
        <v>0</v>
      </c>
      <c r="F71" s="440">
        <v>0</v>
      </c>
      <c r="G71" s="440">
        <v>1</v>
      </c>
      <c r="H71" s="440">
        <v>3</v>
      </c>
      <c r="I71" s="440">
        <v>5</v>
      </c>
      <c r="J71" s="440">
        <v>34</v>
      </c>
      <c r="K71" s="441">
        <v>803</v>
      </c>
      <c r="L71" s="422">
        <f t="shared" si="2"/>
        <v>2.8019925280199254E-2</v>
      </c>
      <c r="M71" s="1"/>
    </row>
    <row r="72" spans="1:13" x14ac:dyDescent="0.25">
      <c r="A72" s="2">
        <v>70</v>
      </c>
      <c r="B72" s="14" t="s">
        <v>23</v>
      </c>
      <c r="C72" s="15" t="s">
        <v>24</v>
      </c>
      <c r="D72" s="400" t="s">
        <v>38</v>
      </c>
      <c r="E72" s="440">
        <v>0</v>
      </c>
      <c r="F72" s="440">
        <v>0</v>
      </c>
      <c r="G72" s="440">
        <v>0</v>
      </c>
      <c r="H72" s="440">
        <v>0</v>
      </c>
      <c r="I72" s="440">
        <v>0</v>
      </c>
      <c r="J72" s="440">
        <v>1</v>
      </c>
      <c r="K72" s="441">
        <v>9</v>
      </c>
      <c r="L72" s="422">
        <f t="shared" si="2"/>
        <v>2.7777777777777776E-2</v>
      </c>
      <c r="M72" s="1"/>
    </row>
    <row r="73" spans="1:13" x14ac:dyDescent="0.25">
      <c r="A73" s="2">
        <v>71</v>
      </c>
      <c r="B73" s="3" t="s">
        <v>10</v>
      </c>
      <c r="C73" s="19" t="s">
        <v>35</v>
      </c>
      <c r="D73" s="400" t="s">
        <v>36</v>
      </c>
      <c r="E73" s="440">
        <v>0</v>
      </c>
      <c r="F73" s="440">
        <v>0</v>
      </c>
      <c r="G73" s="440">
        <v>0</v>
      </c>
      <c r="H73" s="440">
        <v>0</v>
      </c>
      <c r="I73" s="440">
        <v>0</v>
      </c>
      <c r="J73" s="440">
        <v>2</v>
      </c>
      <c r="K73" s="441">
        <v>20</v>
      </c>
      <c r="L73" s="422">
        <f t="shared" si="2"/>
        <v>2.5000000000000001E-2</v>
      </c>
      <c r="M73" s="1"/>
    </row>
    <row r="74" spans="1:13" x14ac:dyDescent="0.25">
      <c r="A74" s="2">
        <v>72</v>
      </c>
      <c r="B74" s="8" t="s">
        <v>16</v>
      </c>
      <c r="C74" s="11" t="s">
        <v>21</v>
      </c>
      <c r="D74" s="400" t="s">
        <v>143</v>
      </c>
      <c r="E74" s="440">
        <v>0</v>
      </c>
      <c r="F74" s="440">
        <v>0</v>
      </c>
      <c r="G74" s="440">
        <v>0</v>
      </c>
      <c r="H74" s="440">
        <v>0</v>
      </c>
      <c r="I74" s="440">
        <v>0</v>
      </c>
      <c r="J74" s="440">
        <v>1</v>
      </c>
      <c r="K74" s="441">
        <v>11</v>
      </c>
      <c r="L74" s="422">
        <f t="shared" si="2"/>
        <v>2.2727272727272728E-2</v>
      </c>
      <c r="M74" s="1"/>
    </row>
    <row r="75" spans="1:13" x14ac:dyDescent="0.25">
      <c r="A75" s="2">
        <v>73</v>
      </c>
      <c r="B75" s="6" t="s">
        <v>13</v>
      </c>
      <c r="C75" s="7" t="s">
        <v>14</v>
      </c>
      <c r="D75" s="400" t="s">
        <v>187</v>
      </c>
      <c r="E75" s="440">
        <v>0</v>
      </c>
      <c r="F75" s="440">
        <v>0</v>
      </c>
      <c r="G75" s="440">
        <v>0</v>
      </c>
      <c r="H75" s="440">
        <v>0</v>
      </c>
      <c r="I75" s="440">
        <v>1</v>
      </c>
      <c r="J75" s="440">
        <v>2</v>
      </c>
      <c r="K75" s="441">
        <v>71</v>
      </c>
      <c r="L75" s="422">
        <f t="shared" si="2"/>
        <v>2.1126760563380281E-2</v>
      </c>
      <c r="M75" s="1"/>
    </row>
    <row r="76" spans="1:13" x14ac:dyDescent="0.25">
      <c r="A76" s="2">
        <v>74</v>
      </c>
      <c r="B76" s="14" t="s">
        <v>23</v>
      </c>
      <c r="C76" s="16" t="s">
        <v>26</v>
      </c>
      <c r="D76" s="400" t="s">
        <v>169</v>
      </c>
      <c r="E76" s="440">
        <v>0</v>
      </c>
      <c r="F76" s="440">
        <v>0</v>
      </c>
      <c r="G76" s="440">
        <v>0</v>
      </c>
      <c r="H76" s="440">
        <v>1</v>
      </c>
      <c r="I76" s="440">
        <v>0</v>
      </c>
      <c r="J76" s="440">
        <v>8</v>
      </c>
      <c r="K76" s="441">
        <v>193</v>
      </c>
      <c r="L76" s="422">
        <f t="shared" si="2"/>
        <v>2.072538860103627E-2</v>
      </c>
      <c r="M76" s="1"/>
    </row>
    <row r="77" spans="1:13" x14ac:dyDescent="0.25">
      <c r="A77" s="2">
        <v>75</v>
      </c>
      <c r="B77" s="14" t="s">
        <v>23</v>
      </c>
      <c r="C77" s="16" t="s">
        <v>26</v>
      </c>
      <c r="D77" s="400" t="s">
        <v>67</v>
      </c>
      <c r="E77" s="440">
        <v>0</v>
      </c>
      <c r="F77" s="440">
        <v>0</v>
      </c>
      <c r="G77" s="440">
        <v>0</v>
      </c>
      <c r="H77" s="440">
        <v>0</v>
      </c>
      <c r="I77" s="440">
        <v>1</v>
      </c>
      <c r="J77" s="440">
        <v>1</v>
      </c>
      <c r="K77" s="441">
        <v>69</v>
      </c>
      <c r="L77" s="422">
        <f t="shared" si="2"/>
        <v>1.8115942028985508E-2</v>
      </c>
      <c r="M77" s="1"/>
    </row>
    <row r="78" spans="1:13" x14ac:dyDescent="0.25">
      <c r="A78" s="2">
        <v>76</v>
      </c>
      <c r="B78" s="3" t="s">
        <v>10</v>
      </c>
      <c r="C78" s="4" t="s">
        <v>11</v>
      </c>
      <c r="D78" s="400" t="s">
        <v>193</v>
      </c>
      <c r="E78" s="440">
        <v>0</v>
      </c>
      <c r="F78" s="440">
        <v>0</v>
      </c>
      <c r="G78" s="440">
        <v>0</v>
      </c>
      <c r="H78" s="440">
        <v>0</v>
      </c>
      <c r="I78" s="440">
        <v>0</v>
      </c>
      <c r="J78" s="440">
        <v>5</v>
      </c>
      <c r="K78" s="441">
        <v>69</v>
      </c>
      <c r="L78" s="422">
        <f t="shared" si="2"/>
        <v>1.8115942028985508E-2</v>
      </c>
      <c r="M78" s="1"/>
    </row>
    <row r="79" spans="1:13" x14ac:dyDescent="0.25">
      <c r="A79" s="2">
        <v>77</v>
      </c>
      <c r="B79" s="3" t="s">
        <v>10</v>
      </c>
      <c r="C79" s="19" t="s">
        <v>35</v>
      </c>
      <c r="D79" s="400" t="s">
        <v>123</v>
      </c>
      <c r="E79" s="440">
        <v>0</v>
      </c>
      <c r="F79" s="440">
        <v>0</v>
      </c>
      <c r="G79" s="440">
        <v>0</v>
      </c>
      <c r="H79" s="440">
        <v>0</v>
      </c>
      <c r="I79" s="440">
        <v>0</v>
      </c>
      <c r="J79" s="440">
        <v>1</v>
      </c>
      <c r="K79" s="441">
        <v>14</v>
      </c>
      <c r="L79" s="422">
        <f t="shared" si="2"/>
        <v>1.7857142857142856E-2</v>
      </c>
      <c r="M79" s="1"/>
    </row>
    <row r="80" spans="1:13" x14ac:dyDescent="0.25">
      <c r="A80" s="2">
        <v>78</v>
      </c>
      <c r="B80" s="6" t="s">
        <v>13</v>
      </c>
      <c r="C80" s="7" t="s">
        <v>14</v>
      </c>
      <c r="D80" s="400" t="s">
        <v>91</v>
      </c>
      <c r="E80" s="440">
        <v>0</v>
      </c>
      <c r="F80" s="440">
        <v>0</v>
      </c>
      <c r="G80" s="440">
        <v>0</v>
      </c>
      <c r="H80" s="440">
        <v>0</v>
      </c>
      <c r="I80" s="440">
        <v>1</v>
      </c>
      <c r="J80" s="440">
        <v>2</v>
      </c>
      <c r="K80" s="441">
        <v>85</v>
      </c>
      <c r="L80" s="422">
        <f t="shared" si="2"/>
        <v>1.7647058823529412E-2</v>
      </c>
      <c r="M80" s="1"/>
    </row>
    <row r="81" spans="1:13" x14ac:dyDescent="0.25">
      <c r="A81" s="2">
        <v>79</v>
      </c>
      <c r="B81" s="8" t="s">
        <v>16</v>
      </c>
      <c r="C81" s="11" t="s">
        <v>21</v>
      </c>
      <c r="D81" s="400" t="s">
        <v>47</v>
      </c>
      <c r="E81" s="440">
        <v>0</v>
      </c>
      <c r="F81" s="440">
        <v>0</v>
      </c>
      <c r="G81" s="440">
        <v>0</v>
      </c>
      <c r="H81" s="440">
        <v>0</v>
      </c>
      <c r="I81" s="440">
        <v>0</v>
      </c>
      <c r="J81" s="440">
        <v>1</v>
      </c>
      <c r="K81" s="441">
        <v>15</v>
      </c>
      <c r="L81" s="422">
        <f t="shared" si="2"/>
        <v>1.6666666666666666E-2</v>
      </c>
      <c r="M81" s="1"/>
    </row>
    <row r="82" spans="1:13" x14ac:dyDescent="0.25">
      <c r="A82" s="2">
        <v>80</v>
      </c>
      <c r="B82" s="8" t="s">
        <v>16</v>
      </c>
      <c r="C82" s="11" t="s">
        <v>21</v>
      </c>
      <c r="D82" s="400" t="s">
        <v>84</v>
      </c>
      <c r="E82" s="440">
        <v>0</v>
      </c>
      <c r="F82" s="440">
        <v>0</v>
      </c>
      <c r="G82" s="440">
        <v>0</v>
      </c>
      <c r="H82" s="440">
        <v>0</v>
      </c>
      <c r="I82" s="440">
        <v>1</v>
      </c>
      <c r="J82" s="440">
        <v>2</v>
      </c>
      <c r="K82" s="441">
        <v>90</v>
      </c>
      <c r="L82" s="422">
        <f t="shared" si="2"/>
        <v>1.6666666666666666E-2</v>
      </c>
      <c r="M82" s="1"/>
    </row>
    <row r="83" spans="1:13" x14ac:dyDescent="0.25">
      <c r="A83" s="2">
        <v>81</v>
      </c>
      <c r="B83" s="8" t="s">
        <v>16</v>
      </c>
      <c r="C83" s="21" t="s">
        <v>42</v>
      </c>
      <c r="D83" s="400" t="s">
        <v>93</v>
      </c>
      <c r="E83" s="440">
        <v>0</v>
      </c>
      <c r="F83" s="440">
        <v>0</v>
      </c>
      <c r="G83" s="440">
        <v>0</v>
      </c>
      <c r="H83" s="440">
        <v>0</v>
      </c>
      <c r="I83" s="440">
        <v>1</v>
      </c>
      <c r="J83" s="440">
        <v>3</v>
      </c>
      <c r="K83" s="441">
        <v>105</v>
      </c>
      <c r="L83" s="422">
        <f t="shared" si="2"/>
        <v>1.6666666666666666E-2</v>
      </c>
      <c r="M83" s="1"/>
    </row>
    <row r="84" spans="1:13" x14ac:dyDescent="0.25">
      <c r="A84" s="2">
        <v>82</v>
      </c>
      <c r="B84" s="14" t="s">
        <v>23</v>
      </c>
      <c r="C84" s="15" t="s">
        <v>24</v>
      </c>
      <c r="D84" s="400" t="s">
        <v>208</v>
      </c>
      <c r="E84" s="440">
        <v>0</v>
      </c>
      <c r="F84" s="440">
        <v>0</v>
      </c>
      <c r="G84" s="440">
        <v>0</v>
      </c>
      <c r="H84" s="440">
        <v>0</v>
      </c>
      <c r="I84" s="440">
        <v>0</v>
      </c>
      <c r="J84" s="440">
        <v>1</v>
      </c>
      <c r="K84" s="441">
        <v>15</v>
      </c>
      <c r="L84" s="422">
        <f t="shared" si="2"/>
        <v>1.6666666666666666E-2</v>
      </c>
      <c r="M84" s="1"/>
    </row>
    <row r="85" spans="1:13" x14ac:dyDescent="0.25">
      <c r="A85" s="2">
        <v>83</v>
      </c>
      <c r="B85" s="8" t="s">
        <v>16</v>
      </c>
      <c r="C85" s="11" t="s">
        <v>21</v>
      </c>
      <c r="D85" s="400" t="s">
        <v>213</v>
      </c>
      <c r="E85" s="440">
        <v>0</v>
      </c>
      <c r="F85" s="440">
        <v>0</v>
      </c>
      <c r="G85" s="440">
        <v>0</v>
      </c>
      <c r="H85" s="440">
        <v>0</v>
      </c>
      <c r="I85" s="440">
        <v>1</v>
      </c>
      <c r="J85" s="440">
        <v>1</v>
      </c>
      <c r="K85" s="441">
        <v>80</v>
      </c>
      <c r="L85" s="422">
        <f t="shared" si="2"/>
        <v>1.5625E-2</v>
      </c>
      <c r="M85" s="1"/>
    </row>
    <row r="86" spans="1:13" x14ac:dyDescent="0.25">
      <c r="A86" s="2">
        <v>84</v>
      </c>
      <c r="B86" s="3" t="s">
        <v>10</v>
      </c>
      <c r="C86" s="4" t="s">
        <v>11</v>
      </c>
      <c r="D86" s="400" t="s">
        <v>37</v>
      </c>
      <c r="E86" s="440">
        <v>0</v>
      </c>
      <c r="F86" s="440">
        <v>0</v>
      </c>
      <c r="G86" s="440">
        <v>0</v>
      </c>
      <c r="H86" s="440">
        <v>0</v>
      </c>
      <c r="I86" s="440">
        <v>0</v>
      </c>
      <c r="J86" s="440">
        <v>11</v>
      </c>
      <c r="K86" s="441">
        <v>180</v>
      </c>
      <c r="L86" s="422">
        <f t="shared" si="2"/>
        <v>1.5277777777777777E-2</v>
      </c>
      <c r="M86" s="1"/>
    </row>
    <row r="87" spans="1:13" x14ac:dyDescent="0.25">
      <c r="A87" s="2">
        <v>85</v>
      </c>
      <c r="B87" s="14" t="s">
        <v>23</v>
      </c>
      <c r="C87" s="16" t="s">
        <v>26</v>
      </c>
      <c r="D87" s="400" t="s">
        <v>101</v>
      </c>
      <c r="E87" s="440">
        <v>0</v>
      </c>
      <c r="F87" s="440">
        <v>0</v>
      </c>
      <c r="G87" s="440">
        <v>0</v>
      </c>
      <c r="H87" s="440">
        <v>0</v>
      </c>
      <c r="I87" s="440">
        <v>0</v>
      </c>
      <c r="J87" s="440">
        <v>1</v>
      </c>
      <c r="K87" s="441">
        <v>17</v>
      </c>
      <c r="L87" s="422">
        <f t="shared" si="2"/>
        <v>1.4705882352941176E-2</v>
      </c>
      <c r="M87" s="1"/>
    </row>
    <row r="88" spans="1:13" x14ac:dyDescent="0.25">
      <c r="A88" s="2">
        <v>86</v>
      </c>
      <c r="B88" s="3" t="s">
        <v>10</v>
      </c>
      <c r="C88" s="19" t="s">
        <v>35</v>
      </c>
      <c r="D88" s="400" t="s">
        <v>108</v>
      </c>
      <c r="E88" s="440">
        <v>0</v>
      </c>
      <c r="F88" s="440">
        <v>0</v>
      </c>
      <c r="G88" s="440">
        <v>0</v>
      </c>
      <c r="H88" s="440">
        <v>0</v>
      </c>
      <c r="I88" s="440">
        <v>0</v>
      </c>
      <c r="J88" s="440">
        <v>8</v>
      </c>
      <c r="K88" s="441">
        <v>150</v>
      </c>
      <c r="L88" s="422">
        <f t="shared" si="2"/>
        <v>1.3333333333333334E-2</v>
      </c>
      <c r="M88" s="1"/>
    </row>
    <row r="89" spans="1:13" x14ac:dyDescent="0.25">
      <c r="A89" s="2">
        <v>87</v>
      </c>
      <c r="B89" s="8" t="s">
        <v>16</v>
      </c>
      <c r="C89" s="11" t="s">
        <v>21</v>
      </c>
      <c r="D89" s="400" t="s">
        <v>225</v>
      </c>
      <c r="E89" s="440">
        <v>0</v>
      </c>
      <c r="F89" s="440">
        <v>0</v>
      </c>
      <c r="G89" s="440">
        <v>0</v>
      </c>
      <c r="H89" s="440">
        <v>0</v>
      </c>
      <c r="I89" s="440">
        <v>0</v>
      </c>
      <c r="J89" s="440">
        <v>1</v>
      </c>
      <c r="K89" s="441">
        <v>19</v>
      </c>
      <c r="L89" s="422">
        <f t="shared" si="2"/>
        <v>1.3157894736842105E-2</v>
      </c>
      <c r="M89" s="1"/>
    </row>
    <row r="90" spans="1:13" x14ac:dyDescent="0.25">
      <c r="A90" s="2">
        <v>88</v>
      </c>
      <c r="B90" s="8" t="s">
        <v>16</v>
      </c>
      <c r="C90" s="11" t="s">
        <v>21</v>
      </c>
      <c r="D90" s="400" t="s">
        <v>117</v>
      </c>
      <c r="E90" s="440">
        <v>0</v>
      </c>
      <c r="F90" s="440">
        <v>0</v>
      </c>
      <c r="G90" s="440">
        <v>0</v>
      </c>
      <c r="H90" s="440">
        <v>0</v>
      </c>
      <c r="I90" s="440">
        <v>1</v>
      </c>
      <c r="J90" s="440">
        <v>4</v>
      </c>
      <c r="K90" s="441">
        <v>161</v>
      </c>
      <c r="L90" s="422">
        <f t="shared" si="2"/>
        <v>1.2422360248447204E-2</v>
      </c>
      <c r="M90" s="1"/>
    </row>
    <row r="91" spans="1:13" x14ac:dyDescent="0.25">
      <c r="A91" s="2">
        <v>89</v>
      </c>
      <c r="B91" s="14" t="s">
        <v>23</v>
      </c>
      <c r="C91" s="16" t="s">
        <v>26</v>
      </c>
      <c r="D91" s="400" t="s">
        <v>144</v>
      </c>
      <c r="E91" s="440">
        <v>0</v>
      </c>
      <c r="F91" s="440">
        <v>0</v>
      </c>
      <c r="G91" s="440">
        <v>1</v>
      </c>
      <c r="H91" s="440">
        <v>3</v>
      </c>
      <c r="I91" s="440">
        <v>2</v>
      </c>
      <c r="J91" s="440">
        <v>27</v>
      </c>
      <c r="K91" s="441">
        <v>1433</v>
      </c>
      <c r="L91" s="422">
        <f t="shared" si="2"/>
        <v>1.2386601535240753E-2</v>
      </c>
      <c r="M91" s="1"/>
    </row>
    <row r="92" spans="1:13" x14ac:dyDescent="0.25">
      <c r="A92" s="2">
        <v>90</v>
      </c>
      <c r="B92" s="14" t="s">
        <v>23</v>
      </c>
      <c r="C92" s="16" t="s">
        <v>26</v>
      </c>
      <c r="D92" s="400" t="s">
        <v>218</v>
      </c>
      <c r="E92" s="440">
        <v>0</v>
      </c>
      <c r="F92" s="440">
        <v>0</v>
      </c>
      <c r="G92" s="440">
        <v>0</v>
      </c>
      <c r="H92" s="440">
        <v>0</v>
      </c>
      <c r="I92" s="440">
        <v>0</v>
      </c>
      <c r="J92" s="440">
        <v>2</v>
      </c>
      <c r="K92" s="441">
        <v>47</v>
      </c>
      <c r="L92" s="422">
        <f t="shared" si="2"/>
        <v>1.0638297872340425E-2</v>
      </c>
      <c r="M92" s="1"/>
    </row>
    <row r="93" spans="1:13" x14ac:dyDescent="0.25">
      <c r="A93" s="2">
        <v>91</v>
      </c>
      <c r="B93" s="3" t="s">
        <v>10</v>
      </c>
      <c r="C93" s="4" t="s">
        <v>11</v>
      </c>
      <c r="D93" s="400" t="s">
        <v>105</v>
      </c>
      <c r="E93" s="440">
        <v>0</v>
      </c>
      <c r="F93" s="440">
        <v>0</v>
      </c>
      <c r="G93" s="440">
        <v>0</v>
      </c>
      <c r="H93" s="440">
        <v>8</v>
      </c>
      <c r="I93" s="440">
        <v>14</v>
      </c>
      <c r="J93" s="440">
        <v>129</v>
      </c>
      <c r="K93" s="441">
        <v>6019</v>
      </c>
      <c r="L93" s="422">
        <f t="shared" si="2"/>
        <v>1.0342249543113474E-2</v>
      </c>
      <c r="M93" s="1"/>
    </row>
    <row r="94" spans="1:13" x14ac:dyDescent="0.25">
      <c r="A94" s="2">
        <v>92</v>
      </c>
      <c r="B94" s="6" t="s">
        <v>13</v>
      </c>
      <c r="C94" s="7" t="s">
        <v>14</v>
      </c>
      <c r="D94" s="400" t="s">
        <v>214</v>
      </c>
      <c r="E94" s="440">
        <v>0</v>
      </c>
      <c r="F94" s="440">
        <v>0</v>
      </c>
      <c r="G94" s="440">
        <v>0</v>
      </c>
      <c r="H94" s="440">
        <v>0</v>
      </c>
      <c r="I94" s="440">
        <v>1</v>
      </c>
      <c r="J94" s="440">
        <v>13</v>
      </c>
      <c r="K94" s="441">
        <v>424</v>
      </c>
      <c r="L94" s="422">
        <f t="shared" si="2"/>
        <v>1.0023584905660377E-2</v>
      </c>
      <c r="M94" s="1"/>
    </row>
    <row r="95" spans="1:13" x14ac:dyDescent="0.25">
      <c r="A95" s="2">
        <v>93</v>
      </c>
      <c r="B95" s="14" t="s">
        <v>23</v>
      </c>
      <c r="C95" s="16" t="s">
        <v>26</v>
      </c>
      <c r="D95" s="400" t="s">
        <v>96</v>
      </c>
      <c r="E95" s="440">
        <v>0</v>
      </c>
      <c r="F95" s="440">
        <v>0</v>
      </c>
      <c r="G95" s="440">
        <v>0</v>
      </c>
      <c r="H95" s="440">
        <v>0</v>
      </c>
      <c r="I95" s="440">
        <v>0</v>
      </c>
      <c r="J95" s="440">
        <v>1</v>
      </c>
      <c r="K95" s="441">
        <v>25</v>
      </c>
      <c r="L95" s="422">
        <f t="shared" si="2"/>
        <v>0.01</v>
      </c>
      <c r="M95" s="1"/>
    </row>
    <row r="96" spans="1:13" x14ac:dyDescent="0.25">
      <c r="A96" s="2">
        <v>94</v>
      </c>
      <c r="B96" s="14" t="s">
        <v>23</v>
      </c>
      <c r="C96" s="15" t="s">
        <v>24</v>
      </c>
      <c r="D96" s="400" t="s">
        <v>112</v>
      </c>
      <c r="E96" s="440">
        <v>0</v>
      </c>
      <c r="F96" s="440">
        <v>0</v>
      </c>
      <c r="G96" s="440">
        <v>0</v>
      </c>
      <c r="H96" s="440">
        <v>0</v>
      </c>
      <c r="I96" s="440">
        <v>0</v>
      </c>
      <c r="J96" s="440">
        <v>1</v>
      </c>
      <c r="K96" s="441">
        <v>25</v>
      </c>
      <c r="L96" s="422">
        <f t="shared" si="2"/>
        <v>0.01</v>
      </c>
      <c r="M96" s="1"/>
    </row>
    <row r="97" spans="1:13" x14ac:dyDescent="0.25">
      <c r="A97" s="2">
        <v>95</v>
      </c>
      <c r="B97" s="14" t="s">
        <v>23</v>
      </c>
      <c r="C97" s="16" t="s">
        <v>26</v>
      </c>
      <c r="D97" s="400" t="s">
        <v>221</v>
      </c>
      <c r="E97" s="440">
        <v>0</v>
      </c>
      <c r="F97" s="440">
        <v>0</v>
      </c>
      <c r="G97" s="440">
        <v>0</v>
      </c>
      <c r="H97" s="440">
        <v>0</v>
      </c>
      <c r="I97" s="440">
        <v>0</v>
      </c>
      <c r="J97" s="440">
        <v>3</v>
      </c>
      <c r="K97" s="441">
        <v>78</v>
      </c>
      <c r="L97" s="422">
        <f t="shared" si="2"/>
        <v>9.6153846153846159E-3</v>
      </c>
      <c r="M97" s="1"/>
    </row>
    <row r="98" spans="1:13" x14ac:dyDescent="0.25">
      <c r="A98" s="2">
        <v>96</v>
      </c>
      <c r="B98" s="8" t="s">
        <v>16</v>
      </c>
      <c r="C98" s="21" t="s">
        <v>42</v>
      </c>
      <c r="D98" s="400" t="s">
        <v>159</v>
      </c>
      <c r="E98" s="440">
        <v>0</v>
      </c>
      <c r="F98" s="440">
        <v>0</v>
      </c>
      <c r="G98" s="440">
        <v>0</v>
      </c>
      <c r="H98" s="440">
        <v>0</v>
      </c>
      <c r="I98" s="440">
        <v>0</v>
      </c>
      <c r="J98" s="440">
        <v>12</v>
      </c>
      <c r="K98" s="441">
        <v>316</v>
      </c>
      <c r="L98" s="422">
        <f t="shared" si="2"/>
        <v>9.4936708860759497E-3</v>
      </c>
      <c r="M98" s="1"/>
    </row>
    <row r="99" spans="1:13" x14ac:dyDescent="0.25">
      <c r="A99" s="2">
        <v>97</v>
      </c>
      <c r="B99" s="8" t="s">
        <v>16</v>
      </c>
      <c r="C99" s="11" t="s">
        <v>21</v>
      </c>
      <c r="D99" s="400" t="s">
        <v>176</v>
      </c>
      <c r="E99" s="440">
        <v>0</v>
      </c>
      <c r="F99" s="440">
        <v>0</v>
      </c>
      <c r="G99" s="440">
        <v>0</v>
      </c>
      <c r="H99" s="440">
        <v>0</v>
      </c>
      <c r="I99" s="440">
        <v>0</v>
      </c>
      <c r="J99" s="440">
        <v>1</v>
      </c>
      <c r="K99" s="441">
        <v>29</v>
      </c>
      <c r="L99" s="422">
        <f t="shared" ref="L99:L130" si="3">(E99*5+F99*4+G99*3+H99*2+I99*1+J99*0.25)/K99</f>
        <v>8.6206896551724137E-3</v>
      </c>
      <c r="M99" s="1"/>
    </row>
    <row r="100" spans="1:13" x14ac:dyDescent="0.25">
      <c r="A100" s="2">
        <v>98</v>
      </c>
      <c r="B100" s="3" t="s">
        <v>10</v>
      </c>
      <c r="C100" s="25" t="s">
        <v>115</v>
      </c>
      <c r="D100" s="400" t="s">
        <v>116</v>
      </c>
      <c r="E100" s="440">
        <v>0</v>
      </c>
      <c r="F100" s="440">
        <v>0</v>
      </c>
      <c r="G100" s="440">
        <v>0</v>
      </c>
      <c r="H100" s="440">
        <v>0</v>
      </c>
      <c r="I100" s="440">
        <v>1</v>
      </c>
      <c r="J100" s="440">
        <v>2</v>
      </c>
      <c r="K100" s="441">
        <v>180</v>
      </c>
      <c r="L100" s="422">
        <f t="shared" si="3"/>
        <v>8.3333333333333332E-3</v>
      </c>
      <c r="M100" s="1"/>
    </row>
    <row r="101" spans="1:13" x14ac:dyDescent="0.25">
      <c r="A101" s="2">
        <v>99</v>
      </c>
      <c r="B101" s="8" t="s">
        <v>16</v>
      </c>
      <c r="C101" s="9" t="s">
        <v>17</v>
      </c>
      <c r="D101" s="400" t="s">
        <v>149</v>
      </c>
      <c r="E101" s="440">
        <v>0</v>
      </c>
      <c r="F101" s="440">
        <v>0</v>
      </c>
      <c r="G101" s="440">
        <v>0</v>
      </c>
      <c r="H101" s="440">
        <v>0</v>
      </c>
      <c r="I101" s="440">
        <v>0</v>
      </c>
      <c r="J101" s="440">
        <v>7</v>
      </c>
      <c r="K101" s="441">
        <v>211</v>
      </c>
      <c r="L101" s="422">
        <f t="shared" si="3"/>
        <v>8.2938388625592423E-3</v>
      </c>
      <c r="M101" s="1"/>
    </row>
    <row r="102" spans="1:13" x14ac:dyDescent="0.25">
      <c r="A102" s="2">
        <v>100</v>
      </c>
      <c r="B102" s="14" t="s">
        <v>23</v>
      </c>
      <c r="C102" s="16" t="s">
        <v>26</v>
      </c>
      <c r="D102" s="400" t="s">
        <v>45</v>
      </c>
      <c r="E102" s="440">
        <v>0</v>
      </c>
      <c r="F102" s="440">
        <v>0</v>
      </c>
      <c r="G102" s="440">
        <v>0</v>
      </c>
      <c r="H102" s="440">
        <v>0</v>
      </c>
      <c r="I102" s="440">
        <v>0</v>
      </c>
      <c r="J102" s="440">
        <v>2</v>
      </c>
      <c r="K102" s="441">
        <v>61</v>
      </c>
      <c r="L102" s="422">
        <f t="shared" si="3"/>
        <v>8.1967213114754103E-3</v>
      </c>
      <c r="M102" s="1"/>
    </row>
    <row r="103" spans="1:13" x14ac:dyDescent="0.25">
      <c r="A103" s="2">
        <v>101</v>
      </c>
      <c r="B103" s="3" t="s">
        <v>10</v>
      </c>
      <c r="C103" s="4" t="s">
        <v>11</v>
      </c>
      <c r="D103" s="400" t="s">
        <v>154</v>
      </c>
      <c r="E103" s="440">
        <v>0</v>
      </c>
      <c r="F103" s="440">
        <v>0</v>
      </c>
      <c r="G103" s="440">
        <v>0</v>
      </c>
      <c r="H103" s="440">
        <v>0</v>
      </c>
      <c r="I103" s="440">
        <v>0</v>
      </c>
      <c r="J103" s="440">
        <v>1</v>
      </c>
      <c r="K103" s="441">
        <v>34</v>
      </c>
      <c r="L103" s="422">
        <f t="shared" si="3"/>
        <v>7.3529411764705881E-3</v>
      </c>
      <c r="M103" s="1"/>
    </row>
    <row r="104" spans="1:13" x14ac:dyDescent="0.25">
      <c r="A104" s="2">
        <v>102</v>
      </c>
      <c r="B104" s="8" t="s">
        <v>16</v>
      </c>
      <c r="C104" s="11" t="s">
        <v>21</v>
      </c>
      <c r="D104" s="400" t="s">
        <v>197</v>
      </c>
      <c r="E104" s="440">
        <v>0</v>
      </c>
      <c r="F104" s="440">
        <v>0</v>
      </c>
      <c r="G104" s="440">
        <v>0</v>
      </c>
      <c r="H104" s="440">
        <v>0</v>
      </c>
      <c r="I104" s="440">
        <v>0</v>
      </c>
      <c r="J104" s="440">
        <v>2</v>
      </c>
      <c r="K104" s="441">
        <v>69</v>
      </c>
      <c r="L104" s="422">
        <f t="shared" si="3"/>
        <v>7.246376811594203E-3</v>
      </c>
      <c r="M104" s="1"/>
    </row>
    <row r="105" spans="1:13" x14ac:dyDescent="0.25">
      <c r="A105" s="2">
        <v>103</v>
      </c>
      <c r="B105" s="8" t="s">
        <v>16</v>
      </c>
      <c r="C105" s="21" t="s">
        <v>42</v>
      </c>
      <c r="D105" s="400" t="s">
        <v>181</v>
      </c>
      <c r="E105" s="440">
        <v>0</v>
      </c>
      <c r="F105" s="440">
        <v>0</v>
      </c>
      <c r="G105" s="440">
        <v>0</v>
      </c>
      <c r="H105" s="440">
        <v>0</v>
      </c>
      <c r="I105" s="440">
        <v>0</v>
      </c>
      <c r="J105" s="440">
        <v>1</v>
      </c>
      <c r="K105" s="441">
        <v>40</v>
      </c>
      <c r="L105" s="422">
        <f t="shared" si="3"/>
        <v>6.2500000000000003E-3</v>
      </c>
      <c r="M105" s="1"/>
    </row>
    <row r="106" spans="1:13" x14ac:dyDescent="0.25">
      <c r="A106" s="2">
        <v>104</v>
      </c>
      <c r="B106" s="14" t="s">
        <v>23</v>
      </c>
      <c r="C106" s="16" t="s">
        <v>26</v>
      </c>
      <c r="D106" s="400" t="s">
        <v>70</v>
      </c>
      <c r="E106" s="440">
        <v>0</v>
      </c>
      <c r="F106" s="440">
        <v>0</v>
      </c>
      <c r="G106" s="440">
        <v>0</v>
      </c>
      <c r="H106" s="440">
        <v>0</v>
      </c>
      <c r="I106" s="440">
        <v>0</v>
      </c>
      <c r="J106" s="440">
        <v>1</v>
      </c>
      <c r="K106" s="441">
        <v>43</v>
      </c>
      <c r="L106" s="422">
        <f t="shared" si="3"/>
        <v>5.8139534883720929E-3</v>
      </c>
      <c r="M106" s="1"/>
    </row>
    <row r="107" spans="1:13" x14ac:dyDescent="0.25">
      <c r="A107" s="2">
        <v>105</v>
      </c>
      <c r="B107" s="3" t="s">
        <v>10</v>
      </c>
      <c r="C107" s="22" t="s">
        <v>49</v>
      </c>
      <c r="D107" s="400" t="s">
        <v>106</v>
      </c>
      <c r="E107" s="440">
        <v>0</v>
      </c>
      <c r="F107" s="440">
        <v>0</v>
      </c>
      <c r="G107" s="440">
        <v>0</v>
      </c>
      <c r="H107" s="440">
        <v>3</v>
      </c>
      <c r="I107" s="440">
        <v>3</v>
      </c>
      <c r="J107" s="440">
        <v>39</v>
      </c>
      <c r="K107" s="441">
        <v>3259</v>
      </c>
      <c r="L107" s="422">
        <f t="shared" si="3"/>
        <v>5.7532985578398286E-3</v>
      </c>
      <c r="M107" s="1"/>
    </row>
    <row r="108" spans="1:13" x14ac:dyDescent="0.25">
      <c r="A108" s="2">
        <v>106</v>
      </c>
      <c r="B108" s="3" t="s">
        <v>10</v>
      </c>
      <c r="C108" s="19" t="s">
        <v>35</v>
      </c>
      <c r="D108" s="400" t="s">
        <v>201</v>
      </c>
      <c r="E108" s="440">
        <v>0</v>
      </c>
      <c r="F108" s="440">
        <v>0</v>
      </c>
      <c r="G108" s="440">
        <v>0</v>
      </c>
      <c r="H108" s="440">
        <v>0</v>
      </c>
      <c r="I108" s="440">
        <v>0</v>
      </c>
      <c r="J108" s="440">
        <v>1</v>
      </c>
      <c r="K108" s="441">
        <v>47</v>
      </c>
      <c r="L108" s="422">
        <f t="shared" si="3"/>
        <v>5.3191489361702126E-3</v>
      </c>
      <c r="M108" s="1"/>
    </row>
    <row r="109" spans="1:13" x14ac:dyDescent="0.25">
      <c r="A109" s="2">
        <v>107</v>
      </c>
      <c r="B109" s="6" t="s">
        <v>13</v>
      </c>
      <c r="C109" s="7" t="s">
        <v>14</v>
      </c>
      <c r="D109" s="400" t="s">
        <v>46</v>
      </c>
      <c r="E109" s="440">
        <v>0</v>
      </c>
      <c r="F109" s="440">
        <v>0</v>
      </c>
      <c r="G109" s="440">
        <v>0</v>
      </c>
      <c r="H109" s="440">
        <v>0</v>
      </c>
      <c r="I109" s="440">
        <v>0</v>
      </c>
      <c r="J109" s="440">
        <v>2</v>
      </c>
      <c r="K109" s="441">
        <v>96</v>
      </c>
      <c r="L109" s="422">
        <f t="shared" si="3"/>
        <v>5.208333333333333E-3</v>
      </c>
      <c r="M109" s="1"/>
    </row>
    <row r="110" spans="1:13" x14ac:dyDescent="0.25">
      <c r="A110" s="2">
        <v>108</v>
      </c>
      <c r="B110" s="14" t="s">
        <v>23</v>
      </c>
      <c r="C110" s="16" t="s">
        <v>26</v>
      </c>
      <c r="D110" s="400" t="s">
        <v>168</v>
      </c>
      <c r="E110" s="440">
        <v>0</v>
      </c>
      <c r="F110" s="440">
        <v>0</v>
      </c>
      <c r="G110" s="440">
        <v>0</v>
      </c>
      <c r="H110" s="440">
        <v>0</v>
      </c>
      <c r="I110" s="440">
        <v>0</v>
      </c>
      <c r="J110" s="440">
        <v>1</v>
      </c>
      <c r="K110" s="441">
        <v>49</v>
      </c>
      <c r="L110" s="422">
        <f t="shared" si="3"/>
        <v>5.1020408163265302E-3</v>
      </c>
      <c r="M110" s="1"/>
    </row>
    <row r="111" spans="1:13" x14ac:dyDescent="0.25">
      <c r="A111" s="2">
        <v>109</v>
      </c>
      <c r="B111" s="8" t="s">
        <v>16</v>
      </c>
      <c r="C111" s="11" t="s">
        <v>21</v>
      </c>
      <c r="D111" s="400" t="s">
        <v>224</v>
      </c>
      <c r="E111" s="440">
        <v>0</v>
      </c>
      <c r="F111" s="440">
        <v>0</v>
      </c>
      <c r="G111" s="440">
        <v>0</v>
      </c>
      <c r="H111" s="440">
        <v>0</v>
      </c>
      <c r="I111" s="440">
        <v>0</v>
      </c>
      <c r="J111" s="440">
        <v>1</v>
      </c>
      <c r="K111" s="441">
        <v>51</v>
      </c>
      <c r="L111" s="422">
        <f t="shared" si="3"/>
        <v>4.9019607843137254E-3</v>
      </c>
      <c r="M111" s="1"/>
    </row>
    <row r="112" spans="1:13" x14ac:dyDescent="0.25">
      <c r="A112" s="2">
        <v>110</v>
      </c>
      <c r="B112" s="6" t="s">
        <v>13</v>
      </c>
      <c r="C112" s="7" t="s">
        <v>14</v>
      </c>
      <c r="D112" s="400" t="s">
        <v>33</v>
      </c>
      <c r="E112" s="440">
        <v>0</v>
      </c>
      <c r="F112" s="440">
        <v>0</v>
      </c>
      <c r="G112" s="440">
        <v>0</v>
      </c>
      <c r="H112" s="440">
        <v>0</v>
      </c>
      <c r="I112" s="440">
        <v>0</v>
      </c>
      <c r="J112" s="440">
        <v>1</v>
      </c>
      <c r="K112" s="441">
        <v>56</v>
      </c>
      <c r="L112" s="422">
        <f t="shared" si="3"/>
        <v>4.464285714285714E-3</v>
      </c>
      <c r="M112" s="1"/>
    </row>
    <row r="113" spans="1:13" x14ac:dyDescent="0.25">
      <c r="A113" s="2">
        <v>111</v>
      </c>
      <c r="B113" s="6" t="s">
        <v>13</v>
      </c>
      <c r="C113" s="7" t="s">
        <v>14</v>
      </c>
      <c r="D113" s="400" t="s">
        <v>28</v>
      </c>
      <c r="E113" s="440">
        <v>0</v>
      </c>
      <c r="F113" s="440">
        <v>0</v>
      </c>
      <c r="G113" s="440">
        <v>0</v>
      </c>
      <c r="H113" s="440">
        <v>0</v>
      </c>
      <c r="I113" s="440">
        <v>0</v>
      </c>
      <c r="J113" s="440">
        <v>1</v>
      </c>
      <c r="K113" s="441">
        <v>57</v>
      </c>
      <c r="L113" s="422">
        <f t="shared" si="3"/>
        <v>4.3859649122807015E-3</v>
      </c>
      <c r="M113" s="1"/>
    </row>
    <row r="114" spans="1:13" x14ac:dyDescent="0.25">
      <c r="A114" s="2">
        <v>112</v>
      </c>
      <c r="B114" s="6" t="s">
        <v>13</v>
      </c>
      <c r="C114" s="7" t="s">
        <v>14</v>
      </c>
      <c r="D114" s="400" t="s">
        <v>51</v>
      </c>
      <c r="E114" s="440">
        <v>0</v>
      </c>
      <c r="F114" s="440">
        <v>0</v>
      </c>
      <c r="G114" s="440">
        <v>0</v>
      </c>
      <c r="H114" s="440">
        <v>0</v>
      </c>
      <c r="I114" s="440">
        <v>0</v>
      </c>
      <c r="J114" s="440">
        <v>1</v>
      </c>
      <c r="K114" s="441">
        <v>60</v>
      </c>
      <c r="L114" s="422">
        <f t="shared" si="3"/>
        <v>4.1666666666666666E-3</v>
      </c>
      <c r="M114" s="1"/>
    </row>
    <row r="115" spans="1:13" x14ac:dyDescent="0.25">
      <c r="A115" s="2">
        <v>113</v>
      </c>
      <c r="B115" s="8" t="s">
        <v>16</v>
      </c>
      <c r="C115" s="11" t="s">
        <v>21</v>
      </c>
      <c r="D115" s="400" t="s">
        <v>684</v>
      </c>
      <c r="E115" s="440">
        <v>0</v>
      </c>
      <c r="F115" s="440">
        <v>0</v>
      </c>
      <c r="G115" s="440">
        <v>0</v>
      </c>
      <c r="H115" s="440">
        <v>0</v>
      </c>
      <c r="I115" s="440">
        <v>0</v>
      </c>
      <c r="J115" s="440">
        <v>1</v>
      </c>
      <c r="K115" s="441">
        <v>60</v>
      </c>
      <c r="L115" s="422">
        <f t="shared" si="3"/>
        <v>4.1666666666666666E-3</v>
      </c>
      <c r="M115" s="1"/>
    </row>
    <row r="116" spans="1:13" x14ac:dyDescent="0.25">
      <c r="A116" s="2">
        <v>114</v>
      </c>
      <c r="B116" s="8" t="s">
        <v>16</v>
      </c>
      <c r="C116" s="9" t="s">
        <v>17</v>
      </c>
      <c r="D116" s="400" t="s">
        <v>18</v>
      </c>
      <c r="E116" s="440">
        <v>0</v>
      </c>
      <c r="F116" s="440">
        <v>0</v>
      </c>
      <c r="G116" s="440">
        <v>0</v>
      </c>
      <c r="H116" s="440">
        <v>0</v>
      </c>
      <c r="I116" s="440">
        <v>0</v>
      </c>
      <c r="J116" s="440">
        <v>2</v>
      </c>
      <c r="K116" s="441">
        <v>127</v>
      </c>
      <c r="L116" s="422">
        <f t="shared" si="3"/>
        <v>3.937007874015748E-3</v>
      </c>
      <c r="M116" s="1"/>
    </row>
    <row r="117" spans="1:13" x14ac:dyDescent="0.25">
      <c r="A117" s="2">
        <v>115</v>
      </c>
      <c r="B117" s="3" t="s">
        <v>10</v>
      </c>
      <c r="C117" s="22" t="s">
        <v>49</v>
      </c>
      <c r="D117" s="400" t="s">
        <v>170</v>
      </c>
      <c r="E117" s="440">
        <v>0</v>
      </c>
      <c r="F117" s="440">
        <v>0</v>
      </c>
      <c r="G117" s="440">
        <v>0</v>
      </c>
      <c r="H117" s="440">
        <v>0</v>
      </c>
      <c r="I117" s="440">
        <v>0</v>
      </c>
      <c r="J117" s="440">
        <v>6</v>
      </c>
      <c r="K117" s="441">
        <v>394</v>
      </c>
      <c r="L117" s="422">
        <f t="shared" si="3"/>
        <v>3.8071065989847717E-3</v>
      </c>
      <c r="M117" s="1"/>
    </row>
    <row r="118" spans="1:13" x14ac:dyDescent="0.25">
      <c r="A118" s="2">
        <v>116</v>
      </c>
      <c r="B118" s="3" t="s">
        <v>10</v>
      </c>
      <c r="C118" s="22" t="s">
        <v>49</v>
      </c>
      <c r="D118" s="400" t="s">
        <v>147</v>
      </c>
      <c r="E118" s="440">
        <v>0</v>
      </c>
      <c r="F118" s="440">
        <v>0</v>
      </c>
      <c r="G118" s="440">
        <v>0</v>
      </c>
      <c r="H118" s="440">
        <v>0</v>
      </c>
      <c r="I118" s="440">
        <v>0</v>
      </c>
      <c r="J118" s="440">
        <v>1</v>
      </c>
      <c r="K118" s="441">
        <v>71</v>
      </c>
      <c r="L118" s="422">
        <f t="shared" si="3"/>
        <v>3.5211267605633804E-3</v>
      </c>
      <c r="M118" s="1"/>
    </row>
    <row r="119" spans="1:13" x14ac:dyDescent="0.25">
      <c r="A119" s="2">
        <v>117</v>
      </c>
      <c r="B119" s="8" t="s">
        <v>16</v>
      </c>
      <c r="C119" s="9" t="s">
        <v>17</v>
      </c>
      <c r="D119" s="400" t="s">
        <v>209</v>
      </c>
      <c r="E119" s="440">
        <v>0</v>
      </c>
      <c r="F119" s="440">
        <v>0</v>
      </c>
      <c r="G119" s="440">
        <v>0</v>
      </c>
      <c r="H119" s="440">
        <v>0</v>
      </c>
      <c r="I119" s="440">
        <v>0</v>
      </c>
      <c r="J119" s="440">
        <v>3</v>
      </c>
      <c r="K119" s="441">
        <v>259</v>
      </c>
      <c r="L119" s="422">
        <f t="shared" si="3"/>
        <v>2.8957528957528956E-3</v>
      </c>
      <c r="M119" s="1"/>
    </row>
    <row r="120" spans="1:13" x14ac:dyDescent="0.25">
      <c r="A120" s="2">
        <v>118</v>
      </c>
      <c r="B120" s="3" t="s">
        <v>10</v>
      </c>
      <c r="C120" s="4" t="s">
        <v>11</v>
      </c>
      <c r="D120" s="400" t="s">
        <v>12</v>
      </c>
      <c r="E120" s="440">
        <v>0</v>
      </c>
      <c r="F120" s="440">
        <v>0</v>
      </c>
      <c r="G120" s="440">
        <v>0</v>
      </c>
      <c r="H120" s="440">
        <v>0</v>
      </c>
      <c r="I120" s="440">
        <v>0</v>
      </c>
      <c r="J120" s="440">
        <v>0</v>
      </c>
      <c r="K120" s="441">
        <v>50</v>
      </c>
      <c r="L120" s="422">
        <f t="shared" si="3"/>
        <v>0</v>
      </c>
      <c r="M120" s="1"/>
    </row>
    <row r="121" spans="1:13" x14ac:dyDescent="0.25">
      <c r="A121" s="2">
        <v>119</v>
      </c>
      <c r="B121" s="6" t="s">
        <v>13</v>
      </c>
      <c r="C121" s="7" t="s">
        <v>14</v>
      </c>
      <c r="D121" s="400" t="s">
        <v>15</v>
      </c>
      <c r="E121" s="440">
        <v>0</v>
      </c>
      <c r="F121" s="440">
        <v>0</v>
      </c>
      <c r="G121" s="440">
        <v>0</v>
      </c>
      <c r="H121" s="440">
        <v>0</v>
      </c>
      <c r="I121" s="440">
        <v>0</v>
      </c>
      <c r="J121" s="440">
        <v>0</v>
      </c>
      <c r="K121" s="441">
        <v>52</v>
      </c>
      <c r="L121" s="422">
        <f t="shared" si="3"/>
        <v>0</v>
      </c>
      <c r="M121" s="1"/>
    </row>
    <row r="122" spans="1:13" x14ac:dyDescent="0.25">
      <c r="A122" s="2">
        <v>120</v>
      </c>
      <c r="B122" s="6" t="s">
        <v>13</v>
      </c>
      <c r="C122" s="10" t="s">
        <v>19</v>
      </c>
      <c r="D122" s="400" t="s">
        <v>20</v>
      </c>
      <c r="E122" s="440">
        <v>0</v>
      </c>
      <c r="F122" s="440">
        <v>0</v>
      </c>
      <c r="G122" s="440">
        <v>0</v>
      </c>
      <c r="H122" s="440">
        <v>0</v>
      </c>
      <c r="I122" s="440">
        <v>0</v>
      </c>
      <c r="J122" s="440">
        <v>0</v>
      </c>
      <c r="K122" s="441">
        <v>4</v>
      </c>
      <c r="L122" s="422">
        <f t="shared" si="3"/>
        <v>0</v>
      </c>
      <c r="M122" s="1"/>
    </row>
    <row r="123" spans="1:13" x14ac:dyDescent="0.25">
      <c r="A123" s="2">
        <v>121</v>
      </c>
      <c r="B123" s="8" t="s">
        <v>16</v>
      </c>
      <c r="C123" s="11" t="s">
        <v>21</v>
      </c>
      <c r="D123" s="400" t="s">
        <v>22</v>
      </c>
      <c r="E123" s="440">
        <v>0</v>
      </c>
      <c r="F123" s="440">
        <v>0</v>
      </c>
      <c r="G123" s="440">
        <v>0</v>
      </c>
      <c r="H123" s="440">
        <v>0</v>
      </c>
      <c r="I123" s="440">
        <v>0</v>
      </c>
      <c r="J123" s="440">
        <v>0</v>
      </c>
      <c r="K123" s="441">
        <v>34</v>
      </c>
      <c r="L123" s="422">
        <f t="shared" si="3"/>
        <v>0</v>
      </c>
      <c r="M123" s="1"/>
    </row>
    <row r="124" spans="1:13" x14ac:dyDescent="0.25">
      <c r="A124" s="2">
        <v>122</v>
      </c>
      <c r="B124" s="14" t="s">
        <v>23</v>
      </c>
      <c r="C124" s="15" t="s">
        <v>24</v>
      </c>
      <c r="D124" s="400" t="s">
        <v>25</v>
      </c>
      <c r="E124" s="440">
        <v>0</v>
      </c>
      <c r="F124" s="440">
        <v>0</v>
      </c>
      <c r="G124" s="440">
        <v>0</v>
      </c>
      <c r="H124" s="440">
        <v>0</v>
      </c>
      <c r="I124" s="440">
        <v>0</v>
      </c>
      <c r="J124" s="440">
        <v>0</v>
      </c>
      <c r="K124" s="441">
        <v>3</v>
      </c>
      <c r="L124" s="422">
        <f t="shared" si="3"/>
        <v>0</v>
      </c>
      <c r="M124" s="1"/>
    </row>
    <row r="125" spans="1:13" x14ac:dyDescent="0.25">
      <c r="A125" s="2">
        <v>123</v>
      </c>
      <c r="B125" s="14" t="s">
        <v>23</v>
      </c>
      <c r="C125" s="15" t="s">
        <v>24</v>
      </c>
      <c r="D125" s="400" t="s">
        <v>34</v>
      </c>
      <c r="E125" s="440">
        <v>0</v>
      </c>
      <c r="F125" s="440">
        <v>0</v>
      </c>
      <c r="G125" s="440">
        <v>0</v>
      </c>
      <c r="H125" s="440">
        <v>0</v>
      </c>
      <c r="I125" s="440">
        <v>0</v>
      </c>
      <c r="J125" s="440">
        <v>0</v>
      </c>
      <c r="K125" s="441">
        <v>3</v>
      </c>
      <c r="L125" s="422">
        <f t="shared" si="3"/>
        <v>0</v>
      </c>
      <c r="M125" s="1"/>
    </row>
    <row r="126" spans="1:13" x14ac:dyDescent="0.25">
      <c r="A126" s="2">
        <v>124</v>
      </c>
      <c r="B126" s="14" t="s">
        <v>23</v>
      </c>
      <c r="C126" s="15" t="s">
        <v>24</v>
      </c>
      <c r="D126" s="400" t="s">
        <v>41</v>
      </c>
      <c r="E126" s="440">
        <v>0</v>
      </c>
      <c r="F126" s="440">
        <v>0</v>
      </c>
      <c r="G126" s="440">
        <v>0</v>
      </c>
      <c r="H126" s="440">
        <v>0</v>
      </c>
      <c r="I126" s="440">
        <v>0</v>
      </c>
      <c r="J126" s="440">
        <v>0</v>
      </c>
      <c r="K126" s="441">
        <v>6</v>
      </c>
      <c r="L126" s="422">
        <f t="shared" si="3"/>
        <v>0</v>
      </c>
      <c r="M126" s="1"/>
    </row>
    <row r="127" spans="1:13" x14ac:dyDescent="0.25">
      <c r="A127" s="2">
        <v>125</v>
      </c>
      <c r="B127" s="8" t="s">
        <v>16</v>
      </c>
      <c r="C127" s="21" t="s">
        <v>42</v>
      </c>
      <c r="D127" s="400" t="s">
        <v>43</v>
      </c>
      <c r="E127" s="440">
        <v>0</v>
      </c>
      <c r="F127" s="440">
        <v>0</v>
      </c>
      <c r="G127" s="440">
        <v>0</v>
      </c>
      <c r="H127" s="440">
        <v>0</v>
      </c>
      <c r="I127" s="440">
        <v>0</v>
      </c>
      <c r="J127" s="440">
        <v>0</v>
      </c>
      <c r="K127" s="441">
        <v>33</v>
      </c>
      <c r="L127" s="422">
        <f t="shared" si="3"/>
        <v>0</v>
      </c>
      <c r="M127" s="1"/>
    </row>
    <row r="128" spans="1:13" x14ac:dyDescent="0.25">
      <c r="A128" s="2">
        <v>126</v>
      </c>
      <c r="B128" s="3" t="s">
        <v>10</v>
      </c>
      <c r="C128" s="4" t="s">
        <v>11</v>
      </c>
      <c r="D128" s="400" t="s">
        <v>44</v>
      </c>
      <c r="E128" s="440">
        <v>0</v>
      </c>
      <c r="F128" s="440">
        <v>0</v>
      </c>
      <c r="G128" s="440">
        <v>0</v>
      </c>
      <c r="H128" s="440">
        <v>0</v>
      </c>
      <c r="I128" s="440">
        <v>0</v>
      </c>
      <c r="J128" s="440">
        <v>0</v>
      </c>
      <c r="K128" s="441">
        <v>13</v>
      </c>
      <c r="L128" s="422">
        <f t="shared" si="3"/>
        <v>0</v>
      </c>
      <c r="M128" s="1"/>
    </row>
    <row r="129" spans="1:13" x14ac:dyDescent="0.25">
      <c r="A129" s="2">
        <v>127</v>
      </c>
      <c r="B129" s="8" t="s">
        <v>16</v>
      </c>
      <c r="C129" s="21" t="s">
        <v>42</v>
      </c>
      <c r="D129" s="400" t="s">
        <v>52</v>
      </c>
      <c r="E129" s="440">
        <v>0</v>
      </c>
      <c r="F129" s="440">
        <v>0</v>
      </c>
      <c r="G129" s="440">
        <v>0</v>
      </c>
      <c r="H129" s="440">
        <v>0</v>
      </c>
      <c r="I129" s="440">
        <v>0</v>
      </c>
      <c r="J129" s="440">
        <v>0</v>
      </c>
      <c r="K129" s="441">
        <v>21</v>
      </c>
      <c r="L129" s="422">
        <f t="shared" si="3"/>
        <v>0</v>
      </c>
      <c r="M129" s="1"/>
    </row>
    <row r="130" spans="1:13" x14ac:dyDescent="0.25">
      <c r="A130" s="2">
        <v>128</v>
      </c>
      <c r="B130" s="8" t="s">
        <v>16</v>
      </c>
      <c r="C130" s="21" t="s">
        <v>42</v>
      </c>
      <c r="D130" s="400" t="s">
        <v>53</v>
      </c>
      <c r="E130" s="440">
        <v>0</v>
      </c>
      <c r="F130" s="440">
        <v>0</v>
      </c>
      <c r="G130" s="440">
        <v>0</v>
      </c>
      <c r="H130" s="440">
        <v>0</v>
      </c>
      <c r="I130" s="440">
        <v>0</v>
      </c>
      <c r="J130" s="440">
        <v>0</v>
      </c>
      <c r="K130" s="441">
        <v>19</v>
      </c>
      <c r="L130" s="422">
        <f t="shared" si="3"/>
        <v>0</v>
      </c>
      <c r="M130" s="1"/>
    </row>
    <row r="131" spans="1:13" x14ac:dyDescent="0.25">
      <c r="A131" s="2">
        <v>129</v>
      </c>
      <c r="B131" s="8" t="s">
        <v>16</v>
      </c>
      <c r="C131" s="21" t="s">
        <v>42</v>
      </c>
      <c r="D131" s="400" t="s">
        <v>54</v>
      </c>
      <c r="E131" s="440">
        <v>0</v>
      </c>
      <c r="F131" s="440">
        <v>0</v>
      </c>
      <c r="G131" s="440">
        <v>0</v>
      </c>
      <c r="H131" s="440">
        <v>0</v>
      </c>
      <c r="I131" s="440">
        <v>0</v>
      </c>
      <c r="J131" s="440">
        <v>0</v>
      </c>
      <c r="K131" s="441">
        <v>10</v>
      </c>
      <c r="L131" s="422">
        <f t="shared" ref="L131:L162" si="4">(E131*5+F131*4+G131*3+H131*2+I131*1+J131*0.25)/K131</f>
        <v>0</v>
      </c>
      <c r="M131" s="1"/>
    </row>
    <row r="132" spans="1:13" x14ac:dyDescent="0.25">
      <c r="A132" s="2">
        <v>130</v>
      </c>
      <c r="B132" s="3" t="s">
        <v>10</v>
      </c>
      <c r="C132" s="22" t="s">
        <v>49</v>
      </c>
      <c r="D132" s="400" t="s">
        <v>55</v>
      </c>
      <c r="E132" s="440">
        <v>0</v>
      </c>
      <c r="F132" s="440">
        <v>0</v>
      </c>
      <c r="G132" s="440">
        <v>0</v>
      </c>
      <c r="H132" s="440">
        <v>0</v>
      </c>
      <c r="I132" s="440">
        <v>0</v>
      </c>
      <c r="J132" s="440">
        <v>0</v>
      </c>
      <c r="K132" s="441">
        <v>65</v>
      </c>
      <c r="L132" s="422">
        <f t="shared" si="4"/>
        <v>0</v>
      </c>
      <c r="M132" s="1"/>
    </row>
    <row r="133" spans="1:13" x14ac:dyDescent="0.25">
      <c r="A133" s="2">
        <v>131</v>
      </c>
      <c r="B133" s="8" t="s">
        <v>16</v>
      </c>
      <c r="C133" s="21" t="s">
        <v>42</v>
      </c>
      <c r="D133" s="400" t="s">
        <v>56</v>
      </c>
      <c r="E133" s="440">
        <v>0</v>
      </c>
      <c r="F133" s="440">
        <v>0</v>
      </c>
      <c r="G133" s="440">
        <v>0</v>
      </c>
      <c r="H133" s="440">
        <v>0</v>
      </c>
      <c r="I133" s="440">
        <v>0</v>
      </c>
      <c r="J133" s="440">
        <v>0</v>
      </c>
      <c r="K133" s="441">
        <v>28</v>
      </c>
      <c r="L133" s="422">
        <f t="shared" si="4"/>
        <v>0</v>
      </c>
      <c r="M133" s="1"/>
    </row>
    <row r="134" spans="1:13" x14ac:dyDescent="0.25">
      <c r="A134" s="2">
        <v>132</v>
      </c>
      <c r="B134" s="8" t="s">
        <v>16</v>
      </c>
      <c r="C134" s="21" t="s">
        <v>42</v>
      </c>
      <c r="D134" s="400" t="s">
        <v>59</v>
      </c>
      <c r="E134" s="440">
        <v>0</v>
      </c>
      <c r="F134" s="440">
        <v>0</v>
      </c>
      <c r="G134" s="440">
        <v>0</v>
      </c>
      <c r="H134" s="440">
        <v>0</v>
      </c>
      <c r="I134" s="440">
        <v>0</v>
      </c>
      <c r="J134" s="440">
        <v>0</v>
      </c>
      <c r="K134" s="441">
        <v>1</v>
      </c>
      <c r="L134" s="422">
        <f t="shared" si="4"/>
        <v>0</v>
      </c>
      <c r="M134" s="1"/>
    </row>
    <row r="135" spans="1:13" x14ac:dyDescent="0.25">
      <c r="A135" s="2">
        <v>133</v>
      </c>
      <c r="B135" s="8" t="s">
        <v>16</v>
      </c>
      <c r="C135" s="21" t="s">
        <v>42</v>
      </c>
      <c r="D135" s="400" t="s">
        <v>60</v>
      </c>
      <c r="E135" s="440">
        <v>0</v>
      </c>
      <c r="F135" s="440">
        <v>0</v>
      </c>
      <c r="G135" s="440">
        <v>0</v>
      </c>
      <c r="H135" s="440">
        <v>0</v>
      </c>
      <c r="I135" s="440">
        <v>0</v>
      </c>
      <c r="J135" s="440">
        <v>0</v>
      </c>
      <c r="K135" s="441">
        <v>6</v>
      </c>
      <c r="L135" s="422">
        <f t="shared" si="4"/>
        <v>0</v>
      </c>
      <c r="M135" s="1"/>
    </row>
    <row r="136" spans="1:13" x14ac:dyDescent="0.25">
      <c r="A136" s="2">
        <v>134</v>
      </c>
      <c r="B136" s="8" t="s">
        <v>16</v>
      </c>
      <c r="C136" s="11" t="s">
        <v>21</v>
      </c>
      <c r="D136" s="400" t="s">
        <v>64</v>
      </c>
      <c r="E136" s="440">
        <v>0</v>
      </c>
      <c r="F136" s="440">
        <v>0</v>
      </c>
      <c r="G136" s="440">
        <v>0</v>
      </c>
      <c r="H136" s="440">
        <v>0</v>
      </c>
      <c r="I136" s="440">
        <v>0</v>
      </c>
      <c r="J136" s="440">
        <v>0</v>
      </c>
      <c r="K136" s="441">
        <v>1</v>
      </c>
      <c r="L136" s="422">
        <f t="shared" si="4"/>
        <v>0</v>
      </c>
      <c r="M136" s="1"/>
    </row>
    <row r="137" spans="1:13" x14ac:dyDescent="0.25">
      <c r="A137" s="2">
        <v>135</v>
      </c>
      <c r="B137" s="8" t="s">
        <v>16</v>
      </c>
      <c r="C137" s="21" t="s">
        <v>42</v>
      </c>
      <c r="D137" s="400" t="s">
        <v>65</v>
      </c>
      <c r="E137" s="440">
        <v>0</v>
      </c>
      <c r="F137" s="440">
        <v>0</v>
      </c>
      <c r="G137" s="440">
        <v>0</v>
      </c>
      <c r="H137" s="440">
        <v>0</v>
      </c>
      <c r="I137" s="440">
        <v>0</v>
      </c>
      <c r="J137" s="440">
        <v>0</v>
      </c>
      <c r="K137" s="441">
        <v>59</v>
      </c>
      <c r="L137" s="422">
        <f t="shared" si="4"/>
        <v>0</v>
      </c>
      <c r="M137" s="1"/>
    </row>
    <row r="138" spans="1:13" x14ac:dyDescent="0.25">
      <c r="A138" s="2">
        <v>136</v>
      </c>
      <c r="B138" s="8" t="s">
        <v>16</v>
      </c>
      <c r="C138" s="21" t="s">
        <v>42</v>
      </c>
      <c r="D138" s="400" t="s">
        <v>66</v>
      </c>
      <c r="E138" s="440">
        <v>0</v>
      </c>
      <c r="F138" s="440">
        <v>0</v>
      </c>
      <c r="G138" s="440">
        <v>0</v>
      </c>
      <c r="H138" s="440">
        <v>0</v>
      </c>
      <c r="I138" s="440">
        <v>0</v>
      </c>
      <c r="J138" s="440">
        <v>0</v>
      </c>
      <c r="K138" s="442">
        <v>45</v>
      </c>
      <c r="L138" s="422">
        <f t="shared" si="4"/>
        <v>0</v>
      </c>
      <c r="M138" s="1"/>
    </row>
    <row r="139" spans="1:13" x14ac:dyDescent="0.25">
      <c r="A139" s="2">
        <v>137</v>
      </c>
      <c r="B139" s="8" t="s">
        <v>16</v>
      </c>
      <c r="C139" s="21" t="s">
        <v>42</v>
      </c>
      <c r="D139" s="400" t="s">
        <v>68</v>
      </c>
      <c r="E139" s="440">
        <v>0</v>
      </c>
      <c r="F139" s="440">
        <v>0</v>
      </c>
      <c r="G139" s="440">
        <v>0</v>
      </c>
      <c r="H139" s="440">
        <v>0</v>
      </c>
      <c r="I139" s="440">
        <v>0</v>
      </c>
      <c r="J139" s="440">
        <v>0</v>
      </c>
      <c r="K139" s="441">
        <v>21</v>
      </c>
      <c r="L139" s="422">
        <f t="shared" si="4"/>
        <v>0</v>
      </c>
      <c r="M139" s="1"/>
    </row>
    <row r="140" spans="1:13" x14ac:dyDescent="0.25">
      <c r="A140" s="2">
        <v>138</v>
      </c>
      <c r="B140" s="8" t="s">
        <v>16</v>
      </c>
      <c r="C140" s="11" t="s">
        <v>21</v>
      </c>
      <c r="D140" s="400" t="s">
        <v>74</v>
      </c>
      <c r="E140" s="440">
        <v>0</v>
      </c>
      <c r="F140" s="440">
        <v>0</v>
      </c>
      <c r="G140" s="440">
        <v>0</v>
      </c>
      <c r="H140" s="440">
        <v>0</v>
      </c>
      <c r="I140" s="440">
        <v>0</v>
      </c>
      <c r="J140" s="440">
        <v>0</v>
      </c>
      <c r="K140" s="441">
        <v>1</v>
      </c>
      <c r="L140" s="422">
        <f t="shared" si="4"/>
        <v>0</v>
      </c>
      <c r="M140" s="1"/>
    </row>
    <row r="141" spans="1:13" x14ac:dyDescent="0.25">
      <c r="A141" s="2">
        <v>139</v>
      </c>
      <c r="B141" s="14" t="s">
        <v>23</v>
      </c>
      <c r="C141" s="15" t="s">
        <v>24</v>
      </c>
      <c r="D141" s="400" t="s">
        <v>75</v>
      </c>
      <c r="E141" s="440">
        <v>0</v>
      </c>
      <c r="F141" s="440">
        <v>0</v>
      </c>
      <c r="G141" s="440">
        <v>0</v>
      </c>
      <c r="H141" s="440">
        <v>0</v>
      </c>
      <c r="I141" s="440">
        <v>0</v>
      </c>
      <c r="J141" s="440">
        <v>0</v>
      </c>
      <c r="K141" s="441">
        <v>4</v>
      </c>
      <c r="L141" s="422">
        <f t="shared" si="4"/>
        <v>0</v>
      </c>
      <c r="M141" s="1"/>
    </row>
    <row r="142" spans="1:13" x14ac:dyDescent="0.25">
      <c r="A142" s="2">
        <v>140</v>
      </c>
      <c r="B142" s="14" t="s">
        <v>23</v>
      </c>
      <c r="C142" s="16" t="s">
        <v>26</v>
      </c>
      <c r="D142" s="400" t="s">
        <v>76</v>
      </c>
      <c r="E142" s="440">
        <v>0</v>
      </c>
      <c r="F142" s="440">
        <v>0</v>
      </c>
      <c r="G142" s="440">
        <v>0</v>
      </c>
      <c r="H142" s="440">
        <v>0</v>
      </c>
      <c r="I142" s="440">
        <v>0</v>
      </c>
      <c r="J142" s="440">
        <v>0</v>
      </c>
      <c r="K142" s="441">
        <v>69</v>
      </c>
      <c r="L142" s="422">
        <f t="shared" si="4"/>
        <v>0</v>
      </c>
      <c r="M142" s="1"/>
    </row>
    <row r="143" spans="1:13" x14ac:dyDescent="0.25">
      <c r="A143" s="2">
        <v>141</v>
      </c>
      <c r="B143" s="14" t="s">
        <v>23</v>
      </c>
      <c r="C143" s="16" t="s">
        <v>26</v>
      </c>
      <c r="D143" s="400" t="s">
        <v>79</v>
      </c>
      <c r="E143" s="440">
        <v>0</v>
      </c>
      <c r="F143" s="440">
        <v>0</v>
      </c>
      <c r="G143" s="440">
        <v>0</v>
      </c>
      <c r="H143" s="440">
        <v>0</v>
      </c>
      <c r="I143" s="440">
        <v>0</v>
      </c>
      <c r="J143" s="440">
        <v>0</v>
      </c>
      <c r="K143" s="441">
        <v>40</v>
      </c>
      <c r="L143" s="422">
        <f t="shared" si="4"/>
        <v>0</v>
      </c>
      <c r="M143" s="1"/>
    </row>
    <row r="144" spans="1:13" x14ac:dyDescent="0.25">
      <c r="A144" s="2">
        <v>142</v>
      </c>
      <c r="B144" s="8" t="s">
        <v>16</v>
      </c>
      <c r="C144" s="21" t="s">
        <v>42</v>
      </c>
      <c r="D144" s="400" t="s">
        <v>80</v>
      </c>
      <c r="E144" s="440">
        <v>0</v>
      </c>
      <c r="F144" s="440">
        <v>0</v>
      </c>
      <c r="G144" s="440">
        <v>0</v>
      </c>
      <c r="H144" s="440">
        <v>0</v>
      </c>
      <c r="I144" s="440">
        <v>0</v>
      </c>
      <c r="J144" s="440">
        <v>0</v>
      </c>
      <c r="K144" s="441">
        <v>1</v>
      </c>
      <c r="L144" s="422">
        <f t="shared" si="4"/>
        <v>0</v>
      </c>
      <c r="M144" s="1"/>
    </row>
    <row r="145" spans="1:13" x14ac:dyDescent="0.25">
      <c r="A145" s="2">
        <v>143</v>
      </c>
      <c r="B145" s="8" t="s">
        <v>16</v>
      </c>
      <c r="C145" s="11" t="s">
        <v>21</v>
      </c>
      <c r="D145" s="400" t="s">
        <v>81</v>
      </c>
      <c r="E145" s="440">
        <v>0</v>
      </c>
      <c r="F145" s="440">
        <v>0</v>
      </c>
      <c r="G145" s="440">
        <v>0</v>
      </c>
      <c r="H145" s="440">
        <v>0</v>
      </c>
      <c r="I145" s="440">
        <v>0</v>
      </c>
      <c r="J145" s="440">
        <v>0</v>
      </c>
      <c r="K145" s="441">
        <v>1</v>
      </c>
      <c r="L145" s="422">
        <f t="shared" si="4"/>
        <v>0</v>
      </c>
      <c r="M145" s="1"/>
    </row>
    <row r="146" spans="1:13" x14ac:dyDescent="0.25">
      <c r="A146" s="2">
        <v>144</v>
      </c>
      <c r="B146" s="8" t="s">
        <v>16</v>
      </c>
      <c r="C146" s="11" t="s">
        <v>21</v>
      </c>
      <c r="D146" s="400" t="s">
        <v>83</v>
      </c>
      <c r="E146" s="440">
        <v>0</v>
      </c>
      <c r="F146" s="440">
        <v>0</v>
      </c>
      <c r="G146" s="440">
        <v>0</v>
      </c>
      <c r="H146" s="440">
        <v>0</v>
      </c>
      <c r="I146" s="440">
        <v>0</v>
      </c>
      <c r="J146" s="440">
        <v>0</v>
      </c>
      <c r="K146" s="441">
        <v>3</v>
      </c>
      <c r="L146" s="422">
        <f t="shared" si="4"/>
        <v>0</v>
      </c>
      <c r="M146" s="1"/>
    </row>
    <row r="147" spans="1:13" x14ac:dyDescent="0.25">
      <c r="A147" s="2">
        <v>145</v>
      </c>
      <c r="B147" s="8" t="s">
        <v>16</v>
      </c>
      <c r="C147" s="21" t="s">
        <v>42</v>
      </c>
      <c r="D147" s="400" t="s">
        <v>89</v>
      </c>
      <c r="E147" s="440">
        <v>0</v>
      </c>
      <c r="F147" s="440">
        <v>0</v>
      </c>
      <c r="G147" s="440">
        <v>0</v>
      </c>
      <c r="H147" s="440">
        <v>0</v>
      </c>
      <c r="I147" s="440">
        <v>0</v>
      </c>
      <c r="J147" s="440">
        <v>0</v>
      </c>
      <c r="K147" s="441">
        <v>18</v>
      </c>
      <c r="L147" s="422">
        <f t="shared" si="4"/>
        <v>0</v>
      </c>
      <c r="M147" s="1"/>
    </row>
    <row r="148" spans="1:13" x14ac:dyDescent="0.25">
      <c r="A148" s="2">
        <v>146</v>
      </c>
      <c r="B148" s="8" t="s">
        <v>16</v>
      </c>
      <c r="C148" s="21" t="s">
        <v>42</v>
      </c>
      <c r="D148" s="400" t="s">
        <v>90</v>
      </c>
      <c r="E148" s="440">
        <v>0</v>
      </c>
      <c r="F148" s="440">
        <v>0</v>
      </c>
      <c r="G148" s="440">
        <v>0</v>
      </c>
      <c r="H148" s="440">
        <v>0</v>
      </c>
      <c r="I148" s="440">
        <v>0</v>
      </c>
      <c r="J148" s="440">
        <v>0</v>
      </c>
      <c r="K148" s="441">
        <v>4</v>
      </c>
      <c r="L148" s="422">
        <f t="shared" si="4"/>
        <v>0</v>
      </c>
      <c r="M148" s="1"/>
    </row>
    <row r="149" spans="1:13" x14ac:dyDescent="0.25">
      <c r="A149" s="2">
        <v>147</v>
      </c>
      <c r="B149" s="8" t="s">
        <v>16</v>
      </c>
      <c r="C149" s="21" t="s">
        <v>42</v>
      </c>
      <c r="D149" s="400" t="s">
        <v>97</v>
      </c>
      <c r="E149" s="440">
        <v>0</v>
      </c>
      <c r="F149" s="440">
        <v>0</v>
      </c>
      <c r="G149" s="440">
        <v>0</v>
      </c>
      <c r="H149" s="440">
        <v>0</v>
      </c>
      <c r="I149" s="440">
        <v>0</v>
      </c>
      <c r="J149" s="440">
        <v>0</v>
      </c>
      <c r="K149" s="441">
        <v>5</v>
      </c>
      <c r="L149" s="422">
        <f t="shared" si="4"/>
        <v>0</v>
      </c>
      <c r="M149" s="1"/>
    </row>
    <row r="150" spans="1:13" x14ac:dyDescent="0.25">
      <c r="A150" s="2">
        <v>148</v>
      </c>
      <c r="B150" s="8" t="s">
        <v>16</v>
      </c>
      <c r="C150" s="21" t="s">
        <v>42</v>
      </c>
      <c r="D150" s="400" t="s">
        <v>98</v>
      </c>
      <c r="E150" s="440">
        <v>0</v>
      </c>
      <c r="F150" s="440">
        <v>0</v>
      </c>
      <c r="G150" s="440">
        <v>0</v>
      </c>
      <c r="H150" s="440">
        <v>0</v>
      </c>
      <c r="I150" s="440">
        <v>0</v>
      </c>
      <c r="J150" s="440">
        <v>0</v>
      </c>
      <c r="K150" s="442">
        <v>7</v>
      </c>
      <c r="L150" s="422">
        <f t="shared" si="4"/>
        <v>0</v>
      </c>
      <c r="M150" s="1"/>
    </row>
    <row r="151" spans="1:13" x14ac:dyDescent="0.25">
      <c r="A151" s="2">
        <v>149</v>
      </c>
      <c r="B151" s="14" t="s">
        <v>23</v>
      </c>
      <c r="C151" s="15" t="s">
        <v>24</v>
      </c>
      <c r="D151" s="400" t="s">
        <v>99</v>
      </c>
      <c r="E151" s="440">
        <v>0</v>
      </c>
      <c r="F151" s="440">
        <v>0</v>
      </c>
      <c r="G151" s="440">
        <v>0</v>
      </c>
      <c r="H151" s="440">
        <v>0</v>
      </c>
      <c r="I151" s="440">
        <v>0</v>
      </c>
      <c r="J151" s="440">
        <v>0</v>
      </c>
      <c r="K151" s="441">
        <v>10</v>
      </c>
      <c r="L151" s="422">
        <f t="shared" si="4"/>
        <v>0</v>
      </c>
      <c r="M151" s="1"/>
    </row>
    <row r="152" spans="1:13" x14ac:dyDescent="0.25">
      <c r="A152" s="2">
        <v>150</v>
      </c>
      <c r="B152" s="14" t="s">
        <v>23</v>
      </c>
      <c r="C152" s="16" t="s">
        <v>26</v>
      </c>
      <c r="D152" s="400" t="s">
        <v>100</v>
      </c>
      <c r="E152" s="440">
        <v>0</v>
      </c>
      <c r="F152" s="440">
        <v>0</v>
      </c>
      <c r="G152" s="440">
        <v>0</v>
      </c>
      <c r="H152" s="440">
        <v>0</v>
      </c>
      <c r="I152" s="440">
        <v>0</v>
      </c>
      <c r="J152" s="440">
        <v>0</v>
      </c>
      <c r="K152" s="441">
        <v>25</v>
      </c>
      <c r="L152" s="422">
        <f t="shared" si="4"/>
        <v>0</v>
      </c>
      <c r="M152" s="1"/>
    </row>
    <row r="153" spans="1:13" x14ac:dyDescent="0.25">
      <c r="A153" s="2">
        <v>151</v>
      </c>
      <c r="B153" s="17" t="s">
        <v>29</v>
      </c>
      <c r="C153" s="26" t="s">
        <v>118</v>
      </c>
      <c r="D153" s="400" t="s">
        <v>119</v>
      </c>
      <c r="E153" s="440">
        <v>0</v>
      </c>
      <c r="F153" s="440">
        <v>0</v>
      </c>
      <c r="G153" s="440">
        <v>0</v>
      </c>
      <c r="H153" s="440">
        <v>0</v>
      </c>
      <c r="I153" s="440">
        <v>0</v>
      </c>
      <c r="J153" s="440">
        <v>0</v>
      </c>
      <c r="K153" s="441">
        <v>2</v>
      </c>
      <c r="L153" s="422">
        <f t="shared" si="4"/>
        <v>0</v>
      </c>
      <c r="M153" s="1"/>
    </row>
    <row r="154" spans="1:13" x14ac:dyDescent="0.25">
      <c r="A154" s="2">
        <v>152</v>
      </c>
      <c r="B154" s="3" t="s">
        <v>10</v>
      </c>
      <c r="C154" s="22" t="s">
        <v>49</v>
      </c>
      <c r="D154" s="400" t="s">
        <v>120</v>
      </c>
      <c r="E154" s="440">
        <v>0</v>
      </c>
      <c r="F154" s="440">
        <v>0</v>
      </c>
      <c r="G154" s="440">
        <v>0</v>
      </c>
      <c r="H154" s="440">
        <v>0</v>
      </c>
      <c r="I154" s="440">
        <v>0</v>
      </c>
      <c r="J154" s="440">
        <v>0</v>
      </c>
      <c r="K154" s="441">
        <v>1</v>
      </c>
      <c r="L154" s="422">
        <f t="shared" si="4"/>
        <v>0</v>
      </c>
      <c r="M154" s="1"/>
    </row>
    <row r="155" spans="1:13" x14ac:dyDescent="0.25">
      <c r="A155" s="2">
        <v>153</v>
      </c>
      <c r="B155" s="6" t="s">
        <v>13</v>
      </c>
      <c r="C155" s="7" t="s">
        <v>14</v>
      </c>
      <c r="D155" s="400" t="s">
        <v>122</v>
      </c>
      <c r="E155" s="440">
        <v>0</v>
      </c>
      <c r="F155" s="440">
        <v>0</v>
      </c>
      <c r="G155" s="440">
        <v>0</v>
      </c>
      <c r="H155" s="440">
        <v>0</v>
      </c>
      <c r="I155" s="440">
        <v>0</v>
      </c>
      <c r="J155" s="440">
        <v>0</v>
      </c>
      <c r="K155" s="441">
        <v>1</v>
      </c>
      <c r="L155" s="422">
        <f t="shared" si="4"/>
        <v>0</v>
      </c>
      <c r="M155" s="1"/>
    </row>
    <row r="156" spans="1:13" x14ac:dyDescent="0.25">
      <c r="A156" s="2">
        <v>154</v>
      </c>
      <c r="B156" s="3" t="s">
        <v>10</v>
      </c>
      <c r="C156" s="25" t="s">
        <v>115</v>
      </c>
      <c r="D156" s="400" t="s">
        <v>124</v>
      </c>
      <c r="E156" s="440">
        <v>0</v>
      </c>
      <c r="F156" s="440">
        <v>0</v>
      </c>
      <c r="G156" s="440">
        <v>0</v>
      </c>
      <c r="H156" s="440">
        <v>0</v>
      </c>
      <c r="I156" s="440">
        <v>0</v>
      </c>
      <c r="J156" s="440">
        <v>0</v>
      </c>
      <c r="K156" s="441">
        <v>48</v>
      </c>
      <c r="L156" s="422">
        <f t="shared" si="4"/>
        <v>0</v>
      </c>
      <c r="M156" s="1"/>
    </row>
    <row r="157" spans="1:13" x14ac:dyDescent="0.25">
      <c r="A157" s="2">
        <v>155</v>
      </c>
      <c r="B157" s="3" t="s">
        <v>10</v>
      </c>
      <c r="C157" s="22" t="s">
        <v>49</v>
      </c>
      <c r="D157" s="400" t="s">
        <v>125</v>
      </c>
      <c r="E157" s="440">
        <v>0</v>
      </c>
      <c r="F157" s="440">
        <v>0</v>
      </c>
      <c r="G157" s="440">
        <v>0</v>
      </c>
      <c r="H157" s="440">
        <v>0</v>
      </c>
      <c r="I157" s="440">
        <v>0</v>
      </c>
      <c r="J157" s="440">
        <v>0</v>
      </c>
      <c r="K157" s="441">
        <v>6</v>
      </c>
      <c r="L157" s="422">
        <f t="shared" si="4"/>
        <v>0</v>
      </c>
      <c r="M157" s="1"/>
    </row>
    <row r="158" spans="1:13" x14ac:dyDescent="0.25">
      <c r="A158" s="2">
        <v>156</v>
      </c>
      <c r="B158" s="8" t="s">
        <v>16</v>
      </c>
      <c r="C158" s="11" t="s">
        <v>21</v>
      </c>
      <c r="D158" s="400" t="s">
        <v>128</v>
      </c>
      <c r="E158" s="440">
        <v>0</v>
      </c>
      <c r="F158" s="440">
        <v>0</v>
      </c>
      <c r="G158" s="440">
        <v>0</v>
      </c>
      <c r="H158" s="440">
        <v>0</v>
      </c>
      <c r="I158" s="440">
        <v>0</v>
      </c>
      <c r="J158" s="440">
        <v>0</v>
      </c>
      <c r="K158" s="441">
        <v>2</v>
      </c>
      <c r="L158" s="422">
        <f t="shared" si="4"/>
        <v>0</v>
      </c>
      <c r="M158" s="1"/>
    </row>
    <row r="159" spans="1:13" x14ac:dyDescent="0.25">
      <c r="A159" s="2">
        <v>157</v>
      </c>
      <c r="B159" s="8" t="s">
        <v>16</v>
      </c>
      <c r="C159" s="21" t="s">
        <v>42</v>
      </c>
      <c r="D159" s="400" t="s">
        <v>129</v>
      </c>
      <c r="E159" s="440">
        <v>0</v>
      </c>
      <c r="F159" s="440">
        <v>0</v>
      </c>
      <c r="G159" s="440">
        <v>0</v>
      </c>
      <c r="H159" s="440">
        <v>0</v>
      </c>
      <c r="I159" s="440">
        <v>0</v>
      </c>
      <c r="J159" s="440">
        <v>0</v>
      </c>
      <c r="K159" s="441">
        <v>6</v>
      </c>
      <c r="L159" s="422">
        <f t="shared" si="4"/>
        <v>0</v>
      </c>
      <c r="M159" s="1"/>
    </row>
    <row r="160" spans="1:13" x14ac:dyDescent="0.25">
      <c r="A160" s="2">
        <v>158</v>
      </c>
      <c r="B160" s="8" t="s">
        <v>16</v>
      </c>
      <c r="C160" s="9" t="s">
        <v>17</v>
      </c>
      <c r="D160" s="400" t="s">
        <v>130</v>
      </c>
      <c r="E160" s="440">
        <v>0</v>
      </c>
      <c r="F160" s="440">
        <v>0</v>
      </c>
      <c r="G160" s="440">
        <v>0</v>
      </c>
      <c r="H160" s="440">
        <v>0</v>
      </c>
      <c r="I160" s="440">
        <v>0</v>
      </c>
      <c r="J160" s="440">
        <v>0</v>
      </c>
      <c r="K160" s="441">
        <v>41</v>
      </c>
      <c r="L160" s="422">
        <f t="shared" si="4"/>
        <v>0</v>
      </c>
      <c r="M160" s="1"/>
    </row>
    <row r="161" spans="1:13" x14ac:dyDescent="0.25">
      <c r="A161" s="2">
        <v>159</v>
      </c>
      <c r="B161" s="6" t="s">
        <v>13</v>
      </c>
      <c r="C161" s="10" t="s">
        <v>19</v>
      </c>
      <c r="D161" s="400" t="s">
        <v>133</v>
      </c>
      <c r="E161" s="440">
        <v>0</v>
      </c>
      <c r="F161" s="440">
        <v>0</v>
      </c>
      <c r="G161" s="440">
        <v>0</v>
      </c>
      <c r="H161" s="440">
        <v>0</v>
      </c>
      <c r="I161" s="440">
        <v>0</v>
      </c>
      <c r="J161" s="440">
        <v>0</v>
      </c>
      <c r="K161" s="441">
        <v>7</v>
      </c>
      <c r="L161" s="422">
        <f t="shared" si="4"/>
        <v>0</v>
      </c>
      <c r="M161" s="1"/>
    </row>
    <row r="162" spans="1:13" x14ac:dyDescent="0.25">
      <c r="A162" s="2">
        <v>160</v>
      </c>
      <c r="B162" s="8" t="s">
        <v>16</v>
      </c>
      <c r="C162" s="11" t="s">
        <v>21</v>
      </c>
      <c r="D162" s="400" t="s">
        <v>135</v>
      </c>
      <c r="E162" s="440">
        <v>0</v>
      </c>
      <c r="F162" s="440">
        <v>0</v>
      </c>
      <c r="G162" s="440">
        <v>0</v>
      </c>
      <c r="H162" s="440">
        <v>0</v>
      </c>
      <c r="I162" s="440">
        <v>0</v>
      </c>
      <c r="J162" s="440">
        <v>0</v>
      </c>
      <c r="K162" s="441">
        <v>15</v>
      </c>
      <c r="L162" s="422">
        <f t="shared" si="4"/>
        <v>0</v>
      </c>
      <c r="M162" s="1"/>
    </row>
    <row r="163" spans="1:13" x14ac:dyDescent="0.25">
      <c r="A163" s="2">
        <v>161</v>
      </c>
      <c r="B163" s="8" t="s">
        <v>16</v>
      </c>
      <c r="C163" s="11" t="s">
        <v>21</v>
      </c>
      <c r="D163" s="400" t="s">
        <v>136</v>
      </c>
      <c r="E163" s="440">
        <v>0</v>
      </c>
      <c r="F163" s="440">
        <v>0</v>
      </c>
      <c r="G163" s="440">
        <v>0</v>
      </c>
      <c r="H163" s="440">
        <v>0</v>
      </c>
      <c r="I163" s="440">
        <v>0</v>
      </c>
      <c r="J163" s="440">
        <v>0</v>
      </c>
      <c r="K163" s="441">
        <v>30</v>
      </c>
      <c r="L163" s="422">
        <f t="shared" ref="L163:L172" si="5">(E163*5+F163*4+G163*3+H163*2+I163*1+J163*0.25)/K163</f>
        <v>0</v>
      </c>
      <c r="M163" s="1"/>
    </row>
    <row r="164" spans="1:13" x14ac:dyDescent="0.25">
      <c r="A164" s="2">
        <v>162</v>
      </c>
      <c r="B164" s="3" t="s">
        <v>10</v>
      </c>
      <c r="C164" s="4" t="s">
        <v>11</v>
      </c>
      <c r="D164" s="400" t="s">
        <v>138</v>
      </c>
      <c r="E164" s="440">
        <v>0</v>
      </c>
      <c r="F164" s="440">
        <v>0</v>
      </c>
      <c r="G164" s="440">
        <v>0</v>
      </c>
      <c r="H164" s="440">
        <v>0</v>
      </c>
      <c r="I164" s="440">
        <v>0</v>
      </c>
      <c r="J164" s="440">
        <v>0</v>
      </c>
      <c r="K164" s="441">
        <v>5</v>
      </c>
      <c r="L164" s="422">
        <f t="shared" si="5"/>
        <v>0</v>
      </c>
      <c r="M164" s="1"/>
    </row>
    <row r="165" spans="1:13" x14ac:dyDescent="0.25">
      <c r="A165" s="2">
        <v>163</v>
      </c>
      <c r="B165" s="8" t="s">
        <v>16</v>
      </c>
      <c r="C165" s="21" t="s">
        <v>42</v>
      </c>
      <c r="D165" s="400" t="s">
        <v>139</v>
      </c>
      <c r="E165" s="440">
        <v>0</v>
      </c>
      <c r="F165" s="440">
        <v>0</v>
      </c>
      <c r="G165" s="440">
        <v>0</v>
      </c>
      <c r="H165" s="440">
        <v>0</v>
      </c>
      <c r="I165" s="440">
        <v>0</v>
      </c>
      <c r="J165" s="440">
        <v>0</v>
      </c>
      <c r="K165" s="441">
        <v>9</v>
      </c>
      <c r="L165" s="422">
        <f t="shared" si="5"/>
        <v>0</v>
      </c>
      <c r="M165" s="1"/>
    </row>
    <row r="166" spans="1:13" x14ac:dyDescent="0.25">
      <c r="A166" s="2">
        <v>164</v>
      </c>
      <c r="B166" s="17" t="s">
        <v>29</v>
      </c>
      <c r="C166" s="26" t="s">
        <v>118</v>
      </c>
      <c r="D166" s="400" t="s">
        <v>141</v>
      </c>
      <c r="E166" s="440">
        <v>0</v>
      </c>
      <c r="F166" s="440">
        <v>0</v>
      </c>
      <c r="G166" s="440">
        <v>0</v>
      </c>
      <c r="H166" s="440">
        <v>0</v>
      </c>
      <c r="I166" s="440">
        <v>0</v>
      </c>
      <c r="J166" s="440">
        <v>0</v>
      </c>
      <c r="K166" s="441">
        <v>1</v>
      </c>
      <c r="L166" s="422">
        <f t="shared" si="5"/>
        <v>0</v>
      </c>
      <c r="M166" s="1"/>
    </row>
    <row r="167" spans="1:13" x14ac:dyDescent="0.25">
      <c r="A167" s="2">
        <v>165</v>
      </c>
      <c r="B167" s="8" t="s">
        <v>16</v>
      </c>
      <c r="C167" s="21" t="s">
        <v>42</v>
      </c>
      <c r="D167" s="400" t="s">
        <v>142</v>
      </c>
      <c r="E167" s="440">
        <v>0</v>
      </c>
      <c r="F167" s="440">
        <v>0</v>
      </c>
      <c r="G167" s="440">
        <v>0</v>
      </c>
      <c r="H167" s="440">
        <v>0</v>
      </c>
      <c r="I167" s="440">
        <v>0</v>
      </c>
      <c r="J167" s="440">
        <v>0</v>
      </c>
      <c r="K167" s="441">
        <v>6</v>
      </c>
      <c r="L167" s="422">
        <f t="shared" si="5"/>
        <v>0</v>
      </c>
      <c r="M167" s="1"/>
    </row>
    <row r="168" spans="1:13" x14ac:dyDescent="0.25">
      <c r="A168" s="2">
        <v>166</v>
      </c>
      <c r="B168" s="17" t="s">
        <v>29</v>
      </c>
      <c r="C168" s="26" t="s">
        <v>118</v>
      </c>
      <c r="D168" s="400" t="s">
        <v>145</v>
      </c>
      <c r="E168" s="440">
        <v>0</v>
      </c>
      <c r="F168" s="440">
        <v>0</v>
      </c>
      <c r="G168" s="440">
        <v>0</v>
      </c>
      <c r="H168" s="440">
        <v>0</v>
      </c>
      <c r="I168" s="440">
        <v>0</v>
      </c>
      <c r="J168" s="440">
        <v>0</v>
      </c>
      <c r="K168" s="441">
        <v>1</v>
      </c>
      <c r="L168" s="422">
        <f t="shared" si="5"/>
        <v>0</v>
      </c>
      <c r="M168" s="1"/>
    </row>
    <row r="169" spans="1:13" x14ac:dyDescent="0.25">
      <c r="A169" s="2">
        <v>167</v>
      </c>
      <c r="B169" s="6" t="s">
        <v>13</v>
      </c>
      <c r="C169" s="7" t="s">
        <v>14</v>
      </c>
      <c r="D169" s="400" t="s">
        <v>575</v>
      </c>
      <c r="E169" s="440">
        <v>0</v>
      </c>
      <c r="F169" s="440">
        <v>0</v>
      </c>
      <c r="G169" s="440">
        <v>0</v>
      </c>
      <c r="H169" s="440">
        <v>0</v>
      </c>
      <c r="I169" s="440">
        <v>0</v>
      </c>
      <c r="J169" s="440">
        <v>0</v>
      </c>
      <c r="K169" s="441">
        <v>28</v>
      </c>
      <c r="L169" s="422">
        <f t="shared" si="5"/>
        <v>0</v>
      </c>
      <c r="M169" s="1"/>
    </row>
    <row r="170" spans="1:13" x14ac:dyDescent="0.25">
      <c r="A170" s="2">
        <v>168</v>
      </c>
      <c r="B170" s="6" t="s">
        <v>13</v>
      </c>
      <c r="C170" s="10" t="s">
        <v>19</v>
      </c>
      <c r="D170" s="400" t="s">
        <v>146</v>
      </c>
      <c r="E170" s="440">
        <v>0</v>
      </c>
      <c r="F170" s="440">
        <v>0</v>
      </c>
      <c r="G170" s="440">
        <v>0</v>
      </c>
      <c r="H170" s="440">
        <v>0</v>
      </c>
      <c r="I170" s="440">
        <v>0</v>
      </c>
      <c r="J170" s="440">
        <v>0</v>
      </c>
      <c r="K170" s="441">
        <v>1</v>
      </c>
      <c r="L170" s="422">
        <f t="shared" si="5"/>
        <v>0</v>
      </c>
      <c r="M170" s="1"/>
    </row>
    <row r="171" spans="1:13" x14ac:dyDescent="0.25">
      <c r="A171" s="2">
        <v>169</v>
      </c>
      <c r="B171" s="8" t="s">
        <v>16</v>
      </c>
      <c r="C171" s="11" t="s">
        <v>21</v>
      </c>
      <c r="D171" s="400" t="s">
        <v>150</v>
      </c>
      <c r="E171" s="440">
        <v>0</v>
      </c>
      <c r="F171" s="440">
        <v>0</v>
      </c>
      <c r="G171" s="440">
        <v>0</v>
      </c>
      <c r="H171" s="440">
        <v>0</v>
      </c>
      <c r="I171" s="440">
        <v>0</v>
      </c>
      <c r="J171" s="440">
        <v>0</v>
      </c>
      <c r="K171" s="441">
        <v>17</v>
      </c>
      <c r="L171" s="422">
        <f t="shared" si="5"/>
        <v>0</v>
      </c>
      <c r="M171" s="1"/>
    </row>
    <row r="172" spans="1:13" x14ac:dyDescent="0.25">
      <c r="A172" s="2">
        <v>170</v>
      </c>
      <c r="B172" s="3" t="s">
        <v>10</v>
      </c>
      <c r="C172" s="22" t="s">
        <v>49</v>
      </c>
      <c r="D172" s="400" t="s">
        <v>151</v>
      </c>
      <c r="E172" s="440">
        <v>0</v>
      </c>
      <c r="F172" s="440">
        <v>0</v>
      </c>
      <c r="G172" s="440">
        <v>0</v>
      </c>
      <c r="H172" s="440">
        <v>0</v>
      </c>
      <c r="I172" s="440">
        <v>0</v>
      </c>
      <c r="J172" s="440">
        <v>0</v>
      </c>
      <c r="K172" s="441">
        <v>96</v>
      </c>
      <c r="L172" s="422">
        <f t="shared" si="5"/>
        <v>0</v>
      </c>
      <c r="M172" s="1"/>
    </row>
    <row r="173" spans="1:13" x14ac:dyDescent="0.25">
      <c r="A173" s="2">
        <v>171</v>
      </c>
      <c r="B173" s="17" t="s">
        <v>29</v>
      </c>
      <c r="C173" s="26" t="s">
        <v>118</v>
      </c>
      <c r="D173" s="400" t="s">
        <v>332</v>
      </c>
      <c r="E173" s="440">
        <v>0</v>
      </c>
      <c r="F173" s="440">
        <v>0</v>
      </c>
      <c r="G173" s="440">
        <v>0</v>
      </c>
      <c r="H173" s="440">
        <v>0</v>
      </c>
      <c r="I173" s="440">
        <v>0</v>
      </c>
      <c r="J173" s="440">
        <v>0</v>
      </c>
      <c r="K173" s="442">
        <v>1</v>
      </c>
      <c r="L173" s="422">
        <v>0</v>
      </c>
      <c r="M173" s="1"/>
    </row>
    <row r="174" spans="1:13" x14ac:dyDescent="0.25">
      <c r="A174" s="2">
        <v>172</v>
      </c>
      <c r="B174" s="14" t="s">
        <v>23</v>
      </c>
      <c r="C174" s="16" t="s">
        <v>26</v>
      </c>
      <c r="D174" s="400" t="s">
        <v>157</v>
      </c>
      <c r="E174" s="440">
        <v>0</v>
      </c>
      <c r="F174" s="440">
        <v>0</v>
      </c>
      <c r="G174" s="440">
        <v>0</v>
      </c>
      <c r="H174" s="440">
        <v>0</v>
      </c>
      <c r="I174" s="440">
        <v>0</v>
      </c>
      <c r="J174" s="440">
        <v>0</v>
      </c>
      <c r="K174" s="441">
        <v>56</v>
      </c>
      <c r="L174" s="422">
        <f t="shared" ref="L174:L200" si="6">(E174*5+F174*4+G174*3+H174*2+I174*1+J174*0.25)/K174</f>
        <v>0</v>
      </c>
      <c r="M174" s="1"/>
    </row>
    <row r="175" spans="1:13" x14ac:dyDescent="0.25">
      <c r="A175" s="2">
        <v>173</v>
      </c>
      <c r="B175" s="8" t="s">
        <v>16</v>
      </c>
      <c r="C175" s="21" t="s">
        <v>42</v>
      </c>
      <c r="D175" s="400" t="s">
        <v>158</v>
      </c>
      <c r="E175" s="440">
        <v>0</v>
      </c>
      <c r="F175" s="440">
        <v>0</v>
      </c>
      <c r="G175" s="440">
        <v>0</v>
      </c>
      <c r="H175" s="440">
        <v>0</v>
      </c>
      <c r="I175" s="440">
        <v>0</v>
      </c>
      <c r="J175" s="440">
        <v>0</v>
      </c>
      <c r="K175" s="441">
        <v>3</v>
      </c>
      <c r="L175" s="422">
        <f t="shared" si="6"/>
        <v>0</v>
      </c>
      <c r="M175" s="1"/>
    </row>
    <row r="176" spans="1:13" x14ac:dyDescent="0.25">
      <c r="A176" s="2">
        <v>174</v>
      </c>
      <c r="B176" s="6" t="s">
        <v>13</v>
      </c>
      <c r="C176" s="7" t="s">
        <v>14</v>
      </c>
      <c r="D176" s="400" t="s">
        <v>160</v>
      </c>
      <c r="E176" s="440">
        <v>0</v>
      </c>
      <c r="F176" s="440">
        <v>0</v>
      </c>
      <c r="G176" s="440">
        <v>0</v>
      </c>
      <c r="H176" s="440">
        <v>0</v>
      </c>
      <c r="I176" s="440">
        <v>0</v>
      </c>
      <c r="J176" s="440">
        <v>0</v>
      </c>
      <c r="K176" s="441">
        <v>23</v>
      </c>
      <c r="L176" s="422">
        <f t="shared" si="6"/>
        <v>0</v>
      </c>
      <c r="M176" s="1"/>
    </row>
    <row r="177" spans="1:13" x14ac:dyDescent="0.25">
      <c r="A177" s="2">
        <v>175</v>
      </c>
      <c r="B177" s="17" t="s">
        <v>29</v>
      </c>
      <c r="C177" s="26" t="s">
        <v>118</v>
      </c>
      <c r="D177" s="400" t="s">
        <v>164</v>
      </c>
      <c r="E177" s="440">
        <v>0</v>
      </c>
      <c r="F177" s="440">
        <v>0</v>
      </c>
      <c r="G177" s="440">
        <v>0</v>
      </c>
      <c r="H177" s="440">
        <v>0</v>
      </c>
      <c r="I177" s="440">
        <v>0</v>
      </c>
      <c r="J177" s="440">
        <v>0</v>
      </c>
      <c r="K177" s="441">
        <v>1</v>
      </c>
      <c r="L177" s="422">
        <f t="shared" si="6"/>
        <v>0</v>
      </c>
      <c r="M177" s="1"/>
    </row>
    <row r="178" spans="1:13" x14ac:dyDescent="0.25">
      <c r="A178" s="2">
        <v>176</v>
      </c>
      <c r="B178" s="14" t="s">
        <v>23</v>
      </c>
      <c r="C178" s="16" t="s">
        <v>26</v>
      </c>
      <c r="D178" s="400" t="s">
        <v>166</v>
      </c>
      <c r="E178" s="440">
        <v>0</v>
      </c>
      <c r="F178" s="440">
        <v>0</v>
      </c>
      <c r="G178" s="440">
        <v>0</v>
      </c>
      <c r="H178" s="440">
        <v>0</v>
      </c>
      <c r="I178" s="440">
        <v>0</v>
      </c>
      <c r="J178" s="440">
        <v>0</v>
      </c>
      <c r="K178" s="441">
        <v>34</v>
      </c>
      <c r="L178" s="422">
        <f t="shared" si="6"/>
        <v>0</v>
      </c>
      <c r="M178" s="1"/>
    </row>
    <row r="179" spans="1:13" x14ac:dyDescent="0.25">
      <c r="A179" s="2">
        <v>177</v>
      </c>
      <c r="B179" s="17" t="s">
        <v>29</v>
      </c>
      <c r="C179" s="24" t="s">
        <v>85</v>
      </c>
      <c r="D179" s="400" t="s">
        <v>167</v>
      </c>
      <c r="E179" s="440">
        <v>0</v>
      </c>
      <c r="F179" s="440">
        <v>0</v>
      </c>
      <c r="G179" s="440">
        <v>0</v>
      </c>
      <c r="H179" s="440">
        <v>0</v>
      </c>
      <c r="I179" s="440">
        <v>0</v>
      </c>
      <c r="J179" s="440">
        <v>0</v>
      </c>
      <c r="K179" s="441">
        <v>7</v>
      </c>
      <c r="L179" s="422">
        <f t="shared" si="6"/>
        <v>0</v>
      </c>
      <c r="M179" s="1"/>
    </row>
    <row r="180" spans="1:13" x14ac:dyDescent="0.25">
      <c r="A180" s="2">
        <v>178</v>
      </c>
      <c r="B180" s="17" t="s">
        <v>29</v>
      </c>
      <c r="C180" s="26" t="s">
        <v>118</v>
      </c>
      <c r="D180" s="400" t="s">
        <v>177</v>
      </c>
      <c r="E180" s="440">
        <v>0</v>
      </c>
      <c r="F180" s="440">
        <v>0</v>
      </c>
      <c r="G180" s="440">
        <v>0</v>
      </c>
      <c r="H180" s="440">
        <v>0</v>
      </c>
      <c r="I180" s="440">
        <v>0</v>
      </c>
      <c r="J180" s="440">
        <v>0</v>
      </c>
      <c r="K180" s="441">
        <v>2</v>
      </c>
      <c r="L180" s="422">
        <f t="shared" si="6"/>
        <v>0</v>
      </c>
      <c r="M180" s="1"/>
    </row>
    <row r="181" spans="1:13" x14ac:dyDescent="0.25">
      <c r="A181" s="2">
        <v>179</v>
      </c>
      <c r="B181" s="6" t="s">
        <v>13</v>
      </c>
      <c r="C181" s="10" t="s">
        <v>19</v>
      </c>
      <c r="D181" s="400" t="s">
        <v>178</v>
      </c>
      <c r="E181" s="440">
        <v>0</v>
      </c>
      <c r="F181" s="440">
        <v>0</v>
      </c>
      <c r="G181" s="440">
        <v>0</v>
      </c>
      <c r="H181" s="440">
        <v>0</v>
      </c>
      <c r="I181" s="440">
        <v>0</v>
      </c>
      <c r="J181" s="440">
        <v>0</v>
      </c>
      <c r="K181" s="441">
        <v>1</v>
      </c>
      <c r="L181" s="422">
        <f t="shared" si="6"/>
        <v>0</v>
      </c>
      <c r="M181" s="1"/>
    </row>
    <row r="182" spans="1:13" x14ac:dyDescent="0.25">
      <c r="A182" s="2">
        <v>180</v>
      </c>
      <c r="B182" s="8" t="s">
        <v>16</v>
      </c>
      <c r="C182" s="21" t="s">
        <v>42</v>
      </c>
      <c r="D182" s="400" t="s">
        <v>179</v>
      </c>
      <c r="E182" s="440">
        <v>0</v>
      </c>
      <c r="F182" s="440">
        <v>0</v>
      </c>
      <c r="G182" s="440">
        <v>0</v>
      </c>
      <c r="H182" s="440">
        <v>0</v>
      </c>
      <c r="I182" s="440">
        <v>0</v>
      </c>
      <c r="J182" s="440">
        <v>0</v>
      </c>
      <c r="K182" s="442">
        <v>3</v>
      </c>
      <c r="L182" s="422">
        <f t="shared" si="6"/>
        <v>0</v>
      </c>
      <c r="M182" s="1"/>
    </row>
    <row r="183" spans="1:13" x14ac:dyDescent="0.25">
      <c r="A183" s="2">
        <v>181</v>
      </c>
      <c r="B183" s="8" t="s">
        <v>16</v>
      </c>
      <c r="C183" s="11" t="s">
        <v>21</v>
      </c>
      <c r="D183" s="400" t="s">
        <v>183</v>
      </c>
      <c r="E183" s="440">
        <v>0</v>
      </c>
      <c r="F183" s="440">
        <v>0</v>
      </c>
      <c r="G183" s="440">
        <v>0</v>
      </c>
      <c r="H183" s="440">
        <v>0</v>
      </c>
      <c r="I183" s="440">
        <v>0</v>
      </c>
      <c r="J183" s="440">
        <v>0</v>
      </c>
      <c r="K183" s="441">
        <v>3</v>
      </c>
      <c r="L183" s="422">
        <f t="shared" si="6"/>
        <v>0</v>
      </c>
      <c r="M183" s="1"/>
    </row>
    <row r="184" spans="1:13" x14ac:dyDescent="0.25">
      <c r="A184" s="2">
        <v>182</v>
      </c>
      <c r="B184" s="8" t="s">
        <v>16</v>
      </c>
      <c r="C184" s="21" t="s">
        <v>42</v>
      </c>
      <c r="D184" s="400" t="s">
        <v>184</v>
      </c>
      <c r="E184" s="440">
        <v>0</v>
      </c>
      <c r="F184" s="440">
        <v>0</v>
      </c>
      <c r="G184" s="440">
        <v>0</v>
      </c>
      <c r="H184" s="440">
        <v>0</v>
      </c>
      <c r="I184" s="440">
        <v>0</v>
      </c>
      <c r="J184" s="440">
        <v>0</v>
      </c>
      <c r="K184" s="441">
        <v>8</v>
      </c>
      <c r="L184" s="422">
        <f t="shared" si="6"/>
        <v>0</v>
      </c>
      <c r="M184" s="1"/>
    </row>
    <row r="185" spans="1:13" x14ac:dyDescent="0.25">
      <c r="A185" s="2">
        <v>183</v>
      </c>
      <c r="B185" s="17" t="s">
        <v>29</v>
      </c>
      <c r="C185" s="24" t="s">
        <v>85</v>
      </c>
      <c r="D185" s="400" t="s">
        <v>188</v>
      </c>
      <c r="E185" s="440">
        <v>0</v>
      </c>
      <c r="F185" s="440">
        <v>0</v>
      </c>
      <c r="G185" s="440">
        <v>0</v>
      </c>
      <c r="H185" s="440">
        <v>0</v>
      </c>
      <c r="I185" s="440">
        <v>0</v>
      </c>
      <c r="J185" s="440">
        <v>0</v>
      </c>
      <c r="K185" s="441">
        <v>1</v>
      </c>
      <c r="L185" s="422">
        <f t="shared" si="6"/>
        <v>0</v>
      </c>
      <c r="M185" s="1"/>
    </row>
    <row r="186" spans="1:13" x14ac:dyDescent="0.25">
      <c r="A186" s="2">
        <v>184</v>
      </c>
      <c r="B186" s="8" t="s">
        <v>16</v>
      </c>
      <c r="C186" s="11" t="s">
        <v>21</v>
      </c>
      <c r="D186" s="400" t="s">
        <v>189</v>
      </c>
      <c r="E186" s="440">
        <v>0</v>
      </c>
      <c r="F186" s="440">
        <v>0</v>
      </c>
      <c r="G186" s="440">
        <v>0</v>
      </c>
      <c r="H186" s="440">
        <v>0</v>
      </c>
      <c r="I186" s="440">
        <v>0</v>
      </c>
      <c r="J186" s="440">
        <v>0</v>
      </c>
      <c r="K186" s="441">
        <v>127</v>
      </c>
      <c r="L186" s="422">
        <f t="shared" si="6"/>
        <v>0</v>
      </c>
      <c r="M186" s="1"/>
    </row>
    <row r="187" spans="1:13" x14ac:dyDescent="0.25">
      <c r="A187" s="2">
        <v>185</v>
      </c>
      <c r="B187" s="8" t="s">
        <v>16</v>
      </c>
      <c r="C187" s="11" t="s">
        <v>21</v>
      </c>
      <c r="D187" s="400" t="s">
        <v>191</v>
      </c>
      <c r="E187" s="440">
        <v>0</v>
      </c>
      <c r="F187" s="440">
        <v>0</v>
      </c>
      <c r="G187" s="440">
        <v>0</v>
      </c>
      <c r="H187" s="440">
        <v>0</v>
      </c>
      <c r="I187" s="440">
        <v>0</v>
      </c>
      <c r="J187" s="440">
        <v>0</v>
      </c>
      <c r="K187" s="441">
        <v>4</v>
      </c>
      <c r="L187" s="422">
        <f t="shared" si="6"/>
        <v>0</v>
      </c>
      <c r="M187" s="1"/>
    </row>
    <row r="188" spans="1:13" x14ac:dyDescent="0.25">
      <c r="A188" s="2">
        <v>186</v>
      </c>
      <c r="B188" s="14" t="s">
        <v>23</v>
      </c>
      <c r="C188" s="15" t="s">
        <v>24</v>
      </c>
      <c r="D188" s="400" t="s">
        <v>194</v>
      </c>
      <c r="E188" s="440">
        <v>0</v>
      </c>
      <c r="F188" s="440">
        <v>0</v>
      </c>
      <c r="G188" s="440">
        <v>0</v>
      </c>
      <c r="H188" s="440">
        <v>0</v>
      </c>
      <c r="I188" s="440">
        <v>0</v>
      </c>
      <c r="J188" s="440">
        <v>0</v>
      </c>
      <c r="K188" s="441">
        <v>9</v>
      </c>
      <c r="L188" s="422">
        <f t="shared" si="6"/>
        <v>0</v>
      </c>
      <c r="M188" s="1"/>
    </row>
    <row r="189" spans="1:13" x14ac:dyDescent="0.25">
      <c r="A189" s="2">
        <v>187</v>
      </c>
      <c r="B189" s="14" t="s">
        <v>23</v>
      </c>
      <c r="C189" s="15" t="s">
        <v>24</v>
      </c>
      <c r="D189" s="400" t="s">
        <v>195</v>
      </c>
      <c r="E189" s="440">
        <v>0</v>
      </c>
      <c r="F189" s="440">
        <v>0</v>
      </c>
      <c r="G189" s="440">
        <v>0</v>
      </c>
      <c r="H189" s="440">
        <v>0</v>
      </c>
      <c r="I189" s="440">
        <v>0</v>
      </c>
      <c r="J189" s="440">
        <v>0</v>
      </c>
      <c r="K189" s="441">
        <v>5</v>
      </c>
      <c r="L189" s="422">
        <f t="shared" si="6"/>
        <v>0</v>
      </c>
      <c r="M189" s="1"/>
    </row>
    <row r="190" spans="1:13" x14ac:dyDescent="0.25">
      <c r="A190" s="2">
        <v>188</v>
      </c>
      <c r="B190" s="14" t="s">
        <v>23</v>
      </c>
      <c r="C190" s="15" t="s">
        <v>24</v>
      </c>
      <c r="D190" s="400" t="s">
        <v>196</v>
      </c>
      <c r="E190" s="440">
        <v>0</v>
      </c>
      <c r="F190" s="440">
        <v>0</v>
      </c>
      <c r="G190" s="440">
        <v>0</v>
      </c>
      <c r="H190" s="440">
        <v>0</v>
      </c>
      <c r="I190" s="440">
        <v>0</v>
      </c>
      <c r="J190" s="440">
        <v>0</v>
      </c>
      <c r="K190" s="441">
        <v>2</v>
      </c>
      <c r="L190" s="422">
        <f t="shared" si="6"/>
        <v>0</v>
      </c>
      <c r="M190" s="1"/>
    </row>
    <row r="191" spans="1:13" x14ac:dyDescent="0.25">
      <c r="A191" s="2">
        <v>189</v>
      </c>
      <c r="B191" s="14" t="s">
        <v>23</v>
      </c>
      <c r="C191" s="15" t="s">
        <v>24</v>
      </c>
      <c r="D191" s="400" t="s">
        <v>198</v>
      </c>
      <c r="E191" s="440">
        <v>0</v>
      </c>
      <c r="F191" s="440">
        <v>0</v>
      </c>
      <c r="G191" s="440">
        <v>0</v>
      </c>
      <c r="H191" s="440">
        <v>0</v>
      </c>
      <c r="I191" s="440">
        <v>0</v>
      </c>
      <c r="J191" s="440">
        <v>0</v>
      </c>
      <c r="K191" s="441">
        <v>4</v>
      </c>
      <c r="L191" s="422">
        <f t="shared" si="6"/>
        <v>0</v>
      </c>
      <c r="M191" s="1"/>
    </row>
    <row r="192" spans="1:13" x14ac:dyDescent="0.25">
      <c r="A192" s="2">
        <v>190</v>
      </c>
      <c r="B192" s="3" t="s">
        <v>10</v>
      </c>
      <c r="C192" s="25" t="s">
        <v>115</v>
      </c>
      <c r="D192" s="400" t="s">
        <v>203</v>
      </c>
      <c r="E192" s="440">
        <v>0</v>
      </c>
      <c r="F192" s="440">
        <v>0</v>
      </c>
      <c r="G192" s="440">
        <v>0</v>
      </c>
      <c r="H192" s="440">
        <v>0</v>
      </c>
      <c r="I192" s="440">
        <v>0</v>
      </c>
      <c r="J192" s="440">
        <v>0</v>
      </c>
      <c r="K192" s="441">
        <v>31</v>
      </c>
      <c r="L192" s="422">
        <f t="shared" si="6"/>
        <v>0</v>
      </c>
      <c r="M192" s="1"/>
    </row>
    <row r="193" spans="1:13" x14ac:dyDescent="0.25">
      <c r="A193" s="2">
        <v>191</v>
      </c>
      <c r="B193" s="3" t="s">
        <v>10</v>
      </c>
      <c r="C193" s="22" t="s">
        <v>49</v>
      </c>
      <c r="D193" s="400" t="s">
        <v>205</v>
      </c>
      <c r="E193" s="440">
        <v>0</v>
      </c>
      <c r="F193" s="440">
        <v>0</v>
      </c>
      <c r="G193" s="440">
        <v>0</v>
      </c>
      <c r="H193" s="440">
        <v>0</v>
      </c>
      <c r="I193" s="440">
        <v>0</v>
      </c>
      <c r="J193" s="440">
        <v>0</v>
      </c>
      <c r="K193" s="441">
        <v>8</v>
      </c>
      <c r="L193" s="422">
        <f t="shared" si="6"/>
        <v>0</v>
      </c>
      <c r="M193" s="1"/>
    </row>
    <row r="194" spans="1:13" x14ac:dyDescent="0.25">
      <c r="A194" s="2">
        <v>192</v>
      </c>
      <c r="B194" s="8" t="s">
        <v>16</v>
      </c>
      <c r="C194" s="21" t="s">
        <v>42</v>
      </c>
      <c r="D194" s="400" t="s">
        <v>206</v>
      </c>
      <c r="E194" s="440">
        <v>0</v>
      </c>
      <c r="F194" s="440">
        <v>0</v>
      </c>
      <c r="G194" s="440">
        <v>0</v>
      </c>
      <c r="H194" s="440">
        <v>0</v>
      </c>
      <c r="I194" s="440">
        <v>0</v>
      </c>
      <c r="J194" s="440">
        <v>0</v>
      </c>
      <c r="K194" s="441">
        <v>7</v>
      </c>
      <c r="L194" s="422">
        <f t="shared" si="6"/>
        <v>0</v>
      </c>
      <c r="M194" s="1"/>
    </row>
    <row r="195" spans="1:13" x14ac:dyDescent="0.25">
      <c r="A195" s="2">
        <v>193</v>
      </c>
      <c r="B195" s="17" t="s">
        <v>29</v>
      </c>
      <c r="C195" s="26" t="s">
        <v>118</v>
      </c>
      <c r="D195" s="400" t="s">
        <v>207</v>
      </c>
      <c r="E195" s="440">
        <v>0</v>
      </c>
      <c r="F195" s="440">
        <v>0</v>
      </c>
      <c r="G195" s="440">
        <v>0</v>
      </c>
      <c r="H195" s="440">
        <v>0</v>
      </c>
      <c r="I195" s="440">
        <v>0</v>
      </c>
      <c r="J195" s="440">
        <v>0</v>
      </c>
      <c r="K195" s="441">
        <v>1</v>
      </c>
      <c r="L195" s="422">
        <f t="shared" si="6"/>
        <v>0</v>
      </c>
      <c r="M195" s="1"/>
    </row>
    <row r="196" spans="1:13" x14ac:dyDescent="0.25">
      <c r="A196" s="2">
        <v>194</v>
      </c>
      <c r="B196" s="3" t="s">
        <v>10</v>
      </c>
      <c r="C196" s="25" t="s">
        <v>115</v>
      </c>
      <c r="D196" s="400" t="s">
        <v>211</v>
      </c>
      <c r="E196" s="440">
        <v>0</v>
      </c>
      <c r="F196" s="440">
        <v>0</v>
      </c>
      <c r="G196" s="440">
        <v>0</v>
      </c>
      <c r="H196" s="440">
        <v>0</v>
      </c>
      <c r="I196" s="440">
        <v>0</v>
      </c>
      <c r="J196" s="440">
        <v>0</v>
      </c>
      <c r="K196" s="441">
        <v>11</v>
      </c>
      <c r="L196" s="422">
        <f t="shared" si="6"/>
        <v>0</v>
      </c>
      <c r="M196" s="1"/>
    </row>
    <row r="197" spans="1:13" x14ac:dyDescent="0.25">
      <c r="A197" s="2">
        <v>195</v>
      </c>
      <c r="B197" s="17" t="s">
        <v>29</v>
      </c>
      <c r="C197" s="26" t="s">
        <v>118</v>
      </c>
      <c r="D197" s="400" t="s">
        <v>212</v>
      </c>
      <c r="E197" s="440">
        <v>0</v>
      </c>
      <c r="F197" s="440">
        <v>0</v>
      </c>
      <c r="G197" s="440">
        <v>0</v>
      </c>
      <c r="H197" s="440">
        <v>0</v>
      </c>
      <c r="I197" s="440">
        <v>0</v>
      </c>
      <c r="J197" s="440">
        <v>0</v>
      </c>
      <c r="K197" s="442">
        <v>1</v>
      </c>
      <c r="L197" s="422">
        <f t="shared" si="6"/>
        <v>0</v>
      </c>
      <c r="M197" s="1"/>
    </row>
    <row r="198" spans="1:13" x14ac:dyDescent="0.25">
      <c r="A198" s="2">
        <v>196</v>
      </c>
      <c r="B198" s="3" t="s">
        <v>10</v>
      </c>
      <c r="C198" s="25" t="s">
        <v>115</v>
      </c>
      <c r="D198" s="400" t="s">
        <v>219</v>
      </c>
      <c r="E198" s="440">
        <v>0</v>
      </c>
      <c r="F198" s="440">
        <v>0</v>
      </c>
      <c r="G198" s="440">
        <v>0</v>
      </c>
      <c r="H198" s="440">
        <v>0</v>
      </c>
      <c r="I198" s="440">
        <v>0</v>
      </c>
      <c r="J198" s="440">
        <v>0</v>
      </c>
      <c r="K198" s="441">
        <v>113</v>
      </c>
      <c r="L198" s="422">
        <f t="shared" si="6"/>
        <v>0</v>
      </c>
      <c r="M198" s="1"/>
    </row>
    <row r="199" spans="1:13" x14ac:dyDescent="0.25">
      <c r="A199" s="2">
        <v>197</v>
      </c>
      <c r="B199" s="17" t="s">
        <v>29</v>
      </c>
      <c r="C199" s="24" t="s">
        <v>85</v>
      </c>
      <c r="D199" s="400" t="s">
        <v>220</v>
      </c>
      <c r="E199" s="440">
        <v>0</v>
      </c>
      <c r="F199" s="440">
        <v>0</v>
      </c>
      <c r="G199" s="440">
        <v>0</v>
      </c>
      <c r="H199" s="440">
        <v>0</v>
      </c>
      <c r="I199" s="440">
        <v>0</v>
      </c>
      <c r="J199" s="440">
        <v>0</v>
      </c>
      <c r="K199" s="441">
        <v>3</v>
      </c>
      <c r="L199" s="422">
        <f t="shared" si="6"/>
        <v>0</v>
      </c>
      <c r="M199" s="1"/>
    </row>
    <row r="200" spans="1:13" x14ac:dyDescent="0.25">
      <c r="A200" s="2">
        <v>198</v>
      </c>
      <c r="B200" s="3" t="s">
        <v>10</v>
      </c>
      <c r="C200" s="19" t="s">
        <v>35</v>
      </c>
      <c r="D200" s="400" t="s">
        <v>223</v>
      </c>
      <c r="E200" s="440">
        <v>0</v>
      </c>
      <c r="F200" s="440">
        <v>0</v>
      </c>
      <c r="G200" s="440">
        <v>0</v>
      </c>
      <c r="H200" s="440">
        <v>0</v>
      </c>
      <c r="I200" s="440">
        <v>0</v>
      </c>
      <c r="J200" s="440">
        <v>0</v>
      </c>
      <c r="K200" s="441">
        <v>67</v>
      </c>
      <c r="L200" s="422">
        <f t="shared" si="6"/>
        <v>0</v>
      </c>
      <c r="M200" s="1"/>
    </row>
    <row r="201" spans="1:13" ht="6.75" customHeight="1" x14ac:dyDescent="0.25">
      <c r="A201" s="318"/>
      <c r="B201" s="319"/>
      <c r="C201" s="319"/>
      <c r="D201" s="320"/>
      <c r="E201" s="444"/>
      <c r="F201" s="444"/>
      <c r="G201" s="444"/>
      <c r="H201" s="444"/>
      <c r="I201" s="444"/>
      <c r="J201" s="444"/>
      <c r="K201" s="444"/>
      <c r="L201" s="445"/>
      <c r="M201" s="1"/>
    </row>
    <row r="203" spans="1:13" x14ac:dyDescent="0.25">
      <c r="B203" s="50"/>
      <c r="C203" s="50"/>
      <c r="D203" s="50"/>
    </row>
    <row r="204" spans="1:13" x14ac:dyDescent="0.25">
      <c r="A204"/>
      <c r="B204" s="383"/>
      <c r="C204" s="383"/>
      <c r="D204" s="383"/>
    </row>
    <row r="205" spans="1:13" ht="21" x14ac:dyDescent="0.25">
      <c r="A205" s="597" t="s">
        <v>1068</v>
      </c>
      <c r="B205" s="597"/>
      <c r="C205" s="597"/>
      <c r="D205" s="597"/>
    </row>
    <row r="206" spans="1:13" x14ac:dyDescent="0.25">
      <c r="A206"/>
      <c r="B206" s="383"/>
      <c r="C206" s="383"/>
      <c r="D206" s="383"/>
    </row>
    <row r="207" spans="1:13" x14ac:dyDescent="0.25">
      <c r="A207"/>
      <c r="B207" s="383"/>
      <c r="C207" s="383"/>
      <c r="D207" s="383"/>
    </row>
    <row r="208" spans="1:13" x14ac:dyDescent="0.25">
      <c r="A208"/>
      <c r="B208" s="383"/>
      <c r="C208" s="383"/>
      <c r="D208" s="383"/>
    </row>
    <row r="209" spans="1:4" x14ac:dyDescent="0.25">
      <c r="A209"/>
      <c r="B209" s="383"/>
      <c r="C209" s="383"/>
      <c r="D209" s="383"/>
    </row>
    <row r="210" spans="1:4" x14ac:dyDescent="0.25">
      <c r="A210"/>
      <c r="B210" s="383"/>
      <c r="C210" s="383"/>
      <c r="D210" s="383"/>
    </row>
    <row r="211" spans="1:4" x14ac:dyDescent="0.25">
      <c r="A211"/>
      <c r="B211" s="383"/>
      <c r="C211" s="383"/>
      <c r="D211" s="383"/>
    </row>
    <row r="212" spans="1:4" x14ac:dyDescent="0.25">
      <c r="A212"/>
      <c r="B212" s="383"/>
      <c r="C212" s="383"/>
      <c r="D212" s="383"/>
    </row>
    <row r="213" spans="1:4" x14ac:dyDescent="0.25">
      <c r="A213"/>
      <c r="B213" s="383"/>
      <c r="C213" s="383"/>
      <c r="D213" s="383"/>
    </row>
    <row r="214" spans="1:4" x14ac:dyDescent="0.25">
      <c r="A214"/>
      <c r="B214" s="383"/>
      <c r="C214" s="383"/>
      <c r="D214" s="383"/>
    </row>
    <row r="215" spans="1:4" x14ac:dyDescent="0.25">
      <c r="A215"/>
      <c r="B215" s="383"/>
      <c r="C215" s="383"/>
      <c r="D215" s="383"/>
    </row>
    <row r="216" spans="1:4" x14ac:dyDescent="0.25">
      <c r="A216"/>
      <c r="B216" s="383"/>
      <c r="C216" s="383"/>
      <c r="D216" s="383"/>
    </row>
    <row r="217" spans="1:4" x14ac:dyDescent="0.25">
      <c r="A217"/>
      <c r="B217" s="109"/>
      <c r="C217" s="109"/>
      <c r="D217" s="386"/>
    </row>
    <row r="218" spans="1:4" x14ac:dyDescent="0.25">
      <c r="A218"/>
      <c r="B218" s="109"/>
      <c r="C218" s="109"/>
      <c r="D218" s="386"/>
    </row>
    <row r="219" spans="1:4" x14ac:dyDescent="0.25">
      <c r="A219"/>
      <c r="B219" s="109"/>
      <c r="C219" s="109"/>
      <c r="D219" s="386"/>
    </row>
    <row r="220" spans="1:4" x14ac:dyDescent="0.25">
      <c r="A220"/>
    </row>
    <row r="221" spans="1:4" x14ac:dyDescent="0.25">
      <c r="A221"/>
    </row>
    <row r="222" spans="1:4" x14ac:dyDescent="0.25">
      <c r="A222"/>
    </row>
    <row r="223" spans="1:4" x14ac:dyDescent="0.25">
      <c r="A223"/>
    </row>
    <row r="224" spans="1:4" x14ac:dyDescent="0.25">
      <c r="A224"/>
    </row>
    <row r="225" spans="1:4" x14ac:dyDescent="0.25">
      <c r="A225"/>
    </row>
    <row r="226" spans="1:4" x14ac:dyDescent="0.25">
      <c r="A226"/>
    </row>
    <row r="227" spans="1:4" x14ac:dyDescent="0.25">
      <c r="A227"/>
    </row>
    <row r="228" spans="1:4" x14ac:dyDescent="0.25">
      <c r="A228"/>
    </row>
    <row r="229" spans="1:4" x14ac:dyDescent="0.25">
      <c r="A229"/>
    </row>
    <row r="230" spans="1:4" x14ac:dyDescent="0.25">
      <c r="A230"/>
    </row>
    <row r="231" spans="1:4" x14ac:dyDescent="0.25">
      <c r="A231"/>
    </row>
    <row r="232" spans="1:4" x14ac:dyDescent="0.25">
      <c r="A232"/>
    </row>
    <row r="233" spans="1:4" x14ac:dyDescent="0.25">
      <c r="A233"/>
      <c r="B233"/>
      <c r="C233"/>
      <c r="D233"/>
    </row>
    <row r="234" spans="1:4" x14ac:dyDescent="0.25">
      <c r="A234"/>
      <c r="B234"/>
      <c r="C234"/>
      <c r="D234"/>
    </row>
    <row r="235" spans="1:4" x14ac:dyDescent="0.25">
      <c r="A235"/>
      <c r="B235"/>
      <c r="C235"/>
      <c r="D235"/>
    </row>
    <row r="236" spans="1:4" x14ac:dyDescent="0.25">
      <c r="A236"/>
      <c r="B236"/>
      <c r="C236"/>
      <c r="D236"/>
    </row>
    <row r="237" spans="1:4" x14ac:dyDescent="0.25">
      <c r="A237"/>
      <c r="B237"/>
      <c r="C237"/>
      <c r="D237"/>
    </row>
    <row r="238" spans="1:4" x14ac:dyDescent="0.25">
      <c r="A238"/>
      <c r="B238"/>
      <c r="C238"/>
      <c r="D238"/>
    </row>
    <row r="239" spans="1:4" x14ac:dyDescent="0.25">
      <c r="A239"/>
      <c r="B239"/>
      <c r="C239"/>
      <c r="D239"/>
    </row>
    <row r="240" spans="1:4" x14ac:dyDescent="0.25">
      <c r="A240"/>
      <c r="B240"/>
      <c r="C240"/>
      <c r="D240"/>
    </row>
    <row r="241" spans="1:4" x14ac:dyDescent="0.25">
      <c r="A241"/>
      <c r="B241"/>
      <c r="C241"/>
      <c r="D241"/>
    </row>
    <row r="242" spans="1:4" x14ac:dyDescent="0.25">
      <c r="A242"/>
      <c r="B242"/>
      <c r="C242"/>
      <c r="D242"/>
    </row>
    <row r="243" spans="1:4" x14ac:dyDescent="0.25">
      <c r="A243"/>
      <c r="B243"/>
      <c r="C243"/>
      <c r="D243"/>
    </row>
    <row r="244" spans="1:4" x14ac:dyDescent="0.25">
      <c r="A244"/>
      <c r="B244"/>
      <c r="C244"/>
      <c r="D244"/>
    </row>
    <row r="245" spans="1:4" x14ac:dyDescent="0.25">
      <c r="A245"/>
      <c r="B245"/>
      <c r="C245"/>
      <c r="D245"/>
    </row>
    <row r="246" spans="1:4" x14ac:dyDescent="0.25">
      <c r="A246"/>
      <c r="B246"/>
      <c r="C246"/>
      <c r="D246"/>
    </row>
    <row r="247" spans="1:4" x14ac:dyDescent="0.25">
      <c r="A247"/>
      <c r="B247"/>
      <c r="C247"/>
      <c r="D247"/>
    </row>
    <row r="248" spans="1:4" x14ac:dyDescent="0.25">
      <c r="A248"/>
      <c r="B248"/>
      <c r="C248"/>
      <c r="D248"/>
    </row>
    <row r="249" spans="1:4" x14ac:dyDescent="0.25">
      <c r="A249"/>
      <c r="B249"/>
      <c r="C249"/>
      <c r="D249"/>
    </row>
    <row r="250" spans="1:4" x14ac:dyDescent="0.25">
      <c r="A250"/>
      <c r="B250"/>
      <c r="C250"/>
      <c r="D250"/>
    </row>
    <row r="251" spans="1:4" x14ac:dyDescent="0.25">
      <c r="A251"/>
      <c r="B251"/>
      <c r="C251"/>
      <c r="D251"/>
    </row>
    <row r="252" spans="1:4" x14ac:dyDescent="0.25">
      <c r="A252"/>
      <c r="B252"/>
      <c r="C252"/>
      <c r="D252"/>
    </row>
    <row r="253" spans="1:4" x14ac:dyDescent="0.25">
      <c r="A253"/>
      <c r="B253"/>
      <c r="C253"/>
      <c r="D253"/>
    </row>
    <row r="254" spans="1:4" x14ac:dyDescent="0.25">
      <c r="A254"/>
      <c r="B254"/>
      <c r="C254"/>
      <c r="D254"/>
    </row>
    <row r="255" spans="1:4" x14ac:dyDescent="0.25">
      <c r="A255"/>
      <c r="B255"/>
      <c r="C255"/>
      <c r="D255"/>
    </row>
    <row r="256" spans="1:4" x14ac:dyDescent="0.25">
      <c r="A256"/>
      <c r="B256"/>
      <c r="C256"/>
      <c r="D256"/>
    </row>
    <row r="257" spans="1:4" x14ac:dyDescent="0.25">
      <c r="A257"/>
      <c r="B257"/>
      <c r="C257"/>
      <c r="D257"/>
    </row>
    <row r="258" spans="1:4" x14ac:dyDescent="0.25">
      <c r="A258"/>
      <c r="B258"/>
      <c r="C258"/>
      <c r="D258"/>
    </row>
    <row r="259" spans="1:4" x14ac:dyDescent="0.25">
      <c r="A259"/>
      <c r="B259"/>
      <c r="C259"/>
      <c r="D259"/>
    </row>
    <row r="260" spans="1:4" x14ac:dyDescent="0.25">
      <c r="A260"/>
      <c r="B260"/>
      <c r="C260"/>
      <c r="D260"/>
    </row>
    <row r="261" spans="1:4" x14ac:dyDescent="0.25">
      <c r="A261"/>
      <c r="B261"/>
      <c r="C261"/>
      <c r="D261"/>
    </row>
    <row r="262" spans="1:4" x14ac:dyDescent="0.25">
      <c r="A262"/>
      <c r="B262"/>
      <c r="C262"/>
      <c r="D262"/>
    </row>
    <row r="263" spans="1:4" x14ac:dyDescent="0.25">
      <c r="A263"/>
      <c r="B263"/>
      <c r="C263"/>
      <c r="D263"/>
    </row>
    <row r="264" spans="1:4" x14ac:dyDescent="0.25">
      <c r="A264"/>
      <c r="B264"/>
      <c r="C264"/>
      <c r="D264"/>
    </row>
    <row r="265" spans="1:4" x14ac:dyDescent="0.25">
      <c r="A265"/>
      <c r="B265"/>
      <c r="C265"/>
      <c r="D265"/>
    </row>
    <row r="266" spans="1:4" x14ac:dyDescent="0.25">
      <c r="A266"/>
      <c r="B266"/>
      <c r="C266"/>
      <c r="D266"/>
    </row>
    <row r="267" spans="1:4" x14ac:dyDescent="0.25">
      <c r="A267"/>
      <c r="B267"/>
      <c r="C267"/>
      <c r="D267"/>
    </row>
    <row r="268" spans="1:4" x14ac:dyDescent="0.25">
      <c r="A268"/>
      <c r="B268"/>
      <c r="C268"/>
      <c r="D268"/>
    </row>
    <row r="269" spans="1:4" x14ac:dyDescent="0.25">
      <c r="A269"/>
      <c r="B269"/>
      <c r="C269"/>
      <c r="D269"/>
    </row>
    <row r="270" spans="1:4" x14ac:dyDescent="0.25">
      <c r="A270"/>
      <c r="B270"/>
      <c r="C270"/>
      <c r="D270"/>
    </row>
    <row r="271" spans="1:4" x14ac:dyDescent="0.25">
      <c r="A271"/>
      <c r="B271"/>
      <c r="C271"/>
      <c r="D271"/>
    </row>
    <row r="272" spans="1:4" x14ac:dyDescent="0.25">
      <c r="A272"/>
      <c r="B272"/>
      <c r="C272"/>
      <c r="D272"/>
    </row>
    <row r="273" spans="1:4" x14ac:dyDescent="0.25">
      <c r="A273"/>
      <c r="B273"/>
      <c r="C273"/>
      <c r="D273"/>
    </row>
    <row r="274" spans="1:4" x14ac:dyDescent="0.25">
      <c r="A274"/>
      <c r="B274"/>
      <c r="C274"/>
      <c r="D274"/>
    </row>
    <row r="275" spans="1:4" x14ac:dyDescent="0.25">
      <c r="A275"/>
      <c r="B275"/>
      <c r="C275"/>
      <c r="D275"/>
    </row>
    <row r="276" spans="1:4" x14ac:dyDescent="0.25">
      <c r="A276"/>
      <c r="B276"/>
      <c r="C276"/>
      <c r="D276"/>
    </row>
    <row r="277" spans="1:4" x14ac:dyDescent="0.25">
      <c r="A277"/>
      <c r="B277"/>
      <c r="C277"/>
      <c r="D277"/>
    </row>
    <row r="278" spans="1:4" x14ac:dyDescent="0.25">
      <c r="A278"/>
      <c r="B278"/>
      <c r="C278"/>
      <c r="D278"/>
    </row>
    <row r="279" spans="1:4" x14ac:dyDescent="0.25">
      <c r="A279"/>
      <c r="B279"/>
      <c r="C279"/>
      <c r="D279"/>
    </row>
    <row r="280" spans="1:4" x14ac:dyDescent="0.25">
      <c r="A280"/>
      <c r="B280"/>
      <c r="C280"/>
      <c r="D280"/>
    </row>
    <row r="281" spans="1:4" x14ac:dyDescent="0.25">
      <c r="A281"/>
      <c r="B281"/>
      <c r="C281"/>
      <c r="D281"/>
    </row>
    <row r="282" spans="1:4" x14ac:dyDescent="0.25">
      <c r="A282"/>
      <c r="B282"/>
      <c r="C282"/>
      <c r="D282"/>
    </row>
    <row r="283" spans="1:4" x14ac:dyDescent="0.25">
      <c r="A283"/>
      <c r="B283"/>
      <c r="C283"/>
      <c r="D283"/>
    </row>
    <row r="284" spans="1:4" x14ac:dyDescent="0.25">
      <c r="A284"/>
      <c r="B284"/>
      <c r="C284"/>
      <c r="D284"/>
    </row>
    <row r="285" spans="1:4" x14ac:dyDescent="0.25">
      <c r="A285"/>
      <c r="B285"/>
      <c r="C285"/>
      <c r="D285"/>
    </row>
    <row r="286" spans="1:4" x14ac:dyDescent="0.25">
      <c r="A286"/>
      <c r="B286"/>
      <c r="C286"/>
      <c r="D286"/>
    </row>
    <row r="287" spans="1:4" x14ac:dyDescent="0.25">
      <c r="A287"/>
      <c r="B287"/>
      <c r="C287"/>
      <c r="D287"/>
    </row>
    <row r="288" spans="1:4" x14ac:dyDescent="0.25">
      <c r="A288"/>
      <c r="B288"/>
      <c r="C288"/>
      <c r="D288"/>
    </row>
    <row r="289" spans="1:4" x14ac:dyDescent="0.25">
      <c r="A289"/>
      <c r="B289"/>
      <c r="C289"/>
      <c r="D289"/>
    </row>
    <row r="290" spans="1:4" x14ac:dyDescent="0.25">
      <c r="A290"/>
      <c r="B290"/>
      <c r="C290"/>
      <c r="D290"/>
    </row>
    <row r="291" spans="1:4" x14ac:dyDescent="0.25">
      <c r="A291"/>
      <c r="B291"/>
      <c r="C291"/>
      <c r="D291"/>
    </row>
    <row r="292" spans="1:4" x14ac:dyDescent="0.25">
      <c r="A292"/>
      <c r="B292"/>
      <c r="C292"/>
      <c r="D292"/>
    </row>
    <row r="293" spans="1:4" x14ac:dyDescent="0.25">
      <c r="A293"/>
      <c r="B293"/>
      <c r="C293"/>
      <c r="D293"/>
    </row>
    <row r="294" spans="1:4" x14ac:dyDescent="0.25">
      <c r="A294"/>
      <c r="B294"/>
      <c r="C294"/>
      <c r="D294"/>
    </row>
    <row r="295" spans="1:4" x14ac:dyDescent="0.25">
      <c r="A295"/>
      <c r="B295"/>
      <c r="C295"/>
      <c r="D295"/>
    </row>
    <row r="296" spans="1:4" x14ac:dyDescent="0.25">
      <c r="A296"/>
      <c r="B296"/>
      <c r="C296"/>
      <c r="D296"/>
    </row>
    <row r="297" spans="1:4" x14ac:dyDescent="0.25">
      <c r="A297"/>
      <c r="B297"/>
      <c r="C297"/>
      <c r="D297"/>
    </row>
    <row r="298" spans="1:4" x14ac:dyDescent="0.25">
      <c r="A298"/>
      <c r="B298"/>
      <c r="C298"/>
      <c r="D298"/>
    </row>
    <row r="299" spans="1:4" x14ac:dyDescent="0.25">
      <c r="A299"/>
      <c r="B299"/>
      <c r="C299"/>
      <c r="D299"/>
    </row>
    <row r="300" spans="1:4" x14ac:dyDescent="0.25">
      <c r="A300"/>
      <c r="B300"/>
      <c r="C300"/>
      <c r="D300"/>
    </row>
    <row r="301" spans="1:4" x14ac:dyDescent="0.25">
      <c r="A301"/>
      <c r="B301"/>
      <c r="C301"/>
      <c r="D301"/>
    </row>
    <row r="302" spans="1:4" x14ac:dyDescent="0.25">
      <c r="A302"/>
      <c r="B302"/>
      <c r="C302"/>
      <c r="D302"/>
    </row>
    <row r="303" spans="1:4" x14ac:dyDescent="0.25">
      <c r="A303"/>
      <c r="B303"/>
      <c r="C303"/>
      <c r="D303"/>
    </row>
    <row r="304" spans="1:4" x14ac:dyDescent="0.25">
      <c r="A304"/>
      <c r="B304"/>
      <c r="C304"/>
      <c r="D304"/>
    </row>
    <row r="305" spans="1:4" x14ac:dyDescent="0.25">
      <c r="A305"/>
      <c r="B305"/>
      <c r="C305"/>
      <c r="D305"/>
    </row>
    <row r="306" spans="1:4" x14ac:dyDescent="0.25">
      <c r="A306"/>
      <c r="B306"/>
      <c r="C306"/>
      <c r="D306"/>
    </row>
  </sheetData>
  <autoFilter ref="B2:L2" xr:uid="{B010B260-C954-4F92-9B1D-C2FFD17B3AB3}"/>
  <mergeCells count="8">
    <mergeCell ref="A205:D205"/>
    <mergeCell ref="L1:L2"/>
    <mergeCell ref="A1:A2"/>
    <mergeCell ref="B1:B2"/>
    <mergeCell ref="C1:C2"/>
    <mergeCell ref="D1:D2"/>
    <mergeCell ref="E1:J1"/>
    <mergeCell ref="K1:K2"/>
  </mergeCells>
  <conditionalFormatting sqref="E3:E1048576">
    <cfRule type="colorScale" priority="13">
      <colorScale>
        <cfvo type="min"/>
        <cfvo type="percentile" val="50"/>
        <cfvo type="max"/>
        <color rgb="FFF8696B"/>
        <color rgb="FFFFEB84"/>
        <color rgb="FF63BE7B"/>
      </colorScale>
    </cfRule>
  </conditionalFormatting>
  <conditionalFormatting sqref="F3:F1048576">
    <cfRule type="colorScale" priority="12">
      <colorScale>
        <cfvo type="min"/>
        <cfvo type="percentile" val="50"/>
        <cfvo type="max"/>
        <color rgb="FFF8696B"/>
        <color rgb="FFFFEB84"/>
        <color rgb="FF63BE7B"/>
      </colorScale>
    </cfRule>
  </conditionalFormatting>
  <conditionalFormatting sqref="G3:G1048576">
    <cfRule type="colorScale" priority="11">
      <colorScale>
        <cfvo type="min"/>
        <cfvo type="percentile" val="50"/>
        <cfvo type="max"/>
        <color rgb="FFF8696B"/>
        <color rgb="FFFFEB84"/>
        <color rgb="FF63BE7B"/>
      </colorScale>
    </cfRule>
  </conditionalFormatting>
  <conditionalFormatting sqref="H3:H1048576">
    <cfRule type="colorScale" priority="10">
      <colorScale>
        <cfvo type="min"/>
        <cfvo type="percentile" val="50"/>
        <cfvo type="max"/>
        <color rgb="FFF8696B"/>
        <color rgb="FFFFEB84"/>
        <color rgb="FF63BE7B"/>
      </colorScale>
    </cfRule>
  </conditionalFormatting>
  <conditionalFormatting sqref="I3:I1048576">
    <cfRule type="colorScale" priority="9">
      <colorScale>
        <cfvo type="min"/>
        <cfvo type="percentile" val="50"/>
        <cfvo type="max"/>
        <color rgb="FFF8696B"/>
        <color rgb="FFFFEB84"/>
        <color rgb="FF63BE7B"/>
      </colorScale>
    </cfRule>
  </conditionalFormatting>
  <conditionalFormatting sqref="J3:J1048576">
    <cfRule type="colorScale" priority="8">
      <colorScale>
        <cfvo type="min"/>
        <cfvo type="percentile" val="50"/>
        <cfvo type="max"/>
        <color rgb="FFF8696B"/>
        <color rgb="FFFFEB84"/>
        <color rgb="FF63BE7B"/>
      </colorScale>
    </cfRule>
  </conditionalFormatting>
  <conditionalFormatting sqref="L201:L1048576">
    <cfRule type="colorScale" priority="14">
      <colorScale>
        <cfvo type="min"/>
        <cfvo type="percentile" val="50"/>
        <cfvo type="max"/>
        <color rgb="FFF8696B"/>
        <color rgb="FFFFEB84"/>
        <color rgb="FF63BE7B"/>
      </colorScale>
    </cfRule>
  </conditionalFormatting>
  <conditionalFormatting sqref="E1:E2">
    <cfRule type="colorScale" priority="7">
      <colorScale>
        <cfvo type="min"/>
        <cfvo type="percentile" val="50"/>
        <cfvo type="max"/>
        <color rgb="FFF8696B"/>
        <color rgb="FFFFEB84"/>
        <color rgb="FF63BE7B"/>
      </colorScale>
    </cfRule>
  </conditionalFormatting>
  <conditionalFormatting sqref="F2">
    <cfRule type="colorScale" priority="6">
      <colorScale>
        <cfvo type="min"/>
        <cfvo type="percentile" val="50"/>
        <cfvo type="max"/>
        <color rgb="FFF8696B"/>
        <color rgb="FFFFEB84"/>
        <color rgb="FF63BE7B"/>
      </colorScale>
    </cfRule>
  </conditionalFormatting>
  <conditionalFormatting sqref="G2">
    <cfRule type="colorScale" priority="5">
      <colorScale>
        <cfvo type="min"/>
        <cfvo type="percentile" val="50"/>
        <cfvo type="max"/>
        <color rgb="FFF8696B"/>
        <color rgb="FFFFEB84"/>
        <color rgb="FF63BE7B"/>
      </colorScale>
    </cfRule>
  </conditionalFormatting>
  <conditionalFormatting sqref="H2">
    <cfRule type="colorScale" priority="4">
      <colorScale>
        <cfvo type="min"/>
        <cfvo type="percentile" val="50"/>
        <cfvo type="max"/>
        <color rgb="FFF8696B"/>
        <color rgb="FFFFEB84"/>
        <color rgb="FF63BE7B"/>
      </colorScale>
    </cfRule>
  </conditionalFormatting>
  <conditionalFormatting sqref="I2">
    <cfRule type="colorScale" priority="3">
      <colorScale>
        <cfvo type="min"/>
        <cfvo type="percentile" val="50"/>
        <cfvo type="max"/>
        <color rgb="FFF8696B"/>
        <color rgb="FFFFEB84"/>
        <color rgb="FF63BE7B"/>
      </colorScale>
    </cfRule>
  </conditionalFormatting>
  <conditionalFormatting sqref="J2">
    <cfRule type="colorScale" priority="2">
      <colorScale>
        <cfvo type="min"/>
        <cfvo type="percentile" val="50"/>
        <cfvo type="max"/>
        <color rgb="FFF8696B"/>
        <color rgb="FFFFEB84"/>
        <color rgb="FF63BE7B"/>
      </colorScale>
    </cfRule>
  </conditionalFormatting>
  <conditionalFormatting sqref="L3:L200">
    <cfRule type="colorScale" priority="1">
      <colorScale>
        <cfvo type="num" val="0"/>
        <cfvo type="percentile" val="50"/>
        <cfvo type="num" val="0.5"/>
        <color rgb="FFF8696B"/>
        <color rgb="FFFFEB84"/>
        <color rgb="FF63BE7B"/>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69C56-E84B-476F-8D4C-58CC0F33C058}">
  <dimension ref="A1:J210"/>
  <sheetViews>
    <sheetView workbookViewId="0">
      <selection activeCell="A200" sqref="A200:D200"/>
    </sheetView>
  </sheetViews>
  <sheetFormatPr baseColWidth="10" defaultRowHeight="15" x14ac:dyDescent="0.25"/>
  <cols>
    <col min="1" max="1" width="28.7109375" customWidth="1"/>
    <col min="2" max="4" width="2.85546875" style="282" customWidth="1"/>
    <col min="5" max="9" width="7.28515625" style="282" customWidth="1"/>
    <col min="10" max="10" width="11.42578125" style="49"/>
  </cols>
  <sheetData>
    <row r="1" spans="1:10" ht="15" customHeight="1" x14ac:dyDescent="0.25">
      <c r="A1" s="579" t="s">
        <v>2</v>
      </c>
      <c r="B1" s="581" t="s">
        <v>848</v>
      </c>
      <c r="C1" s="582"/>
      <c r="D1" s="582"/>
      <c r="E1" s="583"/>
      <c r="F1" s="584" t="s">
        <v>849</v>
      </c>
      <c r="G1" s="584" t="s">
        <v>850</v>
      </c>
      <c r="H1" s="584" t="s">
        <v>851</v>
      </c>
      <c r="I1" s="584" t="s">
        <v>852</v>
      </c>
      <c r="J1" s="577" t="s">
        <v>874</v>
      </c>
    </row>
    <row r="2" spans="1:10" ht="84.75" customHeight="1" x14ac:dyDescent="0.25">
      <c r="A2" s="580"/>
      <c r="B2" s="273" t="s">
        <v>853</v>
      </c>
      <c r="C2" s="273" t="s">
        <v>854</v>
      </c>
      <c r="D2" s="273" t="s">
        <v>855</v>
      </c>
      <c r="E2" s="274" t="s">
        <v>856</v>
      </c>
      <c r="F2" s="585"/>
      <c r="G2" s="585"/>
      <c r="H2" s="585"/>
      <c r="I2" s="585"/>
      <c r="J2" s="578"/>
    </row>
    <row r="3" spans="1:10" x14ac:dyDescent="0.25">
      <c r="A3" s="275" t="s">
        <v>20</v>
      </c>
      <c r="B3" s="276">
        <v>1</v>
      </c>
      <c r="C3" s="276" t="s">
        <v>857</v>
      </c>
      <c r="D3" s="276">
        <v>1</v>
      </c>
      <c r="E3" s="277">
        <f t="shared" ref="E3:E34" si="0">AVERAGE(B3:D3)</f>
        <v>1</v>
      </c>
      <c r="F3" s="276">
        <v>2</v>
      </c>
      <c r="G3" s="276">
        <v>2</v>
      </c>
      <c r="H3" s="276">
        <v>2</v>
      </c>
      <c r="I3" s="276">
        <v>2</v>
      </c>
      <c r="J3" s="278">
        <f t="shared" ref="J3:J34" si="1">((1-(E3-1)/(5-1))*100*2+F3*50+G3*50+H3*50+I3*50*0.5)/5.5</f>
        <v>100</v>
      </c>
    </row>
    <row r="4" spans="1:10" x14ac:dyDescent="0.25">
      <c r="A4" s="174" t="s">
        <v>25</v>
      </c>
      <c r="B4" s="279" t="s">
        <v>857</v>
      </c>
      <c r="C4" s="279" t="s">
        <v>857</v>
      </c>
      <c r="D4" s="279">
        <v>1</v>
      </c>
      <c r="E4" s="280">
        <f t="shared" si="0"/>
        <v>1</v>
      </c>
      <c r="F4" s="279">
        <v>2</v>
      </c>
      <c r="G4" s="279">
        <v>2</v>
      </c>
      <c r="H4" s="279">
        <v>2</v>
      </c>
      <c r="I4" s="279">
        <v>2</v>
      </c>
      <c r="J4" s="281">
        <f t="shared" si="1"/>
        <v>100</v>
      </c>
    </row>
    <row r="5" spans="1:10" x14ac:dyDescent="0.25">
      <c r="A5" s="174" t="s">
        <v>31</v>
      </c>
      <c r="B5" s="279">
        <v>1</v>
      </c>
      <c r="C5" s="279">
        <v>1</v>
      </c>
      <c r="D5" s="279">
        <v>1</v>
      </c>
      <c r="E5" s="280">
        <f t="shared" si="0"/>
        <v>1</v>
      </c>
      <c r="F5" s="279">
        <v>2</v>
      </c>
      <c r="G5" s="279">
        <v>2</v>
      </c>
      <c r="H5" s="279">
        <v>2</v>
      </c>
      <c r="I5" s="279">
        <v>2</v>
      </c>
      <c r="J5" s="281">
        <f t="shared" si="1"/>
        <v>100</v>
      </c>
    </row>
    <row r="6" spans="1:10" x14ac:dyDescent="0.25">
      <c r="A6" s="174" t="s">
        <v>38</v>
      </c>
      <c r="B6" s="279" t="s">
        <v>857</v>
      </c>
      <c r="C6" s="279" t="s">
        <v>857</v>
      </c>
      <c r="D6" s="279">
        <v>1</v>
      </c>
      <c r="E6" s="280">
        <f t="shared" si="0"/>
        <v>1</v>
      </c>
      <c r="F6" s="279">
        <v>2</v>
      </c>
      <c r="G6" s="279">
        <v>2</v>
      </c>
      <c r="H6" s="279">
        <v>2</v>
      </c>
      <c r="I6" s="279">
        <v>2</v>
      </c>
      <c r="J6" s="281">
        <f t="shared" si="1"/>
        <v>100</v>
      </c>
    </row>
    <row r="7" spans="1:10" x14ac:dyDescent="0.25">
      <c r="A7" s="174" t="s">
        <v>44</v>
      </c>
      <c r="B7" s="279" t="s">
        <v>857</v>
      </c>
      <c r="C7" s="279" t="s">
        <v>857</v>
      </c>
      <c r="D7" s="279">
        <v>1</v>
      </c>
      <c r="E7" s="280">
        <f t="shared" si="0"/>
        <v>1</v>
      </c>
      <c r="F7" s="279">
        <v>2</v>
      </c>
      <c r="G7" s="279">
        <v>2</v>
      </c>
      <c r="H7" s="279">
        <v>2</v>
      </c>
      <c r="I7" s="279">
        <v>2</v>
      </c>
      <c r="J7" s="281">
        <f t="shared" si="1"/>
        <v>100</v>
      </c>
    </row>
    <row r="8" spans="1:10" x14ac:dyDescent="0.25">
      <c r="A8" s="174" t="s">
        <v>54</v>
      </c>
      <c r="B8" s="279" t="s">
        <v>857</v>
      </c>
      <c r="C8" s="279" t="s">
        <v>857</v>
      </c>
      <c r="D8" s="279">
        <v>1</v>
      </c>
      <c r="E8" s="280">
        <f t="shared" si="0"/>
        <v>1</v>
      </c>
      <c r="F8" s="279">
        <v>2</v>
      </c>
      <c r="G8" s="279">
        <v>2</v>
      </c>
      <c r="H8" s="279">
        <v>2</v>
      </c>
      <c r="I8" s="279">
        <v>2</v>
      </c>
      <c r="J8" s="281">
        <f t="shared" si="1"/>
        <v>100</v>
      </c>
    </row>
    <row r="9" spans="1:10" x14ac:dyDescent="0.25">
      <c r="A9" s="174" t="s">
        <v>67</v>
      </c>
      <c r="B9" s="279" t="s">
        <v>857</v>
      </c>
      <c r="C9" s="279" t="s">
        <v>857</v>
      </c>
      <c r="D9" s="279">
        <v>1</v>
      </c>
      <c r="E9" s="280">
        <f t="shared" si="0"/>
        <v>1</v>
      </c>
      <c r="F9" s="279">
        <v>2</v>
      </c>
      <c r="G9" s="279">
        <v>2</v>
      </c>
      <c r="H9" s="279">
        <v>2</v>
      </c>
      <c r="I9" s="279">
        <v>2</v>
      </c>
      <c r="J9" s="281">
        <f t="shared" si="1"/>
        <v>100</v>
      </c>
    </row>
    <row r="10" spans="1:10" x14ac:dyDescent="0.25">
      <c r="A10" s="174" t="s">
        <v>75</v>
      </c>
      <c r="B10" s="279" t="s">
        <v>857</v>
      </c>
      <c r="C10" s="279" t="s">
        <v>857</v>
      </c>
      <c r="D10" s="279">
        <v>1</v>
      </c>
      <c r="E10" s="280">
        <f t="shared" si="0"/>
        <v>1</v>
      </c>
      <c r="F10" s="279">
        <v>2</v>
      </c>
      <c r="G10" s="279">
        <v>2</v>
      </c>
      <c r="H10" s="279">
        <v>2</v>
      </c>
      <c r="I10" s="279">
        <v>2</v>
      </c>
      <c r="J10" s="281">
        <f t="shared" si="1"/>
        <v>100</v>
      </c>
    </row>
    <row r="11" spans="1:10" x14ac:dyDescent="0.25">
      <c r="A11" s="174" t="s">
        <v>82</v>
      </c>
      <c r="B11" s="279" t="s">
        <v>857</v>
      </c>
      <c r="C11" s="279" t="s">
        <v>857</v>
      </c>
      <c r="D11" s="279">
        <v>1</v>
      </c>
      <c r="E11" s="280">
        <f t="shared" si="0"/>
        <v>1</v>
      </c>
      <c r="F11" s="279">
        <v>2</v>
      </c>
      <c r="G11" s="279">
        <v>2</v>
      </c>
      <c r="H11" s="279">
        <v>2</v>
      </c>
      <c r="I11" s="279">
        <v>2</v>
      </c>
      <c r="J11" s="281">
        <f t="shared" si="1"/>
        <v>100</v>
      </c>
    </row>
    <row r="12" spans="1:10" x14ac:dyDescent="0.25">
      <c r="A12" s="174" t="s">
        <v>87</v>
      </c>
      <c r="B12" s="279">
        <v>1</v>
      </c>
      <c r="C12" s="279" t="s">
        <v>857</v>
      </c>
      <c r="D12" s="279">
        <v>1</v>
      </c>
      <c r="E12" s="280">
        <f t="shared" si="0"/>
        <v>1</v>
      </c>
      <c r="F12" s="279">
        <v>2</v>
      </c>
      <c r="G12" s="279">
        <v>2</v>
      </c>
      <c r="H12" s="279">
        <v>2</v>
      </c>
      <c r="I12" s="279">
        <v>2</v>
      </c>
      <c r="J12" s="281">
        <f t="shared" si="1"/>
        <v>100</v>
      </c>
    </row>
    <row r="13" spans="1:10" x14ac:dyDescent="0.25">
      <c r="A13" s="174" t="s">
        <v>95</v>
      </c>
      <c r="B13" s="279" t="s">
        <v>857</v>
      </c>
      <c r="C13" s="279" t="s">
        <v>857</v>
      </c>
      <c r="D13" s="279">
        <v>1</v>
      </c>
      <c r="E13" s="280">
        <f t="shared" si="0"/>
        <v>1</v>
      </c>
      <c r="F13" s="279">
        <v>2</v>
      </c>
      <c r="G13" s="279">
        <v>2</v>
      </c>
      <c r="H13" s="279">
        <v>2</v>
      </c>
      <c r="I13" s="279">
        <v>2</v>
      </c>
      <c r="J13" s="281">
        <f t="shared" si="1"/>
        <v>100</v>
      </c>
    </row>
    <row r="14" spans="1:10" x14ac:dyDescent="0.25">
      <c r="A14" s="174" t="s">
        <v>104</v>
      </c>
      <c r="B14" s="279">
        <v>1</v>
      </c>
      <c r="C14" s="279" t="s">
        <v>857</v>
      </c>
      <c r="D14" s="279">
        <v>1</v>
      </c>
      <c r="E14" s="280">
        <f t="shared" si="0"/>
        <v>1</v>
      </c>
      <c r="F14" s="279">
        <v>2</v>
      </c>
      <c r="G14" s="279">
        <v>2</v>
      </c>
      <c r="H14" s="279">
        <v>2</v>
      </c>
      <c r="I14" s="279">
        <v>2</v>
      </c>
      <c r="J14" s="281">
        <f t="shared" si="1"/>
        <v>100</v>
      </c>
    </row>
    <row r="15" spans="1:10" x14ac:dyDescent="0.25">
      <c r="A15" s="174" t="s">
        <v>109</v>
      </c>
      <c r="B15" s="279">
        <v>1</v>
      </c>
      <c r="C15" s="279" t="s">
        <v>857</v>
      </c>
      <c r="D15" s="279">
        <v>1</v>
      </c>
      <c r="E15" s="280">
        <f t="shared" si="0"/>
        <v>1</v>
      </c>
      <c r="F15" s="279">
        <v>2</v>
      </c>
      <c r="G15" s="279">
        <v>2</v>
      </c>
      <c r="H15" s="279">
        <v>2</v>
      </c>
      <c r="I15" s="279">
        <v>2</v>
      </c>
      <c r="J15" s="281">
        <f t="shared" si="1"/>
        <v>100</v>
      </c>
    </row>
    <row r="16" spans="1:10" x14ac:dyDescent="0.25">
      <c r="A16" s="174" t="s">
        <v>113</v>
      </c>
      <c r="B16" s="279">
        <v>1</v>
      </c>
      <c r="C16" s="279">
        <v>1</v>
      </c>
      <c r="D16" s="279">
        <v>1</v>
      </c>
      <c r="E16" s="280">
        <f t="shared" si="0"/>
        <v>1</v>
      </c>
      <c r="F16" s="279">
        <v>2</v>
      </c>
      <c r="G16" s="279">
        <v>2</v>
      </c>
      <c r="H16" s="279">
        <v>2</v>
      </c>
      <c r="I16" s="279">
        <v>2</v>
      </c>
      <c r="J16" s="281">
        <f t="shared" si="1"/>
        <v>100</v>
      </c>
    </row>
    <row r="17" spans="1:10" x14ac:dyDescent="0.25">
      <c r="A17" s="174" t="s">
        <v>119</v>
      </c>
      <c r="B17" s="279" t="s">
        <v>857</v>
      </c>
      <c r="C17" s="279" t="s">
        <v>857</v>
      </c>
      <c r="D17" s="279">
        <v>1</v>
      </c>
      <c r="E17" s="280">
        <f t="shared" si="0"/>
        <v>1</v>
      </c>
      <c r="F17" s="279">
        <v>2</v>
      </c>
      <c r="G17" s="279">
        <v>2</v>
      </c>
      <c r="H17" s="279">
        <v>2</v>
      </c>
      <c r="I17" s="279">
        <v>2</v>
      </c>
      <c r="J17" s="281">
        <f t="shared" si="1"/>
        <v>100</v>
      </c>
    </row>
    <row r="18" spans="1:10" x14ac:dyDescent="0.25">
      <c r="A18" s="174" t="s">
        <v>126</v>
      </c>
      <c r="B18" s="279" t="s">
        <v>857</v>
      </c>
      <c r="C18" s="279" t="s">
        <v>857</v>
      </c>
      <c r="D18" s="279">
        <v>1</v>
      </c>
      <c r="E18" s="280">
        <f t="shared" si="0"/>
        <v>1</v>
      </c>
      <c r="F18" s="279">
        <v>2</v>
      </c>
      <c r="G18" s="279">
        <v>2</v>
      </c>
      <c r="H18" s="279">
        <v>2</v>
      </c>
      <c r="I18" s="279">
        <v>2</v>
      </c>
      <c r="J18" s="281">
        <f t="shared" si="1"/>
        <v>100</v>
      </c>
    </row>
    <row r="19" spans="1:10" x14ac:dyDescent="0.25">
      <c r="A19" s="174" t="s">
        <v>131</v>
      </c>
      <c r="B19" s="279" t="s">
        <v>857</v>
      </c>
      <c r="C19" s="279" t="s">
        <v>857</v>
      </c>
      <c r="D19" s="279">
        <v>1</v>
      </c>
      <c r="E19" s="280">
        <f t="shared" si="0"/>
        <v>1</v>
      </c>
      <c r="F19" s="279">
        <v>2</v>
      </c>
      <c r="G19" s="279">
        <v>2</v>
      </c>
      <c r="H19" s="279">
        <v>2</v>
      </c>
      <c r="I19" s="279">
        <v>2</v>
      </c>
      <c r="J19" s="281">
        <f t="shared" si="1"/>
        <v>100</v>
      </c>
    </row>
    <row r="20" spans="1:10" x14ac:dyDescent="0.25">
      <c r="A20" s="174" t="s">
        <v>132</v>
      </c>
      <c r="B20" s="279" t="s">
        <v>857</v>
      </c>
      <c r="C20" s="279" t="s">
        <v>857</v>
      </c>
      <c r="D20" s="279">
        <v>1</v>
      </c>
      <c r="E20" s="280">
        <f t="shared" si="0"/>
        <v>1</v>
      </c>
      <c r="F20" s="279">
        <v>2</v>
      </c>
      <c r="G20" s="279">
        <v>2</v>
      </c>
      <c r="H20" s="279">
        <v>2</v>
      </c>
      <c r="I20" s="279">
        <v>2</v>
      </c>
      <c r="J20" s="281">
        <f t="shared" si="1"/>
        <v>100</v>
      </c>
    </row>
    <row r="21" spans="1:10" x14ac:dyDescent="0.25">
      <c r="A21" s="174" t="s">
        <v>133</v>
      </c>
      <c r="B21" s="279" t="s">
        <v>857</v>
      </c>
      <c r="C21" s="279" t="s">
        <v>857</v>
      </c>
      <c r="D21" s="279">
        <v>1</v>
      </c>
      <c r="E21" s="280">
        <f t="shared" si="0"/>
        <v>1</v>
      </c>
      <c r="F21" s="279">
        <v>2</v>
      </c>
      <c r="G21" s="279">
        <v>2</v>
      </c>
      <c r="H21" s="279">
        <v>2</v>
      </c>
      <c r="I21" s="279">
        <v>2</v>
      </c>
      <c r="J21" s="281">
        <f t="shared" si="1"/>
        <v>100</v>
      </c>
    </row>
    <row r="22" spans="1:10" x14ac:dyDescent="0.25">
      <c r="A22" s="174" t="s">
        <v>141</v>
      </c>
      <c r="B22" s="279" t="s">
        <v>857</v>
      </c>
      <c r="C22" s="279" t="s">
        <v>857</v>
      </c>
      <c r="D22" s="279">
        <v>1</v>
      </c>
      <c r="E22" s="280">
        <f t="shared" si="0"/>
        <v>1</v>
      </c>
      <c r="F22" s="279">
        <v>2</v>
      </c>
      <c r="G22" s="279">
        <v>2</v>
      </c>
      <c r="H22" s="279">
        <v>2</v>
      </c>
      <c r="I22" s="279">
        <v>2</v>
      </c>
      <c r="J22" s="281">
        <f t="shared" si="1"/>
        <v>100</v>
      </c>
    </row>
    <row r="23" spans="1:10" x14ac:dyDescent="0.25">
      <c r="A23" s="174" t="s">
        <v>866</v>
      </c>
      <c r="B23" s="279" t="s">
        <v>857</v>
      </c>
      <c r="C23" s="279" t="s">
        <v>857</v>
      </c>
      <c r="D23" s="279">
        <v>1</v>
      </c>
      <c r="E23" s="280">
        <f t="shared" si="0"/>
        <v>1</v>
      </c>
      <c r="F23" s="279">
        <v>2</v>
      </c>
      <c r="G23" s="279">
        <v>2</v>
      </c>
      <c r="H23" s="279">
        <v>2</v>
      </c>
      <c r="I23" s="279">
        <v>2</v>
      </c>
      <c r="J23" s="281">
        <f t="shared" si="1"/>
        <v>100</v>
      </c>
    </row>
    <row r="24" spans="1:10" x14ac:dyDescent="0.25">
      <c r="A24" s="174" t="s">
        <v>146</v>
      </c>
      <c r="B24" s="279" t="s">
        <v>857</v>
      </c>
      <c r="C24" s="279" t="s">
        <v>857</v>
      </c>
      <c r="D24" s="279">
        <v>1</v>
      </c>
      <c r="E24" s="280">
        <f t="shared" si="0"/>
        <v>1</v>
      </c>
      <c r="F24" s="279">
        <v>2</v>
      </c>
      <c r="G24" s="279">
        <v>2</v>
      </c>
      <c r="H24" s="279">
        <v>2</v>
      </c>
      <c r="I24" s="279">
        <v>2</v>
      </c>
      <c r="J24" s="281">
        <f t="shared" si="1"/>
        <v>100</v>
      </c>
    </row>
    <row r="25" spans="1:10" x14ac:dyDescent="0.25">
      <c r="A25" s="174" t="s">
        <v>332</v>
      </c>
      <c r="B25" s="279" t="s">
        <v>857</v>
      </c>
      <c r="C25" s="279" t="s">
        <v>857</v>
      </c>
      <c r="D25" s="279">
        <v>1</v>
      </c>
      <c r="E25" s="280">
        <f t="shared" si="0"/>
        <v>1</v>
      </c>
      <c r="F25" s="279">
        <v>2</v>
      </c>
      <c r="G25" s="279">
        <v>2</v>
      </c>
      <c r="H25" s="279">
        <v>2</v>
      </c>
      <c r="I25" s="279">
        <v>2</v>
      </c>
      <c r="J25" s="281">
        <f t="shared" si="1"/>
        <v>100</v>
      </c>
    </row>
    <row r="26" spans="1:10" x14ac:dyDescent="0.25">
      <c r="A26" s="174" t="s">
        <v>156</v>
      </c>
      <c r="B26" s="279">
        <v>1</v>
      </c>
      <c r="C26" s="279" t="s">
        <v>857</v>
      </c>
      <c r="D26" s="279">
        <v>1</v>
      </c>
      <c r="E26" s="280">
        <f t="shared" si="0"/>
        <v>1</v>
      </c>
      <c r="F26" s="279">
        <v>2</v>
      </c>
      <c r="G26" s="279">
        <v>2</v>
      </c>
      <c r="H26" s="279">
        <v>2</v>
      </c>
      <c r="I26" s="279">
        <v>2</v>
      </c>
      <c r="J26" s="281">
        <f t="shared" si="1"/>
        <v>100</v>
      </c>
    </row>
    <row r="27" spans="1:10" x14ac:dyDescent="0.25">
      <c r="A27" s="174" t="s">
        <v>161</v>
      </c>
      <c r="B27" s="279">
        <v>1</v>
      </c>
      <c r="C27" s="279" t="s">
        <v>857</v>
      </c>
      <c r="D27" s="279">
        <v>1</v>
      </c>
      <c r="E27" s="280">
        <f t="shared" si="0"/>
        <v>1</v>
      </c>
      <c r="F27" s="279">
        <v>2</v>
      </c>
      <c r="G27" s="279">
        <v>2</v>
      </c>
      <c r="H27" s="279">
        <v>2</v>
      </c>
      <c r="I27" s="279">
        <v>2</v>
      </c>
      <c r="J27" s="281">
        <f t="shared" si="1"/>
        <v>100</v>
      </c>
    </row>
    <row r="28" spans="1:10" x14ac:dyDescent="0.25">
      <c r="A28" s="174" t="s">
        <v>164</v>
      </c>
      <c r="B28" s="279" t="s">
        <v>857</v>
      </c>
      <c r="C28" s="279" t="s">
        <v>857</v>
      </c>
      <c r="D28" s="279">
        <v>1</v>
      </c>
      <c r="E28" s="280">
        <f t="shared" si="0"/>
        <v>1</v>
      </c>
      <c r="F28" s="279">
        <v>2</v>
      </c>
      <c r="G28" s="279">
        <v>2</v>
      </c>
      <c r="H28" s="279">
        <v>2</v>
      </c>
      <c r="I28" s="279">
        <v>2</v>
      </c>
      <c r="J28" s="281">
        <f t="shared" si="1"/>
        <v>100</v>
      </c>
    </row>
    <row r="29" spans="1:10" x14ac:dyDescent="0.25">
      <c r="A29" s="174" t="s">
        <v>166</v>
      </c>
      <c r="B29" s="279" t="s">
        <v>857</v>
      </c>
      <c r="C29" s="279" t="s">
        <v>857</v>
      </c>
      <c r="D29" s="279">
        <v>1</v>
      </c>
      <c r="E29" s="280">
        <f t="shared" si="0"/>
        <v>1</v>
      </c>
      <c r="F29" s="279">
        <v>2</v>
      </c>
      <c r="G29" s="279">
        <v>2</v>
      </c>
      <c r="H29" s="279">
        <v>2</v>
      </c>
      <c r="I29" s="279">
        <v>2</v>
      </c>
      <c r="J29" s="281">
        <f t="shared" si="1"/>
        <v>100</v>
      </c>
    </row>
    <row r="30" spans="1:10" x14ac:dyDescent="0.25">
      <c r="A30" s="174" t="s">
        <v>177</v>
      </c>
      <c r="B30" s="279" t="s">
        <v>857</v>
      </c>
      <c r="C30" s="279" t="s">
        <v>857</v>
      </c>
      <c r="D30" s="279">
        <v>1</v>
      </c>
      <c r="E30" s="280">
        <f t="shared" si="0"/>
        <v>1</v>
      </c>
      <c r="F30" s="279">
        <v>2</v>
      </c>
      <c r="G30" s="279">
        <v>2</v>
      </c>
      <c r="H30" s="279">
        <v>2</v>
      </c>
      <c r="I30" s="279">
        <v>2</v>
      </c>
      <c r="J30" s="281">
        <f t="shared" si="1"/>
        <v>100</v>
      </c>
    </row>
    <row r="31" spans="1:10" x14ac:dyDescent="0.25">
      <c r="A31" s="174" t="s">
        <v>178</v>
      </c>
      <c r="B31" s="279" t="s">
        <v>857</v>
      </c>
      <c r="C31" s="279" t="s">
        <v>857</v>
      </c>
      <c r="D31" s="279">
        <v>1</v>
      </c>
      <c r="E31" s="280">
        <f t="shared" si="0"/>
        <v>1</v>
      </c>
      <c r="F31" s="279">
        <v>2</v>
      </c>
      <c r="G31" s="279">
        <v>2</v>
      </c>
      <c r="H31" s="279">
        <v>2</v>
      </c>
      <c r="I31" s="279">
        <v>2</v>
      </c>
      <c r="J31" s="281">
        <f t="shared" si="1"/>
        <v>100</v>
      </c>
    </row>
    <row r="32" spans="1:10" x14ac:dyDescent="0.25">
      <c r="A32" s="174" t="s">
        <v>183</v>
      </c>
      <c r="B32" s="279" t="s">
        <v>857</v>
      </c>
      <c r="C32" s="279" t="s">
        <v>857</v>
      </c>
      <c r="D32" s="279">
        <v>1</v>
      </c>
      <c r="E32" s="280">
        <f t="shared" si="0"/>
        <v>1</v>
      </c>
      <c r="F32" s="279">
        <v>2</v>
      </c>
      <c r="G32" s="279">
        <v>2</v>
      </c>
      <c r="H32" s="279">
        <v>2</v>
      </c>
      <c r="I32" s="279">
        <v>2</v>
      </c>
      <c r="J32" s="281">
        <f t="shared" si="1"/>
        <v>100</v>
      </c>
    </row>
    <row r="33" spans="1:10" x14ac:dyDescent="0.25">
      <c r="A33" s="174" t="s">
        <v>187</v>
      </c>
      <c r="B33" s="279">
        <v>1</v>
      </c>
      <c r="C33" s="279" t="s">
        <v>857</v>
      </c>
      <c r="D33" s="279">
        <v>1</v>
      </c>
      <c r="E33" s="280">
        <f t="shared" si="0"/>
        <v>1</v>
      </c>
      <c r="F33" s="279">
        <v>2</v>
      </c>
      <c r="G33" s="279">
        <v>2</v>
      </c>
      <c r="H33" s="279">
        <v>2</v>
      </c>
      <c r="I33" s="279">
        <v>2</v>
      </c>
      <c r="J33" s="281">
        <f t="shared" si="1"/>
        <v>100</v>
      </c>
    </row>
    <row r="34" spans="1:10" x14ac:dyDescent="0.25">
      <c r="A34" s="174" t="s">
        <v>188</v>
      </c>
      <c r="B34" s="279" t="s">
        <v>857</v>
      </c>
      <c r="C34" s="279" t="s">
        <v>857</v>
      </c>
      <c r="D34" s="279">
        <v>1</v>
      </c>
      <c r="E34" s="280">
        <f t="shared" si="0"/>
        <v>1</v>
      </c>
      <c r="F34" s="279">
        <v>2</v>
      </c>
      <c r="G34" s="279">
        <v>2</v>
      </c>
      <c r="H34" s="279">
        <v>2</v>
      </c>
      <c r="I34" s="279">
        <v>2</v>
      </c>
      <c r="J34" s="281">
        <f t="shared" si="1"/>
        <v>100</v>
      </c>
    </row>
    <row r="35" spans="1:10" x14ac:dyDescent="0.25">
      <c r="A35" s="174" t="s">
        <v>868</v>
      </c>
      <c r="B35" s="279" t="s">
        <v>857</v>
      </c>
      <c r="C35" s="279" t="s">
        <v>857</v>
      </c>
      <c r="D35" s="279">
        <v>1</v>
      </c>
      <c r="E35" s="280">
        <f t="shared" ref="E35:E66" si="2">AVERAGE(B35:D35)</f>
        <v>1</v>
      </c>
      <c r="F35" s="279">
        <v>2</v>
      </c>
      <c r="G35" s="279">
        <v>2</v>
      </c>
      <c r="H35" s="279">
        <v>2</v>
      </c>
      <c r="I35" s="279">
        <v>2</v>
      </c>
      <c r="J35" s="281">
        <f t="shared" ref="J35:J66" si="3">((1-(E35-1)/(5-1))*100*2+F35*50+G35*50+H35*50+I35*50*0.5)/5.5</f>
        <v>100</v>
      </c>
    </row>
    <row r="36" spans="1:10" x14ac:dyDescent="0.25">
      <c r="A36" s="174" t="s">
        <v>869</v>
      </c>
      <c r="B36" s="279" t="s">
        <v>857</v>
      </c>
      <c r="C36" s="279" t="s">
        <v>857</v>
      </c>
      <c r="D36" s="279">
        <v>1</v>
      </c>
      <c r="E36" s="280">
        <f t="shared" si="2"/>
        <v>1</v>
      </c>
      <c r="F36" s="279">
        <v>2</v>
      </c>
      <c r="G36" s="279">
        <v>2</v>
      </c>
      <c r="H36" s="279">
        <v>2</v>
      </c>
      <c r="I36" s="279">
        <v>2</v>
      </c>
      <c r="J36" s="281">
        <f t="shared" si="3"/>
        <v>100</v>
      </c>
    </row>
    <row r="37" spans="1:10" x14ac:dyDescent="0.25">
      <c r="A37" s="174" t="s">
        <v>870</v>
      </c>
      <c r="B37" s="279" t="s">
        <v>857</v>
      </c>
      <c r="C37" s="279" t="s">
        <v>857</v>
      </c>
      <c r="D37" s="279">
        <v>1</v>
      </c>
      <c r="E37" s="280">
        <f t="shared" si="2"/>
        <v>1</v>
      </c>
      <c r="F37" s="279">
        <v>2</v>
      </c>
      <c r="G37" s="279">
        <v>2</v>
      </c>
      <c r="H37" s="279">
        <v>2</v>
      </c>
      <c r="I37" s="279">
        <v>2</v>
      </c>
      <c r="J37" s="281">
        <f t="shared" si="3"/>
        <v>100</v>
      </c>
    </row>
    <row r="38" spans="1:10" x14ac:dyDescent="0.25">
      <c r="A38" s="174" t="s">
        <v>198</v>
      </c>
      <c r="B38" s="279" t="s">
        <v>857</v>
      </c>
      <c r="C38" s="279" t="s">
        <v>857</v>
      </c>
      <c r="D38" s="279">
        <v>1</v>
      </c>
      <c r="E38" s="280">
        <f t="shared" si="2"/>
        <v>1</v>
      </c>
      <c r="F38" s="279">
        <v>2</v>
      </c>
      <c r="G38" s="279">
        <v>2</v>
      </c>
      <c r="H38" s="279">
        <v>2</v>
      </c>
      <c r="I38" s="279">
        <v>2</v>
      </c>
      <c r="J38" s="281">
        <f t="shared" si="3"/>
        <v>100</v>
      </c>
    </row>
    <row r="39" spans="1:10" x14ac:dyDescent="0.25">
      <c r="A39" s="174" t="s">
        <v>199</v>
      </c>
      <c r="B39" s="279">
        <v>1</v>
      </c>
      <c r="C39" s="279" t="s">
        <v>857</v>
      </c>
      <c r="D39" s="279">
        <v>1</v>
      </c>
      <c r="E39" s="280">
        <f t="shared" si="2"/>
        <v>1</v>
      </c>
      <c r="F39" s="279">
        <v>2</v>
      </c>
      <c r="G39" s="279">
        <v>2</v>
      </c>
      <c r="H39" s="279">
        <v>2</v>
      </c>
      <c r="I39" s="279">
        <v>2</v>
      </c>
      <c r="J39" s="281">
        <f t="shared" si="3"/>
        <v>100</v>
      </c>
    </row>
    <row r="40" spans="1:10" x14ac:dyDescent="0.25">
      <c r="A40" s="174" t="s">
        <v>200</v>
      </c>
      <c r="B40" s="279">
        <v>1</v>
      </c>
      <c r="C40" s="279" t="s">
        <v>857</v>
      </c>
      <c r="D40" s="279">
        <v>1</v>
      </c>
      <c r="E40" s="280">
        <f t="shared" si="2"/>
        <v>1</v>
      </c>
      <c r="F40" s="279">
        <v>2</v>
      </c>
      <c r="G40" s="279">
        <v>2</v>
      </c>
      <c r="H40" s="279">
        <v>2</v>
      </c>
      <c r="I40" s="279">
        <v>2</v>
      </c>
      <c r="J40" s="281">
        <f t="shared" si="3"/>
        <v>100</v>
      </c>
    </row>
    <row r="41" spans="1:10" x14ac:dyDescent="0.25">
      <c r="A41" s="174" t="s">
        <v>871</v>
      </c>
      <c r="B41" s="279">
        <v>1</v>
      </c>
      <c r="C41" s="279" t="s">
        <v>857</v>
      </c>
      <c r="D41" s="279">
        <v>1</v>
      </c>
      <c r="E41" s="280">
        <f t="shared" si="2"/>
        <v>1</v>
      </c>
      <c r="F41" s="279">
        <v>2</v>
      </c>
      <c r="G41" s="279">
        <v>2</v>
      </c>
      <c r="H41" s="279">
        <v>2</v>
      </c>
      <c r="I41" s="279">
        <v>2</v>
      </c>
      <c r="J41" s="281">
        <f t="shared" si="3"/>
        <v>100</v>
      </c>
    </row>
    <row r="42" spans="1:10" x14ac:dyDescent="0.25">
      <c r="A42" s="174" t="s">
        <v>207</v>
      </c>
      <c r="B42" s="279" t="s">
        <v>857</v>
      </c>
      <c r="C42" s="279" t="s">
        <v>857</v>
      </c>
      <c r="D42" s="279">
        <v>1</v>
      </c>
      <c r="E42" s="280">
        <f t="shared" si="2"/>
        <v>1</v>
      </c>
      <c r="F42" s="279">
        <v>2</v>
      </c>
      <c r="G42" s="279">
        <v>2</v>
      </c>
      <c r="H42" s="279">
        <v>2</v>
      </c>
      <c r="I42" s="279">
        <v>2</v>
      </c>
      <c r="J42" s="281">
        <f t="shared" si="3"/>
        <v>100</v>
      </c>
    </row>
    <row r="43" spans="1:10" x14ac:dyDescent="0.25">
      <c r="A43" s="174" t="s">
        <v>212</v>
      </c>
      <c r="B43" s="279" t="s">
        <v>857</v>
      </c>
      <c r="C43" s="279" t="s">
        <v>857</v>
      </c>
      <c r="D43" s="279">
        <v>1</v>
      </c>
      <c r="E43" s="280">
        <f t="shared" si="2"/>
        <v>1</v>
      </c>
      <c r="F43" s="279">
        <v>2</v>
      </c>
      <c r="G43" s="279">
        <v>2</v>
      </c>
      <c r="H43" s="279">
        <v>2</v>
      </c>
      <c r="I43" s="279">
        <v>2</v>
      </c>
      <c r="J43" s="281">
        <f t="shared" si="3"/>
        <v>100</v>
      </c>
    </row>
    <row r="44" spans="1:10" x14ac:dyDescent="0.25">
      <c r="A44" s="174" t="s">
        <v>220</v>
      </c>
      <c r="B44" s="279" t="s">
        <v>857</v>
      </c>
      <c r="C44" s="279" t="s">
        <v>857</v>
      </c>
      <c r="D44" s="279">
        <v>1</v>
      </c>
      <c r="E44" s="280">
        <f t="shared" si="2"/>
        <v>1</v>
      </c>
      <c r="F44" s="279">
        <v>2</v>
      </c>
      <c r="G44" s="279">
        <v>2</v>
      </c>
      <c r="H44" s="279">
        <v>2</v>
      </c>
      <c r="I44" s="279">
        <v>2</v>
      </c>
      <c r="J44" s="281">
        <f t="shared" si="3"/>
        <v>100</v>
      </c>
    </row>
    <row r="45" spans="1:10" x14ac:dyDescent="0.25">
      <c r="A45" s="174" t="s">
        <v>122</v>
      </c>
      <c r="B45" s="279">
        <v>1</v>
      </c>
      <c r="C45" s="279">
        <v>2</v>
      </c>
      <c r="D45" s="279">
        <v>1</v>
      </c>
      <c r="E45" s="280">
        <f t="shared" si="2"/>
        <v>1.3333333333333333</v>
      </c>
      <c r="F45" s="279">
        <v>2</v>
      </c>
      <c r="G45" s="279">
        <v>2</v>
      </c>
      <c r="H45" s="279">
        <v>2</v>
      </c>
      <c r="I45" s="279">
        <v>2</v>
      </c>
      <c r="J45" s="281">
        <f t="shared" si="3"/>
        <v>96.969696969696983</v>
      </c>
    </row>
    <row r="46" spans="1:10" x14ac:dyDescent="0.25">
      <c r="A46" s="174" t="s">
        <v>192</v>
      </c>
      <c r="B46" s="279">
        <v>2</v>
      </c>
      <c r="C46" s="279">
        <v>1</v>
      </c>
      <c r="D46" s="279">
        <v>1</v>
      </c>
      <c r="E46" s="280">
        <f t="shared" si="2"/>
        <v>1.3333333333333333</v>
      </c>
      <c r="F46" s="279">
        <v>2</v>
      </c>
      <c r="G46" s="279">
        <v>2</v>
      </c>
      <c r="H46" s="279">
        <v>2</v>
      </c>
      <c r="I46" s="279">
        <v>2</v>
      </c>
      <c r="J46" s="281">
        <f t="shared" si="3"/>
        <v>96.969696969696983</v>
      </c>
    </row>
    <row r="47" spans="1:10" x14ac:dyDescent="0.25">
      <c r="A47" s="174" t="s">
        <v>15</v>
      </c>
      <c r="B47" s="279">
        <v>2</v>
      </c>
      <c r="C47" s="279" t="s">
        <v>857</v>
      </c>
      <c r="D47" s="279">
        <v>1</v>
      </c>
      <c r="E47" s="280">
        <f t="shared" si="2"/>
        <v>1.5</v>
      </c>
      <c r="F47" s="279">
        <v>2</v>
      </c>
      <c r="G47" s="279">
        <v>2</v>
      </c>
      <c r="H47" s="279">
        <v>2</v>
      </c>
      <c r="I47" s="279">
        <v>2</v>
      </c>
      <c r="J47" s="281">
        <f t="shared" si="3"/>
        <v>95.454545454545453</v>
      </c>
    </row>
    <row r="48" spans="1:10" x14ac:dyDescent="0.25">
      <c r="A48" s="174" t="s">
        <v>32</v>
      </c>
      <c r="B48" s="279">
        <v>1</v>
      </c>
      <c r="C48" s="279" t="s">
        <v>857</v>
      </c>
      <c r="D48" s="279">
        <v>2</v>
      </c>
      <c r="E48" s="280">
        <f t="shared" si="2"/>
        <v>1.5</v>
      </c>
      <c r="F48" s="279">
        <v>2</v>
      </c>
      <c r="G48" s="279">
        <v>2</v>
      </c>
      <c r="H48" s="279">
        <v>2</v>
      </c>
      <c r="I48" s="279">
        <v>2</v>
      </c>
      <c r="J48" s="281">
        <f t="shared" si="3"/>
        <v>95.454545454545453</v>
      </c>
    </row>
    <row r="49" spans="1:10" x14ac:dyDescent="0.25">
      <c r="A49" s="174" t="s">
        <v>47</v>
      </c>
      <c r="B49" s="279">
        <v>2</v>
      </c>
      <c r="C49" s="279" t="s">
        <v>857</v>
      </c>
      <c r="D49" s="279">
        <v>1</v>
      </c>
      <c r="E49" s="280">
        <f t="shared" si="2"/>
        <v>1.5</v>
      </c>
      <c r="F49" s="279">
        <v>2</v>
      </c>
      <c r="G49" s="279">
        <v>2</v>
      </c>
      <c r="H49" s="279">
        <v>2</v>
      </c>
      <c r="I49" s="279">
        <v>2</v>
      </c>
      <c r="J49" s="281">
        <f t="shared" si="3"/>
        <v>95.454545454545453</v>
      </c>
    </row>
    <row r="50" spans="1:10" x14ac:dyDescent="0.25">
      <c r="A50" s="174" t="s">
        <v>69</v>
      </c>
      <c r="B50" s="279">
        <v>2</v>
      </c>
      <c r="C50" s="279" t="s">
        <v>857</v>
      </c>
      <c r="D50" s="279">
        <v>1</v>
      </c>
      <c r="E50" s="280">
        <f t="shared" si="2"/>
        <v>1.5</v>
      </c>
      <c r="F50" s="279">
        <v>2</v>
      </c>
      <c r="G50" s="279">
        <v>2</v>
      </c>
      <c r="H50" s="279">
        <v>2</v>
      </c>
      <c r="I50" s="279">
        <v>2</v>
      </c>
      <c r="J50" s="281">
        <f t="shared" si="3"/>
        <v>95.454545454545453</v>
      </c>
    </row>
    <row r="51" spans="1:10" x14ac:dyDescent="0.25">
      <c r="A51" s="174" t="s">
        <v>861</v>
      </c>
      <c r="B51" s="279">
        <v>2</v>
      </c>
      <c r="C51" s="279" t="s">
        <v>857</v>
      </c>
      <c r="D51" s="279">
        <v>1</v>
      </c>
      <c r="E51" s="280">
        <f t="shared" si="2"/>
        <v>1.5</v>
      </c>
      <c r="F51" s="279">
        <v>2</v>
      </c>
      <c r="G51" s="279">
        <v>2</v>
      </c>
      <c r="H51" s="279">
        <v>2</v>
      </c>
      <c r="I51" s="279">
        <v>2</v>
      </c>
      <c r="J51" s="281">
        <f t="shared" si="3"/>
        <v>95.454545454545453</v>
      </c>
    </row>
    <row r="52" spans="1:10" x14ac:dyDescent="0.25">
      <c r="A52" s="174" t="s">
        <v>140</v>
      </c>
      <c r="B52" s="279">
        <v>2</v>
      </c>
      <c r="C52" s="279" t="s">
        <v>857</v>
      </c>
      <c r="D52" s="279">
        <v>1</v>
      </c>
      <c r="E52" s="280">
        <f t="shared" si="2"/>
        <v>1.5</v>
      </c>
      <c r="F52" s="279">
        <v>2</v>
      </c>
      <c r="G52" s="279">
        <v>2</v>
      </c>
      <c r="H52" s="279">
        <v>2</v>
      </c>
      <c r="I52" s="279">
        <v>2</v>
      </c>
      <c r="J52" s="281">
        <f t="shared" si="3"/>
        <v>95.454545454545453</v>
      </c>
    </row>
    <row r="53" spans="1:10" x14ac:dyDescent="0.25">
      <c r="A53" s="174" t="s">
        <v>218</v>
      </c>
      <c r="B53" s="279">
        <v>2</v>
      </c>
      <c r="C53" s="279" t="s">
        <v>857</v>
      </c>
      <c r="D53" s="279">
        <v>1</v>
      </c>
      <c r="E53" s="280">
        <f t="shared" si="2"/>
        <v>1.5</v>
      </c>
      <c r="F53" s="279">
        <v>2</v>
      </c>
      <c r="G53" s="279">
        <v>2</v>
      </c>
      <c r="H53" s="279">
        <v>2</v>
      </c>
      <c r="I53" s="279">
        <v>2</v>
      </c>
      <c r="J53" s="281">
        <f t="shared" si="3"/>
        <v>95.454545454545453</v>
      </c>
    </row>
    <row r="54" spans="1:10" x14ac:dyDescent="0.25">
      <c r="A54" s="174" t="s">
        <v>46</v>
      </c>
      <c r="B54" s="279">
        <v>2</v>
      </c>
      <c r="C54" s="279">
        <v>1</v>
      </c>
      <c r="D54" s="279">
        <v>2</v>
      </c>
      <c r="E54" s="280">
        <f t="shared" si="2"/>
        <v>1.6666666666666667</v>
      </c>
      <c r="F54" s="279">
        <v>2</v>
      </c>
      <c r="G54" s="279">
        <v>2</v>
      </c>
      <c r="H54" s="279">
        <v>2</v>
      </c>
      <c r="I54" s="279">
        <v>2</v>
      </c>
      <c r="J54" s="281">
        <f t="shared" si="3"/>
        <v>93.939393939393938</v>
      </c>
    </row>
    <row r="55" spans="1:10" x14ac:dyDescent="0.25">
      <c r="A55" s="174" t="s">
        <v>92</v>
      </c>
      <c r="B55" s="279">
        <v>2</v>
      </c>
      <c r="C55" s="279">
        <v>2</v>
      </c>
      <c r="D55" s="279">
        <v>1</v>
      </c>
      <c r="E55" s="280">
        <f t="shared" si="2"/>
        <v>1.6666666666666667</v>
      </c>
      <c r="F55" s="279">
        <v>2</v>
      </c>
      <c r="G55" s="279">
        <v>2</v>
      </c>
      <c r="H55" s="279">
        <v>2</v>
      </c>
      <c r="I55" s="279">
        <v>2</v>
      </c>
      <c r="J55" s="281">
        <f t="shared" si="3"/>
        <v>93.939393939393938</v>
      </c>
    </row>
    <row r="56" spans="1:10" x14ac:dyDescent="0.25">
      <c r="A56" s="174" t="s">
        <v>173</v>
      </c>
      <c r="B56" s="279">
        <v>2</v>
      </c>
      <c r="C56" s="279">
        <v>2</v>
      </c>
      <c r="D56" s="279">
        <v>1</v>
      </c>
      <c r="E56" s="280">
        <f t="shared" si="2"/>
        <v>1.6666666666666667</v>
      </c>
      <c r="F56" s="279">
        <v>2</v>
      </c>
      <c r="G56" s="279">
        <v>2</v>
      </c>
      <c r="H56" s="279">
        <v>2</v>
      </c>
      <c r="I56" s="279">
        <v>2</v>
      </c>
      <c r="J56" s="281">
        <f t="shared" si="3"/>
        <v>93.939393939393938</v>
      </c>
    </row>
    <row r="57" spans="1:10" x14ac:dyDescent="0.25">
      <c r="A57" s="174" t="s">
        <v>40</v>
      </c>
      <c r="B57" s="279">
        <v>1</v>
      </c>
      <c r="C57" s="279" t="s">
        <v>857</v>
      </c>
      <c r="D57" s="279">
        <v>1</v>
      </c>
      <c r="E57" s="280">
        <f t="shared" si="2"/>
        <v>1</v>
      </c>
      <c r="F57" s="279">
        <v>2</v>
      </c>
      <c r="G57" s="279">
        <v>1</v>
      </c>
      <c r="H57" s="279">
        <v>2</v>
      </c>
      <c r="I57" s="279">
        <v>2</v>
      </c>
      <c r="J57" s="281">
        <f t="shared" si="3"/>
        <v>90.909090909090907</v>
      </c>
    </row>
    <row r="58" spans="1:10" x14ac:dyDescent="0.25">
      <c r="A58" s="174" t="s">
        <v>50</v>
      </c>
      <c r="B58" s="279" t="s">
        <v>857</v>
      </c>
      <c r="C58" s="279" t="s">
        <v>857</v>
      </c>
      <c r="D58" s="279">
        <v>1</v>
      </c>
      <c r="E58" s="280">
        <f t="shared" si="2"/>
        <v>1</v>
      </c>
      <c r="F58" s="279">
        <v>2</v>
      </c>
      <c r="G58" s="279">
        <v>1</v>
      </c>
      <c r="H58" s="279">
        <v>2</v>
      </c>
      <c r="I58" s="279">
        <v>2</v>
      </c>
      <c r="J58" s="281">
        <f t="shared" si="3"/>
        <v>90.909090909090907</v>
      </c>
    </row>
    <row r="59" spans="1:10" x14ac:dyDescent="0.25">
      <c r="A59" s="174" t="s">
        <v>58</v>
      </c>
      <c r="B59" s="279">
        <v>1</v>
      </c>
      <c r="C59" s="279">
        <v>1</v>
      </c>
      <c r="D59" s="279">
        <v>1</v>
      </c>
      <c r="E59" s="280">
        <f t="shared" si="2"/>
        <v>1</v>
      </c>
      <c r="F59" s="279">
        <v>1</v>
      </c>
      <c r="G59" s="279">
        <v>2</v>
      </c>
      <c r="H59" s="279">
        <v>2</v>
      </c>
      <c r="I59" s="279">
        <v>2</v>
      </c>
      <c r="J59" s="281">
        <f t="shared" si="3"/>
        <v>90.909090909090907</v>
      </c>
    </row>
    <row r="60" spans="1:10" x14ac:dyDescent="0.25">
      <c r="A60" s="174" t="s">
        <v>73</v>
      </c>
      <c r="B60" s="279">
        <v>1</v>
      </c>
      <c r="C60" s="279" t="s">
        <v>857</v>
      </c>
      <c r="D60" s="279">
        <v>1</v>
      </c>
      <c r="E60" s="280">
        <f t="shared" si="2"/>
        <v>1</v>
      </c>
      <c r="F60" s="279">
        <v>2</v>
      </c>
      <c r="G60" s="279">
        <v>1</v>
      </c>
      <c r="H60" s="279">
        <v>2</v>
      </c>
      <c r="I60" s="279">
        <v>2</v>
      </c>
      <c r="J60" s="281">
        <f t="shared" si="3"/>
        <v>90.909090909090907</v>
      </c>
    </row>
    <row r="61" spans="1:10" x14ac:dyDescent="0.25">
      <c r="A61" s="174" t="s">
        <v>98</v>
      </c>
      <c r="B61" s="279" t="s">
        <v>857</v>
      </c>
      <c r="C61" s="279" t="s">
        <v>857</v>
      </c>
      <c r="D61" s="279">
        <v>2</v>
      </c>
      <c r="E61" s="280">
        <f t="shared" si="2"/>
        <v>2</v>
      </c>
      <c r="F61" s="279">
        <v>2</v>
      </c>
      <c r="G61" s="279">
        <v>2</v>
      </c>
      <c r="H61" s="279">
        <v>2</v>
      </c>
      <c r="I61" s="279">
        <v>2</v>
      </c>
      <c r="J61" s="281">
        <f t="shared" si="3"/>
        <v>90.909090909090907</v>
      </c>
    </row>
    <row r="62" spans="1:10" x14ac:dyDescent="0.25">
      <c r="A62" s="174" t="s">
        <v>152</v>
      </c>
      <c r="B62" s="279">
        <v>1</v>
      </c>
      <c r="C62" s="279" t="s">
        <v>857</v>
      </c>
      <c r="D62" s="279">
        <v>1</v>
      </c>
      <c r="E62" s="280">
        <f t="shared" si="2"/>
        <v>1</v>
      </c>
      <c r="F62" s="279">
        <v>1</v>
      </c>
      <c r="G62" s="279">
        <v>2</v>
      </c>
      <c r="H62" s="279">
        <v>2</v>
      </c>
      <c r="I62" s="279">
        <v>2</v>
      </c>
      <c r="J62" s="281">
        <f t="shared" si="3"/>
        <v>90.909090909090907</v>
      </c>
    </row>
    <row r="63" spans="1:10" x14ac:dyDescent="0.25">
      <c r="A63" s="174" t="s">
        <v>155</v>
      </c>
      <c r="B63" s="279">
        <v>1</v>
      </c>
      <c r="C63" s="279" t="s">
        <v>857</v>
      </c>
      <c r="D63" s="279">
        <v>1</v>
      </c>
      <c r="E63" s="280">
        <f t="shared" si="2"/>
        <v>1</v>
      </c>
      <c r="F63" s="279">
        <v>1</v>
      </c>
      <c r="G63" s="279">
        <v>2</v>
      </c>
      <c r="H63" s="279">
        <v>2</v>
      </c>
      <c r="I63" s="279">
        <v>2</v>
      </c>
      <c r="J63" s="281">
        <f t="shared" si="3"/>
        <v>90.909090909090907</v>
      </c>
    </row>
    <row r="64" spans="1:10" x14ac:dyDescent="0.25">
      <c r="A64" s="174" t="s">
        <v>216</v>
      </c>
      <c r="B64" s="279">
        <v>1</v>
      </c>
      <c r="C64" s="279">
        <v>1</v>
      </c>
      <c r="D64" s="279">
        <v>1</v>
      </c>
      <c r="E64" s="280">
        <f t="shared" si="2"/>
        <v>1</v>
      </c>
      <c r="F64" s="279">
        <v>1</v>
      </c>
      <c r="G64" s="279">
        <v>2</v>
      </c>
      <c r="H64" s="279">
        <v>2</v>
      </c>
      <c r="I64" s="279">
        <v>2</v>
      </c>
      <c r="J64" s="281">
        <f t="shared" si="3"/>
        <v>90.909090909090907</v>
      </c>
    </row>
    <row r="65" spans="1:10" x14ac:dyDescent="0.25">
      <c r="A65" s="174" t="s">
        <v>71</v>
      </c>
      <c r="B65" s="279">
        <v>1</v>
      </c>
      <c r="C65" s="279" t="s">
        <v>857</v>
      </c>
      <c r="D65" s="279">
        <v>2</v>
      </c>
      <c r="E65" s="280">
        <f t="shared" si="2"/>
        <v>1.5</v>
      </c>
      <c r="F65" s="279">
        <v>2</v>
      </c>
      <c r="G65" s="279">
        <v>1</v>
      </c>
      <c r="H65" s="279">
        <v>2</v>
      </c>
      <c r="I65" s="279">
        <v>2</v>
      </c>
      <c r="J65" s="281">
        <f t="shared" si="3"/>
        <v>86.36363636363636</v>
      </c>
    </row>
    <row r="66" spans="1:10" x14ac:dyDescent="0.25">
      <c r="A66" s="174" t="s">
        <v>86</v>
      </c>
      <c r="B66" s="279">
        <v>1</v>
      </c>
      <c r="C66" s="279" t="s">
        <v>857</v>
      </c>
      <c r="D66" s="279">
        <v>2</v>
      </c>
      <c r="E66" s="280">
        <f t="shared" si="2"/>
        <v>1.5</v>
      </c>
      <c r="F66" s="279">
        <v>2</v>
      </c>
      <c r="G66" s="279">
        <v>1</v>
      </c>
      <c r="H66" s="279">
        <v>2</v>
      </c>
      <c r="I66" s="279">
        <v>2</v>
      </c>
      <c r="J66" s="281">
        <f t="shared" si="3"/>
        <v>86.36363636363636</v>
      </c>
    </row>
    <row r="67" spans="1:10" x14ac:dyDescent="0.25">
      <c r="A67" s="174" t="s">
        <v>148</v>
      </c>
      <c r="B67" s="279">
        <v>1</v>
      </c>
      <c r="C67" s="279" t="s">
        <v>857</v>
      </c>
      <c r="D67" s="279">
        <v>2</v>
      </c>
      <c r="E67" s="280">
        <f t="shared" ref="E67:E98" si="4">AVERAGE(B67:D67)</f>
        <v>1.5</v>
      </c>
      <c r="F67" s="279">
        <v>2</v>
      </c>
      <c r="G67" s="279">
        <v>1</v>
      </c>
      <c r="H67" s="279">
        <v>2</v>
      </c>
      <c r="I67" s="279">
        <v>2</v>
      </c>
      <c r="J67" s="281">
        <f t="shared" ref="J67:J98" si="5">((1-(E67-1)/(5-1))*100*2+F67*50+G67*50+H67*50+I67*50*0.5)/5.5</f>
        <v>86.36363636363636</v>
      </c>
    </row>
    <row r="68" spans="1:10" x14ac:dyDescent="0.25">
      <c r="A68" s="174" t="s">
        <v>174</v>
      </c>
      <c r="B68" s="279">
        <v>1</v>
      </c>
      <c r="C68" s="279" t="s">
        <v>857</v>
      </c>
      <c r="D68" s="279">
        <v>2</v>
      </c>
      <c r="E68" s="280">
        <f t="shared" si="4"/>
        <v>1.5</v>
      </c>
      <c r="F68" s="279">
        <v>2</v>
      </c>
      <c r="G68" s="279">
        <v>1</v>
      </c>
      <c r="H68" s="279">
        <v>2</v>
      </c>
      <c r="I68" s="279">
        <v>2</v>
      </c>
      <c r="J68" s="281">
        <f t="shared" si="5"/>
        <v>86.36363636363636</v>
      </c>
    </row>
    <row r="69" spans="1:10" x14ac:dyDescent="0.25">
      <c r="A69" s="174" t="s">
        <v>867</v>
      </c>
      <c r="B69" s="279">
        <v>1</v>
      </c>
      <c r="C69" s="279" t="s">
        <v>857</v>
      </c>
      <c r="D69" s="279">
        <v>2</v>
      </c>
      <c r="E69" s="280">
        <f t="shared" si="4"/>
        <v>1.5</v>
      </c>
      <c r="F69" s="279">
        <v>2</v>
      </c>
      <c r="G69" s="279">
        <v>1</v>
      </c>
      <c r="H69" s="279">
        <v>2</v>
      </c>
      <c r="I69" s="279">
        <v>2</v>
      </c>
      <c r="J69" s="281">
        <f t="shared" si="5"/>
        <v>86.36363636363636</v>
      </c>
    </row>
    <row r="70" spans="1:10" x14ac:dyDescent="0.25">
      <c r="A70" s="174" t="s">
        <v>103</v>
      </c>
      <c r="B70" s="279">
        <v>1</v>
      </c>
      <c r="C70" s="279">
        <v>2</v>
      </c>
      <c r="D70" s="279">
        <v>2</v>
      </c>
      <c r="E70" s="280">
        <f t="shared" si="4"/>
        <v>1.6666666666666667</v>
      </c>
      <c r="F70" s="279">
        <v>2</v>
      </c>
      <c r="G70" s="279">
        <v>1</v>
      </c>
      <c r="H70" s="279">
        <v>2</v>
      </c>
      <c r="I70" s="279">
        <v>2</v>
      </c>
      <c r="J70" s="281">
        <f t="shared" si="5"/>
        <v>84.848484848484844</v>
      </c>
    </row>
    <row r="71" spans="1:10" x14ac:dyDescent="0.25">
      <c r="A71" s="174" t="s">
        <v>111</v>
      </c>
      <c r="B71" s="279">
        <v>2</v>
      </c>
      <c r="C71" s="279">
        <v>2</v>
      </c>
      <c r="D71" s="279">
        <v>1</v>
      </c>
      <c r="E71" s="280">
        <f t="shared" si="4"/>
        <v>1.6666666666666667</v>
      </c>
      <c r="F71" s="279">
        <v>2</v>
      </c>
      <c r="G71" s="279">
        <v>1</v>
      </c>
      <c r="H71" s="279">
        <v>2</v>
      </c>
      <c r="I71" s="279">
        <v>2</v>
      </c>
      <c r="J71" s="281">
        <f t="shared" si="5"/>
        <v>84.848484848484844</v>
      </c>
    </row>
    <row r="72" spans="1:10" x14ac:dyDescent="0.25">
      <c r="A72" s="174" t="s">
        <v>171</v>
      </c>
      <c r="B72" s="279">
        <v>2</v>
      </c>
      <c r="C72" s="279">
        <v>2</v>
      </c>
      <c r="D72" s="279">
        <v>1</v>
      </c>
      <c r="E72" s="280">
        <f t="shared" si="4"/>
        <v>1.6666666666666667</v>
      </c>
      <c r="F72" s="279">
        <v>1</v>
      </c>
      <c r="G72" s="279">
        <v>2</v>
      </c>
      <c r="H72" s="279">
        <v>2</v>
      </c>
      <c r="I72" s="279">
        <v>2</v>
      </c>
      <c r="J72" s="281">
        <f t="shared" si="5"/>
        <v>84.848484848484844</v>
      </c>
    </row>
    <row r="73" spans="1:10" x14ac:dyDescent="0.25">
      <c r="A73" s="174" t="s">
        <v>185</v>
      </c>
      <c r="B73" s="279">
        <v>2</v>
      </c>
      <c r="C73" s="279">
        <v>2</v>
      </c>
      <c r="D73" s="279">
        <v>1</v>
      </c>
      <c r="E73" s="280">
        <f t="shared" si="4"/>
        <v>1.6666666666666667</v>
      </c>
      <c r="F73" s="279">
        <v>2</v>
      </c>
      <c r="G73" s="279">
        <v>1</v>
      </c>
      <c r="H73" s="279">
        <v>2</v>
      </c>
      <c r="I73" s="279">
        <v>2</v>
      </c>
      <c r="J73" s="281">
        <f t="shared" si="5"/>
        <v>84.848484848484844</v>
      </c>
    </row>
    <row r="74" spans="1:10" x14ac:dyDescent="0.25">
      <c r="A74" s="174" t="s">
        <v>774</v>
      </c>
      <c r="B74" s="279">
        <v>1</v>
      </c>
      <c r="C74" s="279">
        <v>1</v>
      </c>
      <c r="D74" s="279">
        <v>2</v>
      </c>
      <c r="E74" s="280">
        <f t="shared" si="4"/>
        <v>1.3333333333333333</v>
      </c>
      <c r="F74" s="279">
        <v>2</v>
      </c>
      <c r="G74" s="279">
        <v>1</v>
      </c>
      <c r="H74" s="279">
        <v>2</v>
      </c>
      <c r="I74" s="279">
        <v>1</v>
      </c>
      <c r="J74" s="281">
        <f t="shared" si="5"/>
        <v>83.333333333333343</v>
      </c>
    </row>
    <row r="75" spans="1:10" x14ac:dyDescent="0.25">
      <c r="A75" s="174" t="s">
        <v>858</v>
      </c>
      <c r="B75" s="279" t="s">
        <v>857</v>
      </c>
      <c r="C75" s="279" t="s">
        <v>857</v>
      </c>
      <c r="D75" s="279">
        <v>2</v>
      </c>
      <c r="E75" s="280">
        <f t="shared" si="4"/>
        <v>2</v>
      </c>
      <c r="F75" s="279">
        <v>2</v>
      </c>
      <c r="G75" s="279">
        <v>1</v>
      </c>
      <c r="H75" s="279">
        <v>2</v>
      </c>
      <c r="I75" s="279">
        <v>2</v>
      </c>
      <c r="J75" s="281">
        <f t="shared" si="5"/>
        <v>81.818181818181813</v>
      </c>
    </row>
    <row r="76" spans="1:10" x14ac:dyDescent="0.25">
      <c r="A76" s="174" t="s">
        <v>51</v>
      </c>
      <c r="B76" s="279">
        <v>2</v>
      </c>
      <c r="C76" s="279" t="s">
        <v>857</v>
      </c>
      <c r="D76" s="279">
        <v>2</v>
      </c>
      <c r="E76" s="280">
        <f t="shared" si="4"/>
        <v>2</v>
      </c>
      <c r="F76" s="279">
        <v>2</v>
      </c>
      <c r="G76" s="279">
        <v>1</v>
      </c>
      <c r="H76" s="279">
        <v>2</v>
      </c>
      <c r="I76" s="279">
        <v>2</v>
      </c>
      <c r="J76" s="281">
        <f t="shared" si="5"/>
        <v>81.818181818181813</v>
      </c>
    </row>
    <row r="77" spans="1:10" x14ac:dyDescent="0.25">
      <c r="A77" s="174" t="s">
        <v>64</v>
      </c>
      <c r="B77" s="279" t="s">
        <v>857</v>
      </c>
      <c r="C77" s="279" t="s">
        <v>857</v>
      </c>
      <c r="D77" s="279">
        <v>2</v>
      </c>
      <c r="E77" s="280">
        <f t="shared" si="4"/>
        <v>2</v>
      </c>
      <c r="F77" s="279">
        <v>2</v>
      </c>
      <c r="G77" s="279">
        <v>2</v>
      </c>
      <c r="H77" s="279">
        <v>2</v>
      </c>
      <c r="I77" s="279">
        <v>0</v>
      </c>
      <c r="J77" s="281">
        <f t="shared" si="5"/>
        <v>81.818181818181813</v>
      </c>
    </row>
    <row r="78" spans="1:10" x14ac:dyDescent="0.25">
      <c r="A78" s="174" t="s">
        <v>72</v>
      </c>
      <c r="B78" s="279">
        <v>1</v>
      </c>
      <c r="C78" s="279" t="s">
        <v>857</v>
      </c>
      <c r="D78" s="279">
        <v>1</v>
      </c>
      <c r="E78" s="280">
        <f t="shared" si="4"/>
        <v>1</v>
      </c>
      <c r="F78" s="279">
        <v>1</v>
      </c>
      <c r="G78" s="279">
        <v>1</v>
      </c>
      <c r="H78" s="279">
        <v>2</v>
      </c>
      <c r="I78" s="279">
        <v>2</v>
      </c>
      <c r="J78" s="281">
        <f t="shared" si="5"/>
        <v>81.818181818181813</v>
      </c>
    </row>
    <row r="79" spans="1:10" x14ac:dyDescent="0.25">
      <c r="A79" s="174" t="s">
        <v>88</v>
      </c>
      <c r="B79" s="279">
        <v>2</v>
      </c>
      <c r="C79" s="279">
        <v>2</v>
      </c>
      <c r="D79" s="279">
        <v>2</v>
      </c>
      <c r="E79" s="280">
        <f t="shared" si="4"/>
        <v>2</v>
      </c>
      <c r="F79" s="279">
        <v>2</v>
      </c>
      <c r="G79" s="279">
        <v>1</v>
      </c>
      <c r="H79" s="279">
        <v>2</v>
      </c>
      <c r="I79" s="279">
        <v>2</v>
      </c>
      <c r="J79" s="281">
        <f t="shared" si="5"/>
        <v>81.818181818181813</v>
      </c>
    </row>
    <row r="80" spans="1:10" x14ac:dyDescent="0.25">
      <c r="A80" s="174" t="s">
        <v>99</v>
      </c>
      <c r="B80" s="279" t="s">
        <v>857</v>
      </c>
      <c r="C80" s="279" t="s">
        <v>857</v>
      </c>
      <c r="D80" s="279">
        <v>2</v>
      </c>
      <c r="E80" s="280">
        <f t="shared" si="4"/>
        <v>2</v>
      </c>
      <c r="F80" s="279">
        <v>1</v>
      </c>
      <c r="G80" s="279">
        <v>2</v>
      </c>
      <c r="H80" s="279">
        <v>2</v>
      </c>
      <c r="I80" s="279">
        <v>2</v>
      </c>
      <c r="J80" s="281">
        <f t="shared" si="5"/>
        <v>81.818181818181813</v>
      </c>
    </row>
    <row r="81" spans="1:10" x14ac:dyDescent="0.25">
      <c r="A81" s="174" t="s">
        <v>865</v>
      </c>
      <c r="B81" s="279">
        <v>2</v>
      </c>
      <c r="C81" s="279" t="s">
        <v>857</v>
      </c>
      <c r="D81" s="279">
        <v>3</v>
      </c>
      <c r="E81" s="280">
        <f t="shared" si="4"/>
        <v>2.5</v>
      </c>
      <c r="F81" s="279">
        <v>2</v>
      </c>
      <c r="G81" s="279">
        <v>2</v>
      </c>
      <c r="H81" s="279">
        <v>2</v>
      </c>
      <c r="I81" s="279">
        <v>1</v>
      </c>
      <c r="J81" s="281">
        <f t="shared" si="5"/>
        <v>81.818181818181813</v>
      </c>
    </row>
    <row r="82" spans="1:10" x14ac:dyDescent="0.25">
      <c r="A82" s="174" t="s">
        <v>143</v>
      </c>
      <c r="B82" s="279" t="s">
        <v>857</v>
      </c>
      <c r="C82" s="279" t="s">
        <v>857</v>
      </c>
      <c r="D82" s="279">
        <v>2</v>
      </c>
      <c r="E82" s="280">
        <f t="shared" si="4"/>
        <v>2</v>
      </c>
      <c r="F82" s="279">
        <v>2</v>
      </c>
      <c r="G82" s="279">
        <v>1</v>
      </c>
      <c r="H82" s="279">
        <v>2</v>
      </c>
      <c r="I82" s="279">
        <v>2</v>
      </c>
      <c r="J82" s="281">
        <f t="shared" si="5"/>
        <v>81.818181818181813</v>
      </c>
    </row>
    <row r="83" spans="1:10" x14ac:dyDescent="0.25">
      <c r="A83" s="174" t="s">
        <v>147</v>
      </c>
      <c r="B83" s="279">
        <v>2</v>
      </c>
      <c r="C83" s="279" t="s">
        <v>857</v>
      </c>
      <c r="D83" s="279">
        <v>2</v>
      </c>
      <c r="E83" s="280">
        <f t="shared" si="4"/>
        <v>2</v>
      </c>
      <c r="F83" s="279">
        <v>2</v>
      </c>
      <c r="G83" s="279">
        <v>1</v>
      </c>
      <c r="H83" s="279">
        <v>2</v>
      </c>
      <c r="I83" s="279">
        <v>2</v>
      </c>
      <c r="J83" s="281">
        <f t="shared" si="5"/>
        <v>81.818181818181813</v>
      </c>
    </row>
    <row r="84" spans="1:10" x14ac:dyDescent="0.25">
      <c r="A84" s="174" t="s">
        <v>160</v>
      </c>
      <c r="B84" s="279">
        <v>2</v>
      </c>
      <c r="C84" s="279" t="s">
        <v>857</v>
      </c>
      <c r="D84" s="279">
        <v>2</v>
      </c>
      <c r="E84" s="280">
        <f t="shared" si="4"/>
        <v>2</v>
      </c>
      <c r="F84" s="279">
        <v>2</v>
      </c>
      <c r="G84" s="279">
        <v>1</v>
      </c>
      <c r="H84" s="279">
        <v>2</v>
      </c>
      <c r="I84" s="279">
        <v>2</v>
      </c>
      <c r="J84" s="281">
        <f t="shared" si="5"/>
        <v>81.818181818181813</v>
      </c>
    </row>
    <row r="85" spans="1:10" x14ac:dyDescent="0.25">
      <c r="A85" s="174" t="s">
        <v>168</v>
      </c>
      <c r="B85" s="279">
        <v>1</v>
      </c>
      <c r="C85" s="279" t="s">
        <v>857</v>
      </c>
      <c r="D85" s="279">
        <v>3</v>
      </c>
      <c r="E85" s="280">
        <f t="shared" si="4"/>
        <v>2</v>
      </c>
      <c r="F85" s="279">
        <v>2</v>
      </c>
      <c r="G85" s="279">
        <v>1</v>
      </c>
      <c r="H85" s="279">
        <v>2</v>
      </c>
      <c r="I85" s="279">
        <v>2</v>
      </c>
      <c r="J85" s="281">
        <f t="shared" si="5"/>
        <v>81.818181818181813</v>
      </c>
    </row>
    <row r="86" spans="1:10" x14ac:dyDescent="0.25">
      <c r="A86" s="174" t="s">
        <v>172</v>
      </c>
      <c r="B86" s="279">
        <v>2</v>
      </c>
      <c r="C86" s="279" t="s">
        <v>857</v>
      </c>
      <c r="D86" s="279">
        <v>2</v>
      </c>
      <c r="E86" s="280">
        <f t="shared" si="4"/>
        <v>2</v>
      </c>
      <c r="F86" s="279">
        <v>2</v>
      </c>
      <c r="G86" s="279">
        <v>1</v>
      </c>
      <c r="H86" s="279">
        <v>2</v>
      </c>
      <c r="I86" s="279">
        <v>2</v>
      </c>
      <c r="J86" s="281">
        <f t="shared" si="5"/>
        <v>81.818181818181813</v>
      </c>
    </row>
    <row r="87" spans="1:10" x14ac:dyDescent="0.25">
      <c r="A87" s="174" t="s">
        <v>182</v>
      </c>
      <c r="B87" s="279">
        <v>2</v>
      </c>
      <c r="C87" s="279">
        <v>2</v>
      </c>
      <c r="D87" s="279">
        <v>2</v>
      </c>
      <c r="E87" s="280">
        <f t="shared" si="4"/>
        <v>2</v>
      </c>
      <c r="F87" s="279">
        <v>2</v>
      </c>
      <c r="G87" s="279">
        <v>1</v>
      </c>
      <c r="H87" s="279">
        <v>2</v>
      </c>
      <c r="I87" s="279">
        <v>2</v>
      </c>
      <c r="J87" s="281">
        <f t="shared" si="5"/>
        <v>81.818181818181813</v>
      </c>
    </row>
    <row r="88" spans="1:10" x14ac:dyDescent="0.25">
      <c r="A88" s="174" t="s">
        <v>208</v>
      </c>
      <c r="B88" s="279" t="s">
        <v>857</v>
      </c>
      <c r="C88" s="279" t="s">
        <v>857</v>
      </c>
      <c r="D88" s="279">
        <v>2</v>
      </c>
      <c r="E88" s="280">
        <f t="shared" si="4"/>
        <v>2</v>
      </c>
      <c r="F88" s="279">
        <v>1</v>
      </c>
      <c r="G88" s="279">
        <v>2</v>
      </c>
      <c r="H88" s="279">
        <v>2</v>
      </c>
      <c r="I88" s="279">
        <v>2</v>
      </c>
      <c r="J88" s="281">
        <f t="shared" si="5"/>
        <v>81.818181818181813</v>
      </c>
    </row>
    <row r="89" spans="1:10" x14ac:dyDescent="0.25">
      <c r="A89" s="174" t="s">
        <v>138</v>
      </c>
      <c r="B89" s="279">
        <v>2</v>
      </c>
      <c r="C89" s="279">
        <v>3</v>
      </c>
      <c r="D89" s="279">
        <v>2</v>
      </c>
      <c r="E89" s="280">
        <f t="shared" si="4"/>
        <v>2.3333333333333335</v>
      </c>
      <c r="F89" s="279">
        <v>2</v>
      </c>
      <c r="G89" s="279">
        <v>1</v>
      </c>
      <c r="H89" s="279">
        <v>2</v>
      </c>
      <c r="I89" s="279">
        <v>2</v>
      </c>
      <c r="J89" s="281">
        <f t="shared" si="5"/>
        <v>78.787878787878782</v>
      </c>
    </row>
    <row r="90" spans="1:10" x14ac:dyDescent="0.25">
      <c r="A90" s="174" t="s">
        <v>162</v>
      </c>
      <c r="B90" s="279" t="s">
        <v>857</v>
      </c>
      <c r="C90" s="279" t="s">
        <v>857</v>
      </c>
      <c r="D90" s="279">
        <v>2</v>
      </c>
      <c r="E90" s="280">
        <f t="shared" si="4"/>
        <v>2</v>
      </c>
      <c r="F90" s="279">
        <v>2</v>
      </c>
      <c r="G90" s="279">
        <v>2</v>
      </c>
      <c r="H90" s="279">
        <v>1</v>
      </c>
      <c r="I90" s="279">
        <v>1</v>
      </c>
      <c r="J90" s="281">
        <f t="shared" si="5"/>
        <v>77.272727272727266</v>
      </c>
    </row>
    <row r="91" spans="1:10" x14ac:dyDescent="0.25">
      <c r="A91" s="174" t="s">
        <v>184</v>
      </c>
      <c r="B91" s="279">
        <v>2</v>
      </c>
      <c r="C91" s="279" t="s">
        <v>857</v>
      </c>
      <c r="D91" s="279">
        <v>2</v>
      </c>
      <c r="E91" s="280">
        <f t="shared" si="4"/>
        <v>2</v>
      </c>
      <c r="F91" s="279">
        <v>1</v>
      </c>
      <c r="G91" s="279">
        <v>2</v>
      </c>
      <c r="H91" s="279">
        <v>2</v>
      </c>
      <c r="I91" s="279">
        <v>1</v>
      </c>
      <c r="J91" s="281">
        <f t="shared" si="5"/>
        <v>77.272727272727266</v>
      </c>
    </row>
    <row r="92" spans="1:10" x14ac:dyDescent="0.25">
      <c r="A92" s="174" t="s">
        <v>28</v>
      </c>
      <c r="B92" s="279">
        <v>2</v>
      </c>
      <c r="C92" s="279">
        <v>2</v>
      </c>
      <c r="D92" s="279">
        <v>2</v>
      </c>
      <c r="E92" s="280">
        <f t="shared" si="4"/>
        <v>2</v>
      </c>
      <c r="F92" s="279">
        <v>2</v>
      </c>
      <c r="G92" s="279">
        <v>0</v>
      </c>
      <c r="H92" s="279">
        <v>2</v>
      </c>
      <c r="I92" s="279">
        <v>2</v>
      </c>
      <c r="J92" s="281">
        <f t="shared" si="5"/>
        <v>72.727272727272734</v>
      </c>
    </row>
    <row r="93" spans="1:10" x14ac:dyDescent="0.25">
      <c r="A93" s="174" t="s">
        <v>41</v>
      </c>
      <c r="B93" s="279" t="s">
        <v>857</v>
      </c>
      <c r="C93" s="279" t="s">
        <v>857</v>
      </c>
      <c r="D93" s="279">
        <v>2</v>
      </c>
      <c r="E93" s="280">
        <f t="shared" si="4"/>
        <v>2</v>
      </c>
      <c r="F93" s="279">
        <v>1</v>
      </c>
      <c r="G93" s="279">
        <v>1</v>
      </c>
      <c r="H93" s="279">
        <v>2</v>
      </c>
      <c r="I93" s="279">
        <v>2</v>
      </c>
      <c r="J93" s="281">
        <f t="shared" si="5"/>
        <v>72.727272727272734</v>
      </c>
    </row>
    <row r="94" spans="1:10" x14ac:dyDescent="0.25">
      <c r="A94" s="174" t="s">
        <v>61</v>
      </c>
      <c r="B94" s="279">
        <v>2</v>
      </c>
      <c r="C94" s="279" t="s">
        <v>857</v>
      </c>
      <c r="D94" s="279">
        <v>2</v>
      </c>
      <c r="E94" s="280">
        <f t="shared" si="4"/>
        <v>2</v>
      </c>
      <c r="F94" s="279">
        <v>1</v>
      </c>
      <c r="G94" s="279">
        <v>1</v>
      </c>
      <c r="H94" s="279">
        <v>2</v>
      </c>
      <c r="I94" s="279">
        <v>2</v>
      </c>
      <c r="J94" s="281">
        <f t="shared" si="5"/>
        <v>72.727272727272734</v>
      </c>
    </row>
    <row r="95" spans="1:10" x14ac:dyDescent="0.25">
      <c r="A95" s="174" t="s">
        <v>89</v>
      </c>
      <c r="B95" s="279" t="s">
        <v>857</v>
      </c>
      <c r="C95" s="279" t="s">
        <v>857</v>
      </c>
      <c r="D95" s="279">
        <v>2</v>
      </c>
      <c r="E95" s="280">
        <f t="shared" si="4"/>
        <v>2</v>
      </c>
      <c r="F95" s="279">
        <v>2</v>
      </c>
      <c r="G95" s="279">
        <v>1</v>
      </c>
      <c r="H95" s="279">
        <v>2</v>
      </c>
      <c r="I95" s="279">
        <v>0</v>
      </c>
      <c r="J95" s="281">
        <f t="shared" si="5"/>
        <v>72.727272727272734</v>
      </c>
    </row>
    <row r="96" spans="1:10" x14ac:dyDescent="0.25">
      <c r="A96" s="174" t="s">
        <v>93</v>
      </c>
      <c r="B96" s="279">
        <v>2</v>
      </c>
      <c r="C96" s="279" t="s">
        <v>857</v>
      </c>
      <c r="D96" s="279">
        <v>2</v>
      </c>
      <c r="E96" s="280">
        <f t="shared" si="4"/>
        <v>2</v>
      </c>
      <c r="F96" s="279">
        <v>1</v>
      </c>
      <c r="G96" s="279">
        <v>1</v>
      </c>
      <c r="H96" s="279">
        <v>2</v>
      </c>
      <c r="I96" s="279">
        <v>2</v>
      </c>
      <c r="J96" s="281">
        <f t="shared" si="5"/>
        <v>72.727272727272734</v>
      </c>
    </row>
    <row r="97" spans="1:10" x14ac:dyDescent="0.25">
      <c r="A97" s="174" t="s">
        <v>94</v>
      </c>
      <c r="B97" s="279">
        <v>2</v>
      </c>
      <c r="C97" s="279">
        <v>2</v>
      </c>
      <c r="D97" s="279">
        <v>2</v>
      </c>
      <c r="E97" s="280">
        <f t="shared" si="4"/>
        <v>2</v>
      </c>
      <c r="F97" s="279">
        <v>1</v>
      </c>
      <c r="G97" s="279">
        <v>1</v>
      </c>
      <c r="H97" s="279">
        <v>2</v>
      </c>
      <c r="I97" s="279">
        <v>2</v>
      </c>
      <c r="J97" s="281">
        <f t="shared" si="5"/>
        <v>72.727272727272734</v>
      </c>
    </row>
    <row r="98" spans="1:10" x14ac:dyDescent="0.25">
      <c r="A98" s="174" t="s">
        <v>128</v>
      </c>
      <c r="B98" s="279">
        <v>2</v>
      </c>
      <c r="C98" s="279" t="s">
        <v>857</v>
      </c>
      <c r="D98" s="279">
        <v>2</v>
      </c>
      <c r="E98" s="280">
        <f t="shared" si="4"/>
        <v>2</v>
      </c>
      <c r="F98" s="279">
        <v>1</v>
      </c>
      <c r="G98" s="279">
        <v>1</v>
      </c>
      <c r="H98" s="279">
        <v>2</v>
      </c>
      <c r="I98" s="279">
        <v>2</v>
      </c>
      <c r="J98" s="281">
        <f t="shared" si="5"/>
        <v>72.727272727272734</v>
      </c>
    </row>
    <row r="99" spans="1:10" x14ac:dyDescent="0.25">
      <c r="A99" s="174" t="s">
        <v>142</v>
      </c>
      <c r="B99" s="279" t="s">
        <v>857</v>
      </c>
      <c r="C99" s="279" t="s">
        <v>857</v>
      </c>
      <c r="D99" s="279">
        <v>3</v>
      </c>
      <c r="E99" s="280">
        <f t="shared" ref="E99:E130" si="6">AVERAGE(B99:D99)</f>
        <v>3</v>
      </c>
      <c r="F99" s="279">
        <v>2</v>
      </c>
      <c r="G99" s="279">
        <v>1</v>
      </c>
      <c r="H99" s="279">
        <v>2</v>
      </c>
      <c r="I99" s="279">
        <v>2</v>
      </c>
      <c r="J99" s="281">
        <f t="shared" ref="J99:J130" si="7">((1-(E99-1)/(5-1))*100*2+F99*50+G99*50+H99*50+I99*50*0.5)/5.5</f>
        <v>72.727272727272734</v>
      </c>
    </row>
    <row r="100" spans="1:10" x14ac:dyDescent="0.25">
      <c r="A100" s="174" t="s">
        <v>324</v>
      </c>
      <c r="B100" s="279">
        <v>2</v>
      </c>
      <c r="C100" s="279" t="s">
        <v>857</v>
      </c>
      <c r="D100" s="279">
        <v>2</v>
      </c>
      <c r="E100" s="280">
        <f t="shared" si="6"/>
        <v>2</v>
      </c>
      <c r="F100" s="279">
        <v>2</v>
      </c>
      <c r="G100" s="279">
        <v>1</v>
      </c>
      <c r="H100" s="279">
        <v>2</v>
      </c>
      <c r="I100" s="279">
        <v>0</v>
      </c>
      <c r="J100" s="281">
        <f t="shared" si="7"/>
        <v>72.727272727272734</v>
      </c>
    </row>
    <row r="101" spans="1:10" x14ac:dyDescent="0.25">
      <c r="A101" s="174" t="s">
        <v>179</v>
      </c>
      <c r="B101" s="279" t="s">
        <v>857</v>
      </c>
      <c r="C101" s="279" t="s">
        <v>857</v>
      </c>
      <c r="D101" s="279">
        <v>2</v>
      </c>
      <c r="E101" s="280">
        <f t="shared" si="6"/>
        <v>2</v>
      </c>
      <c r="F101" s="279">
        <v>0</v>
      </c>
      <c r="G101" s="279">
        <v>2</v>
      </c>
      <c r="H101" s="279">
        <v>2</v>
      </c>
      <c r="I101" s="279">
        <v>2</v>
      </c>
      <c r="J101" s="281">
        <f t="shared" si="7"/>
        <v>72.727272727272734</v>
      </c>
    </row>
    <row r="102" spans="1:10" x14ac:dyDescent="0.25">
      <c r="A102" s="174" t="s">
        <v>205</v>
      </c>
      <c r="B102" s="279" t="s">
        <v>857</v>
      </c>
      <c r="C102" s="279" t="s">
        <v>857</v>
      </c>
      <c r="D102" s="279">
        <v>2</v>
      </c>
      <c r="E102" s="280">
        <f t="shared" si="6"/>
        <v>2</v>
      </c>
      <c r="F102" s="279">
        <v>1</v>
      </c>
      <c r="G102" s="279">
        <v>1</v>
      </c>
      <c r="H102" s="279">
        <v>2</v>
      </c>
      <c r="I102" s="279">
        <v>2</v>
      </c>
      <c r="J102" s="281">
        <f t="shared" si="7"/>
        <v>72.727272727272734</v>
      </c>
    </row>
    <row r="103" spans="1:10" x14ac:dyDescent="0.25">
      <c r="A103" s="174" t="s">
        <v>114</v>
      </c>
      <c r="B103" s="279">
        <v>3</v>
      </c>
      <c r="C103" s="279">
        <v>2</v>
      </c>
      <c r="D103" s="279">
        <v>2</v>
      </c>
      <c r="E103" s="280">
        <f t="shared" si="6"/>
        <v>2.3333333333333335</v>
      </c>
      <c r="F103" s="279">
        <v>2</v>
      </c>
      <c r="G103" s="279">
        <v>1</v>
      </c>
      <c r="H103" s="279">
        <v>2</v>
      </c>
      <c r="I103" s="279">
        <v>0</v>
      </c>
      <c r="J103" s="281">
        <f t="shared" si="7"/>
        <v>69.696969696969688</v>
      </c>
    </row>
    <row r="104" spans="1:10" x14ac:dyDescent="0.25">
      <c r="A104" s="174" t="s">
        <v>169</v>
      </c>
      <c r="B104" s="279">
        <v>1</v>
      </c>
      <c r="C104" s="279">
        <v>3</v>
      </c>
      <c r="D104" s="279">
        <v>3</v>
      </c>
      <c r="E104" s="280">
        <f t="shared" si="6"/>
        <v>2.3333333333333335</v>
      </c>
      <c r="F104" s="279">
        <v>1</v>
      </c>
      <c r="G104" s="279">
        <v>1</v>
      </c>
      <c r="H104" s="279">
        <v>2</v>
      </c>
      <c r="I104" s="279">
        <v>2</v>
      </c>
      <c r="J104" s="281">
        <f t="shared" si="7"/>
        <v>69.696969696969688</v>
      </c>
    </row>
    <row r="105" spans="1:10" x14ac:dyDescent="0.25">
      <c r="A105" s="174" t="s">
        <v>43</v>
      </c>
      <c r="B105" s="279">
        <v>3</v>
      </c>
      <c r="C105" s="279" t="s">
        <v>857</v>
      </c>
      <c r="D105" s="279">
        <v>2</v>
      </c>
      <c r="E105" s="280">
        <f t="shared" si="6"/>
        <v>2.5</v>
      </c>
      <c r="F105" s="279">
        <v>1</v>
      </c>
      <c r="G105" s="279">
        <v>2</v>
      </c>
      <c r="H105" s="279">
        <v>2</v>
      </c>
      <c r="I105" s="279">
        <v>0</v>
      </c>
      <c r="J105" s="281">
        <f t="shared" si="7"/>
        <v>68.181818181818187</v>
      </c>
    </row>
    <row r="106" spans="1:10" x14ac:dyDescent="0.25">
      <c r="A106" s="174" t="s">
        <v>74</v>
      </c>
      <c r="B106" s="279" t="s">
        <v>857</v>
      </c>
      <c r="C106" s="279" t="s">
        <v>857</v>
      </c>
      <c r="D106" s="279">
        <v>3</v>
      </c>
      <c r="E106" s="280">
        <f t="shared" si="6"/>
        <v>3</v>
      </c>
      <c r="F106" s="279">
        <v>2</v>
      </c>
      <c r="G106" s="279">
        <v>1</v>
      </c>
      <c r="H106" s="279">
        <v>2</v>
      </c>
      <c r="I106" s="279">
        <v>1</v>
      </c>
      <c r="J106" s="281">
        <f t="shared" si="7"/>
        <v>68.181818181818187</v>
      </c>
    </row>
    <row r="107" spans="1:10" x14ac:dyDescent="0.25">
      <c r="A107" s="174" t="s">
        <v>96</v>
      </c>
      <c r="B107" s="279">
        <v>2</v>
      </c>
      <c r="C107" s="279">
        <v>2</v>
      </c>
      <c r="D107" s="279">
        <v>2</v>
      </c>
      <c r="E107" s="280">
        <f t="shared" si="6"/>
        <v>2</v>
      </c>
      <c r="F107" s="279">
        <v>1</v>
      </c>
      <c r="G107" s="279">
        <v>1</v>
      </c>
      <c r="H107" s="279">
        <v>2</v>
      </c>
      <c r="I107" s="279">
        <v>1</v>
      </c>
      <c r="J107" s="281">
        <f t="shared" si="7"/>
        <v>68.181818181818187</v>
      </c>
    </row>
    <row r="108" spans="1:10" x14ac:dyDescent="0.25">
      <c r="A108" s="174" t="s">
        <v>209</v>
      </c>
      <c r="B108" s="279">
        <v>3</v>
      </c>
      <c r="C108" s="279">
        <v>3</v>
      </c>
      <c r="D108" s="279">
        <v>3</v>
      </c>
      <c r="E108" s="280">
        <f t="shared" si="6"/>
        <v>3</v>
      </c>
      <c r="F108" s="279">
        <v>2</v>
      </c>
      <c r="G108" s="279">
        <v>1</v>
      </c>
      <c r="H108" s="279">
        <v>2</v>
      </c>
      <c r="I108" s="279">
        <v>1</v>
      </c>
      <c r="J108" s="281">
        <f t="shared" si="7"/>
        <v>68.181818181818187</v>
      </c>
    </row>
    <row r="109" spans="1:10" x14ac:dyDescent="0.25">
      <c r="A109" s="174" t="s">
        <v>136</v>
      </c>
      <c r="B109" s="279">
        <v>3</v>
      </c>
      <c r="C109" s="279">
        <v>2</v>
      </c>
      <c r="D109" s="279">
        <v>3</v>
      </c>
      <c r="E109" s="280">
        <f t="shared" si="6"/>
        <v>2.6666666666666665</v>
      </c>
      <c r="F109" s="279">
        <v>2</v>
      </c>
      <c r="G109" s="279">
        <v>0</v>
      </c>
      <c r="H109" s="279">
        <v>2</v>
      </c>
      <c r="I109" s="279">
        <v>2</v>
      </c>
      <c r="J109" s="281">
        <f t="shared" si="7"/>
        <v>66.666666666666671</v>
      </c>
    </row>
    <row r="110" spans="1:10" x14ac:dyDescent="0.25">
      <c r="A110" s="174" t="s">
        <v>215</v>
      </c>
      <c r="B110" s="279">
        <v>3</v>
      </c>
      <c r="C110" s="279">
        <v>3</v>
      </c>
      <c r="D110" s="279">
        <v>2</v>
      </c>
      <c r="E110" s="280">
        <f t="shared" si="6"/>
        <v>2.6666666666666665</v>
      </c>
      <c r="F110" s="279">
        <v>2</v>
      </c>
      <c r="G110" s="279">
        <v>2</v>
      </c>
      <c r="H110" s="279">
        <v>1</v>
      </c>
      <c r="I110" s="279">
        <v>0</v>
      </c>
      <c r="J110" s="281">
        <f t="shared" si="7"/>
        <v>66.666666666666671</v>
      </c>
    </row>
    <row r="111" spans="1:10" x14ac:dyDescent="0.25">
      <c r="A111" s="174" t="s">
        <v>214</v>
      </c>
      <c r="B111" s="279">
        <v>1</v>
      </c>
      <c r="C111" s="279">
        <v>2</v>
      </c>
      <c r="D111" s="279">
        <v>2</v>
      </c>
      <c r="E111" s="280">
        <f t="shared" si="6"/>
        <v>1.6666666666666667</v>
      </c>
      <c r="F111" s="279">
        <v>1</v>
      </c>
      <c r="G111" s="279">
        <v>0</v>
      </c>
      <c r="H111" s="279">
        <v>2</v>
      </c>
      <c r="I111" s="279">
        <v>2</v>
      </c>
      <c r="J111" s="281">
        <f t="shared" si="7"/>
        <v>66.666666666666657</v>
      </c>
    </row>
    <row r="112" spans="1:10" x14ac:dyDescent="0.25">
      <c r="A112" s="174" t="s">
        <v>327</v>
      </c>
      <c r="B112" s="279">
        <v>2</v>
      </c>
      <c r="C112" s="279" t="s">
        <v>857</v>
      </c>
      <c r="D112" s="279">
        <v>2</v>
      </c>
      <c r="E112" s="280">
        <f t="shared" si="6"/>
        <v>2</v>
      </c>
      <c r="F112" s="279">
        <v>2</v>
      </c>
      <c r="G112" s="279">
        <v>0</v>
      </c>
      <c r="H112" s="279">
        <v>2</v>
      </c>
      <c r="I112" s="279">
        <v>0</v>
      </c>
      <c r="J112" s="281">
        <f t="shared" si="7"/>
        <v>63.636363636363633</v>
      </c>
    </row>
    <row r="113" spans="1:10" x14ac:dyDescent="0.25">
      <c r="A113" s="174" t="s">
        <v>77</v>
      </c>
      <c r="B113" s="279">
        <v>4</v>
      </c>
      <c r="C113" s="279">
        <v>3</v>
      </c>
      <c r="D113" s="279">
        <v>2</v>
      </c>
      <c r="E113" s="280">
        <f t="shared" si="6"/>
        <v>3</v>
      </c>
      <c r="F113" s="279">
        <v>2</v>
      </c>
      <c r="G113" s="279">
        <v>0</v>
      </c>
      <c r="H113" s="279">
        <v>2</v>
      </c>
      <c r="I113" s="279">
        <v>2</v>
      </c>
      <c r="J113" s="281">
        <f t="shared" si="7"/>
        <v>63.636363636363633</v>
      </c>
    </row>
    <row r="114" spans="1:10" x14ac:dyDescent="0.25">
      <c r="A114" s="174" t="s">
        <v>100</v>
      </c>
      <c r="B114" s="279">
        <v>2</v>
      </c>
      <c r="C114" s="279">
        <v>4</v>
      </c>
      <c r="D114" s="279">
        <v>3</v>
      </c>
      <c r="E114" s="280">
        <f t="shared" si="6"/>
        <v>3</v>
      </c>
      <c r="F114" s="279">
        <v>1</v>
      </c>
      <c r="G114" s="279">
        <v>1</v>
      </c>
      <c r="H114" s="279">
        <v>2</v>
      </c>
      <c r="I114" s="279">
        <v>2</v>
      </c>
      <c r="J114" s="281">
        <f t="shared" si="7"/>
        <v>63.636363636363633</v>
      </c>
    </row>
    <row r="115" spans="1:10" x14ac:dyDescent="0.25">
      <c r="A115" s="174" t="s">
        <v>129</v>
      </c>
      <c r="B115" s="279" t="s">
        <v>857</v>
      </c>
      <c r="C115" s="279" t="s">
        <v>857</v>
      </c>
      <c r="D115" s="279">
        <v>3</v>
      </c>
      <c r="E115" s="280">
        <f t="shared" si="6"/>
        <v>3</v>
      </c>
      <c r="F115" s="279">
        <v>1</v>
      </c>
      <c r="G115" s="279">
        <v>1</v>
      </c>
      <c r="H115" s="279">
        <v>2</v>
      </c>
      <c r="I115" s="279">
        <v>2</v>
      </c>
      <c r="J115" s="281">
        <f t="shared" si="7"/>
        <v>63.636363636363633</v>
      </c>
    </row>
    <row r="116" spans="1:10" x14ac:dyDescent="0.25">
      <c r="A116" s="174" t="s">
        <v>219</v>
      </c>
      <c r="B116" s="279">
        <v>3</v>
      </c>
      <c r="C116" s="279">
        <v>3</v>
      </c>
      <c r="D116" s="279">
        <v>3</v>
      </c>
      <c r="E116" s="280">
        <f t="shared" si="6"/>
        <v>3</v>
      </c>
      <c r="F116" s="279">
        <v>2</v>
      </c>
      <c r="G116" s="279">
        <v>1</v>
      </c>
      <c r="H116" s="279">
        <v>2</v>
      </c>
      <c r="I116" s="279">
        <v>0</v>
      </c>
      <c r="J116" s="281">
        <f t="shared" si="7"/>
        <v>63.636363636363633</v>
      </c>
    </row>
    <row r="117" spans="1:10" x14ac:dyDescent="0.25">
      <c r="A117" s="174" t="s">
        <v>27</v>
      </c>
      <c r="B117" s="279">
        <v>2</v>
      </c>
      <c r="C117" s="279">
        <v>2</v>
      </c>
      <c r="D117" s="279">
        <v>3</v>
      </c>
      <c r="E117" s="280">
        <f t="shared" si="6"/>
        <v>2.3333333333333335</v>
      </c>
      <c r="F117" s="279">
        <v>0</v>
      </c>
      <c r="G117" s="279">
        <v>1</v>
      </c>
      <c r="H117" s="279">
        <v>2</v>
      </c>
      <c r="I117" s="279">
        <v>2</v>
      </c>
      <c r="J117" s="281">
        <f t="shared" si="7"/>
        <v>60.606060606060602</v>
      </c>
    </row>
    <row r="118" spans="1:10" x14ac:dyDescent="0.25">
      <c r="A118" s="174" t="s">
        <v>158</v>
      </c>
      <c r="B118" s="279">
        <v>3</v>
      </c>
      <c r="C118" s="279">
        <v>4</v>
      </c>
      <c r="D118" s="279">
        <v>3</v>
      </c>
      <c r="E118" s="280">
        <f t="shared" si="6"/>
        <v>3.3333333333333335</v>
      </c>
      <c r="F118" s="279">
        <v>0</v>
      </c>
      <c r="G118" s="279">
        <v>2</v>
      </c>
      <c r="H118" s="279">
        <v>2</v>
      </c>
      <c r="I118" s="279">
        <v>2</v>
      </c>
      <c r="J118" s="281">
        <f t="shared" si="7"/>
        <v>60.606060606060602</v>
      </c>
    </row>
    <row r="119" spans="1:10" x14ac:dyDescent="0.25">
      <c r="A119" s="174" t="s">
        <v>76</v>
      </c>
      <c r="B119" s="279">
        <v>2</v>
      </c>
      <c r="C119" s="279" t="s">
        <v>857</v>
      </c>
      <c r="D119" s="279">
        <v>3</v>
      </c>
      <c r="E119" s="280">
        <f t="shared" si="6"/>
        <v>2.5</v>
      </c>
      <c r="F119" s="279">
        <v>0</v>
      </c>
      <c r="G119" s="279">
        <v>1</v>
      </c>
      <c r="H119" s="279">
        <v>2</v>
      </c>
      <c r="I119" s="279">
        <v>2</v>
      </c>
      <c r="J119" s="281">
        <f t="shared" si="7"/>
        <v>59.090909090909093</v>
      </c>
    </row>
    <row r="120" spans="1:10" x14ac:dyDescent="0.25">
      <c r="A120" s="174" t="s">
        <v>91</v>
      </c>
      <c r="B120" s="279">
        <v>3</v>
      </c>
      <c r="C120" s="279">
        <v>3</v>
      </c>
      <c r="D120" s="279">
        <v>3</v>
      </c>
      <c r="E120" s="280">
        <f t="shared" si="6"/>
        <v>3</v>
      </c>
      <c r="F120" s="279">
        <v>2</v>
      </c>
      <c r="G120" s="279">
        <v>0</v>
      </c>
      <c r="H120" s="279">
        <v>2</v>
      </c>
      <c r="I120" s="279">
        <v>1</v>
      </c>
      <c r="J120" s="281">
        <f t="shared" si="7"/>
        <v>59.090909090909093</v>
      </c>
    </row>
    <row r="121" spans="1:10" x14ac:dyDescent="0.25">
      <c r="A121" s="174" t="s">
        <v>123</v>
      </c>
      <c r="B121" s="279">
        <v>2</v>
      </c>
      <c r="C121" s="279" t="s">
        <v>857</v>
      </c>
      <c r="D121" s="279">
        <v>3</v>
      </c>
      <c r="E121" s="280">
        <f t="shared" si="6"/>
        <v>2.5</v>
      </c>
      <c r="F121" s="279">
        <v>1</v>
      </c>
      <c r="G121" s="279">
        <v>1</v>
      </c>
      <c r="H121" s="279">
        <v>2</v>
      </c>
      <c r="I121" s="279">
        <v>0</v>
      </c>
      <c r="J121" s="281">
        <f t="shared" si="7"/>
        <v>59.090909090909093</v>
      </c>
    </row>
    <row r="122" spans="1:10" x14ac:dyDescent="0.25">
      <c r="A122" s="174" t="s">
        <v>864</v>
      </c>
      <c r="B122" s="279">
        <v>3</v>
      </c>
      <c r="C122" s="279">
        <v>3</v>
      </c>
      <c r="D122" s="279">
        <v>3</v>
      </c>
      <c r="E122" s="280">
        <f t="shared" si="6"/>
        <v>3</v>
      </c>
      <c r="F122" s="279">
        <v>2</v>
      </c>
      <c r="G122" s="279">
        <v>0</v>
      </c>
      <c r="H122" s="279">
        <v>2</v>
      </c>
      <c r="I122" s="279">
        <v>1</v>
      </c>
      <c r="J122" s="281">
        <f t="shared" si="7"/>
        <v>59.090909090909093</v>
      </c>
    </row>
    <row r="123" spans="1:10" x14ac:dyDescent="0.25">
      <c r="A123" s="174" t="s">
        <v>181</v>
      </c>
      <c r="B123" s="279">
        <v>3</v>
      </c>
      <c r="C123" s="279" t="s">
        <v>857</v>
      </c>
      <c r="D123" s="279">
        <v>3</v>
      </c>
      <c r="E123" s="280">
        <f t="shared" si="6"/>
        <v>3</v>
      </c>
      <c r="F123" s="279">
        <v>1</v>
      </c>
      <c r="G123" s="279">
        <v>1</v>
      </c>
      <c r="H123" s="279">
        <v>2</v>
      </c>
      <c r="I123" s="279">
        <v>1</v>
      </c>
      <c r="J123" s="281">
        <f t="shared" si="7"/>
        <v>59.090909090909093</v>
      </c>
    </row>
    <row r="124" spans="1:10" x14ac:dyDescent="0.25">
      <c r="A124" s="174" t="s">
        <v>334</v>
      </c>
      <c r="B124" s="279">
        <v>3</v>
      </c>
      <c r="C124" s="279">
        <v>3</v>
      </c>
      <c r="D124" s="279">
        <v>3</v>
      </c>
      <c r="E124" s="280">
        <f t="shared" si="6"/>
        <v>3</v>
      </c>
      <c r="F124" s="279">
        <v>1</v>
      </c>
      <c r="G124" s="279">
        <v>1</v>
      </c>
      <c r="H124" s="279">
        <v>2</v>
      </c>
      <c r="I124" s="279">
        <v>1</v>
      </c>
      <c r="J124" s="281">
        <f t="shared" si="7"/>
        <v>59.090909090909093</v>
      </c>
    </row>
    <row r="125" spans="1:10" x14ac:dyDescent="0.25">
      <c r="A125" s="174" t="s">
        <v>36</v>
      </c>
      <c r="B125" s="279">
        <v>3</v>
      </c>
      <c r="C125" s="279">
        <v>3</v>
      </c>
      <c r="D125" s="279">
        <v>2</v>
      </c>
      <c r="E125" s="280">
        <f t="shared" si="6"/>
        <v>2.6666666666666665</v>
      </c>
      <c r="F125" s="279">
        <v>2</v>
      </c>
      <c r="G125" s="279">
        <v>0</v>
      </c>
      <c r="H125" s="279">
        <v>2</v>
      </c>
      <c r="I125" s="279">
        <v>0</v>
      </c>
      <c r="J125" s="281">
        <f t="shared" si="7"/>
        <v>57.575757575757578</v>
      </c>
    </row>
    <row r="126" spans="1:10" x14ac:dyDescent="0.25">
      <c r="A126" s="174" t="s">
        <v>137</v>
      </c>
      <c r="B126" s="279">
        <v>3</v>
      </c>
      <c r="C126" s="279">
        <v>3</v>
      </c>
      <c r="D126" s="279">
        <v>2</v>
      </c>
      <c r="E126" s="280">
        <f t="shared" si="6"/>
        <v>2.6666666666666665</v>
      </c>
      <c r="F126" s="279">
        <v>1</v>
      </c>
      <c r="G126" s="279">
        <v>0</v>
      </c>
      <c r="H126" s="279">
        <v>2</v>
      </c>
      <c r="I126" s="279">
        <v>2</v>
      </c>
      <c r="J126" s="281">
        <f t="shared" si="7"/>
        <v>57.575757575757578</v>
      </c>
    </row>
    <row r="127" spans="1:10" x14ac:dyDescent="0.25">
      <c r="A127" s="174" t="s">
        <v>18</v>
      </c>
      <c r="B127" s="279">
        <v>3</v>
      </c>
      <c r="C127" s="279">
        <v>3</v>
      </c>
      <c r="D127" s="279">
        <v>3</v>
      </c>
      <c r="E127" s="280">
        <f t="shared" si="6"/>
        <v>3</v>
      </c>
      <c r="F127" s="279">
        <v>2</v>
      </c>
      <c r="G127" s="279">
        <v>1</v>
      </c>
      <c r="H127" s="279">
        <v>1</v>
      </c>
      <c r="I127" s="279">
        <v>0</v>
      </c>
      <c r="J127" s="281">
        <f t="shared" si="7"/>
        <v>54.545454545454547</v>
      </c>
    </row>
    <row r="128" spans="1:10" x14ac:dyDescent="0.25">
      <c r="A128" s="174" t="s">
        <v>68</v>
      </c>
      <c r="B128" s="279">
        <v>2</v>
      </c>
      <c r="C128" s="279" t="s">
        <v>857</v>
      </c>
      <c r="D128" s="279">
        <v>3</v>
      </c>
      <c r="E128" s="280">
        <f t="shared" si="6"/>
        <v>2.5</v>
      </c>
      <c r="F128" s="279">
        <v>2</v>
      </c>
      <c r="G128" s="279">
        <v>0</v>
      </c>
      <c r="H128" s="279">
        <v>1</v>
      </c>
      <c r="I128" s="279">
        <v>1</v>
      </c>
      <c r="J128" s="281">
        <f t="shared" si="7"/>
        <v>54.545454545454547</v>
      </c>
    </row>
    <row r="129" spans="1:10" x14ac:dyDescent="0.25">
      <c r="A129" s="174" t="s">
        <v>101</v>
      </c>
      <c r="B129" s="279">
        <v>3</v>
      </c>
      <c r="C129" s="279">
        <v>3</v>
      </c>
      <c r="D129" s="279">
        <v>3</v>
      </c>
      <c r="E129" s="280">
        <f t="shared" si="6"/>
        <v>3</v>
      </c>
      <c r="F129" s="279">
        <v>0</v>
      </c>
      <c r="G129" s="279">
        <v>1</v>
      </c>
      <c r="H129" s="279">
        <v>2</v>
      </c>
      <c r="I129" s="279">
        <v>2</v>
      </c>
      <c r="J129" s="281">
        <f t="shared" si="7"/>
        <v>54.545454545454547</v>
      </c>
    </row>
    <row r="130" spans="1:10" x14ac:dyDescent="0.25">
      <c r="A130" s="174" t="s">
        <v>112</v>
      </c>
      <c r="B130" s="279" t="s">
        <v>857</v>
      </c>
      <c r="C130" s="279" t="s">
        <v>857</v>
      </c>
      <c r="D130" s="279">
        <v>3</v>
      </c>
      <c r="E130" s="280">
        <f t="shared" si="6"/>
        <v>3</v>
      </c>
      <c r="F130" s="279">
        <v>0</v>
      </c>
      <c r="G130" s="279">
        <v>1</v>
      </c>
      <c r="H130" s="279">
        <v>2</v>
      </c>
      <c r="I130" s="279">
        <v>2</v>
      </c>
      <c r="J130" s="281">
        <f t="shared" si="7"/>
        <v>54.545454545454547</v>
      </c>
    </row>
    <row r="131" spans="1:10" x14ac:dyDescent="0.25">
      <c r="A131" s="174" t="s">
        <v>127</v>
      </c>
      <c r="B131" s="279">
        <v>3</v>
      </c>
      <c r="C131" s="279">
        <v>3</v>
      </c>
      <c r="D131" s="279">
        <v>3</v>
      </c>
      <c r="E131" s="280">
        <f t="shared" ref="E131:E162" si="8">AVERAGE(B131:D131)</f>
        <v>3</v>
      </c>
      <c r="F131" s="279">
        <v>1</v>
      </c>
      <c r="G131" s="279">
        <v>0</v>
      </c>
      <c r="H131" s="279">
        <v>2</v>
      </c>
      <c r="I131" s="279">
        <v>2</v>
      </c>
      <c r="J131" s="281">
        <f t="shared" ref="J131:J162" si="9">((1-(E131-1)/(5-1))*100*2+F131*50+G131*50+H131*50+I131*50*0.5)/5.5</f>
        <v>54.545454545454547</v>
      </c>
    </row>
    <row r="132" spans="1:10" x14ac:dyDescent="0.25">
      <c r="A132" s="174" t="s">
        <v>149</v>
      </c>
      <c r="B132" s="279">
        <v>2</v>
      </c>
      <c r="C132" s="279">
        <v>2</v>
      </c>
      <c r="D132" s="279">
        <v>2</v>
      </c>
      <c r="E132" s="280">
        <f t="shared" si="8"/>
        <v>2</v>
      </c>
      <c r="F132" s="279">
        <v>1</v>
      </c>
      <c r="G132" s="279">
        <v>1</v>
      </c>
      <c r="H132" s="279">
        <v>1</v>
      </c>
      <c r="I132" s="279">
        <v>0</v>
      </c>
      <c r="J132" s="281">
        <f t="shared" si="9"/>
        <v>54.545454545454547</v>
      </c>
    </row>
    <row r="133" spans="1:10" x14ac:dyDescent="0.25">
      <c r="A133" s="174" t="s">
        <v>206</v>
      </c>
      <c r="B133" s="279">
        <v>3</v>
      </c>
      <c r="C133" s="279" t="s">
        <v>857</v>
      </c>
      <c r="D133" s="279">
        <v>2</v>
      </c>
      <c r="E133" s="280">
        <f t="shared" si="8"/>
        <v>2.5</v>
      </c>
      <c r="F133" s="279">
        <v>1</v>
      </c>
      <c r="G133" s="279">
        <v>0</v>
      </c>
      <c r="H133" s="279">
        <v>2</v>
      </c>
      <c r="I133" s="279">
        <v>1</v>
      </c>
      <c r="J133" s="281">
        <f t="shared" si="9"/>
        <v>54.545454545454547</v>
      </c>
    </row>
    <row r="134" spans="1:10" x14ac:dyDescent="0.25">
      <c r="A134" s="174" t="s">
        <v>211</v>
      </c>
      <c r="B134" s="279">
        <v>3</v>
      </c>
      <c r="C134" s="279">
        <v>3</v>
      </c>
      <c r="D134" s="279">
        <v>3</v>
      </c>
      <c r="E134" s="280">
        <f t="shared" si="8"/>
        <v>3</v>
      </c>
      <c r="F134" s="279">
        <v>2</v>
      </c>
      <c r="G134" s="279">
        <v>0</v>
      </c>
      <c r="H134" s="279">
        <v>2</v>
      </c>
      <c r="I134" s="279">
        <v>0</v>
      </c>
      <c r="J134" s="281">
        <f t="shared" si="9"/>
        <v>54.545454545454547</v>
      </c>
    </row>
    <row r="135" spans="1:10" x14ac:dyDescent="0.25">
      <c r="A135" s="174" t="s">
        <v>224</v>
      </c>
      <c r="B135" s="279">
        <v>3</v>
      </c>
      <c r="C135" s="279">
        <v>3</v>
      </c>
      <c r="D135" s="279">
        <v>3</v>
      </c>
      <c r="E135" s="280">
        <f t="shared" si="8"/>
        <v>3</v>
      </c>
      <c r="F135" s="279">
        <v>1</v>
      </c>
      <c r="G135" s="279">
        <v>0</v>
      </c>
      <c r="H135" s="279">
        <v>2</v>
      </c>
      <c r="I135" s="279">
        <v>2</v>
      </c>
      <c r="J135" s="281">
        <f t="shared" si="9"/>
        <v>54.545454545454547</v>
      </c>
    </row>
    <row r="136" spans="1:10" x14ac:dyDescent="0.25">
      <c r="A136" s="174" t="s">
        <v>204</v>
      </c>
      <c r="B136" s="279">
        <v>3</v>
      </c>
      <c r="C136" s="279">
        <v>4</v>
      </c>
      <c r="D136" s="279">
        <v>3</v>
      </c>
      <c r="E136" s="280">
        <f t="shared" si="8"/>
        <v>3.3333333333333335</v>
      </c>
      <c r="F136" s="279">
        <v>2</v>
      </c>
      <c r="G136" s="279">
        <v>0</v>
      </c>
      <c r="H136" s="279">
        <v>2</v>
      </c>
      <c r="I136" s="279">
        <v>0</v>
      </c>
      <c r="J136" s="281">
        <f t="shared" si="9"/>
        <v>51.515151515151508</v>
      </c>
    </row>
    <row r="137" spans="1:10" x14ac:dyDescent="0.25">
      <c r="A137" s="174" t="s">
        <v>80</v>
      </c>
      <c r="B137" s="279">
        <v>2</v>
      </c>
      <c r="C137" s="279" t="s">
        <v>857</v>
      </c>
      <c r="D137" s="279">
        <v>1</v>
      </c>
      <c r="E137" s="280">
        <f t="shared" si="8"/>
        <v>1.5</v>
      </c>
      <c r="F137" s="279">
        <v>0</v>
      </c>
      <c r="G137" s="279">
        <v>0</v>
      </c>
      <c r="H137" s="279">
        <v>2</v>
      </c>
      <c r="I137" s="279">
        <v>0</v>
      </c>
      <c r="J137" s="281">
        <f t="shared" si="9"/>
        <v>50</v>
      </c>
    </row>
    <row r="138" spans="1:10" x14ac:dyDescent="0.25">
      <c r="A138" s="174" t="s">
        <v>614</v>
      </c>
      <c r="B138" s="279">
        <v>3</v>
      </c>
      <c r="C138" s="279">
        <v>3</v>
      </c>
      <c r="D138" s="279">
        <v>3</v>
      </c>
      <c r="E138" s="280">
        <f t="shared" si="8"/>
        <v>3</v>
      </c>
      <c r="F138" s="279">
        <v>1</v>
      </c>
      <c r="G138" s="279">
        <v>0</v>
      </c>
      <c r="H138" s="279">
        <v>2</v>
      </c>
      <c r="I138" s="279">
        <v>1</v>
      </c>
      <c r="J138" s="281">
        <f t="shared" si="9"/>
        <v>50</v>
      </c>
    </row>
    <row r="139" spans="1:10" x14ac:dyDescent="0.25">
      <c r="A139" s="174" t="s">
        <v>22</v>
      </c>
      <c r="B139" s="279">
        <v>3</v>
      </c>
      <c r="C139" s="279">
        <v>3</v>
      </c>
      <c r="D139" s="279">
        <v>2</v>
      </c>
      <c r="E139" s="280">
        <f t="shared" si="8"/>
        <v>2.6666666666666665</v>
      </c>
      <c r="F139" s="279">
        <v>0</v>
      </c>
      <c r="G139" s="279">
        <v>1</v>
      </c>
      <c r="H139" s="279">
        <v>2</v>
      </c>
      <c r="I139" s="279">
        <v>0</v>
      </c>
      <c r="J139" s="281">
        <f t="shared" si="9"/>
        <v>48.484848484848492</v>
      </c>
    </row>
    <row r="140" spans="1:10" x14ac:dyDescent="0.25">
      <c r="A140" s="174" t="s">
        <v>154</v>
      </c>
      <c r="B140" s="279">
        <v>3</v>
      </c>
      <c r="C140" s="279">
        <v>2</v>
      </c>
      <c r="D140" s="279">
        <v>3</v>
      </c>
      <c r="E140" s="280">
        <f t="shared" si="8"/>
        <v>2.6666666666666665</v>
      </c>
      <c r="F140" s="279">
        <v>0</v>
      </c>
      <c r="G140" s="279">
        <v>0</v>
      </c>
      <c r="H140" s="279">
        <v>2</v>
      </c>
      <c r="I140" s="279">
        <v>2</v>
      </c>
      <c r="J140" s="281">
        <f t="shared" si="9"/>
        <v>48.484848484848492</v>
      </c>
    </row>
    <row r="141" spans="1:10" x14ac:dyDescent="0.25">
      <c r="A141" s="174" t="s">
        <v>190</v>
      </c>
      <c r="B141" s="279">
        <v>3</v>
      </c>
      <c r="C141" s="279">
        <v>2</v>
      </c>
      <c r="D141" s="279">
        <v>3</v>
      </c>
      <c r="E141" s="280">
        <f t="shared" si="8"/>
        <v>2.6666666666666665</v>
      </c>
      <c r="F141" s="279">
        <v>0</v>
      </c>
      <c r="G141" s="279">
        <v>0</v>
      </c>
      <c r="H141" s="279">
        <v>2</v>
      </c>
      <c r="I141" s="279">
        <v>2</v>
      </c>
      <c r="J141" s="281">
        <f t="shared" si="9"/>
        <v>48.484848484848492</v>
      </c>
    </row>
    <row r="142" spans="1:10" x14ac:dyDescent="0.25">
      <c r="A142" s="174" t="s">
        <v>55</v>
      </c>
      <c r="B142" s="279">
        <v>3</v>
      </c>
      <c r="C142" s="279">
        <v>3</v>
      </c>
      <c r="D142" s="279">
        <v>3</v>
      </c>
      <c r="E142" s="280">
        <f t="shared" si="8"/>
        <v>3</v>
      </c>
      <c r="F142" s="279">
        <v>1</v>
      </c>
      <c r="G142" s="279">
        <v>0</v>
      </c>
      <c r="H142" s="279">
        <v>2</v>
      </c>
      <c r="I142" s="279">
        <v>0</v>
      </c>
      <c r="J142" s="281">
        <f t="shared" si="9"/>
        <v>45.454545454545453</v>
      </c>
    </row>
    <row r="143" spans="1:10" x14ac:dyDescent="0.25">
      <c r="A143" s="174" t="s">
        <v>860</v>
      </c>
      <c r="B143" s="279">
        <v>3</v>
      </c>
      <c r="C143" s="279" t="s">
        <v>857</v>
      </c>
      <c r="D143" s="279">
        <v>3</v>
      </c>
      <c r="E143" s="280">
        <f t="shared" si="8"/>
        <v>3</v>
      </c>
      <c r="F143" s="279">
        <v>0</v>
      </c>
      <c r="G143" s="279">
        <v>1</v>
      </c>
      <c r="H143" s="279">
        <v>2</v>
      </c>
      <c r="I143" s="279">
        <v>0</v>
      </c>
      <c r="J143" s="281">
        <f t="shared" si="9"/>
        <v>45.454545454545453</v>
      </c>
    </row>
    <row r="144" spans="1:10" x14ac:dyDescent="0.25">
      <c r="A144" s="174" t="s">
        <v>70</v>
      </c>
      <c r="B144" s="279">
        <v>3</v>
      </c>
      <c r="C144" s="279">
        <v>3</v>
      </c>
      <c r="D144" s="279">
        <v>3</v>
      </c>
      <c r="E144" s="280">
        <f t="shared" si="8"/>
        <v>3</v>
      </c>
      <c r="F144" s="279">
        <v>1</v>
      </c>
      <c r="G144" s="279">
        <v>0</v>
      </c>
      <c r="H144" s="279">
        <v>2</v>
      </c>
      <c r="I144" s="279">
        <v>0</v>
      </c>
      <c r="J144" s="281">
        <f t="shared" si="9"/>
        <v>45.454545454545453</v>
      </c>
    </row>
    <row r="145" spans="1:10" x14ac:dyDescent="0.25">
      <c r="A145" s="174" t="s">
        <v>116</v>
      </c>
      <c r="B145" s="279">
        <v>3</v>
      </c>
      <c r="C145" s="279">
        <v>3</v>
      </c>
      <c r="D145" s="279">
        <v>3</v>
      </c>
      <c r="E145" s="280">
        <f t="shared" si="8"/>
        <v>3</v>
      </c>
      <c r="F145" s="279">
        <v>0</v>
      </c>
      <c r="G145" s="279">
        <v>1</v>
      </c>
      <c r="H145" s="279">
        <v>2</v>
      </c>
      <c r="I145" s="279">
        <v>0</v>
      </c>
      <c r="J145" s="281">
        <f t="shared" si="9"/>
        <v>45.454545454545453</v>
      </c>
    </row>
    <row r="146" spans="1:10" x14ac:dyDescent="0.25">
      <c r="A146" s="174" t="s">
        <v>167</v>
      </c>
      <c r="B146" s="279">
        <v>3</v>
      </c>
      <c r="C146" s="279" t="s">
        <v>857</v>
      </c>
      <c r="D146" s="279">
        <v>3</v>
      </c>
      <c r="E146" s="280">
        <f t="shared" si="8"/>
        <v>3</v>
      </c>
      <c r="F146" s="279">
        <v>0</v>
      </c>
      <c r="G146" s="279">
        <v>0</v>
      </c>
      <c r="H146" s="279">
        <v>2</v>
      </c>
      <c r="I146" s="279">
        <v>2</v>
      </c>
      <c r="J146" s="281">
        <f t="shared" si="9"/>
        <v>45.454545454545453</v>
      </c>
    </row>
    <row r="147" spans="1:10" x14ac:dyDescent="0.25">
      <c r="A147" s="174" t="s">
        <v>176</v>
      </c>
      <c r="B147" s="279">
        <v>2</v>
      </c>
      <c r="C147" s="279">
        <v>4</v>
      </c>
      <c r="D147" s="279">
        <v>3</v>
      </c>
      <c r="E147" s="280">
        <f t="shared" si="8"/>
        <v>3</v>
      </c>
      <c r="F147" s="279">
        <v>0</v>
      </c>
      <c r="G147" s="279">
        <v>1</v>
      </c>
      <c r="H147" s="279">
        <v>2</v>
      </c>
      <c r="I147" s="279">
        <v>0</v>
      </c>
      <c r="J147" s="281">
        <f t="shared" si="9"/>
        <v>45.454545454545453</v>
      </c>
    </row>
    <row r="148" spans="1:10" x14ac:dyDescent="0.25">
      <c r="A148" s="174" t="s">
        <v>193</v>
      </c>
      <c r="B148" s="279">
        <v>3</v>
      </c>
      <c r="C148" s="279">
        <v>3</v>
      </c>
      <c r="D148" s="279">
        <v>3</v>
      </c>
      <c r="E148" s="280">
        <f t="shared" si="8"/>
        <v>3</v>
      </c>
      <c r="F148" s="279">
        <v>0</v>
      </c>
      <c r="G148" s="279">
        <v>1</v>
      </c>
      <c r="H148" s="279">
        <v>2</v>
      </c>
      <c r="I148" s="279">
        <v>0</v>
      </c>
      <c r="J148" s="281">
        <f t="shared" si="9"/>
        <v>45.454545454545453</v>
      </c>
    </row>
    <row r="149" spans="1:10" x14ac:dyDescent="0.25">
      <c r="A149" s="174" t="s">
        <v>203</v>
      </c>
      <c r="B149" s="279">
        <v>3</v>
      </c>
      <c r="C149" s="279">
        <v>3</v>
      </c>
      <c r="D149" s="279">
        <v>3</v>
      </c>
      <c r="E149" s="280">
        <f t="shared" si="8"/>
        <v>3</v>
      </c>
      <c r="F149" s="279">
        <v>0</v>
      </c>
      <c r="G149" s="279">
        <v>1</v>
      </c>
      <c r="H149" s="279">
        <v>2</v>
      </c>
      <c r="I149" s="279">
        <v>0</v>
      </c>
      <c r="J149" s="281">
        <f t="shared" si="9"/>
        <v>45.454545454545453</v>
      </c>
    </row>
    <row r="150" spans="1:10" x14ac:dyDescent="0.25">
      <c r="A150" s="174" t="s">
        <v>222</v>
      </c>
      <c r="B150" s="279">
        <v>3</v>
      </c>
      <c r="C150" s="279">
        <v>3</v>
      </c>
      <c r="D150" s="279">
        <v>3</v>
      </c>
      <c r="E150" s="280">
        <f t="shared" si="8"/>
        <v>3</v>
      </c>
      <c r="F150" s="279">
        <v>1</v>
      </c>
      <c r="G150" s="279">
        <v>0</v>
      </c>
      <c r="H150" s="279">
        <v>2</v>
      </c>
      <c r="I150" s="279">
        <v>0</v>
      </c>
      <c r="J150" s="281">
        <f t="shared" si="9"/>
        <v>45.454545454545453</v>
      </c>
    </row>
    <row r="151" spans="1:10" x14ac:dyDescent="0.25">
      <c r="A151" s="174" t="s">
        <v>105</v>
      </c>
      <c r="B151" s="279">
        <v>4</v>
      </c>
      <c r="C151" s="279">
        <v>4</v>
      </c>
      <c r="D151" s="279">
        <v>4</v>
      </c>
      <c r="E151" s="280">
        <f t="shared" si="8"/>
        <v>4</v>
      </c>
      <c r="F151" s="279">
        <v>1</v>
      </c>
      <c r="G151" s="279">
        <v>1</v>
      </c>
      <c r="H151" s="279">
        <v>1</v>
      </c>
      <c r="I151" s="279">
        <v>1</v>
      </c>
      <c r="J151" s="281">
        <f t="shared" si="9"/>
        <v>40.909090909090907</v>
      </c>
    </row>
    <row r="152" spans="1:10" x14ac:dyDescent="0.25">
      <c r="A152" s="174" t="s">
        <v>135</v>
      </c>
      <c r="B152" s="279">
        <v>2</v>
      </c>
      <c r="C152" s="279" t="s">
        <v>857</v>
      </c>
      <c r="D152" s="279">
        <v>3</v>
      </c>
      <c r="E152" s="280">
        <f t="shared" si="8"/>
        <v>2.5</v>
      </c>
      <c r="F152" s="279">
        <v>0</v>
      </c>
      <c r="G152" s="279">
        <v>0</v>
      </c>
      <c r="H152" s="279">
        <v>2</v>
      </c>
      <c r="I152" s="279">
        <v>0</v>
      </c>
      <c r="J152" s="281">
        <f t="shared" si="9"/>
        <v>40.909090909090907</v>
      </c>
    </row>
    <row r="153" spans="1:10" x14ac:dyDescent="0.25">
      <c r="A153" s="174" t="s">
        <v>48</v>
      </c>
      <c r="B153" s="279">
        <v>4</v>
      </c>
      <c r="C153" s="279">
        <v>4</v>
      </c>
      <c r="D153" s="279">
        <v>3</v>
      </c>
      <c r="E153" s="280">
        <f t="shared" si="8"/>
        <v>3.6666666666666665</v>
      </c>
      <c r="F153" s="279">
        <v>0</v>
      </c>
      <c r="G153" s="279">
        <v>0</v>
      </c>
      <c r="H153" s="279">
        <v>2</v>
      </c>
      <c r="I153" s="279">
        <v>2</v>
      </c>
      <c r="J153" s="281">
        <f t="shared" si="9"/>
        <v>39.393939393939398</v>
      </c>
    </row>
    <row r="154" spans="1:10" x14ac:dyDescent="0.25">
      <c r="A154" s="174" t="s">
        <v>59</v>
      </c>
      <c r="B154" s="279">
        <v>3</v>
      </c>
      <c r="C154" s="279">
        <v>4</v>
      </c>
      <c r="D154" s="279">
        <v>4</v>
      </c>
      <c r="E154" s="280">
        <f t="shared" si="8"/>
        <v>3.6666666666666665</v>
      </c>
      <c r="F154" s="279">
        <v>0</v>
      </c>
      <c r="G154" s="279">
        <v>1</v>
      </c>
      <c r="H154" s="279">
        <v>1</v>
      </c>
      <c r="I154" s="279">
        <v>2</v>
      </c>
      <c r="J154" s="281">
        <f t="shared" si="9"/>
        <v>39.393939393939398</v>
      </c>
    </row>
    <row r="155" spans="1:10" x14ac:dyDescent="0.25">
      <c r="A155" s="174" t="s">
        <v>159</v>
      </c>
      <c r="B155" s="279">
        <v>3</v>
      </c>
      <c r="C155" s="279">
        <v>4</v>
      </c>
      <c r="D155" s="279">
        <v>4</v>
      </c>
      <c r="E155" s="280">
        <f t="shared" si="8"/>
        <v>3.6666666666666665</v>
      </c>
      <c r="F155" s="279">
        <v>0</v>
      </c>
      <c r="G155" s="279">
        <v>1</v>
      </c>
      <c r="H155" s="279">
        <v>1</v>
      </c>
      <c r="I155" s="279">
        <v>2</v>
      </c>
      <c r="J155" s="281">
        <f t="shared" si="9"/>
        <v>39.393939393939398</v>
      </c>
    </row>
    <row r="156" spans="1:10" x14ac:dyDescent="0.25">
      <c r="A156" s="174" t="s">
        <v>39</v>
      </c>
      <c r="B156" s="279">
        <v>4</v>
      </c>
      <c r="C156" s="279">
        <v>4</v>
      </c>
      <c r="D156" s="279">
        <v>4</v>
      </c>
      <c r="E156" s="280">
        <f t="shared" si="8"/>
        <v>4</v>
      </c>
      <c r="F156" s="279">
        <v>1</v>
      </c>
      <c r="G156" s="279">
        <v>0</v>
      </c>
      <c r="H156" s="279">
        <v>2</v>
      </c>
      <c r="I156" s="279">
        <v>0</v>
      </c>
      <c r="J156" s="281">
        <f t="shared" si="9"/>
        <v>36.363636363636367</v>
      </c>
    </row>
    <row r="157" spans="1:10" x14ac:dyDescent="0.25">
      <c r="A157" s="174" t="s">
        <v>63</v>
      </c>
      <c r="B157" s="279">
        <v>3</v>
      </c>
      <c r="C157" s="279">
        <v>3</v>
      </c>
      <c r="D157" s="279">
        <v>3</v>
      </c>
      <c r="E157" s="280">
        <f t="shared" si="8"/>
        <v>3</v>
      </c>
      <c r="F157" s="279">
        <v>0</v>
      </c>
      <c r="G157" s="279">
        <v>1</v>
      </c>
      <c r="H157" s="279">
        <v>1</v>
      </c>
      <c r="I157" s="279">
        <v>0</v>
      </c>
      <c r="J157" s="281">
        <f t="shared" si="9"/>
        <v>36.363636363636367</v>
      </c>
    </row>
    <row r="158" spans="1:10" x14ac:dyDescent="0.25">
      <c r="A158" s="174" t="s">
        <v>97</v>
      </c>
      <c r="B158" s="279">
        <v>3</v>
      </c>
      <c r="C158" s="279">
        <v>3</v>
      </c>
      <c r="D158" s="279">
        <v>3</v>
      </c>
      <c r="E158" s="280">
        <f t="shared" si="8"/>
        <v>3</v>
      </c>
      <c r="F158" s="279">
        <v>0</v>
      </c>
      <c r="G158" s="279">
        <v>0</v>
      </c>
      <c r="H158" s="279">
        <v>2</v>
      </c>
      <c r="I158" s="279">
        <v>0</v>
      </c>
      <c r="J158" s="281">
        <f t="shared" si="9"/>
        <v>36.363636363636367</v>
      </c>
    </row>
    <row r="159" spans="1:10" x14ac:dyDescent="0.25">
      <c r="A159" s="174" t="s">
        <v>150</v>
      </c>
      <c r="B159" s="279">
        <v>4</v>
      </c>
      <c r="C159" s="279">
        <v>4</v>
      </c>
      <c r="D159" s="279">
        <v>4</v>
      </c>
      <c r="E159" s="280">
        <f t="shared" si="8"/>
        <v>4</v>
      </c>
      <c r="F159" s="279">
        <v>0</v>
      </c>
      <c r="G159" s="279">
        <v>1</v>
      </c>
      <c r="H159" s="279">
        <v>1</v>
      </c>
      <c r="I159" s="279">
        <v>2</v>
      </c>
      <c r="J159" s="281">
        <f t="shared" si="9"/>
        <v>36.363636363636367</v>
      </c>
    </row>
    <row r="160" spans="1:10" x14ac:dyDescent="0.25">
      <c r="A160" s="174" t="s">
        <v>217</v>
      </c>
      <c r="B160" s="279">
        <v>3</v>
      </c>
      <c r="C160" s="279">
        <v>3</v>
      </c>
      <c r="D160" s="279" t="s">
        <v>857</v>
      </c>
      <c r="E160" s="280">
        <f t="shared" si="8"/>
        <v>3</v>
      </c>
      <c r="F160" s="279">
        <v>0</v>
      </c>
      <c r="G160" s="279">
        <v>0</v>
      </c>
      <c r="H160" s="279">
        <v>2</v>
      </c>
      <c r="I160" s="279">
        <v>0</v>
      </c>
      <c r="J160" s="281">
        <f t="shared" si="9"/>
        <v>36.363636363636367</v>
      </c>
    </row>
    <row r="161" spans="1:10" x14ac:dyDescent="0.25">
      <c r="A161" s="174" t="s">
        <v>225</v>
      </c>
      <c r="B161" s="279">
        <v>3</v>
      </c>
      <c r="C161" s="279">
        <v>3</v>
      </c>
      <c r="D161" s="279">
        <v>3</v>
      </c>
      <c r="E161" s="280">
        <f t="shared" si="8"/>
        <v>3</v>
      </c>
      <c r="F161" s="279">
        <v>0</v>
      </c>
      <c r="G161" s="279">
        <v>0</v>
      </c>
      <c r="H161" s="279">
        <v>2</v>
      </c>
      <c r="I161" s="279">
        <v>0</v>
      </c>
      <c r="J161" s="281">
        <f t="shared" si="9"/>
        <v>36.363636363636367</v>
      </c>
    </row>
    <row r="162" spans="1:10" x14ac:dyDescent="0.25">
      <c r="A162" s="174" t="s">
        <v>33</v>
      </c>
      <c r="B162" s="279">
        <v>4</v>
      </c>
      <c r="C162" s="279">
        <v>3</v>
      </c>
      <c r="D162" s="279">
        <v>3</v>
      </c>
      <c r="E162" s="280">
        <f t="shared" si="8"/>
        <v>3.3333333333333335</v>
      </c>
      <c r="F162" s="279">
        <v>0</v>
      </c>
      <c r="G162" s="279">
        <v>0</v>
      </c>
      <c r="H162" s="279">
        <v>2</v>
      </c>
      <c r="I162" s="279">
        <v>0</v>
      </c>
      <c r="J162" s="281">
        <f t="shared" si="9"/>
        <v>33.333333333333329</v>
      </c>
    </row>
    <row r="163" spans="1:10" x14ac:dyDescent="0.25">
      <c r="A163" s="174" t="s">
        <v>157</v>
      </c>
      <c r="B163" s="279">
        <v>3</v>
      </c>
      <c r="C163" s="279">
        <v>3</v>
      </c>
      <c r="D163" s="279">
        <v>4</v>
      </c>
      <c r="E163" s="280">
        <f t="shared" ref="E163:E194" si="10">AVERAGE(B163:D163)</f>
        <v>3.3333333333333335</v>
      </c>
      <c r="F163" s="279">
        <v>0</v>
      </c>
      <c r="G163" s="279">
        <v>0</v>
      </c>
      <c r="H163" s="279">
        <v>2</v>
      </c>
      <c r="I163" s="279">
        <v>0</v>
      </c>
      <c r="J163" s="281">
        <f t="shared" ref="J163:J194" si="11">((1-(E163-1)/(5-1))*100*2+F163*50+G163*50+H163*50+I163*50*0.5)/5.5</f>
        <v>33.333333333333329</v>
      </c>
    </row>
    <row r="164" spans="1:10" x14ac:dyDescent="0.25">
      <c r="A164" s="174" t="s">
        <v>79</v>
      </c>
      <c r="B164" s="279">
        <v>4</v>
      </c>
      <c r="C164" s="279">
        <v>4</v>
      </c>
      <c r="D164" s="279">
        <v>3</v>
      </c>
      <c r="E164" s="280">
        <f t="shared" si="10"/>
        <v>3.6666666666666665</v>
      </c>
      <c r="F164" s="279">
        <v>1</v>
      </c>
      <c r="G164" s="279">
        <v>0</v>
      </c>
      <c r="H164" s="279">
        <v>0</v>
      </c>
      <c r="I164" s="279">
        <v>2</v>
      </c>
      <c r="J164" s="281">
        <f t="shared" si="11"/>
        <v>30.303030303030308</v>
      </c>
    </row>
    <row r="165" spans="1:10" x14ac:dyDescent="0.25">
      <c r="A165" s="174" t="s">
        <v>81</v>
      </c>
      <c r="B165" s="279">
        <v>3</v>
      </c>
      <c r="C165" s="279">
        <v>5</v>
      </c>
      <c r="D165" s="279">
        <v>3</v>
      </c>
      <c r="E165" s="280">
        <f t="shared" si="10"/>
        <v>3.6666666666666665</v>
      </c>
      <c r="F165" s="279">
        <v>2</v>
      </c>
      <c r="G165" s="279">
        <v>0</v>
      </c>
      <c r="H165" s="279">
        <v>0</v>
      </c>
      <c r="I165" s="279">
        <v>0</v>
      </c>
      <c r="J165" s="281">
        <f t="shared" si="11"/>
        <v>30.303030303030308</v>
      </c>
    </row>
    <row r="166" spans="1:10" x14ac:dyDescent="0.25">
      <c r="A166" s="174" t="s">
        <v>110</v>
      </c>
      <c r="B166" s="279">
        <v>4</v>
      </c>
      <c r="C166" s="279">
        <v>4</v>
      </c>
      <c r="D166" s="279">
        <v>3</v>
      </c>
      <c r="E166" s="280">
        <f t="shared" si="10"/>
        <v>3.6666666666666665</v>
      </c>
      <c r="F166" s="279">
        <v>0</v>
      </c>
      <c r="G166" s="279">
        <v>0</v>
      </c>
      <c r="H166" s="279">
        <v>2</v>
      </c>
      <c r="I166" s="279">
        <v>0</v>
      </c>
      <c r="J166" s="281">
        <f t="shared" si="11"/>
        <v>30.303030303030308</v>
      </c>
    </row>
    <row r="167" spans="1:10" x14ac:dyDescent="0.25">
      <c r="A167" s="174" t="s">
        <v>117</v>
      </c>
      <c r="B167" s="279">
        <v>3</v>
      </c>
      <c r="C167" s="279">
        <v>4</v>
      </c>
      <c r="D167" s="279">
        <v>4</v>
      </c>
      <c r="E167" s="280">
        <f t="shared" si="10"/>
        <v>3.6666666666666665</v>
      </c>
      <c r="F167" s="279">
        <v>0</v>
      </c>
      <c r="G167" s="279">
        <v>0</v>
      </c>
      <c r="H167" s="279">
        <v>1</v>
      </c>
      <c r="I167" s="279">
        <v>2</v>
      </c>
      <c r="J167" s="281">
        <f t="shared" si="11"/>
        <v>30.303030303030308</v>
      </c>
    </row>
    <row r="168" spans="1:10" x14ac:dyDescent="0.25">
      <c r="A168" s="174" t="s">
        <v>872</v>
      </c>
      <c r="B168" s="279">
        <v>4</v>
      </c>
      <c r="C168" s="279">
        <v>4</v>
      </c>
      <c r="D168" s="279">
        <v>3</v>
      </c>
      <c r="E168" s="280">
        <f t="shared" si="10"/>
        <v>3.6666666666666665</v>
      </c>
      <c r="F168" s="279">
        <v>1</v>
      </c>
      <c r="G168" s="279">
        <v>0</v>
      </c>
      <c r="H168" s="279">
        <v>1</v>
      </c>
      <c r="I168" s="279">
        <v>0</v>
      </c>
      <c r="J168" s="281">
        <f t="shared" si="11"/>
        <v>30.303030303030308</v>
      </c>
    </row>
    <row r="169" spans="1:10" x14ac:dyDescent="0.25">
      <c r="A169" s="174" t="s">
        <v>56</v>
      </c>
      <c r="B169" s="279">
        <v>3</v>
      </c>
      <c r="C169" s="279" t="s">
        <v>857</v>
      </c>
      <c r="D169" s="279">
        <v>3</v>
      </c>
      <c r="E169" s="280">
        <f t="shared" si="10"/>
        <v>3</v>
      </c>
      <c r="F169" s="279">
        <v>0</v>
      </c>
      <c r="G169" s="279">
        <v>0</v>
      </c>
      <c r="H169" s="279">
        <v>1</v>
      </c>
      <c r="I169" s="279">
        <v>0</v>
      </c>
      <c r="J169" s="281">
        <f t="shared" si="11"/>
        <v>27.272727272727273</v>
      </c>
    </row>
    <row r="170" spans="1:10" x14ac:dyDescent="0.25">
      <c r="A170" s="174" t="s">
        <v>144</v>
      </c>
      <c r="B170" s="279">
        <v>4</v>
      </c>
      <c r="C170" s="279">
        <v>4</v>
      </c>
      <c r="D170" s="279">
        <v>4</v>
      </c>
      <c r="E170" s="280">
        <f t="shared" si="10"/>
        <v>4</v>
      </c>
      <c r="F170" s="279">
        <v>1</v>
      </c>
      <c r="G170" s="279">
        <v>0</v>
      </c>
      <c r="H170" s="279">
        <v>0</v>
      </c>
      <c r="I170" s="279">
        <v>2</v>
      </c>
      <c r="J170" s="281">
        <f t="shared" si="11"/>
        <v>27.272727272727273</v>
      </c>
    </row>
    <row r="171" spans="1:10" x14ac:dyDescent="0.25">
      <c r="A171" s="174" t="s">
        <v>213</v>
      </c>
      <c r="B171" s="279">
        <v>3</v>
      </c>
      <c r="C171" s="279">
        <v>3</v>
      </c>
      <c r="D171" s="279">
        <v>3</v>
      </c>
      <c r="E171" s="280">
        <f t="shared" si="10"/>
        <v>3</v>
      </c>
      <c r="F171" s="279">
        <v>1</v>
      </c>
      <c r="G171" s="279">
        <v>0</v>
      </c>
      <c r="H171" s="279">
        <v>0</v>
      </c>
      <c r="I171" s="279">
        <v>0</v>
      </c>
      <c r="J171" s="281">
        <f t="shared" si="11"/>
        <v>27.272727272727273</v>
      </c>
    </row>
    <row r="172" spans="1:10" x14ac:dyDescent="0.25">
      <c r="A172" s="174" t="s">
        <v>52</v>
      </c>
      <c r="B172" s="279">
        <v>4</v>
      </c>
      <c r="C172" s="279">
        <v>5</v>
      </c>
      <c r="D172" s="279">
        <v>4</v>
      </c>
      <c r="E172" s="280">
        <f t="shared" si="10"/>
        <v>4.333333333333333</v>
      </c>
      <c r="F172" s="279">
        <v>0</v>
      </c>
      <c r="G172" s="279">
        <v>0</v>
      </c>
      <c r="H172" s="279">
        <v>1</v>
      </c>
      <c r="I172" s="279">
        <v>2</v>
      </c>
      <c r="J172" s="281">
        <f t="shared" si="11"/>
        <v>24.242424242424246</v>
      </c>
    </row>
    <row r="173" spans="1:10" x14ac:dyDescent="0.25">
      <c r="A173" s="174" t="s">
        <v>60</v>
      </c>
      <c r="B173" s="279">
        <v>3</v>
      </c>
      <c r="C173" s="279">
        <v>3</v>
      </c>
      <c r="D173" s="279">
        <v>4</v>
      </c>
      <c r="E173" s="280">
        <f t="shared" si="10"/>
        <v>3.3333333333333335</v>
      </c>
      <c r="F173" s="279">
        <v>0</v>
      </c>
      <c r="G173" s="279">
        <v>0</v>
      </c>
      <c r="H173" s="279">
        <v>1</v>
      </c>
      <c r="I173" s="279">
        <v>0</v>
      </c>
      <c r="J173" s="281">
        <f t="shared" si="11"/>
        <v>24.242424242424239</v>
      </c>
    </row>
    <row r="174" spans="1:10" x14ac:dyDescent="0.25">
      <c r="A174" s="174" t="s">
        <v>106</v>
      </c>
      <c r="B174" s="279">
        <v>3</v>
      </c>
      <c r="C174" s="279">
        <v>3</v>
      </c>
      <c r="D174" s="279">
        <v>4</v>
      </c>
      <c r="E174" s="280">
        <f t="shared" si="10"/>
        <v>3.3333333333333335</v>
      </c>
      <c r="F174" s="279">
        <v>0</v>
      </c>
      <c r="G174" s="279">
        <v>0</v>
      </c>
      <c r="H174" s="279">
        <v>1</v>
      </c>
      <c r="I174" s="279">
        <v>0</v>
      </c>
      <c r="J174" s="281">
        <f t="shared" si="11"/>
        <v>24.242424242424239</v>
      </c>
    </row>
    <row r="175" spans="1:10" x14ac:dyDescent="0.25">
      <c r="A175" s="174" t="s">
        <v>795</v>
      </c>
      <c r="B175" s="279">
        <v>5</v>
      </c>
      <c r="C175" s="279">
        <v>5</v>
      </c>
      <c r="D175" s="279">
        <v>5</v>
      </c>
      <c r="E175" s="280">
        <f t="shared" si="10"/>
        <v>5</v>
      </c>
      <c r="F175" s="279">
        <v>0</v>
      </c>
      <c r="G175" s="279">
        <v>0</v>
      </c>
      <c r="H175" s="279">
        <v>2</v>
      </c>
      <c r="I175" s="279">
        <v>1</v>
      </c>
      <c r="J175" s="281">
        <f t="shared" si="11"/>
        <v>22.727272727272727</v>
      </c>
    </row>
    <row r="176" spans="1:10" x14ac:dyDescent="0.25">
      <c r="A176" s="174" t="s">
        <v>859</v>
      </c>
      <c r="B176" s="279">
        <v>5</v>
      </c>
      <c r="C176" s="279">
        <v>5</v>
      </c>
      <c r="D176" s="279">
        <v>5</v>
      </c>
      <c r="E176" s="280">
        <f t="shared" si="10"/>
        <v>5</v>
      </c>
      <c r="F176" s="279">
        <v>0</v>
      </c>
      <c r="G176" s="279">
        <v>1</v>
      </c>
      <c r="H176" s="279">
        <v>1</v>
      </c>
      <c r="I176" s="279">
        <v>0</v>
      </c>
      <c r="J176" s="281">
        <f t="shared" si="11"/>
        <v>18.181818181818183</v>
      </c>
    </row>
    <row r="177" spans="1:10" x14ac:dyDescent="0.25">
      <c r="A177" s="174" t="s">
        <v>84</v>
      </c>
      <c r="B177" s="279">
        <v>5</v>
      </c>
      <c r="C177" s="279">
        <v>5</v>
      </c>
      <c r="D177" s="279">
        <v>5</v>
      </c>
      <c r="E177" s="280">
        <f t="shared" si="10"/>
        <v>5</v>
      </c>
      <c r="F177" s="279">
        <v>0</v>
      </c>
      <c r="G177" s="279">
        <v>1</v>
      </c>
      <c r="H177" s="279">
        <v>1</v>
      </c>
      <c r="I177" s="279">
        <v>0</v>
      </c>
      <c r="J177" s="281">
        <f t="shared" si="11"/>
        <v>18.181818181818183</v>
      </c>
    </row>
    <row r="178" spans="1:10" x14ac:dyDescent="0.25">
      <c r="A178" s="174" t="s">
        <v>170</v>
      </c>
      <c r="B178" s="279">
        <v>4</v>
      </c>
      <c r="C178" s="279">
        <v>4</v>
      </c>
      <c r="D178" s="279">
        <v>4</v>
      </c>
      <c r="E178" s="280">
        <f t="shared" si="10"/>
        <v>4</v>
      </c>
      <c r="F178" s="279">
        <v>0</v>
      </c>
      <c r="G178" s="279">
        <v>0</v>
      </c>
      <c r="H178" s="279">
        <v>1</v>
      </c>
      <c r="I178" s="279">
        <v>0</v>
      </c>
      <c r="J178" s="281">
        <f t="shared" si="11"/>
        <v>18.181818181818183</v>
      </c>
    </row>
    <row r="179" spans="1:10" x14ac:dyDescent="0.25">
      <c r="A179" s="174" t="s">
        <v>197</v>
      </c>
      <c r="B179" s="279">
        <v>5</v>
      </c>
      <c r="C179" s="279">
        <v>5</v>
      </c>
      <c r="D179" s="279">
        <v>5</v>
      </c>
      <c r="E179" s="280">
        <f t="shared" si="10"/>
        <v>5</v>
      </c>
      <c r="F179" s="279">
        <v>0</v>
      </c>
      <c r="G179" s="279">
        <v>0</v>
      </c>
      <c r="H179" s="279">
        <v>1</v>
      </c>
      <c r="I179" s="279">
        <v>1</v>
      </c>
      <c r="J179" s="281">
        <f t="shared" si="11"/>
        <v>13.636363636363637</v>
      </c>
    </row>
    <row r="180" spans="1:10" x14ac:dyDescent="0.25">
      <c r="A180" s="174" t="s">
        <v>108</v>
      </c>
      <c r="B180" s="279">
        <v>4</v>
      </c>
      <c r="C180" s="279">
        <v>3</v>
      </c>
      <c r="D180" s="279">
        <v>4</v>
      </c>
      <c r="E180" s="280">
        <f t="shared" si="10"/>
        <v>3.6666666666666665</v>
      </c>
      <c r="F180" s="279">
        <v>0</v>
      </c>
      <c r="G180" s="279">
        <v>0</v>
      </c>
      <c r="H180" s="279">
        <v>0</v>
      </c>
      <c r="I180" s="279">
        <v>0</v>
      </c>
      <c r="J180" s="281">
        <f t="shared" si="11"/>
        <v>12.121212121212123</v>
      </c>
    </row>
    <row r="181" spans="1:10" x14ac:dyDescent="0.25">
      <c r="A181" s="174" t="s">
        <v>165</v>
      </c>
      <c r="B181" s="279">
        <v>4</v>
      </c>
      <c r="C181" s="279">
        <v>3</v>
      </c>
      <c r="D181" s="279">
        <v>4</v>
      </c>
      <c r="E181" s="280">
        <f t="shared" si="10"/>
        <v>3.6666666666666665</v>
      </c>
      <c r="F181" s="279"/>
      <c r="G181" s="279"/>
      <c r="H181" s="279"/>
      <c r="I181" s="279"/>
      <c r="J181" s="281">
        <f t="shared" si="11"/>
        <v>12.121212121212123</v>
      </c>
    </row>
    <row r="182" spans="1:10" x14ac:dyDescent="0.25">
      <c r="A182" s="174" t="s">
        <v>180</v>
      </c>
      <c r="B182" s="279">
        <v>3</v>
      </c>
      <c r="C182" s="279">
        <v>4</v>
      </c>
      <c r="D182" s="279">
        <v>4</v>
      </c>
      <c r="E182" s="280">
        <f t="shared" si="10"/>
        <v>3.6666666666666665</v>
      </c>
      <c r="F182" s="279">
        <v>0</v>
      </c>
      <c r="G182" s="279">
        <v>0</v>
      </c>
      <c r="H182" s="279">
        <v>0</v>
      </c>
      <c r="I182" s="279">
        <v>0</v>
      </c>
      <c r="J182" s="281">
        <f t="shared" si="11"/>
        <v>12.121212121212123</v>
      </c>
    </row>
    <row r="183" spans="1:10" x14ac:dyDescent="0.25">
      <c r="A183" s="174" t="s">
        <v>191</v>
      </c>
      <c r="B183" s="279">
        <v>5</v>
      </c>
      <c r="C183" s="279">
        <v>4</v>
      </c>
      <c r="D183" s="279">
        <v>5</v>
      </c>
      <c r="E183" s="280">
        <f t="shared" si="10"/>
        <v>4.666666666666667</v>
      </c>
      <c r="F183" s="279">
        <v>0</v>
      </c>
      <c r="G183" s="279">
        <v>0</v>
      </c>
      <c r="H183" s="279">
        <v>1</v>
      </c>
      <c r="I183" s="279">
        <v>0</v>
      </c>
      <c r="J183" s="281">
        <f t="shared" si="11"/>
        <v>12.121212121212119</v>
      </c>
    </row>
    <row r="184" spans="1:10" x14ac:dyDescent="0.25">
      <c r="A184" s="174" t="s">
        <v>37</v>
      </c>
      <c r="B184" s="279">
        <v>4</v>
      </c>
      <c r="C184" s="279">
        <v>4</v>
      </c>
      <c r="D184" s="279">
        <v>4</v>
      </c>
      <c r="E184" s="280">
        <f t="shared" si="10"/>
        <v>4</v>
      </c>
      <c r="F184" s="279">
        <v>0</v>
      </c>
      <c r="G184" s="279">
        <v>0</v>
      </c>
      <c r="H184" s="279">
        <v>0</v>
      </c>
      <c r="I184" s="279">
        <v>0</v>
      </c>
      <c r="J184" s="281">
        <f t="shared" si="11"/>
        <v>9.0909090909090917</v>
      </c>
    </row>
    <row r="185" spans="1:10" x14ac:dyDescent="0.25">
      <c r="A185" s="174" t="s">
        <v>53</v>
      </c>
      <c r="B185" s="279">
        <v>4</v>
      </c>
      <c r="C185" s="279">
        <v>4</v>
      </c>
      <c r="D185" s="279">
        <v>4</v>
      </c>
      <c r="E185" s="280">
        <f t="shared" si="10"/>
        <v>4</v>
      </c>
      <c r="F185" s="279">
        <v>0</v>
      </c>
      <c r="G185" s="279">
        <v>0</v>
      </c>
      <c r="H185" s="279">
        <v>0</v>
      </c>
      <c r="I185" s="279">
        <v>0</v>
      </c>
      <c r="J185" s="281">
        <f t="shared" si="11"/>
        <v>9.0909090909090917</v>
      </c>
    </row>
    <row r="186" spans="1:10" x14ac:dyDescent="0.25">
      <c r="A186" s="174" t="s">
        <v>760</v>
      </c>
      <c r="B186" s="279">
        <v>4</v>
      </c>
      <c r="C186" s="279">
        <v>4</v>
      </c>
      <c r="D186" s="279">
        <v>4</v>
      </c>
      <c r="E186" s="280">
        <f t="shared" si="10"/>
        <v>4</v>
      </c>
      <c r="F186" s="279">
        <v>0</v>
      </c>
      <c r="G186" s="279">
        <v>0</v>
      </c>
      <c r="H186" s="279">
        <v>0</v>
      </c>
      <c r="I186" s="279">
        <v>0</v>
      </c>
      <c r="J186" s="281">
        <f t="shared" si="11"/>
        <v>9.0909090909090917</v>
      </c>
    </row>
    <row r="187" spans="1:10" x14ac:dyDescent="0.25">
      <c r="A187" s="174" t="s">
        <v>130</v>
      </c>
      <c r="B187" s="279">
        <v>5</v>
      </c>
      <c r="C187" s="279">
        <v>3</v>
      </c>
      <c r="D187" s="279">
        <v>4</v>
      </c>
      <c r="E187" s="280">
        <f t="shared" si="10"/>
        <v>4</v>
      </c>
      <c r="F187" s="279">
        <v>0</v>
      </c>
      <c r="G187" s="279">
        <v>0</v>
      </c>
      <c r="H187" s="279">
        <v>0</v>
      </c>
      <c r="I187" s="279">
        <v>0</v>
      </c>
      <c r="J187" s="281">
        <f t="shared" si="11"/>
        <v>9.0909090909090917</v>
      </c>
    </row>
    <row r="188" spans="1:10" x14ac:dyDescent="0.25">
      <c r="A188" s="174" t="s">
        <v>163</v>
      </c>
      <c r="B188" s="279">
        <v>4</v>
      </c>
      <c r="C188" s="279">
        <v>4</v>
      </c>
      <c r="D188" s="279">
        <v>4</v>
      </c>
      <c r="E188" s="280">
        <f t="shared" si="10"/>
        <v>4</v>
      </c>
      <c r="F188" s="279">
        <v>0</v>
      </c>
      <c r="G188" s="279">
        <v>0</v>
      </c>
      <c r="H188" s="279">
        <v>0</v>
      </c>
      <c r="I188" s="279">
        <v>0</v>
      </c>
      <c r="J188" s="281">
        <f t="shared" si="11"/>
        <v>9.0909090909090917</v>
      </c>
    </row>
    <row r="189" spans="1:10" x14ac:dyDescent="0.25">
      <c r="A189" s="174" t="s">
        <v>809</v>
      </c>
      <c r="B189" s="279">
        <v>5</v>
      </c>
      <c r="C189" s="279">
        <v>5</v>
      </c>
      <c r="D189" s="279">
        <v>4</v>
      </c>
      <c r="E189" s="280">
        <f t="shared" si="10"/>
        <v>4.666666666666667</v>
      </c>
      <c r="F189" s="279">
        <v>0</v>
      </c>
      <c r="G189" s="279">
        <v>0</v>
      </c>
      <c r="H189" s="279">
        <v>0</v>
      </c>
      <c r="I189" s="279">
        <v>1</v>
      </c>
      <c r="J189" s="281">
        <f t="shared" si="11"/>
        <v>7.5757575757575726</v>
      </c>
    </row>
    <row r="190" spans="1:10" x14ac:dyDescent="0.25">
      <c r="A190" s="174" t="s">
        <v>62</v>
      </c>
      <c r="B190" s="279">
        <v>4</v>
      </c>
      <c r="C190" s="279">
        <v>4</v>
      </c>
      <c r="D190" s="279">
        <v>5</v>
      </c>
      <c r="E190" s="280">
        <f t="shared" si="10"/>
        <v>4.333333333333333</v>
      </c>
      <c r="F190" s="279">
        <v>0</v>
      </c>
      <c r="G190" s="279">
        <v>0</v>
      </c>
      <c r="H190" s="279">
        <v>0</v>
      </c>
      <c r="I190" s="279">
        <v>0</v>
      </c>
      <c r="J190" s="281">
        <f t="shared" si="11"/>
        <v>6.0606060606060632</v>
      </c>
    </row>
    <row r="191" spans="1:10" x14ac:dyDescent="0.25">
      <c r="A191" s="174" t="s">
        <v>862</v>
      </c>
      <c r="B191" s="279">
        <v>5</v>
      </c>
      <c r="C191" s="279">
        <v>4</v>
      </c>
      <c r="D191" s="279">
        <v>4</v>
      </c>
      <c r="E191" s="280">
        <f t="shared" si="10"/>
        <v>4.333333333333333</v>
      </c>
      <c r="F191" s="279">
        <v>0</v>
      </c>
      <c r="G191" s="279">
        <v>0</v>
      </c>
      <c r="H191" s="279">
        <v>0</v>
      </c>
      <c r="I191" s="279">
        <v>0</v>
      </c>
      <c r="J191" s="281">
        <f t="shared" si="11"/>
        <v>6.0606060606060632</v>
      </c>
    </row>
    <row r="192" spans="1:10" x14ac:dyDescent="0.25">
      <c r="A192" s="174" t="s">
        <v>873</v>
      </c>
      <c r="B192" s="279">
        <v>5</v>
      </c>
      <c r="C192" s="279">
        <v>4</v>
      </c>
      <c r="D192" s="279">
        <v>4</v>
      </c>
      <c r="E192" s="280">
        <f t="shared" si="10"/>
        <v>4.333333333333333</v>
      </c>
      <c r="F192" s="279">
        <v>0</v>
      </c>
      <c r="G192" s="279">
        <v>0</v>
      </c>
      <c r="H192" s="279">
        <v>0</v>
      </c>
      <c r="I192" s="279">
        <v>0</v>
      </c>
      <c r="J192" s="281">
        <f t="shared" si="11"/>
        <v>6.0606060606060632</v>
      </c>
    </row>
    <row r="193" spans="1:10" x14ac:dyDescent="0.25">
      <c r="A193" s="174" t="s">
        <v>139</v>
      </c>
      <c r="B193" s="279">
        <v>5</v>
      </c>
      <c r="C193" s="279">
        <v>5</v>
      </c>
      <c r="D193" s="279">
        <v>5</v>
      </c>
      <c r="E193" s="280">
        <f t="shared" si="10"/>
        <v>5</v>
      </c>
      <c r="F193" s="279">
        <v>0</v>
      </c>
      <c r="G193" s="279">
        <v>0</v>
      </c>
      <c r="H193" s="279">
        <v>0</v>
      </c>
      <c r="I193" s="279">
        <v>1</v>
      </c>
      <c r="J193" s="281">
        <f t="shared" si="11"/>
        <v>4.5454545454545459</v>
      </c>
    </row>
    <row r="194" spans="1:10" x14ac:dyDescent="0.25">
      <c r="A194" s="174" t="s">
        <v>175</v>
      </c>
      <c r="B194" s="279">
        <v>5</v>
      </c>
      <c r="C194" s="279">
        <v>4</v>
      </c>
      <c r="D194" s="279">
        <v>5</v>
      </c>
      <c r="E194" s="280">
        <f t="shared" si="10"/>
        <v>4.666666666666667</v>
      </c>
      <c r="F194" s="279">
        <v>0</v>
      </c>
      <c r="G194" s="279">
        <v>0</v>
      </c>
      <c r="H194" s="279">
        <v>0</v>
      </c>
      <c r="I194" s="279">
        <v>0</v>
      </c>
      <c r="J194" s="281">
        <f t="shared" si="11"/>
        <v>3.0303030303030272</v>
      </c>
    </row>
    <row r="195" spans="1:10" x14ac:dyDescent="0.25">
      <c r="A195" s="174" t="s">
        <v>12</v>
      </c>
      <c r="B195" s="279">
        <v>5</v>
      </c>
      <c r="C195" s="279">
        <v>5</v>
      </c>
      <c r="D195" s="279">
        <v>5</v>
      </c>
      <c r="E195" s="280">
        <f t="shared" ref="E195:E198" si="12">AVERAGE(B195:D195)</f>
        <v>5</v>
      </c>
      <c r="F195" s="279">
        <v>0</v>
      </c>
      <c r="G195" s="279">
        <v>0</v>
      </c>
      <c r="H195" s="279">
        <v>0</v>
      </c>
      <c r="I195" s="279">
        <v>0</v>
      </c>
      <c r="J195" s="281">
        <f t="shared" ref="J195:J198" si="13">((1-(E195-1)/(5-1))*100*2+F195*50+G195*50+H195*50+I195*50*0.5)/5.5</f>
        <v>0</v>
      </c>
    </row>
    <row r="196" spans="1:10" x14ac:dyDescent="0.25">
      <c r="A196" s="174" t="s">
        <v>863</v>
      </c>
      <c r="B196" s="279">
        <v>5</v>
      </c>
      <c r="C196" s="279">
        <v>5</v>
      </c>
      <c r="D196" s="279">
        <v>5</v>
      </c>
      <c r="E196" s="280">
        <f t="shared" si="12"/>
        <v>5</v>
      </c>
      <c r="F196" s="279">
        <v>0</v>
      </c>
      <c r="G196" s="279">
        <v>0</v>
      </c>
      <c r="H196" s="279">
        <v>0</v>
      </c>
      <c r="I196" s="279">
        <v>0</v>
      </c>
      <c r="J196" s="281">
        <f t="shared" si="13"/>
        <v>0</v>
      </c>
    </row>
    <row r="197" spans="1:10" x14ac:dyDescent="0.25">
      <c r="A197" s="174" t="s">
        <v>151</v>
      </c>
      <c r="B197" s="279">
        <v>5</v>
      </c>
      <c r="C197" s="279">
        <v>5</v>
      </c>
      <c r="D197" s="279">
        <v>5</v>
      </c>
      <c r="E197" s="280">
        <f t="shared" si="12"/>
        <v>5</v>
      </c>
      <c r="F197" s="279">
        <v>0</v>
      </c>
      <c r="G197" s="279">
        <v>0</v>
      </c>
      <c r="H197" s="279">
        <v>0</v>
      </c>
      <c r="I197" s="279">
        <v>0</v>
      </c>
      <c r="J197" s="281">
        <f t="shared" si="13"/>
        <v>0</v>
      </c>
    </row>
    <row r="198" spans="1:10" x14ac:dyDescent="0.25">
      <c r="A198" s="174" t="s">
        <v>201</v>
      </c>
      <c r="B198" s="279">
        <v>5</v>
      </c>
      <c r="C198" s="279">
        <v>5</v>
      </c>
      <c r="D198" s="279">
        <v>5</v>
      </c>
      <c r="E198" s="280">
        <f t="shared" si="12"/>
        <v>5</v>
      </c>
      <c r="F198" s="279">
        <v>0</v>
      </c>
      <c r="G198" s="279">
        <v>0</v>
      </c>
      <c r="H198" s="279">
        <v>0</v>
      </c>
      <c r="I198" s="279">
        <v>0</v>
      </c>
      <c r="J198" s="281">
        <f t="shared" si="13"/>
        <v>0</v>
      </c>
    </row>
    <row r="199" spans="1:10" x14ac:dyDescent="0.25">
      <c r="E199" s="283"/>
    </row>
    <row r="200" spans="1:10" ht="21" x14ac:dyDescent="0.25">
      <c r="A200" s="597" t="s">
        <v>1068</v>
      </c>
      <c r="B200" s="597"/>
      <c r="C200" s="597"/>
      <c r="D200" s="597"/>
      <c r="E200" s="283"/>
    </row>
    <row r="201" spans="1:10" x14ac:dyDescent="0.25">
      <c r="E201" s="283"/>
    </row>
    <row r="202" spans="1:10" x14ac:dyDescent="0.25">
      <c r="E202" s="283"/>
    </row>
    <row r="203" spans="1:10" x14ac:dyDescent="0.25">
      <c r="E203" s="283"/>
    </row>
    <row r="204" spans="1:10" x14ac:dyDescent="0.25">
      <c r="E204" s="283"/>
    </row>
    <row r="205" spans="1:10" x14ac:dyDescent="0.25">
      <c r="E205" s="283"/>
    </row>
    <row r="206" spans="1:10" x14ac:dyDescent="0.25">
      <c r="E206" s="283"/>
    </row>
    <row r="207" spans="1:10" x14ac:dyDescent="0.25">
      <c r="E207" s="283"/>
    </row>
    <row r="208" spans="1:10" x14ac:dyDescent="0.25">
      <c r="E208" s="283"/>
    </row>
    <row r="209" spans="5:5" x14ac:dyDescent="0.25">
      <c r="E209" s="283"/>
    </row>
    <row r="210" spans="5:5" x14ac:dyDescent="0.25">
      <c r="E210" s="283"/>
    </row>
  </sheetData>
  <autoFilter ref="A2:J2" xr:uid="{666BE1AC-A683-4D30-B81D-9943F1C39BCF}">
    <sortState ref="A4:J198">
      <sortCondition descending="1" ref="J2"/>
    </sortState>
  </autoFilter>
  <mergeCells count="8">
    <mergeCell ref="A200:D200"/>
    <mergeCell ref="J1:J2"/>
    <mergeCell ref="A1:A2"/>
    <mergeCell ref="B1:E1"/>
    <mergeCell ref="F1:F2"/>
    <mergeCell ref="G1:G2"/>
    <mergeCell ref="H1:H2"/>
    <mergeCell ref="I1:I2"/>
  </mergeCells>
  <conditionalFormatting sqref="E3:E210">
    <cfRule type="colorScale" priority="5">
      <colorScale>
        <cfvo type="min"/>
        <cfvo type="percentile" val="50"/>
        <cfvo type="max"/>
        <color rgb="FF63BE7B"/>
        <color rgb="FFFFEB84"/>
        <color rgb="FFF8696B"/>
      </colorScale>
    </cfRule>
  </conditionalFormatting>
  <conditionalFormatting sqref="F3:F198">
    <cfRule type="colorScale" priority="4">
      <colorScale>
        <cfvo type="min"/>
        <cfvo type="percentile" val="50"/>
        <cfvo type="max"/>
        <color rgb="FFF8696B"/>
        <color rgb="FFFFEB84"/>
        <color rgb="FF63BE7B"/>
      </colorScale>
    </cfRule>
  </conditionalFormatting>
  <conditionalFormatting sqref="G3:G198">
    <cfRule type="colorScale" priority="3">
      <colorScale>
        <cfvo type="min"/>
        <cfvo type="percentile" val="50"/>
        <cfvo type="max"/>
        <color rgb="FFF8696B"/>
        <color rgb="FFFFEB84"/>
        <color rgb="FF63BE7B"/>
      </colorScale>
    </cfRule>
  </conditionalFormatting>
  <conditionalFormatting sqref="H3:H198">
    <cfRule type="colorScale" priority="2">
      <colorScale>
        <cfvo type="min"/>
        <cfvo type="percentile" val="50"/>
        <cfvo type="max"/>
        <color rgb="FFF8696B"/>
        <color rgb="FFFFEB84"/>
        <color rgb="FF63BE7B"/>
      </colorScale>
    </cfRule>
  </conditionalFormatting>
  <conditionalFormatting sqref="J3:J198">
    <cfRule type="colorScale" priority="1">
      <colorScale>
        <cfvo type="min"/>
        <cfvo type="percentile" val="50"/>
        <cfvo type="max"/>
        <color rgb="FFF8696B"/>
        <color rgb="FFFFEB84"/>
        <color rgb="FF63BE7B"/>
      </colorScale>
    </cfRule>
  </conditionalFormatting>
  <conditionalFormatting sqref="I3:I198">
    <cfRule type="colorScale" priority="6">
      <colorScale>
        <cfvo type="min"/>
        <cfvo type="percentile" val="50"/>
        <cfvo type="max"/>
        <color rgb="FFF8696B"/>
        <color rgb="FFFFEB84"/>
        <color rgb="FF63BE7B"/>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49397-E1A7-4E4F-B105-006A37760489}">
  <dimension ref="A1:L216"/>
  <sheetViews>
    <sheetView zoomScale="130" zoomScaleNormal="130" workbookViewId="0">
      <selection activeCell="E208" sqref="E208"/>
    </sheetView>
  </sheetViews>
  <sheetFormatPr baseColWidth="10" defaultRowHeight="15" x14ac:dyDescent="0.25"/>
  <cols>
    <col min="1" max="1" width="4.7109375" style="263" customWidth="1"/>
    <col min="2" max="2" width="9.28515625" style="263" customWidth="1"/>
    <col min="3" max="3" width="18.42578125" style="263" customWidth="1"/>
    <col min="4" max="4" width="27.5703125" style="264" customWidth="1"/>
    <col min="5" max="5" width="13.85546875" style="264" customWidth="1"/>
    <col min="6" max="8" width="6.7109375" style="221" customWidth="1"/>
    <col min="9" max="9" width="6.7109375" style="48" customWidth="1"/>
    <col min="10" max="10" width="6.7109375" style="20" customWidth="1"/>
    <col min="11" max="11" width="1" customWidth="1"/>
    <col min="12" max="12" width="14.28515625" style="5" customWidth="1"/>
  </cols>
  <sheetData>
    <row r="1" spans="1:12" ht="15" customHeight="1" x14ac:dyDescent="0.25">
      <c r="A1" s="588" t="s">
        <v>815</v>
      </c>
      <c r="B1" s="591" t="s">
        <v>0</v>
      </c>
      <c r="C1" s="515" t="s">
        <v>1</v>
      </c>
      <c r="D1" s="594" t="s">
        <v>2</v>
      </c>
      <c r="E1" s="594" t="s">
        <v>816</v>
      </c>
      <c r="F1" s="586" t="s">
        <v>817</v>
      </c>
      <c r="G1" s="587"/>
      <c r="H1" s="587"/>
      <c r="I1" s="587"/>
      <c r="J1" s="587"/>
      <c r="K1" s="1"/>
    </row>
    <row r="2" spans="1:12" ht="15" customHeight="1" x14ac:dyDescent="0.25">
      <c r="A2" s="589"/>
      <c r="B2" s="592"/>
      <c r="C2" s="516"/>
      <c r="D2" s="595"/>
      <c r="E2" s="595"/>
      <c r="F2" s="222">
        <v>2.5</v>
      </c>
      <c r="G2" s="222">
        <v>1</v>
      </c>
      <c r="H2" s="222">
        <v>0.5</v>
      </c>
      <c r="I2" s="222">
        <v>1</v>
      </c>
      <c r="J2" s="223">
        <v>1</v>
      </c>
      <c r="K2" s="1"/>
    </row>
    <row r="3" spans="1:12" s="228" customFormat="1" ht="106.5" customHeight="1" x14ac:dyDescent="0.25">
      <c r="A3" s="590"/>
      <c r="B3" s="593"/>
      <c r="C3" s="517"/>
      <c r="D3" s="596"/>
      <c r="E3" s="596"/>
      <c r="F3" s="224" t="s">
        <v>818</v>
      </c>
      <c r="G3" s="224" t="s">
        <v>819</v>
      </c>
      <c r="H3" s="224" t="s">
        <v>820</v>
      </c>
      <c r="I3" s="225" t="s">
        <v>821</v>
      </c>
      <c r="J3" s="226" t="s">
        <v>822</v>
      </c>
      <c r="K3" s="227"/>
      <c r="L3" s="5"/>
    </row>
    <row r="4" spans="1:12" ht="15" customHeight="1" x14ac:dyDescent="0.25">
      <c r="A4" s="2">
        <v>1</v>
      </c>
      <c r="B4" s="236" t="s">
        <v>13</v>
      </c>
      <c r="C4" s="240" t="s">
        <v>19</v>
      </c>
      <c r="D4" s="231" t="s">
        <v>73</v>
      </c>
      <c r="E4" s="232">
        <f t="shared" ref="E4:E35" si="0">(F4*100*2.5+G4*100+(H4/4)*100*0.5+(I4/4)*100+J4)/6</f>
        <v>91.288522930259845</v>
      </c>
      <c r="F4" s="233">
        <v>0.84652455032623664</v>
      </c>
      <c r="G4" s="233">
        <v>0.97099999999999997</v>
      </c>
      <c r="H4" s="234">
        <v>4</v>
      </c>
      <c r="I4" s="234">
        <v>4</v>
      </c>
      <c r="J4" s="235">
        <v>89</v>
      </c>
      <c r="K4" s="1"/>
    </row>
    <row r="5" spans="1:12" ht="15" customHeight="1" x14ac:dyDescent="0.25">
      <c r="A5" s="2">
        <v>2</v>
      </c>
      <c r="B5" s="236" t="s">
        <v>13</v>
      </c>
      <c r="C5" s="240" t="s">
        <v>19</v>
      </c>
      <c r="D5" s="231" t="s">
        <v>40</v>
      </c>
      <c r="E5" s="232">
        <f t="shared" si="0"/>
        <v>89.999795836414478</v>
      </c>
      <c r="F5" s="233">
        <v>0.79119510007394744</v>
      </c>
      <c r="G5" s="233">
        <v>0.97199999999999998</v>
      </c>
      <c r="H5" s="234">
        <v>4</v>
      </c>
      <c r="I5" s="234">
        <v>4</v>
      </c>
      <c r="J5" s="235">
        <v>95</v>
      </c>
      <c r="K5" s="1"/>
    </row>
    <row r="6" spans="1:12" ht="15" customHeight="1" x14ac:dyDescent="0.25">
      <c r="A6" s="2">
        <v>3</v>
      </c>
      <c r="B6" s="236" t="s">
        <v>13</v>
      </c>
      <c r="C6" s="240" t="s">
        <v>19</v>
      </c>
      <c r="D6" s="231" t="s">
        <v>161</v>
      </c>
      <c r="E6" s="232">
        <f t="shared" si="0"/>
        <v>89.906382794204887</v>
      </c>
      <c r="F6" s="233">
        <v>0.81735318706091697</v>
      </c>
      <c r="G6" s="233">
        <v>0.90100000000000002</v>
      </c>
      <c r="H6" s="234">
        <v>4</v>
      </c>
      <c r="I6" s="234">
        <v>4</v>
      </c>
      <c r="J6" s="235">
        <v>95</v>
      </c>
      <c r="K6" s="1"/>
    </row>
    <row r="7" spans="1:12" ht="15" customHeight="1" x14ac:dyDescent="0.25">
      <c r="A7" s="2">
        <v>4</v>
      </c>
      <c r="B7" s="236" t="s">
        <v>13</v>
      </c>
      <c r="C7" s="240" t="s">
        <v>19</v>
      </c>
      <c r="D7" s="231" t="s">
        <v>87</v>
      </c>
      <c r="E7" s="232">
        <f t="shared" si="0"/>
        <v>89.180225958287679</v>
      </c>
      <c r="F7" s="233">
        <v>0.84192542299890405</v>
      </c>
      <c r="G7" s="233">
        <v>0.90600000000000003</v>
      </c>
      <c r="H7" s="234">
        <v>4</v>
      </c>
      <c r="I7" s="234">
        <v>4</v>
      </c>
      <c r="J7" s="235">
        <v>84</v>
      </c>
      <c r="K7" s="1"/>
    </row>
    <row r="8" spans="1:12" ht="15" customHeight="1" x14ac:dyDescent="0.25">
      <c r="A8" s="2">
        <v>5</v>
      </c>
      <c r="B8" s="236" t="s">
        <v>13</v>
      </c>
      <c r="C8" s="237" t="s">
        <v>14</v>
      </c>
      <c r="D8" s="231" t="s">
        <v>82</v>
      </c>
      <c r="E8" s="232">
        <f t="shared" si="0"/>
        <v>88.968802751256476</v>
      </c>
      <c r="F8" s="233">
        <v>0.81805126603015521</v>
      </c>
      <c r="G8" s="233">
        <v>0.95299999999999996</v>
      </c>
      <c r="H8" s="234">
        <v>4</v>
      </c>
      <c r="I8" s="234">
        <v>4</v>
      </c>
      <c r="J8" s="235">
        <v>84</v>
      </c>
      <c r="K8" s="1"/>
    </row>
    <row r="9" spans="1:12" ht="15" customHeight="1" x14ac:dyDescent="0.25">
      <c r="A9" s="2">
        <v>6</v>
      </c>
      <c r="B9" s="236" t="s">
        <v>13</v>
      </c>
      <c r="C9" s="240" t="s">
        <v>19</v>
      </c>
      <c r="D9" s="231" t="s">
        <v>92</v>
      </c>
      <c r="E9" s="232">
        <f t="shared" si="0"/>
        <v>88.415858717973506</v>
      </c>
      <c r="F9" s="233">
        <v>0.7955806092313642</v>
      </c>
      <c r="G9" s="233">
        <v>0.97599999999999998</v>
      </c>
      <c r="H9" s="234">
        <v>4</v>
      </c>
      <c r="I9" s="234">
        <v>4</v>
      </c>
      <c r="J9" s="235">
        <v>84</v>
      </c>
      <c r="K9" s="1"/>
    </row>
    <row r="10" spans="1:12" ht="15" customHeight="1" x14ac:dyDescent="0.25">
      <c r="A10" s="2">
        <v>7</v>
      </c>
      <c r="B10" s="236" t="s">
        <v>13</v>
      </c>
      <c r="C10" s="240" t="s">
        <v>19</v>
      </c>
      <c r="D10" s="231" t="s">
        <v>199</v>
      </c>
      <c r="E10" s="232">
        <f t="shared" si="0"/>
        <v>87.959913281917963</v>
      </c>
      <c r="F10" s="233">
        <v>0.78223791876603099</v>
      </c>
      <c r="G10" s="233">
        <v>0.93200000000000005</v>
      </c>
      <c r="H10" s="234">
        <v>4</v>
      </c>
      <c r="I10" s="234">
        <v>4</v>
      </c>
      <c r="J10" s="235">
        <v>89</v>
      </c>
      <c r="K10" s="1"/>
    </row>
    <row r="11" spans="1:12" ht="15" customHeight="1" x14ac:dyDescent="0.25">
      <c r="A11" s="2">
        <v>8</v>
      </c>
      <c r="B11" s="236" t="s">
        <v>13</v>
      </c>
      <c r="C11" s="240" t="s">
        <v>19</v>
      </c>
      <c r="D11" s="231" t="s">
        <v>133</v>
      </c>
      <c r="E11" s="232">
        <f t="shared" si="0"/>
        <v>87.848152705947314</v>
      </c>
      <c r="F11" s="233">
        <v>0.74555566494273517</v>
      </c>
      <c r="G11" s="233">
        <v>0.95699999999999996</v>
      </c>
      <c r="H11" s="234">
        <v>4</v>
      </c>
      <c r="I11" s="234">
        <v>4</v>
      </c>
      <c r="J11" s="235">
        <v>95</v>
      </c>
      <c r="K11" s="1"/>
    </row>
    <row r="12" spans="1:12" ht="15" customHeight="1" x14ac:dyDescent="0.25">
      <c r="A12" s="2">
        <v>9</v>
      </c>
      <c r="B12" s="236" t="s">
        <v>13</v>
      </c>
      <c r="C12" s="240" t="s">
        <v>19</v>
      </c>
      <c r="D12" s="231" t="s">
        <v>104</v>
      </c>
      <c r="E12" s="232">
        <f t="shared" si="0"/>
        <v>87.594126721917817</v>
      </c>
      <c r="F12" s="241">
        <v>0.75065904132602812</v>
      </c>
      <c r="G12" s="247">
        <v>0.93899999999999995</v>
      </c>
      <c r="H12" s="235">
        <v>4</v>
      </c>
      <c r="I12" s="235">
        <v>4</v>
      </c>
      <c r="J12" s="235">
        <v>94</v>
      </c>
      <c r="K12" s="1"/>
    </row>
    <row r="13" spans="1:12" ht="15" customHeight="1" x14ac:dyDescent="0.25">
      <c r="A13" s="2">
        <v>10</v>
      </c>
      <c r="B13" s="236" t="s">
        <v>13</v>
      </c>
      <c r="C13" s="240" t="s">
        <v>19</v>
      </c>
      <c r="D13" s="231" t="s">
        <v>155</v>
      </c>
      <c r="E13" s="232">
        <f t="shared" si="0"/>
        <v>86.967663990059961</v>
      </c>
      <c r="F13" s="233">
        <v>0.82282393576143875</v>
      </c>
      <c r="G13" s="233">
        <v>0.871</v>
      </c>
      <c r="H13" s="234">
        <v>4</v>
      </c>
      <c r="I13" s="234">
        <v>4</v>
      </c>
      <c r="J13" s="235">
        <v>79</v>
      </c>
      <c r="K13" s="1"/>
    </row>
    <row r="14" spans="1:12" ht="15" customHeight="1" x14ac:dyDescent="0.25">
      <c r="A14" s="2">
        <v>11</v>
      </c>
      <c r="B14" s="236" t="s">
        <v>13</v>
      </c>
      <c r="C14" s="240" t="s">
        <v>19</v>
      </c>
      <c r="D14" s="231" t="s">
        <v>192</v>
      </c>
      <c r="E14" s="232">
        <f t="shared" si="0"/>
        <v>86.873513356614907</v>
      </c>
      <c r="F14" s="233">
        <v>0.7441643205587577</v>
      </c>
      <c r="G14" s="233">
        <v>0.96199999999999997</v>
      </c>
      <c r="H14" s="234">
        <v>4</v>
      </c>
      <c r="I14" s="234">
        <v>4</v>
      </c>
      <c r="J14" s="235">
        <v>89</v>
      </c>
      <c r="K14" s="1"/>
    </row>
    <row r="15" spans="1:12" ht="15" customHeight="1" x14ac:dyDescent="0.25">
      <c r="A15" s="2">
        <v>12</v>
      </c>
      <c r="B15" s="243" t="s">
        <v>23</v>
      </c>
      <c r="C15" s="246" t="s">
        <v>26</v>
      </c>
      <c r="D15" s="231" t="s">
        <v>218</v>
      </c>
      <c r="E15" s="232">
        <f t="shared" si="0"/>
        <v>86.54680686900231</v>
      </c>
      <c r="F15" s="233">
        <v>0.73472336485605572</v>
      </c>
      <c r="G15" s="233">
        <v>0.85599999999999998</v>
      </c>
      <c r="H15" s="234">
        <v>4</v>
      </c>
      <c r="I15" s="234">
        <v>4</v>
      </c>
      <c r="J15" s="235">
        <v>100</v>
      </c>
      <c r="K15" s="1"/>
    </row>
    <row r="16" spans="1:12" ht="15" customHeight="1" x14ac:dyDescent="0.25">
      <c r="A16" s="2">
        <v>13</v>
      </c>
      <c r="B16" s="236" t="s">
        <v>13</v>
      </c>
      <c r="C16" s="240" t="s">
        <v>19</v>
      </c>
      <c r="D16" s="231" t="s">
        <v>200</v>
      </c>
      <c r="E16" s="232">
        <f t="shared" si="0"/>
        <v>86.44359262391724</v>
      </c>
      <c r="F16" s="241">
        <v>0.76264622297401363</v>
      </c>
      <c r="G16" s="247">
        <v>0.94</v>
      </c>
      <c r="H16" s="235">
        <v>4</v>
      </c>
      <c r="I16" s="235">
        <v>4</v>
      </c>
      <c r="J16" s="235">
        <v>84</v>
      </c>
      <c r="K16" s="1"/>
    </row>
    <row r="17" spans="1:12" ht="15" customHeight="1" x14ac:dyDescent="0.25">
      <c r="A17" s="2">
        <v>14</v>
      </c>
      <c r="B17" s="236" t="s">
        <v>13</v>
      </c>
      <c r="C17" s="237" t="s">
        <v>14</v>
      </c>
      <c r="D17" s="231" t="s">
        <v>187</v>
      </c>
      <c r="E17" s="232">
        <f t="shared" si="0"/>
        <v>83.455871822929865</v>
      </c>
      <c r="F17" s="233">
        <v>0.73854092375031666</v>
      </c>
      <c r="G17" s="233">
        <v>0.92100000000000004</v>
      </c>
      <c r="H17" s="234">
        <v>4</v>
      </c>
      <c r="I17" s="234">
        <v>4</v>
      </c>
      <c r="J17" s="235">
        <v>74</v>
      </c>
      <c r="K17" s="1"/>
    </row>
    <row r="18" spans="1:12" ht="15" customHeight="1" x14ac:dyDescent="0.25">
      <c r="A18" s="2">
        <v>15</v>
      </c>
      <c r="B18" s="236" t="s">
        <v>13</v>
      </c>
      <c r="C18" s="240" t="s">
        <v>19</v>
      </c>
      <c r="D18" s="231" t="s">
        <v>32</v>
      </c>
      <c r="E18" s="232">
        <f t="shared" si="0"/>
        <v>82.481288063394061</v>
      </c>
      <c r="F18" s="233">
        <v>0.69395091352145732</v>
      </c>
      <c r="G18" s="233">
        <v>0.874</v>
      </c>
      <c r="H18" s="234">
        <v>4</v>
      </c>
      <c r="I18" s="234">
        <v>4</v>
      </c>
      <c r="J18" s="235">
        <v>84</v>
      </c>
      <c r="K18" s="1"/>
      <c r="L18"/>
    </row>
    <row r="19" spans="1:12" ht="15" customHeight="1" x14ac:dyDescent="0.25">
      <c r="A19" s="2">
        <v>16</v>
      </c>
      <c r="B19" s="236" t="s">
        <v>13</v>
      </c>
      <c r="C19" s="240" t="s">
        <v>19</v>
      </c>
      <c r="D19" s="231" t="s">
        <v>109</v>
      </c>
      <c r="E19" s="232">
        <f t="shared" si="0"/>
        <v>82.393780255383874</v>
      </c>
      <c r="F19" s="233">
        <v>0.72865072612921289</v>
      </c>
      <c r="G19" s="233">
        <v>0.94199999999999995</v>
      </c>
      <c r="H19" s="234">
        <v>4</v>
      </c>
      <c r="I19" s="234">
        <v>4</v>
      </c>
      <c r="J19" s="235">
        <v>68</v>
      </c>
      <c r="K19" s="1"/>
      <c r="L19" s="251"/>
    </row>
    <row r="20" spans="1:12" ht="15" customHeight="1" x14ac:dyDescent="0.25">
      <c r="A20" s="2">
        <v>17</v>
      </c>
      <c r="B20" s="248" t="s">
        <v>29</v>
      </c>
      <c r="C20" s="249" t="s">
        <v>30</v>
      </c>
      <c r="D20" s="231" t="s">
        <v>156</v>
      </c>
      <c r="E20" s="232">
        <f t="shared" si="0"/>
        <v>82.319803446089836</v>
      </c>
      <c r="F20" s="233">
        <v>0.70767528270615598</v>
      </c>
      <c r="G20" s="233">
        <v>0.93</v>
      </c>
      <c r="H20" s="234">
        <v>4</v>
      </c>
      <c r="I20" s="234">
        <v>4</v>
      </c>
      <c r="J20" s="235">
        <v>74</v>
      </c>
      <c r="K20" s="1"/>
      <c r="L20"/>
    </row>
    <row r="21" spans="1:12" ht="15" customHeight="1" x14ac:dyDescent="0.25">
      <c r="A21" s="2">
        <v>18</v>
      </c>
      <c r="B21" s="236" t="s">
        <v>13</v>
      </c>
      <c r="C21" s="240" t="s">
        <v>19</v>
      </c>
      <c r="D21" s="231" t="s">
        <v>88</v>
      </c>
      <c r="E21" s="232">
        <f t="shared" si="0"/>
        <v>81.128652065992441</v>
      </c>
      <c r="F21" s="233">
        <v>0.63228764958381856</v>
      </c>
      <c r="G21" s="233">
        <v>0.89700000000000002</v>
      </c>
      <c r="H21" s="234">
        <v>4</v>
      </c>
      <c r="I21" s="234">
        <v>4</v>
      </c>
      <c r="J21" s="235">
        <v>89</v>
      </c>
      <c r="K21" s="1"/>
      <c r="L21"/>
    </row>
    <row r="22" spans="1:12" ht="15" customHeight="1" x14ac:dyDescent="0.25">
      <c r="A22" s="2">
        <v>19</v>
      </c>
      <c r="B22" s="236" t="s">
        <v>13</v>
      </c>
      <c r="C22" s="237" t="s">
        <v>14</v>
      </c>
      <c r="D22" s="231" t="s">
        <v>69</v>
      </c>
      <c r="E22" s="232">
        <f t="shared" si="0"/>
        <v>80.455510306441823</v>
      </c>
      <c r="F22" s="233">
        <v>0.61453224735460366</v>
      </c>
      <c r="G22" s="233">
        <v>0.90100000000000002</v>
      </c>
      <c r="H22" s="234">
        <v>4</v>
      </c>
      <c r="I22" s="234">
        <v>4</v>
      </c>
      <c r="J22" s="235">
        <v>89</v>
      </c>
      <c r="K22" s="1"/>
      <c r="L22"/>
    </row>
    <row r="23" spans="1:12" ht="15" customHeight="1" x14ac:dyDescent="0.25">
      <c r="A23" s="2">
        <v>20</v>
      </c>
      <c r="B23" s="229" t="s">
        <v>10</v>
      </c>
      <c r="C23" s="253" t="s">
        <v>49</v>
      </c>
      <c r="D23" s="231" t="s">
        <v>823</v>
      </c>
      <c r="E23" s="232">
        <f t="shared" si="0"/>
        <v>79.38486279909192</v>
      </c>
      <c r="F23" s="241">
        <v>0.73323670717820599</v>
      </c>
      <c r="G23" s="247">
        <v>0.92500000000000004</v>
      </c>
      <c r="H23" s="235">
        <v>3</v>
      </c>
      <c r="I23" s="235">
        <v>4</v>
      </c>
      <c r="J23" s="235">
        <v>63</v>
      </c>
      <c r="K23" s="1"/>
      <c r="L23"/>
    </row>
    <row r="24" spans="1:12" ht="15" customHeight="1" x14ac:dyDescent="0.25">
      <c r="A24" s="2">
        <v>21</v>
      </c>
      <c r="B24" s="248" t="s">
        <v>29</v>
      </c>
      <c r="C24" s="249" t="s">
        <v>30</v>
      </c>
      <c r="D24" s="231" t="s">
        <v>31</v>
      </c>
      <c r="E24" s="232">
        <f t="shared" si="0"/>
        <v>79.256169583286891</v>
      </c>
      <c r="F24" s="233">
        <v>0.65694806999888522</v>
      </c>
      <c r="G24" s="233">
        <v>0.873</v>
      </c>
      <c r="H24" s="234">
        <v>4</v>
      </c>
      <c r="I24" s="234">
        <v>4</v>
      </c>
      <c r="J24" s="235">
        <v>74</v>
      </c>
      <c r="K24" s="1"/>
      <c r="L24"/>
    </row>
    <row r="25" spans="1:12" ht="15" customHeight="1" x14ac:dyDescent="0.25">
      <c r="A25" s="2">
        <v>22</v>
      </c>
      <c r="B25" s="243" t="s">
        <v>23</v>
      </c>
      <c r="C25" s="246" t="s">
        <v>26</v>
      </c>
      <c r="D25" s="231" t="s">
        <v>67</v>
      </c>
      <c r="E25" s="232">
        <f t="shared" si="0"/>
        <v>79.226169466877096</v>
      </c>
      <c r="F25" s="233">
        <v>0.69742806720505046</v>
      </c>
      <c r="G25" s="233">
        <v>0.93</v>
      </c>
      <c r="H25" s="234">
        <v>2</v>
      </c>
      <c r="I25" s="234">
        <v>4</v>
      </c>
      <c r="J25" s="235">
        <v>83</v>
      </c>
      <c r="K25" s="1"/>
      <c r="L25"/>
    </row>
    <row r="26" spans="1:12" ht="15" customHeight="1" x14ac:dyDescent="0.25">
      <c r="A26" s="2">
        <v>23</v>
      </c>
      <c r="B26" s="236" t="s">
        <v>13</v>
      </c>
      <c r="C26" s="240" t="s">
        <v>19</v>
      </c>
      <c r="D26" s="231" t="s">
        <v>140</v>
      </c>
      <c r="E26" s="232">
        <f t="shared" si="0"/>
        <v>79.190320266094773</v>
      </c>
      <c r="F26" s="233">
        <v>0.68256768638627452</v>
      </c>
      <c r="G26" s="233">
        <v>0.92</v>
      </c>
      <c r="H26" s="234">
        <v>1</v>
      </c>
      <c r="I26" s="234">
        <v>4</v>
      </c>
      <c r="J26" s="235">
        <v>100</v>
      </c>
      <c r="K26" s="1"/>
      <c r="L26"/>
    </row>
    <row r="27" spans="1:12" ht="15" customHeight="1" x14ac:dyDescent="0.25">
      <c r="A27" s="2">
        <v>24</v>
      </c>
      <c r="B27" s="236" t="s">
        <v>13</v>
      </c>
      <c r="C27" s="237" t="s">
        <v>14</v>
      </c>
      <c r="D27" s="231" t="s">
        <v>72</v>
      </c>
      <c r="E27" s="232">
        <f t="shared" si="0"/>
        <v>79.119806788408241</v>
      </c>
      <c r="F27" s="233">
        <v>0.72887536292179755</v>
      </c>
      <c r="G27" s="233">
        <v>0.93500000000000005</v>
      </c>
      <c r="H27" s="234">
        <v>4</v>
      </c>
      <c r="I27" s="234">
        <v>3</v>
      </c>
      <c r="J27" s="235">
        <v>74</v>
      </c>
      <c r="K27" s="1"/>
      <c r="L27"/>
    </row>
    <row r="28" spans="1:12" ht="15" customHeight="1" x14ac:dyDescent="0.25">
      <c r="A28" s="2">
        <v>25</v>
      </c>
      <c r="B28" s="236" t="s">
        <v>13</v>
      </c>
      <c r="C28" s="240" t="s">
        <v>19</v>
      </c>
      <c r="D28" s="231" t="s">
        <v>172</v>
      </c>
      <c r="E28" s="232">
        <f t="shared" si="0"/>
        <v>78.953004997671357</v>
      </c>
      <c r="F28" s="233">
        <v>0.62127211994411258</v>
      </c>
      <c r="G28" s="233">
        <v>0.68400000000000005</v>
      </c>
      <c r="H28" s="234">
        <v>4</v>
      </c>
      <c r="I28" s="234">
        <v>4</v>
      </c>
      <c r="J28" s="235">
        <v>100</v>
      </c>
      <c r="K28" s="1"/>
      <c r="L28"/>
    </row>
    <row r="29" spans="1:12" ht="15" customHeight="1" x14ac:dyDescent="0.25">
      <c r="A29" s="2">
        <v>26</v>
      </c>
      <c r="B29" s="236" t="s">
        <v>13</v>
      </c>
      <c r="C29" s="240" t="s">
        <v>19</v>
      </c>
      <c r="D29" s="231" t="s">
        <v>94</v>
      </c>
      <c r="E29" s="232">
        <f t="shared" si="0"/>
        <v>78.871890327867916</v>
      </c>
      <c r="F29" s="233">
        <v>0.57412536786883017</v>
      </c>
      <c r="G29" s="233">
        <v>0.90700000000000003</v>
      </c>
      <c r="H29" s="234">
        <v>4</v>
      </c>
      <c r="I29" s="234">
        <v>4</v>
      </c>
      <c r="J29" s="235">
        <v>89</v>
      </c>
      <c r="K29" s="1"/>
      <c r="L29"/>
    </row>
    <row r="30" spans="1:12" ht="15" customHeight="1" x14ac:dyDescent="0.25">
      <c r="A30" s="2">
        <v>27</v>
      </c>
      <c r="B30" s="243" t="s">
        <v>23</v>
      </c>
      <c r="C30" s="254" t="s">
        <v>57</v>
      </c>
      <c r="D30" s="231" t="s">
        <v>58</v>
      </c>
      <c r="E30" s="232">
        <f t="shared" si="0"/>
        <v>78.467577430937212</v>
      </c>
      <c r="F30" s="233">
        <v>0.62682185834249293</v>
      </c>
      <c r="G30" s="233">
        <v>0.80100000000000005</v>
      </c>
      <c r="H30" s="234">
        <v>4</v>
      </c>
      <c r="I30" s="234">
        <v>4</v>
      </c>
      <c r="J30" s="235">
        <v>84</v>
      </c>
      <c r="K30" s="1"/>
      <c r="L30"/>
    </row>
    <row r="31" spans="1:12" ht="15" customHeight="1" x14ac:dyDescent="0.25">
      <c r="A31" s="2">
        <v>28</v>
      </c>
      <c r="B31" s="236" t="s">
        <v>13</v>
      </c>
      <c r="C31" s="240" t="s">
        <v>19</v>
      </c>
      <c r="D31" s="231" t="s">
        <v>131</v>
      </c>
      <c r="E31" s="232">
        <f t="shared" si="0"/>
        <v>77.909382126435247</v>
      </c>
      <c r="F31" s="241">
        <v>0.76102517103444578</v>
      </c>
      <c r="G31" s="241">
        <v>0.91200000000000003</v>
      </c>
      <c r="H31" s="235">
        <v>2</v>
      </c>
      <c r="I31" s="235">
        <v>4</v>
      </c>
      <c r="J31" s="235">
        <v>61</v>
      </c>
      <c r="K31" s="1"/>
      <c r="L31"/>
    </row>
    <row r="32" spans="1:12" ht="15" customHeight="1" x14ac:dyDescent="0.25">
      <c r="A32" s="2">
        <v>29</v>
      </c>
      <c r="B32" s="236" t="s">
        <v>13</v>
      </c>
      <c r="C32" s="240" t="s">
        <v>19</v>
      </c>
      <c r="D32" s="231" t="s">
        <v>20</v>
      </c>
      <c r="E32" s="232">
        <f t="shared" si="0"/>
        <v>77.248339202270088</v>
      </c>
      <c r="F32" s="241">
        <v>0.73316014085448211</v>
      </c>
      <c r="G32" s="241">
        <v>0.91200000000000003</v>
      </c>
      <c r="H32" s="235">
        <v>0</v>
      </c>
      <c r="I32" s="235">
        <v>4</v>
      </c>
      <c r="J32" s="235">
        <v>89</v>
      </c>
      <c r="K32" s="1"/>
      <c r="L32"/>
    </row>
    <row r="33" spans="1:12" ht="15" customHeight="1" x14ac:dyDescent="0.25">
      <c r="A33" s="2">
        <v>30</v>
      </c>
      <c r="B33" s="236" t="s">
        <v>13</v>
      </c>
      <c r="C33" s="240" t="s">
        <v>19</v>
      </c>
      <c r="D33" s="231" t="s">
        <v>216</v>
      </c>
      <c r="E33" s="232">
        <f t="shared" si="0"/>
        <v>76.469799883865235</v>
      </c>
      <c r="F33" s="233">
        <v>0.67127519721276563</v>
      </c>
      <c r="G33" s="233">
        <v>0.79500000000000004</v>
      </c>
      <c r="H33" s="234">
        <v>3</v>
      </c>
      <c r="I33" s="234">
        <v>4</v>
      </c>
      <c r="J33" s="235">
        <v>74</v>
      </c>
      <c r="K33" s="1"/>
      <c r="L33"/>
    </row>
    <row r="34" spans="1:12" ht="15" customHeight="1" x14ac:dyDescent="0.25">
      <c r="A34" s="2">
        <v>31</v>
      </c>
      <c r="B34" s="243" t="s">
        <v>23</v>
      </c>
      <c r="C34" s="246" t="s">
        <v>26</v>
      </c>
      <c r="D34" s="231" t="s">
        <v>27</v>
      </c>
      <c r="E34" s="232">
        <f t="shared" si="0"/>
        <v>75.468564900959535</v>
      </c>
      <c r="F34" s="233">
        <v>0.60404555762302892</v>
      </c>
      <c r="G34" s="233">
        <v>0.77800000000000002</v>
      </c>
      <c r="H34" s="234">
        <v>4</v>
      </c>
      <c r="I34" s="234">
        <v>4</v>
      </c>
      <c r="J34" s="235">
        <v>74</v>
      </c>
      <c r="K34" s="1"/>
      <c r="L34"/>
    </row>
    <row r="35" spans="1:12" ht="15" customHeight="1" x14ac:dyDescent="0.25">
      <c r="A35" s="2">
        <v>32</v>
      </c>
      <c r="B35" s="236" t="s">
        <v>13</v>
      </c>
      <c r="C35" s="237" t="s">
        <v>14</v>
      </c>
      <c r="D35" s="231" t="s">
        <v>126</v>
      </c>
      <c r="E35" s="232">
        <f t="shared" si="0"/>
        <v>73.543426318850905</v>
      </c>
      <c r="F35" s="233">
        <v>0.75424223165242166</v>
      </c>
      <c r="G35" s="233">
        <v>0.94699999999999995</v>
      </c>
      <c r="H35" s="234">
        <v>4</v>
      </c>
      <c r="I35" s="234">
        <v>2</v>
      </c>
      <c r="J35" s="235">
        <v>58</v>
      </c>
      <c r="K35" s="1"/>
      <c r="L35"/>
    </row>
    <row r="36" spans="1:12" ht="15" customHeight="1" x14ac:dyDescent="0.25">
      <c r="A36" s="2">
        <v>33</v>
      </c>
      <c r="B36" s="236" t="s">
        <v>13</v>
      </c>
      <c r="C36" s="237" t="s">
        <v>14</v>
      </c>
      <c r="D36" s="231" t="s">
        <v>148</v>
      </c>
      <c r="E36" s="232">
        <f t="shared" ref="E36:E67" si="1">(F36*100*2.5+G36*100+(H36/4)*100*0.5+(I36/4)*100+J36)/6</f>
        <v>72.036435294641592</v>
      </c>
      <c r="F36" s="233">
        <v>0.66447444707139802</v>
      </c>
      <c r="G36" s="233">
        <v>0.82099999999999995</v>
      </c>
      <c r="H36" s="234">
        <v>4</v>
      </c>
      <c r="I36" s="234">
        <v>2</v>
      </c>
      <c r="J36" s="235">
        <v>84</v>
      </c>
      <c r="K36" s="1"/>
      <c r="L36"/>
    </row>
    <row r="37" spans="1:12" ht="15" customHeight="1" x14ac:dyDescent="0.25">
      <c r="A37" s="2">
        <v>34</v>
      </c>
      <c r="B37" s="243" t="s">
        <v>23</v>
      </c>
      <c r="C37" s="254" t="s">
        <v>57</v>
      </c>
      <c r="D37" s="231" t="s">
        <v>217</v>
      </c>
      <c r="E37" s="232">
        <f t="shared" si="1"/>
        <v>70.835002771210725</v>
      </c>
      <c r="F37" s="233">
        <v>0.47604006650905734</v>
      </c>
      <c r="G37" s="233">
        <v>0.82</v>
      </c>
      <c r="H37" s="234">
        <v>4</v>
      </c>
      <c r="I37" s="234">
        <v>4</v>
      </c>
      <c r="J37" s="235">
        <v>74</v>
      </c>
      <c r="K37" s="1"/>
      <c r="L37"/>
    </row>
    <row r="38" spans="1:12" ht="15" customHeight="1" x14ac:dyDescent="0.25">
      <c r="A38" s="2">
        <v>35</v>
      </c>
      <c r="B38" s="238" t="s">
        <v>16</v>
      </c>
      <c r="C38" s="242" t="s">
        <v>21</v>
      </c>
      <c r="D38" s="231" t="s">
        <v>190</v>
      </c>
      <c r="E38" s="232">
        <f t="shared" si="1"/>
        <v>70.702474003320518</v>
      </c>
      <c r="F38" s="233">
        <v>0.4876593760796924</v>
      </c>
      <c r="G38" s="233">
        <v>0.73299999999999998</v>
      </c>
      <c r="H38" s="234">
        <v>4</v>
      </c>
      <c r="I38" s="234">
        <v>4</v>
      </c>
      <c r="J38" s="235">
        <v>79</v>
      </c>
      <c r="K38" s="1"/>
      <c r="L38"/>
    </row>
    <row r="39" spans="1:12" ht="15" customHeight="1" x14ac:dyDescent="0.25">
      <c r="A39" s="2">
        <v>36</v>
      </c>
      <c r="B39" s="236" t="s">
        <v>13</v>
      </c>
      <c r="C39" s="237" t="s">
        <v>14</v>
      </c>
      <c r="D39" s="231" t="s">
        <v>132</v>
      </c>
      <c r="E39" s="232">
        <f t="shared" si="1"/>
        <v>70.621174739628273</v>
      </c>
      <c r="F39" s="233">
        <v>0.81210819375107846</v>
      </c>
      <c r="G39" s="233">
        <v>0.92700000000000005</v>
      </c>
      <c r="H39" s="234">
        <v>4</v>
      </c>
      <c r="I39" s="234">
        <v>1</v>
      </c>
      <c r="J39" s="235">
        <v>53</v>
      </c>
      <c r="K39" s="1"/>
      <c r="L39"/>
    </row>
    <row r="40" spans="1:12" ht="15" customHeight="1" x14ac:dyDescent="0.25">
      <c r="A40" s="2">
        <v>37</v>
      </c>
      <c r="B40" s="229" t="s">
        <v>10</v>
      </c>
      <c r="C40" s="230" t="s">
        <v>11</v>
      </c>
      <c r="D40" s="231" t="s">
        <v>154</v>
      </c>
      <c r="E40" s="232">
        <f t="shared" si="1"/>
        <v>69.161138514758193</v>
      </c>
      <c r="F40" s="233">
        <v>0.48786732435419661</v>
      </c>
      <c r="G40" s="233">
        <v>0.64</v>
      </c>
      <c r="H40" s="234">
        <v>4</v>
      </c>
      <c r="I40" s="234">
        <v>4</v>
      </c>
      <c r="J40" s="235">
        <v>79</v>
      </c>
      <c r="K40" s="1"/>
      <c r="L40"/>
    </row>
    <row r="41" spans="1:12" ht="15" customHeight="1" x14ac:dyDescent="0.25">
      <c r="A41" s="2">
        <v>38</v>
      </c>
      <c r="B41" s="236" t="s">
        <v>13</v>
      </c>
      <c r="C41" s="240" t="s">
        <v>19</v>
      </c>
      <c r="D41" s="231" t="s">
        <v>178</v>
      </c>
      <c r="E41" s="232">
        <f t="shared" si="1"/>
        <v>69.102053524574629</v>
      </c>
      <c r="F41" s="241">
        <v>0.70564928458979093</v>
      </c>
      <c r="G41" s="241">
        <v>0.91200000000000003</v>
      </c>
      <c r="H41" s="235">
        <v>4</v>
      </c>
      <c r="I41" s="235">
        <v>2</v>
      </c>
      <c r="J41" s="258">
        <v>47</v>
      </c>
      <c r="K41" s="1"/>
      <c r="L41"/>
    </row>
    <row r="42" spans="1:12" ht="15" customHeight="1" x14ac:dyDescent="0.25">
      <c r="A42" s="2">
        <v>39</v>
      </c>
      <c r="B42" s="236" t="s">
        <v>13</v>
      </c>
      <c r="C42" s="240" t="s">
        <v>19</v>
      </c>
      <c r="D42" s="231" t="s">
        <v>71</v>
      </c>
      <c r="E42" s="232">
        <f t="shared" si="1"/>
        <v>68.798028227828382</v>
      </c>
      <c r="F42" s="233">
        <v>0.6539526774678811</v>
      </c>
      <c r="G42" s="233">
        <v>0.86299999999999999</v>
      </c>
      <c r="H42" s="234">
        <v>4</v>
      </c>
      <c r="I42" s="234">
        <v>2</v>
      </c>
      <c r="J42" s="235">
        <v>63</v>
      </c>
      <c r="K42" s="1"/>
      <c r="L42" s="251"/>
    </row>
    <row r="43" spans="1:12" ht="15" customHeight="1" x14ac:dyDescent="0.25">
      <c r="A43" s="2">
        <v>40</v>
      </c>
      <c r="B43" s="243" t="s">
        <v>23</v>
      </c>
      <c r="C43" s="246" t="s">
        <v>26</v>
      </c>
      <c r="D43" s="231" t="s">
        <v>61</v>
      </c>
      <c r="E43" s="232">
        <f t="shared" si="1"/>
        <v>68.147760963766785</v>
      </c>
      <c r="F43" s="233">
        <v>0.55834626313040292</v>
      </c>
      <c r="G43" s="233">
        <v>0.88800000000000001</v>
      </c>
      <c r="H43" s="234">
        <v>1</v>
      </c>
      <c r="I43" s="234">
        <v>4</v>
      </c>
      <c r="J43" s="235">
        <v>68</v>
      </c>
      <c r="K43" s="1"/>
      <c r="L43"/>
    </row>
    <row r="44" spans="1:12" ht="15" customHeight="1" x14ac:dyDescent="0.25">
      <c r="A44" s="2">
        <v>41</v>
      </c>
      <c r="B44" s="236" t="s">
        <v>13</v>
      </c>
      <c r="C44" s="240" t="s">
        <v>19</v>
      </c>
      <c r="D44" s="231" t="s">
        <v>146</v>
      </c>
      <c r="E44" s="232">
        <f t="shared" si="1"/>
        <v>68.139174905305495</v>
      </c>
      <c r="F44" s="241">
        <v>0.72654019772733192</v>
      </c>
      <c r="G44" s="241">
        <v>0.91200000000000003</v>
      </c>
      <c r="H44" s="235">
        <v>2</v>
      </c>
      <c r="I44" s="235">
        <v>2</v>
      </c>
      <c r="J44" s="235">
        <v>61</v>
      </c>
      <c r="K44" s="1"/>
      <c r="L44"/>
    </row>
    <row r="45" spans="1:12" ht="15" customHeight="1" x14ac:dyDescent="0.25">
      <c r="A45" s="2">
        <v>42</v>
      </c>
      <c r="B45" s="229" t="s">
        <v>10</v>
      </c>
      <c r="C45" s="253" t="s">
        <v>49</v>
      </c>
      <c r="D45" s="231" t="s">
        <v>121</v>
      </c>
      <c r="E45" s="232">
        <f t="shared" si="1"/>
        <v>68.113857734426674</v>
      </c>
      <c r="F45" s="233">
        <v>0.73233258562624004</v>
      </c>
      <c r="G45" s="233">
        <v>0.92600000000000005</v>
      </c>
      <c r="H45" s="234">
        <v>4</v>
      </c>
      <c r="I45" s="234">
        <v>1</v>
      </c>
      <c r="J45" s="235">
        <v>58</v>
      </c>
      <c r="K45" s="1"/>
      <c r="L45"/>
    </row>
    <row r="46" spans="1:12" ht="15" customHeight="1" x14ac:dyDescent="0.25">
      <c r="A46" s="2">
        <v>43</v>
      </c>
      <c r="B46" s="236" t="s">
        <v>13</v>
      </c>
      <c r="C46" s="240" t="s">
        <v>19</v>
      </c>
      <c r="D46" s="231" t="s">
        <v>111</v>
      </c>
      <c r="E46" s="232">
        <f t="shared" si="1"/>
        <v>67.828498495047384</v>
      </c>
      <c r="F46" s="233">
        <v>0.66708396388113744</v>
      </c>
      <c r="G46" s="233">
        <v>0.93200000000000005</v>
      </c>
      <c r="H46" s="234">
        <v>4</v>
      </c>
      <c r="I46" s="234">
        <v>2</v>
      </c>
      <c r="J46" s="235">
        <v>47</v>
      </c>
      <c r="K46" s="1"/>
      <c r="L46"/>
    </row>
    <row r="47" spans="1:12" ht="15" customHeight="1" x14ac:dyDescent="0.25">
      <c r="A47" s="2">
        <v>44</v>
      </c>
      <c r="B47" s="229" t="s">
        <v>10</v>
      </c>
      <c r="C47" s="253" t="s">
        <v>49</v>
      </c>
      <c r="D47" s="231" t="s">
        <v>113</v>
      </c>
      <c r="E47" s="232">
        <f t="shared" si="1"/>
        <v>67.310505998087109</v>
      </c>
      <c r="F47" s="233">
        <v>0.80665214395409046</v>
      </c>
      <c r="G47" s="233">
        <v>0.92700000000000005</v>
      </c>
      <c r="H47" s="234">
        <v>3</v>
      </c>
      <c r="I47" s="234">
        <v>1</v>
      </c>
      <c r="J47" s="235">
        <v>47</v>
      </c>
      <c r="K47" s="1"/>
      <c r="L47"/>
    </row>
    <row r="48" spans="1:12" ht="15" customHeight="1" x14ac:dyDescent="0.25">
      <c r="A48" s="2">
        <v>45</v>
      </c>
      <c r="B48" s="229" t="s">
        <v>10</v>
      </c>
      <c r="C48" s="253" t="s">
        <v>49</v>
      </c>
      <c r="D48" s="231" t="s">
        <v>185</v>
      </c>
      <c r="E48" s="232">
        <f t="shared" si="1"/>
        <v>67.217285950766907</v>
      </c>
      <c r="F48" s="233">
        <v>0.81481486281840598</v>
      </c>
      <c r="G48" s="233">
        <v>0.71599999999999997</v>
      </c>
      <c r="H48" s="234">
        <v>4</v>
      </c>
      <c r="I48" s="234">
        <v>1</v>
      </c>
      <c r="J48" s="235">
        <v>53</v>
      </c>
      <c r="K48" s="1"/>
      <c r="L48"/>
    </row>
    <row r="49" spans="1:12" ht="15" customHeight="1" x14ac:dyDescent="0.25">
      <c r="A49" s="2">
        <v>46</v>
      </c>
      <c r="B49" s="243" t="s">
        <v>23</v>
      </c>
      <c r="C49" s="246" t="s">
        <v>26</v>
      </c>
      <c r="D49" s="231" t="s">
        <v>63</v>
      </c>
      <c r="E49" s="232">
        <f t="shared" si="1"/>
        <v>66.701082284223489</v>
      </c>
      <c r="F49" s="233">
        <v>0.44162597482136373</v>
      </c>
      <c r="G49" s="233">
        <v>0.65800000000000003</v>
      </c>
      <c r="H49" s="234">
        <v>4</v>
      </c>
      <c r="I49" s="234">
        <v>4</v>
      </c>
      <c r="J49" s="235">
        <v>74</v>
      </c>
      <c r="K49" s="1"/>
      <c r="L49"/>
    </row>
    <row r="50" spans="1:12" ht="15" customHeight="1" x14ac:dyDescent="0.25">
      <c r="A50" s="2">
        <v>47</v>
      </c>
      <c r="B50" s="243" t="s">
        <v>23</v>
      </c>
      <c r="C50" s="246" t="s">
        <v>26</v>
      </c>
      <c r="D50" s="231" t="s">
        <v>48</v>
      </c>
      <c r="E50" s="232">
        <f t="shared" si="1"/>
        <v>66.558018852313694</v>
      </c>
      <c r="F50" s="233">
        <v>0.46059245245552866</v>
      </c>
      <c r="G50" s="233">
        <v>0.82699999999999996</v>
      </c>
      <c r="H50" s="234">
        <v>1</v>
      </c>
      <c r="I50" s="234">
        <v>4</v>
      </c>
      <c r="J50" s="235">
        <v>89</v>
      </c>
      <c r="K50" s="1"/>
      <c r="L50"/>
    </row>
    <row r="51" spans="1:12" ht="15" customHeight="1" x14ac:dyDescent="0.25">
      <c r="A51" s="2">
        <v>48</v>
      </c>
      <c r="B51" s="229" t="s">
        <v>10</v>
      </c>
      <c r="C51" s="250" t="s">
        <v>35</v>
      </c>
      <c r="D51" s="231" t="s">
        <v>110</v>
      </c>
      <c r="E51" s="232">
        <f t="shared" si="1"/>
        <v>66.135032091721058</v>
      </c>
      <c r="F51" s="241">
        <v>0.63444077020130529</v>
      </c>
      <c r="G51" s="247">
        <v>0.80200000000000005</v>
      </c>
      <c r="H51" s="235">
        <v>2</v>
      </c>
      <c r="I51" s="235">
        <v>3</v>
      </c>
      <c r="J51" s="235">
        <v>58</v>
      </c>
      <c r="K51" s="1"/>
      <c r="L51"/>
    </row>
    <row r="52" spans="1:12" ht="15" customHeight="1" x14ac:dyDescent="0.25">
      <c r="A52" s="2">
        <v>49</v>
      </c>
      <c r="B52" s="243" t="s">
        <v>23</v>
      </c>
      <c r="C52" s="246" t="s">
        <v>26</v>
      </c>
      <c r="D52" s="231" t="s">
        <v>70</v>
      </c>
      <c r="E52" s="232">
        <f t="shared" si="1"/>
        <v>65.862174372927271</v>
      </c>
      <c r="F52" s="241">
        <v>0.55029218495025445</v>
      </c>
      <c r="G52" s="247">
        <v>0.44600000000000001</v>
      </c>
      <c r="H52" s="235">
        <v>4</v>
      </c>
      <c r="I52" s="235">
        <v>4</v>
      </c>
      <c r="J52" s="235">
        <v>63</v>
      </c>
      <c r="K52" s="1"/>
      <c r="L52"/>
    </row>
    <row r="53" spans="1:12" ht="15" customHeight="1" x14ac:dyDescent="0.25">
      <c r="A53" s="2">
        <v>50</v>
      </c>
      <c r="B53" s="229" t="s">
        <v>10</v>
      </c>
      <c r="C53" s="253" t="s">
        <v>49</v>
      </c>
      <c r="D53" s="231" t="s">
        <v>102</v>
      </c>
      <c r="E53" s="232">
        <f t="shared" si="1"/>
        <v>65.764143108203712</v>
      </c>
      <c r="F53" s="233">
        <v>0.68213943459688908</v>
      </c>
      <c r="G53" s="245">
        <v>0.92549999999999999</v>
      </c>
      <c r="H53" s="234">
        <v>3</v>
      </c>
      <c r="I53" s="234">
        <v>2</v>
      </c>
      <c r="J53" s="235">
        <v>44</v>
      </c>
      <c r="K53" s="1"/>
      <c r="L53"/>
    </row>
    <row r="54" spans="1:12" ht="15" customHeight="1" x14ac:dyDescent="0.25">
      <c r="A54" s="2">
        <v>51</v>
      </c>
      <c r="B54" s="229" t="s">
        <v>10</v>
      </c>
      <c r="C54" s="253" t="s">
        <v>49</v>
      </c>
      <c r="D54" s="231" t="s">
        <v>204</v>
      </c>
      <c r="E54" s="232">
        <f t="shared" si="1"/>
        <v>65.676483644517063</v>
      </c>
      <c r="F54" s="233">
        <v>0.52703560746840961</v>
      </c>
      <c r="G54" s="233">
        <v>0.49299999999999999</v>
      </c>
      <c r="H54" s="234">
        <v>4</v>
      </c>
      <c r="I54" s="234">
        <v>4</v>
      </c>
      <c r="J54" s="235">
        <v>63</v>
      </c>
      <c r="K54" s="1"/>
      <c r="L54"/>
    </row>
    <row r="55" spans="1:12" ht="15" customHeight="1" x14ac:dyDescent="0.25">
      <c r="A55" s="2">
        <v>52</v>
      </c>
      <c r="B55" s="236" t="s">
        <v>13</v>
      </c>
      <c r="C55" s="237" t="s">
        <v>14</v>
      </c>
      <c r="D55" s="231" t="s">
        <v>174</v>
      </c>
      <c r="E55" s="232">
        <f t="shared" si="1"/>
        <v>65.158268792736791</v>
      </c>
      <c r="F55" s="233">
        <v>0.66139845102568307</v>
      </c>
      <c r="G55" s="233">
        <v>0.78600000000000003</v>
      </c>
      <c r="H55" s="234">
        <v>4</v>
      </c>
      <c r="I55" s="234">
        <v>2</v>
      </c>
      <c r="J55" s="235">
        <v>47</v>
      </c>
      <c r="K55" s="1"/>
      <c r="L55"/>
    </row>
    <row r="56" spans="1:12" ht="15" customHeight="1" x14ac:dyDescent="0.25">
      <c r="A56" s="2">
        <v>53</v>
      </c>
      <c r="B56" s="236" t="s">
        <v>13</v>
      </c>
      <c r="C56" s="237" t="s">
        <v>14</v>
      </c>
      <c r="D56" s="231" t="s">
        <v>186</v>
      </c>
      <c r="E56" s="232">
        <f t="shared" si="1"/>
        <v>65.03172586084834</v>
      </c>
      <c r="F56" s="233">
        <v>0.59796142066036018</v>
      </c>
      <c r="G56" s="233">
        <v>0.91700000000000004</v>
      </c>
      <c r="H56" s="234">
        <v>4</v>
      </c>
      <c r="I56" s="234">
        <v>1</v>
      </c>
      <c r="J56" s="235">
        <v>74</v>
      </c>
      <c r="K56" s="1"/>
      <c r="L56"/>
    </row>
    <row r="57" spans="1:12" ht="15" customHeight="1" x14ac:dyDescent="0.25">
      <c r="A57" s="2">
        <v>54</v>
      </c>
      <c r="B57" s="236" t="s">
        <v>13</v>
      </c>
      <c r="C57" s="237" t="s">
        <v>14</v>
      </c>
      <c r="D57" s="231" t="s">
        <v>160</v>
      </c>
      <c r="E57" s="232">
        <f t="shared" si="1"/>
        <v>64.370182867111751</v>
      </c>
      <c r="F57" s="233">
        <v>0.625684388810682</v>
      </c>
      <c r="G57" s="233">
        <v>0.70799999999999996</v>
      </c>
      <c r="H57" s="234">
        <v>4</v>
      </c>
      <c r="I57" s="234">
        <v>1</v>
      </c>
      <c r="J57" s="235">
        <v>84</v>
      </c>
      <c r="K57" s="1"/>
      <c r="L57"/>
    </row>
    <row r="58" spans="1:12" ht="15" customHeight="1" x14ac:dyDescent="0.25">
      <c r="A58" s="2">
        <v>55</v>
      </c>
      <c r="B58" s="236" t="s">
        <v>13</v>
      </c>
      <c r="C58" s="237" t="s">
        <v>14</v>
      </c>
      <c r="D58" s="231" t="s">
        <v>214</v>
      </c>
      <c r="E58" s="232">
        <f t="shared" si="1"/>
        <v>63.53639699460291</v>
      </c>
      <c r="F58" s="233">
        <v>0.63127352787046964</v>
      </c>
      <c r="G58" s="233">
        <v>0.80400000000000005</v>
      </c>
      <c r="H58" s="234">
        <v>4</v>
      </c>
      <c r="I58" s="234">
        <v>1</v>
      </c>
      <c r="J58" s="235">
        <v>68</v>
      </c>
      <c r="K58" s="1"/>
      <c r="L58"/>
    </row>
    <row r="59" spans="1:12" ht="15" customHeight="1" x14ac:dyDescent="0.25">
      <c r="A59" s="2">
        <v>56</v>
      </c>
      <c r="B59" s="236" t="s">
        <v>13</v>
      </c>
      <c r="C59" s="237" t="s">
        <v>14</v>
      </c>
      <c r="D59" s="231" t="s">
        <v>575</v>
      </c>
      <c r="E59" s="232">
        <f t="shared" si="1"/>
        <v>62.974510073395834</v>
      </c>
      <c r="F59" s="233">
        <v>0.5717882417615</v>
      </c>
      <c r="G59" s="233">
        <v>0.85899999999999999</v>
      </c>
      <c r="H59" s="234">
        <v>4</v>
      </c>
      <c r="I59" s="234">
        <v>1</v>
      </c>
      <c r="J59" s="235">
        <v>74</v>
      </c>
      <c r="K59" s="1"/>
      <c r="L59"/>
    </row>
    <row r="60" spans="1:12" ht="15" customHeight="1" x14ac:dyDescent="0.25">
      <c r="A60" s="2">
        <v>57</v>
      </c>
      <c r="B60" s="229" t="s">
        <v>10</v>
      </c>
      <c r="C60" s="253" t="s">
        <v>49</v>
      </c>
      <c r="D60" s="231" t="s">
        <v>147</v>
      </c>
      <c r="E60" s="232">
        <f t="shared" si="1"/>
        <v>62.955513009222848</v>
      </c>
      <c r="F60" s="233">
        <v>0.57413231222134842</v>
      </c>
      <c r="G60" s="233">
        <v>0.752</v>
      </c>
      <c r="H60" s="234">
        <v>4</v>
      </c>
      <c r="I60" s="234">
        <v>1</v>
      </c>
      <c r="J60" s="235">
        <v>84</v>
      </c>
      <c r="K60" s="1"/>
      <c r="L60"/>
    </row>
    <row r="61" spans="1:12" ht="15" customHeight="1" x14ac:dyDescent="0.25">
      <c r="A61" s="2">
        <v>58</v>
      </c>
      <c r="B61" s="236" t="s">
        <v>13</v>
      </c>
      <c r="C61" s="237" t="s">
        <v>14</v>
      </c>
      <c r="D61" s="231" t="s">
        <v>122</v>
      </c>
      <c r="E61" s="232">
        <f t="shared" si="1"/>
        <v>62.792846569976426</v>
      </c>
      <c r="F61" s="233">
        <v>0.58822831767943429</v>
      </c>
      <c r="G61" s="233">
        <v>0.59699999999999998</v>
      </c>
      <c r="H61" s="234">
        <v>4</v>
      </c>
      <c r="I61" s="234">
        <v>1</v>
      </c>
      <c r="J61" s="235">
        <v>95</v>
      </c>
      <c r="K61" s="1"/>
      <c r="L61"/>
    </row>
    <row r="62" spans="1:12" ht="15" customHeight="1" x14ac:dyDescent="0.25">
      <c r="A62" s="2">
        <v>59</v>
      </c>
      <c r="B62" s="236" t="s">
        <v>13</v>
      </c>
      <c r="C62" s="237" t="s">
        <v>14</v>
      </c>
      <c r="D62" s="231" t="s">
        <v>182</v>
      </c>
      <c r="E62" s="232">
        <f t="shared" si="1"/>
        <v>62.668457947757872</v>
      </c>
      <c r="F62" s="233">
        <v>0.62324299074618894</v>
      </c>
      <c r="G62" s="233">
        <v>0.77200000000000002</v>
      </c>
      <c r="H62" s="234">
        <v>4</v>
      </c>
      <c r="I62" s="234">
        <v>1</v>
      </c>
      <c r="J62" s="235">
        <v>68</v>
      </c>
      <c r="K62" s="1"/>
      <c r="L62"/>
    </row>
    <row r="63" spans="1:12" ht="15" customHeight="1" x14ac:dyDescent="0.25">
      <c r="A63" s="2">
        <v>60</v>
      </c>
      <c r="B63" s="238" t="s">
        <v>16</v>
      </c>
      <c r="C63" s="252" t="s">
        <v>42</v>
      </c>
      <c r="D63" s="231" t="s">
        <v>54</v>
      </c>
      <c r="E63" s="232">
        <f t="shared" si="1"/>
        <v>59.911271502378078</v>
      </c>
      <c r="F63" s="241">
        <v>0.58907051605707395</v>
      </c>
      <c r="G63" s="247">
        <v>0.79200000000000004</v>
      </c>
      <c r="H63" s="235">
        <v>4</v>
      </c>
      <c r="I63" s="235">
        <v>1</v>
      </c>
      <c r="J63" s="235">
        <v>58</v>
      </c>
      <c r="K63" s="1"/>
      <c r="L63"/>
    </row>
    <row r="64" spans="1:12" ht="15" customHeight="1" x14ac:dyDescent="0.25">
      <c r="A64" s="2">
        <v>61</v>
      </c>
      <c r="B64" s="229" t="s">
        <v>10</v>
      </c>
      <c r="C64" s="253" t="s">
        <v>49</v>
      </c>
      <c r="D64" s="231" t="s">
        <v>134</v>
      </c>
      <c r="E64" s="232">
        <f t="shared" si="1"/>
        <v>59.754533399396365</v>
      </c>
      <c r="F64" s="241">
        <v>0.68790880158551271</v>
      </c>
      <c r="G64" s="241">
        <v>0.92549999999999999</v>
      </c>
      <c r="H64" s="235">
        <v>2</v>
      </c>
      <c r="I64" s="235">
        <v>1</v>
      </c>
      <c r="J64" s="258">
        <v>44</v>
      </c>
      <c r="K64" s="1"/>
      <c r="L64"/>
    </row>
    <row r="65" spans="1:12" ht="15" customHeight="1" x14ac:dyDescent="0.25">
      <c r="A65" s="2">
        <v>62</v>
      </c>
      <c r="B65" s="236" t="s">
        <v>13</v>
      </c>
      <c r="C65" s="237" t="s">
        <v>14</v>
      </c>
      <c r="D65" s="231" t="s">
        <v>51</v>
      </c>
      <c r="E65" s="232">
        <f t="shared" si="1"/>
        <v>59.584287140589062</v>
      </c>
      <c r="F65" s="233">
        <v>0.5976228913741376</v>
      </c>
      <c r="G65" s="233">
        <v>0.86099999999999999</v>
      </c>
      <c r="H65" s="234">
        <v>4</v>
      </c>
      <c r="I65" s="234">
        <v>1</v>
      </c>
      <c r="J65" s="235">
        <v>47</v>
      </c>
      <c r="K65" s="1"/>
      <c r="L65"/>
    </row>
    <row r="66" spans="1:12" ht="15" customHeight="1" x14ac:dyDescent="0.25">
      <c r="A66" s="2">
        <v>63</v>
      </c>
      <c r="B66" s="236" t="s">
        <v>13</v>
      </c>
      <c r="C66" s="237" t="s">
        <v>14</v>
      </c>
      <c r="D66" s="231" t="s">
        <v>103</v>
      </c>
      <c r="E66" s="232">
        <f t="shared" si="1"/>
        <v>59.43338493290878</v>
      </c>
      <c r="F66" s="233">
        <v>0.39440123838981056</v>
      </c>
      <c r="G66" s="233">
        <v>0.84</v>
      </c>
      <c r="H66" s="234">
        <v>4</v>
      </c>
      <c r="I66" s="234">
        <v>2</v>
      </c>
      <c r="J66" s="235">
        <v>74</v>
      </c>
      <c r="K66" s="1"/>
      <c r="L66"/>
    </row>
    <row r="67" spans="1:12" ht="15" customHeight="1" x14ac:dyDescent="0.25">
      <c r="A67" s="2">
        <v>64</v>
      </c>
      <c r="B67" s="238" t="s">
        <v>16</v>
      </c>
      <c r="C67" s="252" t="s">
        <v>42</v>
      </c>
      <c r="D67" s="231" t="s">
        <v>43</v>
      </c>
      <c r="E67" s="232">
        <f t="shared" si="1"/>
        <v>59.379924640823823</v>
      </c>
      <c r="F67" s="233">
        <v>0.66231819137977177</v>
      </c>
      <c r="G67" s="233">
        <v>0.89700000000000002</v>
      </c>
      <c r="H67" s="234">
        <v>4</v>
      </c>
      <c r="I67" s="234">
        <v>1</v>
      </c>
      <c r="J67" s="235">
        <v>26</v>
      </c>
      <c r="K67" s="1"/>
      <c r="L67"/>
    </row>
    <row r="68" spans="1:12" ht="15" customHeight="1" x14ac:dyDescent="0.25">
      <c r="A68" s="2">
        <v>65</v>
      </c>
      <c r="B68" s="243" t="s">
        <v>23</v>
      </c>
      <c r="C68" s="246" t="s">
        <v>26</v>
      </c>
      <c r="D68" s="231" t="s">
        <v>144</v>
      </c>
      <c r="E68" s="232">
        <f t="shared" ref="E68:E99" si="2">(F68*100*2.5+G68*100+(H68/4)*100*0.5+(I68/4)*100+J68)/6</f>
        <v>59.318209488668309</v>
      </c>
      <c r="F68" s="233">
        <v>0.35683702772803944</v>
      </c>
      <c r="G68" s="233">
        <v>0.63700000000000001</v>
      </c>
      <c r="H68" s="234">
        <v>4</v>
      </c>
      <c r="I68" s="234">
        <v>4</v>
      </c>
      <c r="J68" s="235">
        <v>53</v>
      </c>
      <c r="K68" s="1"/>
      <c r="L68"/>
    </row>
    <row r="69" spans="1:12" ht="15" customHeight="1" x14ac:dyDescent="0.25">
      <c r="A69" s="2">
        <v>66</v>
      </c>
      <c r="B69" s="236" t="s">
        <v>13</v>
      </c>
      <c r="C69" s="237" t="s">
        <v>14</v>
      </c>
      <c r="D69" s="231" t="s">
        <v>171</v>
      </c>
      <c r="E69" s="232">
        <f t="shared" si="2"/>
        <v>58.971021276082077</v>
      </c>
      <c r="F69" s="233">
        <v>0.5741045106259699</v>
      </c>
      <c r="G69" s="233">
        <v>0.88300000000000001</v>
      </c>
      <c r="H69" s="234">
        <v>2</v>
      </c>
      <c r="I69" s="234">
        <v>2</v>
      </c>
      <c r="J69" s="235">
        <v>47</v>
      </c>
      <c r="K69" s="1"/>
      <c r="L69"/>
    </row>
    <row r="70" spans="1:12" ht="15" customHeight="1" x14ac:dyDescent="0.25">
      <c r="A70" s="2">
        <v>67</v>
      </c>
      <c r="B70" s="236" t="s">
        <v>13</v>
      </c>
      <c r="C70" s="237" t="s">
        <v>14</v>
      </c>
      <c r="D70" s="231" t="s">
        <v>15</v>
      </c>
      <c r="E70" s="232">
        <f t="shared" si="2"/>
        <v>58.72385219792924</v>
      </c>
      <c r="F70" s="233">
        <v>0.50537245275030174</v>
      </c>
      <c r="G70" s="233">
        <v>0.88</v>
      </c>
      <c r="H70" s="234">
        <v>4</v>
      </c>
      <c r="I70" s="234">
        <v>1</v>
      </c>
      <c r="J70" s="235">
        <v>63</v>
      </c>
      <c r="K70" s="1"/>
      <c r="L70"/>
    </row>
    <row r="71" spans="1:12" ht="15" customHeight="1" x14ac:dyDescent="0.25">
      <c r="A71" s="2">
        <v>68</v>
      </c>
      <c r="B71" s="243" t="s">
        <v>23</v>
      </c>
      <c r="C71" s="244" t="s">
        <v>24</v>
      </c>
      <c r="D71" s="231" t="s">
        <v>38</v>
      </c>
      <c r="E71" s="232">
        <f t="shared" si="2"/>
        <v>58.627189430936369</v>
      </c>
      <c r="F71" s="233">
        <v>0.63945254634247284</v>
      </c>
      <c r="G71" s="233">
        <v>0.82399999999999995</v>
      </c>
      <c r="H71" s="234">
        <v>3</v>
      </c>
      <c r="I71" s="234">
        <v>1</v>
      </c>
      <c r="J71" s="235">
        <v>47</v>
      </c>
      <c r="K71" s="1"/>
      <c r="L71"/>
    </row>
    <row r="72" spans="1:12" ht="15" customHeight="1" x14ac:dyDescent="0.25">
      <c r="A72" s="2">
        <v>69</v>
      </c>
      <c r="B72" s="229" t="s">
        <v>10</v>
      </c>
      <c r="C72" s="230" t="s">
        <v>11</v>
      </c>
      <c r="D72" s="231" t="s">
        <v>44</v>
      </c>
      <c r="E72" s="232">
        <f t="shared" si="2"/>
        <v>58.583333169459841</v>
      </c>
      <c r="F72" s="241">
        <v>0.7195999960670364</v>
      </c>
      <c r="G72" s="247">
        <v>0.76100000000000001</v>
      </c>
      <c r="H72" s="235">
        <v>1</v>
      </c>
      <c r="I72" s="235">
        <v>1</v>
      </c>
      <c r="J72" s="235">
        <v>58</v>
      </c>
      <c r="K72" s="1"/>
      <c r="L72"/>
    </row>
    <row r="73" spans="1:12" ht="15" customHeight="1" x14ac:dyDescent="0.25">
      <c r="A73" s="2">
        <v>70</v>
      </c>
      <c r="B73" s="238" t="s">
        <v>16</v>
      </c>
      <c r="C73" s="242" t="s">
        <v>21</v>
      </c>
      <c r="D73" s="231" t="s">
        <v>183</v>
      </c>
      <c r="E73" s="232">
        <f t="shared" si="2"/>
        <v>58.300725919336521</v>
      </c>
      <c r="F73" s="241">
        <v>0.61681742206407653</v>
      </c>
      <c r="G73" s="247">
        <v>0.92600000000000005</v>
      </c>
      <c r="H73" s="235">
        <v>2</v>
      </c>
      <c r="I73" s="235">
        <v>1</v>
      </c>
      <c r="J73" s="235">
        <v>53</v>
      </c>
      <c r="K73" s="1"/>
      <c r="L73"/>
    </row>
    <row r="74" spans="1:12" ht="15" customHeight="1" x14ac:dyDescent="0.25">
      <c r="A74" s="2">
        <v>71</v>
      </c>
      <c r="B74" s="243" t="s">
        <v>23</v>
      </c>
      <c r="C74" s="246" t="s">
        <v>26</v>
      </c>
      <c r="D74" s="231" t="s">
        <v>77</v>
      </c>
      <c r="E74" s="232">
        <f t="shared" si="2"/>
        <v>58.07542994643503</v>
      </c>
      <c r="F74" s="233">
        <v>0.39221031871444056</v>
      </c>
      <c r="G74" s="233">
        <v>0.66400000000000003</v>
      </c>
      <c r="H74" s="234">
        <v>2</v>
      </c>
      <c r="I74" s="234">
        <v>3</v>
      </c>
      <c r="J74" s="235">
        <v>84</v>
      </c>
      <c r="K74" s="1"/>
      <c r="L74"/>
    </row>
    <row r="75" spans="1:12" ht="15" customHeight="1" x14ac:dyDescent="0.25">
      <c r="A75" s="2">
        <v>72</v>
      </c>
      <c r="B75" s="243" t="s">
        <v>23</v>
      </c>
      <c r="C75" s="244" t="s">
        <v>24</v>
      </c>
      <c r="D75" s="231" t="s">
        <v>195</v>
      </c>
      <c r="E75" s="232">
        <f t="shared" si="2"/>
        <v>57.684480452192993</v>
      </c>
      <c r="F75" s="233">
        <v>0.74522753085263194</v>
      </c>
      <c r="G75" s="245">
        <v>0.65800000000000003</v>
      </c>
      <c r="H75" s="234">
        <v>2</v>
      </c>
      <c r="I75" s="234">
        <v>1</v>
      </c>
      <c r="J75" s="235">
        <v>44</v>
      </c>
      <c r="K75" s="1"/>
      <c r="L75"/>
    </row>
    <row r="76" spans="1:12" ht="15" customHeight="1" x14ac:dyDescent="0.25">
      <c r="A76" s="2">
        <v>73</v>
      </c>
      <c r="B76" s="248" t="s">
        <v>29</v>
      </c>
      <c r="C76" s="257" t="s">
        <v>118</v>
      </c>
      <c r="D76" s="231" t="s">
        <v>141</v>
      </c>
      <c r="E76" s="232">
        <f t="shared" si="2"/>
        <v>57.441895747823061</v>
      </c>
      <c r="F76" s="241">
        <v>0.65860549794775336</v>
      </c>
      <c r="G76" s="241">
        <v>0.70499999999999996</v>
      </c>
      <c r="H76" s="235">
        <v>1</v>
      </c>
      <c r="I76" s="235">
        <v>1</v>
      </c>
      <c r="J76" s="235">
        <v>72</v>
      </c>
      <c r="K76" s="1"/>
      <c r="L76"/>
    </row>
    <row r="77" spans="1:12" ht="15" customHeight="1" x14ac:dyDescent="0.25">
      <c r="A77" s="2">
        <v>74</v>
      </c>
      <c r="B77" s="238" t="s">
        <v>16</v>
      </c>
      <c r="C77" s="242" t="s">
        <v>21</v>
      </c>
      <c r="D77" s="231" t="s">
        <v>47</v>
      </c>
      <c r="E77" s="232">
        <f t="shared" si="2"/>
        <v>57.240672227572382</v>
      </c>
      <c r="F77" s="233">
        <v>0.64977613346173724</v>
      </c>
      <c r="G77" s="233">
        <v>0.73</v>
      </c>
      <c r="H77" s="234">
        <v>2</v>
      </c>
      <c r="I77" s="234">
        <v>1</v>
      </c>
      <c r="J77" s="235">
        <v>58</v>
      </c>
      <c r="K77" s="1"/>
      <c r="L77"/>
    </row>
    <row r="78" spans="1:12" ht="15" customHeight="1" x14ac:dyDescent="0.25">
      <c r="A78" s="2">
        <v>75</v>
      </c>
      <c r="B78" s="248" t="s">
        <v>29</v>
      </c>
      <c r="C78" s="255" t="s">
        <v>85</v>
      </c>
      <c r="D78" s="231" t="s">
        <v>86</v>
      </c>
      <c r="E78" s="232">
        <f t="shared" si="2"/>
        <v>57.205886654076728</v>
      </c>
      <c r="F78" s="241">
        <v>0.62894127969784153</v>
      </c>
      <c r="G78" s="247">
        <v>0.70499999999999996</v>
      </c>
      <c r="H78" s="235">
        <v>3</v>
      </c>
      <c r="I78" s="235">
        <v>1</v>
      </c>
      <c r="J78" s="235">
        <v>53</v>
      </c>
      <c r="K78" s="1"/>
    </row>
    <row r="79" spans="1:12" ht="15" customHeight="1" x14ac:dyDescent="0.25">
      <c r="A79" s="2">
        <v>76</v>
      </c>
      <c r="B79" s="229" t="s">
        <v>10</v>
      </c>
      <c r="C79" s="253" t="s">
        <v>49</v>
      </c>
      <c r="D79" s="231" t="s">
        <v>222</v>
      </c>
      <c r="E79" s="232">
        <f t="shared" si="2"/>
        <v>56.937570597812964</v>
      </c>
      <c r="F79" s="233">
        <v>0.58330169434751122</v>
      </c>
      <c r="G79" s="233">
        <v>0.67800000000000005</v>
      </c>
      <c r="H79" s="234">
        <v>4</v>
      </c>
      <c r="I79" s="234">
        <v>1</v>
      </c>
      <c r="J79" s="235">
        <v>53</v>
      </c>
      <c r="K79" s="1"/>
      <c r="L79"/>
    </row>
    <row r="80" spans="1:12" ht="15" customHeight="1" x14ac:dyDescent="0.25">
      <c r="A80" s="2">
        <v>77</v>
      </c>
      <c r="B80" s="236" t="s">
        <v>13</v>
      </c>
      <c r="C80" s="237" t="s">
        <v>14</v>
      </c>
      <c r="D80" s="231" t="s">
        <v>46</v>
      </c>
      <c r="E80" s="232">
        <f t="shared" si="2"/>
        <v>56.66138802490169</v>
      </c>
      <c r="F80" s="233">
        <v>0.54747331259764065</v>
      </c>
      <c r="G80" s="233">
        <v>0.70099999999999996</v>
      </c>
      <c r="H80" s="234">
        <v>4</v>
      </c>
      <c r="I80" s="234">
        <v>1</v>
      </c>
      <c r="J80" s="235">
        <v>58</v>
      </c>
      <c r="K80" s="1"/>
      <c r="L80"/>
    </row>
    <row r="81" spans="1:12" ht="15" customHeight="1" x14ac:dyDescent="0.25">
      <c r="A81" s="2">
        <v>78</v>
      </c>
      <c r="B81" s="236" t="s">
        <v>13</v>
      </c>
      <c r="C81" s="237" t="s">
        <v>14</v>
      </c>
      <c r="D81" s="231" t="s">
        <v>91</v>
      </c>
      <c r="E81" s="232">
        <f t="shared" si="2"/>
        <v>56.098405082943771</v>
      </c>
      <c r="F81" s="233">
        <v>0.55596172199065041</v>
      </c>
      <c r="G81" s="233">
        <v>0.80600000000000005</v>
      </c>
      <c r="H81" s="234">
        <v>4</v>
      </c>
      <c r="I81" s="234">
        <v>1</v>
      </c>
      <c r="J81" s="235">
        <v>42</v>
      </c>
      <c r="K81" s="1"/>
      <c r="L81"/>
    </row>
    <row r="82" spans="1:12" ht="15" customHeight="1" x14ac:dyDescent="0.25">
      <c r="A82" s="2">
        <v>79</v>
      </c>
      <c r="B82" s="236" t="s">
        <v>13</v>
      </c>
      <c r="C82" s="237" t="s">
        <v>14</v>
      </c>
      <c r="D82" s="231" t="s">
        <v>28</v>
      </c>
      <c r="E82" s="232">
        <f t="shared" si="2"/>
        <v>55.803750811974396</v>
      </c>
      <c r="F82" s="241">
        <v>0.56729001948738533</v>
      </c>
      <c r="G82" s="247">
        <v>0.86</v>
      </c>
      <c r="H82" s="235">
        <v>4</v>
      </c>
      <c r="I82" s="235">
        <v>1</v>
      </c>
      <c r="J82" s="235">
        <v>32</v>
      </c>
      <c r="K82" s="1"/>
      <c r="L82"/>
    </row>
    <row r="83" spans="1:12" ht="15" customHeight="1" x14ac:dyDescent="0.25">
      <c r="A83" s="2">
        <v>80</v>
      </c>
      <c r="B83" s="243" t="s">
        <v>23</v>
      </c>
      <c r="C83" s="244" t="s">
        <v>24</v>
      </c>
      <c r="D83" s="231" t="s">
        <v>194</v>
      </c>
      <c r="E83" s="232">
        <f t="shared" si="2"/>
        <v>55.576854885251954</v>
      </c>
      <c r="F83" s="233">
        <v>0.64224451724604703</v>
      </c>
      <c r="G83" s="245">
        <v>0.82399999999999995</v>
      </c>
      <c r="H83" s="234">
        <v>1</v>
      </c>
      <c r="I83" s="234">
        <v>1</v>
      </c>
      <c r="J83" s="235">
        <v>53</v>
      </c>
      <c r="K83" s="1"/>
      <c r="L83"/>
    </row>
    <row r="84" spans="1:12" ht="15" customHeight="1" x14ac:dyDescent="0.25">
      <c r="A84" s="2">
        <v>81</v>
      </c>
      <c r="B84" s="243" t="s">
        <v>23</v>
      </c>
      <c r="C84" s="244" t="s">
        <v>24</v>
      </c>
      <c r="D84" s="231" t="s">
        <v>25</v>
      </c>
      <c r="E84" s="232">
        <f t="shared" si="2"/>
        <v>55.453279024110458</v>
      </c>
      <c r="F84" s="233">
        <v>0.68327869657865115</v>
      </c>
      <c r="G84" s="245">
        <v>0.82399999999999995</v>
      </c>
      <c r="H84" s="234">
        <v>1</v>
      </c>
      <c r="I84" s="234">
        <v>1</v>
      </c>
      <c r="J84" s="235">
        <v>42</v>
      </c>
      <c r="K84" s="1"/>
      <c r="L84"/>
    </row>
    <row r="85" spans="1:12" ht="15" customHeight="1" x14ac:dyDescent="0.25">
      <c r="A85" s="2">
        <v>82</v>
      </c>
      <c r="B85" s="238" t="s">
        <v>16</v>
      </c>
      <c r="C85" s="252" t="s">
        <v>42</v>
      </c>
      <c r="D85" s="231" t="s">
        <v>179</v>
      </c>
      <c r="E85" s="232">
        <f t="shared" si="2"/>
        <v>54.983489375350509</v>
      </c>
      <c r="F85" s="241">
        <v>0.52560374500841223</v>
      </c>
      <c r="G85" s="247">
        <v>0.86499999999999999</v>
      </c>
      <c r="H85" s="235">
        <v>4</v>
      </c>
      <c r="I85" s="235">
        <v>1</v>
      </c>
      <c r="J85" s="235">
        <v>37</v>
      </c>
      <c r="K85" s="1"/>
      <c r="L85"/>
    </row>
    <row r="86" spans="1:12" ht="15" customHeight="1" x14ac:dyDescent="0.25">
      <c r="A86" s="2">
        <v>83</v>
      </c>
      <c r="B86" s="243" t="s">
        <v>23</v>
      </c>
      <c r="C86" s="246" t="s">
        <v>26</v>
      </c>
      <c r="D86" s="231" t="s">
        <v>45</v>
      </c>
      <c r="E86" s="232">
        <f t="shared" si="2"/>
        <v>54.510858700896506</v>
      </c>
      <c r="F86" s="233">
        <v>0.36546060882151604</v>
      </c>
      <c r="G86" s="233">
        <v>0.71699999999999997</v>
      </c>
      <c r="H86" s="234">
        <v>2</v>
      </c>
      <c r="I86" s="234">
        <v>2</v>
      </c>
      <c r="J86" s="235">
        <v>89</v>
      </c>
      <c r="K86" s="1"/>
      <c r="L86" s="251"/>
    </row>
    <row r="87" spans="1:12" ht="15" customHeight="1" x14ac:dyDescent="0.25">
      <c r="A87" s="2">
        <v>84</v>
      </c>
      <c r="B87" s="248" t="s">
        <v>29</v>
      </c>
      <c r="C87" s="257" t="s">
        <v>118</v>
      </c>
      <c r="D87" s="231" t="s">
        <v>145</v>
      </c>
      <c r="E87" s="232">
        <f t="shared" si="2"/>
        <v>54.229291655081511</v>
      </c>
      <c r="F87" s="241">
        <v>0.67790299972195633</v>
      </c>
      <c r="G87" s="241">
        <v>0.68400000000000005</v>
      </c>
      <c r="H87" s="235">
        <v>1</v>
      </c>
      <c r="I87" s="235">
        <v>1</v>
      </c>
      <c r="J87" s="235">
        <v>50</v>
      </c>
      <c r="K87" s="1"/>
      <c r="L87"/>
    </row>
    <row r="88" spans="1:12" ht="15" customHeight="1" x14ac:dyDescent="0.25">
      <c r="A88" s="2">
        <v>85</v>
      </c>
      <c r="B88" s="248" t="s">
        <v>29</v>
      </c>
      <c r="C88" s="257" t="s">
        <v>118</v>
      </c>
      <c r="D88" s="231" t="s">
        <v>332</v>
      </c>
      <c r="E88" s="232">
        <f t="shared" si="2"/>
        <v>53.773437130287256</v>
      </c>
      <c r="F88" s="241">
        <v>0.6085624911268942</v>
      </c>
      <c r="G88" s="241">
        <v>0.70499999999999996</v>
      </c>
      <c r="H88" s="235">
        <v>2</v>
      </c>
      <c r="I88" s="235">
        <v>1</v>
      </c>
      <c r="J88" s="235">
        <v>50</v>
      </c>
      <c r="K88" s="1"/>
      <c r="L88"/>
    </row>
    <row r="89" spans="1:12" ht="15" customHeight="1" x14ac:dyDescent="0.25">
      <c r="A89" s="2">
        <v>86</v>
      </c>
      <c r="B89" s="248" t="s">
        <v>29</v>
      </c>
      <c r="C89" s="257" t="s">
        <v>118</v>
      </c>
      <c r="D89" s="231" t="s">
        <v>164</v>
      </c>
      <c r="E89" s="232">
        <f t="shared" si="2"/>
        <v>53.154836194714818</v>
      </c>
      <c r="F89" s="241">
        <v>0.69371606867315561</v>
      </c>
      <c r="G89" s="241">
        <v>0.70499999999999996</v>
      </c>
      <c r="H89" s="235">
        <v>0</v>
      </c>
      <c r="I89" s="235">
        <v>1</v>
      </c>
      <c r="J89" s="235">
        <v>50</v>
      </c>
      <c r="K89" s="1"/>
      <c r="L89"/>
    </row>
    <row r="90" spans="1:12" ht="15" customHeight="1" x14ac:dyDescent="0.25">
      <c r="A90" s="2">
        <v>87</v>
      </c>
      <c r="B90" s="243" t="s">
        <v>23</v>
      </c>
      <c r="C90" s="244" t="s">
        <v>24</v>
      </c>
      <c r="D90" s="231" t="s">
        <v>208</v>
      </c>
      <c r="E90" s="232">
        <f t="shared" si="2"/>
        <v>52.996301478136502</v>
      </c>
      <c r="F90" s="233">
        <v>0.55671123547527612</v>
      </c>
      <c r="G90" s="233">
        <v>0.81799999999999995</v>
      </c>
      <c r="H90" s="234">
        <v>2</v>
      </c>
      <c r="I90" s="234">
        <v>1</v>
      </c>
      <c r="J90" s="235">
        <v>47</v>
      </c>
      <c r="K90" s="1"/>
      <c r="L90"/>
    </row>
    <row r="91" spans="1:12" ht="15" customHeight="1" x14ac:dyDescent="0.25">
      <c r="A91" s="2">
        <v>88</v>
      </c>
      <c r="B91" s="248" t="s">
        <v>29</v>
      </c>
      <c r="C91" s="257" t="s">
        <v>118</v>
      </c>
      <c r="D91" s="231" t="s">
        <v>177</v>
      </c>
      <c r="E91" s="232">
        <f t="shared" si="2"/>
        <v>52.902017950027378</v>
      </c>
      <c r="F91" s="241">
        <v>0.68764843080065718</v>
      </c>
      <c r="G91" s="241">
        <v>0.70499999999999996</v>
      </c>
      <c r="H91" s="235">
        <v>2</v>
      </c>
      <c r="I91" s="235">
        <v>0</v>
      </c>
      <c r="J91" s="235">
        <v>50</v>
      </c>
      <c r="K91" s="1"/>
      <c r="L91"/>
    </row>
    <row r="92" spans="1:12" ht="15" customHeight="1" x14ac:dyDescent="0.25">
      <c r="A92" s="2">
        <v>89</v>
      </c>
      <c r="B92" s="238" t="s">
        <v>16</v>
      </c>
      <c r="C92" s="242" t="s">
        <v>21</v>
      </c>
      <c r="D92" s="231" t="s">
        <v>143</v>
      </c>
      <c r="E92" s="232">
        <f t="shared" si="2"/>
        <v>52.810367707302142</v>
      </c>
      <c r="F92" s="233">
        <v>0.58824882497525144</v>
      </c>
      <c r="G92" s="233">
        <v>0.75800000000000001</v>
      </c>
      <c r="H92" s="234">
        <v>2</v>
      </c>
      <c r="I92" s="234">
        <v>1</v>
      </c>
      <c r="J92" s="235">
        <v>44</v>
      </c>
      <c r="K92" s="1"/>
      <c r="L92"/>
    </row>
    <row r="93" spans="1:12" ht="15" customHeight="1" x14ac:dyDescent="0.25">
      <c r="A93" s="2">
        <v>90</v>
      </c>
      <c r="B93" s="248" t="s">
        <v>29</v>
      </c>
      <c r="C93" s="255" t="s">
        <v>85</v>
      </c>
      <c r="D93" s="231" t="s">
        <v>220</v>
      </c>
      <c r="E93" s="232">
        <f t="shared" si="2"/>
        <v>52.35169963875618</v>
      </c>
      <c r="F93" s="241">
        <v>0.63444079133014852</v>
      </c>
      <c r="G93" s="247">
        <v>0.77500000000000002</v>
      </c>
      <c r="H93" s="235">
        <v>2</v>
      </c>
      <c r="I93" s="235">
        <v>1</v>
      </c>
      <c r="J93" s="235">
        <v>28</v>
      </c>
      <c r="K93" s="1"/>
      <c r="L93"/>
    </row>
    <row r="94" spans="1:12" ht="15" customHeight="1" x14ac:dyDescent="0.25">
      <c r="A94" s="2">
        <v>91</v>
      </c>
      <c r="B94" s="243" t="s">
        <v>23</v>
      </c>
      <c r="C94" s="244" t="s">
        <v>24</v>
      </c>
      <c r="D94" s="231" t="s">
        <v>34</v>
      </c>
      <c r="E94" s="232">
        <f t="shared" si="2"/>
        <v>52.303112235421651</v>
      </c>
      <c r="F94" s="233">
        <v>0.57767469365011959</v>
      </c>
      <c r="G94" s="245">
        <v>0.82399999999999995</v>
      </c>
      <c r="H94" s="234">
        <v>2</v>
      </c>
      <c r="I94" s="234">
        <v>1</v>
      </c>
      <c r="J94" s="235">
        <v>37</v>
      </c>
      <c r="K94" s="1"/>
      <c r="L94"/>
    </row>
    <row r="95" spans="1:12" ht="15" customHeight="1" x14ac:dyDescent="0.25">
      <c r="A95" s="2">
        <v>92</v>
      </c>
      <c r="B95" s="236" t="s">
        <v>13</v>
      </c>
      <c r="C95" s="237" t="s">
        <v>14</v>
      </c>
      <c r="D95" s="231" t="s">
        <v>39</v>
      </c>
      <c r="E95" s="232">
        <f t="shared" si="2"/>
        <v>50.642897400623902</v>
      </c>
      <c r="F95" s="233">
        <v>0.60262953761497362</v>
      </c>
      <c r="G95" s="233">
        <v>0.52200000000000002</v>
      </c>
      <c r="H95" s="234">
        <v>4</v>
      </c>
      <c r="I95" s="234">
        <v>1</v>
      </c>
      <c r="J95" s="235">
        <v>26</v>
      </c>
      <c r="K95" s="1"/>
      <c r="L95"/>
    </row>
    <row r="96" spans="1:12" ht="15" customHeight="1" x14ac:dyDescent="0.25">
      <c r="A96" s="2">
        <v>93</v>
      </c>
      <c r="B96" s="238" t="s">
        <v>16</v>
      </c>
      <c r="C96" s="242" t="s">
        <v>21</v>
      </c>
      <c r="D96" s="231" t="s">
        <v>176</v>
      </c>
      <c r="E96" s="232">
        <f t="shared" si="2"/>
        <v>50.199586592593199</v>
      </c>
      <c r="F96" s="233">
        <v>0.72679007822223696</v>
      </c>
      <c r="G96" s="233">
        <v>0.31</v>
      </c>
      <c r="H96" s="234">
        <v>3</v>
      </c>
      <c r="I96" s="234">
        <v>1</v>
      </c>
      <c r="J96" s="235">
        <v>26</v>
      </c>
      <c r="K96" s="1"/>
      <c r="L96"/>
    </row>
    <row r="97" spans="1:12" ht="15" customHeight="1" x14ac:dyDescent="0.25">
      <c r="A97" s="2">
        <v>94</v>
      </c>
      <c r="B97" s="243" t="s">
        <v>23</v>
      </c>
      <c r="C97" s="244" t="s">
        <v>24</v>
      </c>
      <c r="D97" s="231" t="s">
        <v>41</v>
      </c>
      <c r="E97" s="232">
        <f t="shared" si="2"/>
        <v>50.05743585381807</v>
      </c>
      <c r="F97" s="233">
        <v>0.52017846049163363</v>
      </c>
      <c r="G97" s="245">
        <v>0.65800000000000003</v>
      </c>
      <c r="H97" s="234">
        <v>3</v>
      </c>
      <c r="I97" s="234">
        <v>1</v>
      </c>
      <c r="J97" s="235">
        <v>42</v>
      </c>
      <c r="K97" s="1"/>
      <c r="L97"/>
    </row>
    <row r="98" spans="1:12" ht="15" customHeight="1" x14ac:dyDescent="0.25">
      <c r="A98" s="2">
        <v>95</v>
      </c>
      <c r="B98" s="229" t="s">
        <v>10</v>
      </c>
      <c r="C98" s="256" t="s">
        <v>115</v>
      </c>
      <c r="D98" s="231" t="s">
        <v>116</v>
      </c>
      <c r="E98" s="232">
        <f t="shared" si="2"/>
        <v>49.880731447204788</v>
      </c>
      <c r="F98" s="233">
        <v>0.57153755473291479</v>
      </c>
      <c r="G98" s="233">
        <v>0.60399999999999998</v>
      </c>
      <c r="H98" s="234">
        <v>4</v>
      </c>
      <c r="I98" s="234">
        <v>1</v>
      </c>
      <c r="J98" s="235">
        <v>21</v>
      </c>
      <c r="K98" s="1"/>
      <c r="L98"/>
    </row>
    <row r="99" spans="1:12" ht="15" customHeight="1" x14ac:dyDescent="0.25">
      <c r="A99" s="2">
        <v>96</v>
      </c>
      <c r="B99" s="243" t="s">
        <v>23</v>
      </c>
      <c r="C99" s="244" t="s">
        <v>24</v>
      </c>
      <c r="D99" s="231" t="s">
        <v>198</v>
      </c>
      <c r="E99" s="232">
        <f t="shared" si="2"/>
        <v>49.597306017432174</v>
      </c>
      <c r="F99" s="233">
        <v>0.55193534441837222</v>
      </c>
      <c r="G99" s="233">
        <v>0.81599999999999995</v>
      </c>
      <c r="H99" s="234">
        <v>0</v>
      </c>
      <c r="I99" s="234">
        <v>1</v>
      </c>
      <c r="J99" s="235">
        <v>53</v>
      </c>
      <c r="K99" s="1"/>
      <c r="L99"/>
    </row>
    <row r="100" spans="1:12" ht="15" customHeight="1" x14ac:dyDescent="0.25">
      <c r="A100" s="2">
        <v>97</v>
      </c>
      <c r="B100" s="238" t="s">
        <v>16</v>
      </c>
      <c r="C100" s="242" t="s">
        <v>21</v>
      </c>
      <c r="D100" s="231" t="s">
        <v>152</v>
      </c>
      <c r="E100" s="232">
        <f t="shared" ref="E100:E131" si="3">(F100*100*2.5+G100*100+(H100/4)*100*0.5+(I100/4)*100+J100)/6</f>
        <v>49.491940282006915</v>
      </c>
      <c r="F100" s="233">
        <v>0.49820656676816605</v>
      </c>
      <c r="G100" s="233">
        <v>0.80400000000000005</v>
      </c>
      <c r="H100" s="234">
        <v>2</v>
      </c>
      <c r="I100" s="234">
        <v>1</v>
      </c>
      <c r="J100" s="235">
        <v>42</v>
      </c>
      <c r="K100" s="1"/>
      <c r="L100"/>
    </row>
    <row r="101" spans="1:12" ht="15" customHeight="1" x14ac:dyDescent="0.25">
      <c r="A101" s="2">
        <v>98</v>
      </c>
      <c r="B101" s="238" t="s">
        <v>16</v>
      </c>
      <c r="C101" s="242" t="s">
        <v>21</v>
      </c>
      <c r="D101" s="231" t="s">
        <v>150</v>
      </c>
      <c r="E101" s="232">
        <f t="shared" si="3"/>
        <v>49.472497562009984</v>
      </c>
      <c r="F101" s="233">
        <v>0.52773994148823966</v>
      </c>
      <c r="G101" s="233">
        <v>0.47899999999999998</v>
      </c>
      <c r="H101" s="234">
        <v>4</v>
      </c>
      <c r="I101" s="234">
        <v>1</v>
      </c>
      <c r="J101" s="235">
        <v>42</v>
      </c>
      <c r="K101" s="1"/>
      <c r="L101"/>
    </row>
    <row r="102" spans="1:12" ht="15" customHeight="1" x14ac:dyDescent="0.25">
      <c r="A102" s="2">
        <v>99</v>
      </c>
      <c r="B102" s="243" t="s">
        <v>23</v>
      </c>
      <c r="C102" s="244" t="s">
        <v>24</v>
      </c>
      <c r="D102" s="231" t="s">
        <v>95</v>
      </c>
      <c r="E102" s="232">
        <f t="shared" si="3"/>
        <v>49.155080156571444</v>
      </c>
      <c r="F102" s="233">
        <v>0.68452192375771481</v>
      </c>
      <c r="G102" s="245">
        <v>0.65800000000000003</v>
      </c>
      <c r="H102" s="234">
        <v>2</v>
      </c>
      <c r="I102" s="234">
        <v>0</v>
      </c>
      <c r="J102" s="235">
        <v>33</v>
      </c>
      <c r="K102" s="1"/>
      <c r="L102"/>
    </row>
    <row r="103" spans="1:12" ht="15" customHeight="1" x14ac:dyDescent="0.25">
      <c r="A103" s="2">
        <v>100</v>
      </c>
      <c r="B103" s="238" t="s">
        <v>16</v>
      </c>
      <c r="C103" s="239" t="s">
        <v>17</v>
      </c>
      <c r="D103" s="231" t="s">
        <v>209</v>
      </c>
      <c r="E103" s="232">
        <f t="shared" si="3"/>
        <v>48.801133015808489</v>
      </c>
      <c r="F103" s="233">
        <v>0.55522719237940366</v>
      </c>
      <c r="G103" s="233">
        <v>0.83</v>
      </c>
      <c r="H103" s="234">
        <v>4</v>
      </c>
      <c r="I103" s="234">
        <v>0</v>
      </c>
      <c r="J103" s="235">
        <v>21</v>
      </c>
      <c r="K103" s="1"/>
      <c r="L103"/>
    </row>
    <row r="104" spans="1:12" ht="15" customHeight="1" x14ac:dyDescent="0.25">
      <c r="A104" s="2">
        <v>101</v>
      </c>
      <c r="B104" s="238" t="s">
        <v>16</v>
      </c>
      <c r="C104" s="242" t="s">
        <v>21</v>
      </c>
      <c r="D104" s="231" t="s">
        <v>128</v>
      </c>
      <c r="E104" s="232">
        <f t="shared" si="3"/>
        <v>48.700418410065815</v>
      </c>
      <c r="F104" s="241">
        <v>0.53401004184157941</v>
      </c>
      <c r="G104" s="247">
        <v>0.76700000000000002</v>
      </c>
      <c r="H104" s="235">
        <v>2</v>
      </c>
      <c r="I104" s="235">
        <v>1</v>
      </c>
      <c r="J104" s="235">
        <v>32</v>
      </c>
      <c r="K104" s="1"/>
      <c r="L104"/>
    </row>
    <row r="105" spans="1:12" ht="15" customHeight="1" x14ac:dyDescent="0.25">
      <c r="A105" s="2">
        <v>102</v>
      </c>
      <c r="B105" s="229" t="s">
        <v>10</v>
      </c>
      <c r="C105" s="230" t="s">
        <v>11</v>
      </c>
      <c r="D105" s="231" t="s">
        <v>105</v>
      </c>
      <c r="E105" s="232">
        <f t="shared" si="3"/>
        <v>48.554715816166265</v>
      </c>
      <c r="F105" s="233">
        <v>0.43491317958799042</v>
      </c>
      <c r="G105" s="233">
        <v>0.621</v>
      </c>
      <c r="H105" s="234">
        <v>3</v>
      </c>
      <c r="I105" s="234">
        <v>1</v>
      </c>
      <c r="J105" s="235">
        <v>58</v>
      </c>
      <c r="K105" s="1"/>
      <c r="L105"/>
    </row>
    <row r="106" spans="1:12" ht="15" customHeight="1" x14ac:dyDescent="0.25">
      <c r="A106" s="2">
        <v>103</v>
      </c>
      <c r="B106" s="243" t="s">
        <v>23</v>
      </c>
      <c r="C106" s="246" t="s">
        <v>26</v>
      </c>
      <c r="D106" s="231" t="s">
        <v>169</v>
      </c>
      <c r="E106" s="232">
        <f t="shared" si="3"/>
        <v>48.459970160836576</v>
      </c>
      <c r="F106" s="233">
        <v>0.43103928386007784</v>
      </c>
      <c r="G106" s="233">
        <v>0.59</v>
      </c>
      <c r="H106" s="234">
        <v>2</v>
      </c>
      <c r="I106" s="234">
        <v>1</v>
      </c>
      <c r="J106" s="235">
        <v>74</v>
      </c>
      <c r="K106" s="1"/>
      <c r="L106"/>
    </row>
    <row r="107" spans="1:12" ht="15" customHeight="1" x14ac:dyDescent="0.25">
      <c r="A107" s="2">
        <v>104</v>
      </c>
      <c r="B107" s="229" t="s">
        <v>10</v>
      </c>
      <c r="C107" s="256" t="s">
        <v>115</v>
      </c>
      <c r="D107" s="231" t="s">
        <v>124</v>
      </c>
      <c r="E107" s="232">
        <f t="shared" si="3"/>
        <v>47.908980676564305</v>
      </c>
      <c r="F107" s="233">
        <v>0.51581553623754317</v>
      </c>
      <c r="G107" s="233">
        <v>0.67500000000000004</v>
      </c>
      <c r="H107" s="234">
        <v>4</v>
      </c>
      <c r="I107" s="234">
        <v>1</v>
      </c>
      <c r="J107" s="235">
        <v>16</v>
      </c>
      <c r="K107" s="1"/>
      <c r="L107"/>
    </row>
    <row r="108" spans="1:12" ht="15" customHeight="1" x14ac:dyDescent="0.25">
      <c r="A108" s="2">
        <v>105</v>
      </c>
      <c r="B108" s="243" t="s">
        <v>23</v>
      </c>
      <c r="C108" s="244" t="s">
        <v>24</v>
      </c>
      <c r="D108" s="231" t="s">
        <v>196</v>
      </c>
      <c r="E108" s="232">
        <f t="shared" si="3"/>
        <v>47.55261900239276</v>
      </c>
      <c r="F108" s="233">
        <v>0.64006285605742619</v>
      </c>
      <c r="G108" s="245">
        <v>0.65800000000000003</v>
      </c>
      <c r="H108" s="234">
        <v>3</v>
      </c>
      <c r="I108" s="234">
        <v>0</v>
      </c>
      <c r="J108" s="235">
        <v>22</v>
      </c>
      <c r="K108" s="1"/>
    </row>
    <row r="109" spans="1:12" ht="15" customHeight="1" x14ac:dyDescent="0.25">
      <c r="A109" s="2">
        <v>106</v>
      </c>
      <c r="B109" s="229" t="s">
        <v>10</v>
      </c>
      <c r="C109" s="250" t="s">
        <v>35</v>
      </c>
      <c r="D109" s="231" t="s">
        <v>114</v>
      </c>
      <c r="E109" s="232">
        <f t="shared" si="3"/>
        <v>47.552243723372975</v>
      </c>
      <c r="F109" s="233">
        <v>0.61485384936095144</v>
      </c>
      <c r="G109" s="233">
        <v>0.70599999999999996</v>
      </c>
      <c r="H109" s="234">
        <v>2</v>
      </c>
      <c r="I109" s="234">
        <v>1</v>
      </c>
      <c r="J109" s="235">
        <v>11</v>
      </c>
      <c r="K109" s="1"/>
      <c r="L109"/>
    </row>
    <row r="110" spans="1:12" ht="15" customHeight="1" x14ac:dyDescent="0.25">
      <c r="A110" s="2">
        <v>107</v>
      </c>
      <c r="B110" s="243" t="s">
        <v>23</v>
      </c>
      <c r="C110" s="244" t="s">
        <v>24</v>
      </c>
      <c r="D110" s="231" t="s">
        <v>112</v>
      </c>
      <c r="E110" s="232">
        <f t="shared" si="3"/>
        <v>47.539609819251218</v>
      </c>
      <c r="F110" s="233">
        <v>0.63815063566202934</v>
      </c>
      <c r="G110" s="233">
        <v>0.88700000000000001</v>
      </c>
      <c r="H110" s="234">
        <v>0</v>
      </c>
      <c r="I110" s="234">
        <v>0</v>
      </c>
      <c r="J110" s="235">
        <v>37</v>
      </c>
      <c r="K110" s="1"/>
      <c r="L110"/>
    </row>
    <row r="111" spans="1:12" ht="15" customHeight="1" x14ac:dyDescent="0.25">
      <c r="A111" s="2">
        <v>108</v>
      </c>
      <c r="B111" s="248" t="s">
        <v>29</v>
      </c>
      <c r="C111" s="257" t="s">
        <v>118</v>
      </c>
      <c r="D111" s="231" t="s">
        <v>212</v>
      </c>
      <c r="E111" s="232">
        <f t="shared" si="3"/>
        <v>47.320041019656514</v>
      </c>
      <c r="F111" s="241">
        <v>0.69168098447175619</v>
      </c>
      <c r="G111" s="241">
        <v>0.70499999999999996</v>
      </c>
      <c r="H111" s="235">
        <v>1</v>
      </c>
      <c r="I111" s="235">
        <v>0</v>
      </c>
      <c r="J111" s="235">
        <v>28</v>
      </c>
      <c r="K111" s="1"/>
      <c r="L111"/>
    </row>
    <row r="112" spans="1:12" ht="15" customHeight="1" x14ac:dyDescent="0.25">
      <c r="A112" s="2">
        <v>109</v>
      </c>
      <c r="B112" s="243" t="s">
        <v>23</v>
      </c>
      <c r="C112" s="244" t="s">
        <v>24</v>
      </c>
      <c r="D112" s="231" t="s">
        <v>99</v>
      </c>
      <c r="E112" s="232">
        <f t="shared" si="3"/>
        <v>46.951531539527053</v>
      </c>
      <c r="F112" s="233">
        <v>0.53483675694864929</v>
      </c>
      <c r="G112" s="233">
        <v>0.66</v>
      </c>
      <c r="H112" s="234">
        <v>4</v>
      </c>
      <c r="I112" s="234">
        <v>0</v>
      </c>
      <c r="J112" s="235">
        <v>32</v>
      </c>
      <c r="K112" s="1"/>
      <c r="L112"/>
    </row>
    <row r="113" spans="1:12" ht="15" customHeight="1" x14ac:dyDescent="0.25">
      <c r="A113" s="2">
        <v>110</v>
      </c>
      <c r="B113" s="238" t="s">
        <v>16</v>
      </c>
      <c r="C113" s="252" t="s">
        <v>42</v>
      </c>
      <c r="D113" s="231" t="s">
        <v>158</v>
      </c>
      <c r="E113" s="232">
        <f t="shared" si="3"/>
        <v>46.859877236365129</v>
      </c>
      <c r="F113" s="233">
        <v>0.54423705367276332</v>
      </c>
      <c r="G113" s="233">
        <v>0.74099999999999999</v>
      </c>
      <c r="H113" s="234">
        <v>2</v>
      </c>
      <c r="I113" s="234">
        <v>1</v>
      </c>
      <c r="J113" s="235">
        <v>21</v>
      </c>
      <c r="K113" s="1"/>
      <c r="L113"/>
    </row>
    <row r="114" spans="1:12" ht="15" customHeight="1" x14ac:dyDescent="0.25">
      <c r="A114" s="2">
        <v>111</v>
      </c>
      <c r="B114" s="248" t="s">
        <v>29</v>
      </c>
      <c r="C114" s="257" t="s">
        <v>118</v>
      </c>
      <c r="D114" s="231" t="s">
        <v>119</v>
      </c>
      <c r="E114" s="232">
        <f t="shared" si="3"/>
        <v>46.141109976471483</v>
      </c>
      <c r="F114" s="241">
        <v>0.65178663943531556</v>
      </c>
      <c r="G114" s="241">
        <v>0.68400000000000005</v>
      </c>
      <c r="H114" s="235">
        <v>1</v>
      </c>
      <c r="I114" s="235">
        <v>0</v>
      </c>
      <c r="J114" s="235">
        <v>33</v>
      </c>
      <c r="K114" s="1"/>
      <c r="L114"/>
    </row>
    <row r="115" spans="1:12" ht="15" customHeight="1" x14ac:dyDescent="0.25">
      <c r="A115" s="2">
        <v>112</v>
      </c>
      <c r="B115" s="238" t="s">
        <v>16</v>
      </c>
      <c r="C115" s="252" t="s">
        <v>42</v>
      </c>
      <c r="D115" s="231" t="s">
        <v>98</v>
      </c>
      <c r="E115" s="232">
        <f t="shared" si="3"/>
        <v>45.93229367461182</v>
      </c>
      <c r="F115" s="241">
        <v>0.46437504819068365</v>
      </c>
      <c r="G115" s="247">
        <v>0.42499999999999999</v>
      </c>
      <c r="H115" s="235">
        <v>4</v>
      </c>
      <c r="I115" s="235">
        <v>1</v>
      </c>
      <c r="J115" s="235">
        <v>42</v>
      </c>
      <c r="K115" s="1"/>
      <c r="L115"/>
    </row>
    <row r="116" spans="1:12" ht="15" customHeight="1" x14ac:dyDescent="0.25">
      <c r="A116" s="2">
        <v>113</v>
      </c>
      <c r="B116" s="238" t="s">
        <v>16</v>
      </c>
      <c r="C116" s="252" t="s">
        <v>42</v>
      </c>
      <c r="D116" s="231" t="s">
        <v>93</v>
      </c>
      <c r="E116" s="232">
        <f t="shared" si="3"/>
        <v>45.799632812294284</v>
      </c>
      <c r="F116" s="233">
        <v>0.58359118749506289</v>
      </c>
      <c r="G116" s="233">
        <v>0.82899999999999996</v>
      </c>
      <c r="H116" s="234">
        <v>2</v>
      </c>
      <c r="I116" s="234">
        <v>0</v>
      </c>
      <c r="J116" s="235">
        <v>21</v>
      </c>
      <c r="K116" s="1"/>
      <c r="L116"/>
    </row>
    <row r="117" spans="1:12" ht="15" customHeight="1" x14ac:dyDescent="0.25">
      <c r="A117" s="2">
        <v>114</v>
      </c>
      <c r="B117" s="243" t="s">
        <v>23</v>
      </c>
      <c r="C117" s="246" t="s">
        <v>26</v>
      </c>
      <c r="D117" s="231" t="s">
        <v>166</v>
      </c>
      <c r="E117" s="232">
        <f t="shared" si="3"/>
        <v>45.529010531216244</v>
      </c>
      <c r="F117" s="233">
        <v>0.48349625274918978</v>
      </c>
      <c r="G117" s="233">
        <v>0.75800000000000001</v>
      </c>
      <c r="H117" s="234">
        <v>1</v>
      </c>
      <c r="I117" s="234">
        <v>1</v>
      </c>
      <c r="J117" s="235">
        <v>39</v>
      </c>
      <c r="K117" s="1"/>
      <c r="L117"/>
    </row>
    <row r="118" spans="1:12" ht="15" customHeight="1" x14ac:dyDescent="0.25">
      <c r="A118" s="2">
        <v>115</v>
      </c>
      <c r="B118" s="238" t="s">
        <v>16</v>
      </c>
      <c r="C118" s="252" t="s">
        <v>42</v>
      </c>
      <c r="D118" s="231" t="s">
        <v>68</v>
      </c>
      <c r="E118" s="232">
        <f t="shared" si="3"/>
        <v>45.073972699916034</v>
      </c>
      <c r="F118" s="233">
        <v>0.61217534479798497</v>
      </c>
      <c r="G118" s="233">
        <v>0.63900000000000001</v>
      </c>
      <c r="H118" s="234">
        <v>1</v>
      </c>
      <c r="I118" s="234">
        <v>1</v>
      </c>
      <c r="J118" s="235">
        <v>16</v>
      </c>
      <c r="K118" s="1"/>
      <c r="L118"/>
    </row>
    <row r="119" spans="1:12" ht="15" customHeight="1" x14ac:dyDescent="0.25">
      <c r="A119" s="2">
        <v>116</v>
      </c>
      <c r="B119" s="229" t="s">
        <v>10</v>
      </c>
      <c r="C119" s="253" t="s">
        <v>49</v>
      </c>
      <c r="D119" s="231" t="s">
        <v>205</v>
      </c>
      <c r="E119" s="232">
        <f t="shared" si="3"/>
        <v>44.893049044100678</v>
      </c>
      <c r="F119" s="241">
        <v>0.45143317705841624</v>
      </c>
      <c r="G119" s="247">
        <v>0.66</v>
      </c>
      <c r="H119" s="235">
        <v>1</v>
      </c>
      <c r="I119" s="235">
        <v>1</v>
      </c>
      <c r="J119" s="235">
        <v>53</v>
      </c>
      <c r="K119" s="1"/>
      <c r="L119"/>
    </row>
    <row r="120" spans="1:12" ht="15" customHeight="1" x14ac:dyDescent="0.25">
      <c r="A120" s="2">
        <v>117</v>
      </c>
      <c r="B120" s="238" t="s">
        <v>16</v>
      </c>
      <c r="C120" s="242" t="s">
        <v>21</v>
      </c>
      <c r="D120" s="231" t="s">
        <v>135</v>
      </c>
      <c r="E120" s="232">
        <f t="shared" si="3"/>
        <v>44.849147967223075</v>
      </c>
      <c r="F120" s="233">
        <v>0.59157955121335393</v>
      </c>
      <c r="G120" s="233">
        <v>0.64200000000000002</v>
      </c>
      <c r="H120" s="234">
        <v>0</v>
      </c>
      <c r="I120" s="234">
        <v>1</v>
      </c>
      <c r="J120" s="235">
        <v>32</v>
      </c>
      <c r="K120" s="1"/>
      <c r="L120"/>
    </row>
    <row r="121" spans="1:12" ht="15" customHeight="1" x14ac:dyDescent="0.25">
      <c r="A121" s="2">
        <v>118</v>
      </c>
      <c r="B121" s="238" t="s">
        <v>16</v>
      </c>
      <c r="C121" s="252" t="s">
        <v>42</v>
      </c>
      <c r="D121" s="231" t="s">
        <v>52</v>
      </c>
      <c r="E121" s="232">
        <f t="shared" si="3"/>
        <v>44.680676613295496</v>
      </c>
      <c r="F121" s="233">
        <v>0.62193623871909176</v>
      </c>
      <c r="G121" s="233">
        <v>0.51600000000000001</v>
      </c>
      <c r="H121" s="234">
        <v>2</v>
      </c>
      <c r="I121" s="234">
        <v>1</v>
      </c>
      <c r="J121" s="235">
        <v>11</v>
      </c>
      <c r="K121" s="1"/>
      <c r="L121"/>
    </row>
    <row r="122" spans="1:12" ht="15" customHeight="1" x14ac:dyDescent="0.25">
      <c r="A122" s="2">
        <v>119</v>
      </c>
      <c r="B122" s="238" t="s">
        <v>16</v>
      </c>
      <c r="C122" s="252" t="s">
        <v>42</v>
      </c>
      <c r="D122" s="231" t="s">
        <v>89</v>
      </c>
      <c r="E122" s="232">
        <f t="shared" si="3"/>
        <v>44.448708618200648</v>
      </c>
      <c r="F122" s="233">
        <v>0.51276900683681548</v>
      </c>
      <c r="G122" s="233">
        <v>0.8</v>
      </c>
      <c r="H122" s="234">
        <v>1</v>
      </c>
      <c r="I122" s="234">
        <v>1</v>
      </c>
      <c r="J122" s="235">
        <v>21</v>
      </c>
      <c r="K122" s="1"/>
      <c r="L122"/>
    </row>
    <row r="123" spans="1:12" ht="15" customHeight="1" x14ac:dyDescent="0.25">
      <c r="A123" s="2">
        <v>120</v>
      </c>
      <c r="B123" s="229" t="s">
        <v>10</v>
      </c>
      <c r="C123" s="230" t="s">
        <v>11</v>
      </c>
      <c r="D123" s="231" t="s">
        <v>138</v>
      </c>
      <c r="E123" s="232">
        <f t="shared" si="3"/>
        <v>44.412460583465965</v>
      </c>
      <c r="F123" s="241">
        <v>0.61149905400318327</v>
      </c>
      <c r="G123" s="247">
        <v>0.52600000000000002</v>
      </c>
      <c r="H123" s="235">
        <v>4</v>
      </c>
      <c r="I123" s="235">
        <v>0</v>
      </c>
      <c r="J123" s="235">
        <v>11</v>
      </c>
      <c r="K123" s="1"/>
      <c r="L123"/>
    </row>
    <row r="124" spans="1:12" ht="15" customHeight="1" x14ac:dyDescent="0.25">
      <c r="A124" s="2">
        <v>121</v>
      </c>
      <c r="B124" s="229" t="s">
        <v>10</v>
      </c>
      <c r="C124" s="253" t="s">
        <v>49</v>
      </c>
      <c r="D124" s="231" t="s">
        <v>55</v>
      </c>
      <c r="E124" s="232">
        <f t="shared" si="3"/>
        <v>44.249665003480438</v>
      </c>
      <c r="F124" s="233">
        <v>0.41959196008353045</v>
      </c>
      <c r="G124" s="233">
        <v>0.38600000000000001</v>
      </c>
      <c r="H124" s="234">
        <v>4</v>
      </c>
      <c r="I124" s="234">
        <v>1</v>
      </c>
      <c r="J124" s="235">
        <v>47</v>
      </c>
      <c r="K124" s="1"/>
      <c r="L124"/>
    </row>
    <row r="125" spans="1:12" ht="15" customHeight="1" x14ac:dyDescent="0.25">
      <c r="A125" s="2">
        <v>122</v>
      </c>
      <c r="B125" s="248" t="s">
        <v>29</v>
      </c>
      <c r="C125" s="257" t="s">
        <v>118</v>
      </c>
      <c r="D125" s="231" t="s">
        <v>207</v>
      </c>
      <c r="E125" s="232">
        <f t="shared" si="3"/>
        <v>44.1241255873515</v>
      </c>
      <c r="F125" s="241">
        <v>0.6489790140964361</v>
      </c>
      <c r="G125" s="241">
        <v>0.70499999999999996</v>
      </c>
      <c r="H125" s="235">
        <v>0</v>
      </c>
      <c r="I125" s="235">
        <v>0</v>
      </c>
      <c r="J125" s="235">
        <v>32</v>
      </c>
      <c r="K125" s="1"/>
      <c r="L125"/>
    </row>
    <row r="126" spans="1:12" ht="15" customHeight="1" x14ac:dyDescent="0.25">
      <c r="A126" s="2">
        <v>123</v>
      </c>
      <c r="B126" s="243" t="s">
        <v>23</v>
      </c>
      <c r="C126" s="246" t="s">
        <v>26</v>
      </c>
      <c r="D126" s="231" t="s">
        <v>101</v>
      </c>
      <c r="E126" s="232">
        <f t="shared" si="3"/>
        <v>43.66564357370919</v>
      </c>
      <c r="F126" s="233">
        <v>0.43877544576902044</v>
      </c>
      <c r="G126" s="233">
        <v>0.69299999999999995</v>
      </c>
      <c r="H126" s="234">
        <v>0</v>
      </c>
      <c r="I126" s="234">
        <v>1</v>
      </c>
      <c r="J126" s="235">
        <v>58</v>
      </c>
      <c r="K126" s="1"/>
      <c r="L126"/>
    </row>
    <row r="127" spans="1:12" ht="15" customHeight="1" x14ac:dyDescent="0.25">
      <c r="A127" s="2">
        <v>124</v>
      </c>
      <c r="B127" s="238" t="s">
        <v>16</v>
      </c>
      <c r="C127" s="239" t="s">
        <v>17</v>
      </c>
      <c r="D127" s="231" t="s">
        <v>149</v>
      </c>
      <c r="E127" s="232">
        <f t="shared" si="3"/>
        <v>43.600581917737024</v>
      </c>
      <c r="F127" s="233">
        <v>0.59961396602568862</v>
      </c>
      <c r="G127" s="233">
        <v>0.65700000000000003</v>
      </c>
      <c r="H127" s="234">
        <v>2</v>
      </c>
      <c r="I127" s="234">
        <v>0</v>
      </c>
      <c r="J127" s="235">
        <v>21</v>
      </c>
      <c r="K127" s="1"/>
      <c r="L127"/>
    </row>
    <row r="128" spans="1:12" ht="15" customHeight="1" x14ac:dyDescent="0.25">
      <c r="A128" s="2">
        <v>125</v>
      </c>
      <c r="B128" s="243" t="s">
        <v>23</v>
      </c>
      <c r="C128" s="246" t="s">
        <v>26</v>
      </c>
      <c r="D128" s="231" t="s">
        <v>76</v>
      </c>
      <c r="E128" s="232">
        <f t="shared" si="3"/>
        <v>43.501253630525262</v>
      </c>
      <c r="F128" s="233">
        <v>0.5084300871326064</v>
      </c>
      <c r="G128" s="233">
        <v>0.71899999999999997</v>
      </c>
      <c r="H128" s="234">
        <v>0</v>
      </c>
      <c r="I128" s="234">
        <v>1</v>
      </c>
      <c r="J128" s="235">
        <v>37</v>
      </c>
      <c r="K128" s="1"/>
      <c r="L128"/>
    </row>
    <row r="129" spans="1:12" ht="15" customHeight="1" x14ac:dyDescent="0.25">
      <c r="A129" s="2">
        <v>126</v>
      </c>
      <c r="B129" s="229" t="s">
        <v>10</v>
      </c>
      <c r="C129" s="230" t="s">
        <v>11</v>
      </c>
      <c r="D129" s="231" t="s">
        <v>193</v>
      </c>
      <c r="E129" s="232">
        <f t="shared" si="3"/>
        <v>42.946583484674669</v>
      </c>
      <c r="F129" s="233">
        <v>0.51911800363219196</v>
      </c>
      <c r="G129" s="233">
        <v>0.73399999999999999</v>
      </c>
      <c r="H129" s="234">
        <v>1</v>
      </c>
      <c r="I129" s="234">
        <v>0</v>
      </c>
      <c r="J129" s="235">
        <v>42</v>
      </c>
      <c r="K129" s="1"/>
      <c r="L129"/>
    </row>
    <row r="130" spans="1:12" ht="15" customHeight="1" x14ac:dyDescent="0.25">
      <c r="A130" s="2">
        <v>127</v>
      </c>
      <c r="B130" s="238" t="s">
        <v>16</v>
      </c>
      <c r="C130" s="252" t="s">
        <v>42</v>
      </c>
      <c r="D130" s="231" t="s">
        <v>181</v>
      </c>
      <c r="E130" s="232">
        <f t="shared" si="3"/>
        <v>42.905779849451982</v>
      </c>
      <c r="F130" s="233">
        <v>0.65733871638684749</v>
      </c>
      <c r="G130" s="233">
        <v>0.77100000000000002</v>
      </c>
      <c r="H130" s="234">
        <v>0</v>
      </c>
      <c r="I130" s="234">
        <v>0</v>
      </c>
      <c r="J130" s="235">
        <v>16</v>
      </c>
      <c r="K130" s="1"/>
      <c r="L130"/>
    </row>
    <row r="131" spans="1:12" ht="15" customHeight="1" x14ac:dyDescent="0.25">
      <c r="A131" s="2">
        <v>128</v>
      </c>
      <c r="B131" s="229" t="s">
        <v>10</v>
      </c>
      <c r="C131" s="250" t="s">
        <v>35</v>
      </c>
      <c r="D131" s="231" t="s">
        <v>210</v>
      </c>
      <c r="E131" s="232">
        <f t="shared" si="3"/>
        <v>42.59782415234293</v>
      </c>
      <c r="F131" s="233">
        <v>0.4039477796562303</v>
      </c>
      <c r="G131" s="233">
        <v>0.58599999999999997</v>
      </c>
      <c r="H131" s="234">
        <v>4</v>
      </c>
      <c r="I131" s="234">
        <v>1</v>
      </c>
      <c r="J131" s="235">
        <v>21</v>
      </c>
      <c r="K131" s="1"/>
      <c r="L131"/>
    </row>
    <row r="132" spans="1:12" ht="15" customHeight="1" x14ac:dyDescent="0.25">
      <c r="A132" s="2">
        <v>129</v>
      </c>
      <c r="B132" s="238" t="s">
        <v>16</v>
      </c>
      <c r="C132" s="242" t="s">
        <v>21</v>
      </c>
      <c r="D132" s="231" t="s">
        <v>22</v>
      </c>
      <c r="E132" s="232">
        <f t="shared" ref="E132:E163" si="4">(F132*100*2.5+G132*100+(H132/4)*100*0.5+(I132/4)*100+J132)/6</f>
        <v>42.576653597069601</v>
      </c>
      <c r="F132" s="233">
        <v>0.44303968632967033</v>
      </c>
      <c r="G132" s="233">
        <v>0.57699999999999996</v>
      </c>
      <c r="H132" s="234">
        <v>2</v>
      </c>
      <c r="I132" s="234">
        <v>1</v>
      </c>
      <c r="J132" s="235">
        <v>37</v>
      </c>
      <c r="K132" s="1"/>
      <c r="L132"/>
    </row>
    <row r="133" spans="1:12" ht="15" customHeight="1" x14ac:dyDescent="0.25">
      <c r="A133" s="2">
        <v>130</v>
      </c>
      <c r="B133" s="243" t="s">
        <v>23</v>
      </c>
      <c r="C133" s="244" t="s">
        <v>24</v>
      </c>
      <c r="D133" s="231" t="s">
        <v>75</v>
      </c>
      <c r="E133" s="232">
        <f t="shared" si="4"/>
        <v>42.487599838510839</v>
      </c>
      <c r="F133" s="233">
        <v>0.61850239612426017</v>
      </c>
      <c r="G133" s="245">
        <v>0.65800000000000003</v>
      </c>
      <c r="H133" s="234">
        <v>1</v>
      </c>
      <c r="I133" s="234">
        <v>0</v>
      </c>
      <c r="J133" s="235">
        <v>22</v>
      </c>
      <c r="K133" s="1"/>
      <c r="L133"/>
    </row>
    <row r="134" spans="1:12" ht="15" customHeight="1" x14ac:dyDescent="0.25">
      <c r="A134" s="2">
        <v>131</v>
      </c>
      <c r="B134" s="236" t="s">
        <v>13</v>
      </c>
      <c r="C134" s="237" t="s">
        <v>14</v>
      </c>
      <c r="D134" s="231" t="s">
        <v>33</v>
      </c>
      <c r="E134" s="232">
        <f t="shared" si="4"/>
        <v>42.123480139113333</v>
      </c>
      <c r="F134" s="241">
        <v>0.45376352333872016</v>
      </c>
      <c r="G134" s="247">
        <v>0.48299999999999998</v>
      </c>
      <c r="H134" s="235">
        <v>4</v>
      </c>
      <c r="I134" s="235">
        <v>1</v>
      </c>
      <c r="J134" s="235">
        <v>16</v>
      </c>
      <c r="K134" s="1"/>
      <c r="L134"/>
    </row>
    <row r="135" spans="1:12" ht="15" customHeight="1" x14ac:dyDescent="0.25">
      <c r="A135" s="2">
        <v>132</v>
      </c>
      <c r="B135" s="229" t="s">
        <v>10</v>
      </c>
      <c r="C135" s="256" t="s">
        <v>115</v>
      </c>
      <c r="D135" s="231" t="s">
        <v>219</v>
      </c>
      <c r="E135" s="232">
        <f t="shared" si="4"/>
        <v>41.944055025340027</v>
      </c>
      <c r="F135" s="233">
        <v>0.58785732060816076</v>
      </c>
      <c r="G135" s="233">
        <v>0.38700000000000001</v>
      </c>
      <c r="H135" s="234">
        <v>4</v>
      </c>
      <c r="I135" s="234">
        <v>0</v>
      </c>
      <c r="J135" s="235">
        <v>16</v>
      </c>
      <c r="K135" s="1"/>
      <c r="L135"/>
    </row>
    <row r="136" spans="1:12" ht="15" customHeight="1" x14ac:dyDescent="0.25">
      <c r="A136" s="2">
        <v>133</v>
      </c>
      <c r="B136" s="229" t="s">
        <v>10</v>
      </c>
      <c r="C136" s="253" t="s">
        <v>49</v>
      </c>
      <c r="D136" s="231" t="s">
        <v>62</v>
      </c>
      <c r="E136" s="232">
        <f t="shared" si="4"/>
        <v>41.852879442755999</v>
      </c>
      <c r="F136" s="233">
        <v>0.45406910662614403</v>
      </c>
      <c r="G136" s="233">
        <v>0.36599999999999999</v>
      </c>
      <c r="H136" s="234">
        <v>4</v>
      </c>
      <c r="I136" s="234">
        <v>1</v>
      </c>
      <c r="J136" s="235">
        <v>26</v>
      </c>
      <c r="K136" s="1"/>
      <c r="L136"/>
    </row>
    <row r="137" spans="1:12" ht="15" customHeight="1" x14ac:dyDescent="0.25">
      <c r="A137" s="2">
        <v>134</v>
      </c>
      <c r="B137" s="248" t="s">
        <v>29</v>
      </c>
      <c r="C137" s="255" t="s">
        <v>85</v>
      </c>
      <c r="D137" s="231" t="s">
        <v>188</v>
      </c>
      <c r="E137" s="232">
        <f t="shared" si="4"/>
        <v>41.786224439720357</v>
      </c>
      <c r="F137" s="241">
        <v>0.61126938655328855</v>
      </c>
      <c r="G137" s="247">
        <v>0.68400000000000005</v>
      </c>
      <c r="H137" s="235">
        <v>1</v>
      </c>
      <c r="I137" s="235">
        <v>0</v>
      </c>
      <c r="J137" s="235">
        <v>17</v>
      </c>
      <c r="K137" s="1"/>
      <c r="L137"/>
    </row>
    <row r="138" spans="1:12" ht="15" customHeight="1" x14ac:dyDescent="0.25">
      <c r="A138" s="2">
        <v>135</v>
      </c>
      <c r="B138" s="229" t="s">
        <v>10</v>
      </c>
      <c r="C138" s="253" t="s">
        <v>49</v>
      </c>
      <c r="D138" s="231" t="s">
        <v>170</v>
      </c>
      <c r="E138" s="232">
        <f t="shared" si="4"/>
        <v>41.217277168132135</v>
      </c>
      <c r="F138" s="233">
        <v>0.46041465203517135</v>
      </c>
      <c r="G138" s="233">
        <v>0.70199999999999996</v>
      </c>
      <c r="H138" s="234">
        <v>0</v>
      </c>
      <c r="I138" s="234">
        <v>1</v>
      </c>
      <c r="J138" s="235">
        <v>37</v>
      </c>
      <c r="K138" s="1"/>
      <c r="L138"/>
    </row>
    <row r="139" spans="1:12" ht="15" customHeight="1" x14ac:dyDescent="0.25">
      <c r="A139" s="2">
        <v>136</v>
      </c>
      <c r="B139" s="238" t="s">
        <v>16</v>
      </c>
      <c r="C139" s="252" t="s">
        <v>42</v>
      </c>
      <c r="D139" s="231" t="s">
        <v>129</v>
      </c>
      <c r="E139" s="232">
        <f t="shared" si="4"/>
        <v>41.08683962098187</v>
      </c>
      <c r="F139" s="233">
        <v>0.49048415090356484</v>
      </c>
      <c r="G139" s="233">
        <v>0.77900000000000003</v>
      </c>
      <c r="H139" s="234">
        <v>2</v>
      </c>
      <c r="I139" s="234">
        <v>0</v>
      </c>
      <c r="J139" s="235">
        <v>21</v>
      </c>
      <c r="K139" s="1"/>
      <c r="L139"/>
    </row>
    <row r="140" spans="1:12" ht="15" customHeight="1" x14ac:dyDescent="0.25">
      <c r="A140" s="2">
        <v>137</v>
      </c>
      <c r="B140" s="238" t="s">
        <v>16</v>
      </c>
      <c r="C140" s="239" t="s">
        <v>17</v>
      </c>
      <c r="D140" s="231" t="s">
        <v>18</v>
      </c>
      <c r="E140" s="232">
        <f t="shared" si="4"/>
        <v>40.923697885772562</v>
      </c>
      <c r="F140" s="233">
        <v>0.56856874925854139</v>
      </c>
      <c r="G140" s="233">
        <v>0.624</v>
      </c>
      <c r="H140" s="234">
        <v>2</v>
      </c>
      <c r="I140" s="234">
        <v>0</v>
      </c>
      <c r="J140" s="235">
        <v>16</v>
      </c>
      <c r="K140" s="1"/>
      <c r="L140" s="251"/>
    </row>
    <row r="141" spans="1:12" ht="15" customHeight="1" x14ac:dyDescent="0.25">
      <c r="A141" s="2">
        <v>138</v>
      </c>
      <c r="B141" s="238" t="s">
        <v>16</v>
      </c>
      <c r="C141" s="242" t="s">
        <v>21</v>
      </c>
      <c r="D141" s="231" t="s">
        <v>224</v>
      </c>
      <c r="E141" s="232">
        <f t="shared" si="4"/>
        <v>40.724955029501999</v>
      </c>
      <c r="F141" s="233">
        <v>0.47339892070804795</v>
      </c>
      <c r="G141" s="233">
        <v>0.67500000000000004</v>
      </c>
      <c r="H141" s="234">
        <v>3</v>
      </c>
      <c r="I141" s="234">
        <v>0</v>
      </c>
      <c r="J141" s="235">
        <v>21</v>
      </c>
      <c r="K141" s="1"/>
      <c r="L141"/>
    </row>
    <row r="142" spans="1:12" ht="15" customHeight="1" x14ac:dyDescent="0.25">
      <c r="A142" s="2">
        <v>139</v>
      </c>
      <c r="B142" s="238" t="s">
        <v>16</v>
      </c>
      <c r="C142" s="252" t="s">
        <v>42</v>
      </c>
      <c r="D142" s="231" t="s">
        <v>139</v>
      </c>
      <c r="E142" s="232">
        <f t="shared" si="4"/>
        <v>40.687481528236155</v>
      </c>
      <c r="F142" s="233">
        <v>0.49609955667766753</v>
      </c>
      <c r="G142" s="233">
        <v>0.66600000000000004</v>
      </c>
      <c r="H142" s="234">
        <v>1</v>
      </c>
      <c r="I142" s="234">
        <v>1</v>
      </c>
      <c r="J142" s="235">
        <v>16</v>
      </c>
      <c r="K142" s="1"/>
      <c r="L142"/>
    </row>
    <row r="143" spans="1:12" ht="15" customHeight="1" x14ac:dyDescent="0.25">
      <c r="A143" s="2">
        <v>140</v>
      </c>
      <c r="B143" s="236" t="s">
        <v>13</v>
      </c>
      <c r="C143" s="237" t="s">
        <v>14</v>
      </c>
      <c r="D143" s="231" t="s">
        <v>175</v>
      </c>
      <c r="E143" s="232">
        <f t="shared" si="4"/>
        <v>40.674326679099757</v>
      </c>
      <c r="F143" s="233">
        <v>0.51898384029839417</v>
      </c>
      <c r="G143" s="233">
        <v>0.48299999999999998</v>
      </c>
      <c r="H143" s="234">
        <v>4</v>
      </c>
      <c r="I143" s="234">
        <v>0</v>
      </c>
      <c r="J143" s="235">
        <v>16</v>
      </c>
      <c r="K143" s="1"/>
      <c r="L143" s="251"/>
    </row>
    <row r="144" spans="1:12" ht="15" customHeight="1" x14ac:dyDescent="0.25">
      <c r="A144" s="2">
        <v>141</v>
      </c>
      <c r="B144" s="238" t="s">
        <v>16</v>
      </c>
      <c r="C144" s="252" t="s">
        <v>42</v>
      </c>
      <c r="D144" s="231" t="s">
        <v>206</v>
      </c>
      <c r="E144" s="232">
        <f t="shared" si="4"/>
        <v>40.573081727442165</v>
      </c>
      <c r="F144" s="233">
        <v>0.55135396145861193</v>
      </c>
      <c r="G144" s="233">
        <v>0.59599999999999997</v>
      </c>
      <c r="H144" s="234">
        <v>2</v>
      </c>
      <c r="I144" s="234">
        <v>0</v>
      </c>
      <c r="J144" s="235">
        <v>21</v>
      </c>
      <c r="K144" s="1"/>
      <c r="L144"/>
    </row>
    <row r="145" spans="1:12" ht="15" customHeight="1" x14ac:dyDescent="0.25">
      <c r="A145" s="2">
        <v>142</v>
      </c>
      <c r="B145" s="229" t="s">
        <v>10</v>
      </c>
      <c r="C145" s="253" t="s">
        <v>49</v>
      </c>
      <c r="D145" s="231" t="s">
        <v>137</v>
      </c>
      <c r="E145" s="232">
        <f t="shared" si="4"/>
        <v>40.402234771373308</v>
      </c>
      <c r="F145" s="233">
        <v>0.5388536345129592</v>
      </c>
      <c r="G145" s="233">
        <v>0.71699999999999997</v>
      </c>
      <c r="H145" s="234">
        <v>2</v>
      </c>
      <c r="I145" s="234">
        <v>0</v>
      </c>
      <c r="J145" s="235">
        <v>11</v>
      </c>
      <c r="K145" s="1"/>
      <c r="L145"/>
    </row>
    <row r="146" spans="1:12" ht="15" customHeight="1" x14ac:dyDescent="0.25">
      <c r="A146" s="2">
        <v>143</v>
      </c>
      <c r="B146" s="229" t="s">
        <v>10</v>
      </c>
      <c r="C146" s="253" t="s">
        <v>49</v>
      </c>
      <c r="D146" s="231" t="s">
        <v>50</v>
      </c>
      <c r="E146" s="232">
        <f t="shared" si="4"/>
        <v>40.042180699598916</v>
      </c>
      <c r="F146" s="241">
        <v>0.66701233679037397</v>
      </c>
      <c r="G146" s="241">
        <v>0.5</v>
      </c>
      <c r="H146" s="235">
        <v>1</v>
      </c>
      <c r="I146" s="235">
        <v>0</v>
      </c>
      <c r="J146" s="235">
        <v>11</v>
      </c>
      <c r="K146" s="1"/>
      <c r="L146"/>
    </row>
    <row r="147" spans="1:12" ht="15" customHeight="1" x14ac:dyDescent="0.25">
      <c r="A147" s="2">
        <v>144</v>
      </c>
      <c r="B147" s="238" t="s">
        <v>16</v>
      </c>
      <c r="C147" s="242" t="s">
        <v>21</v>
      </c>
      <c r="D147" s="231" t="s">
        <v>117</v>
      </c>
      <c r="E147" s="232">
        <f t="shared" si="4"/>
        <v>39.977358690627852</v>
      </c>
      <c r="F147" s="233">
        <v>0.51105660857506852</v>
      </c>
      <c r="G147" s="233">
        <v>0.66100000000000003</v>
      </c>
      <c r="H147" s="234">
        <v>2</v>
      </c>
      <c r="I147" s="234">
        <v>0</v>
      </c>
      <c r="J147" s="235">
        <v>21</v>
      </c>
      <c r="K147" s="1"/>
      <c r="L147"/>
    </row>
    <row r="148" spans="1:12" ht="15" customHeight="1" x14ac:dyDescent="0.25">
      <c r="A148" s="2">
        <v>145</v>
      </c>
      <c r="B148" s="238" t="s">
        <v>16</v>
      </c>
      <c r="C148" s="242" t="s">
        <v>21</v>
      </c>
      <c r="D148" s="231" t="s">
        <v>684</v>
      </c>
      <c r="E148" s="232">
        <f t="shared" si="4"/>
        <v>39.804916799291007</v>
      </c>
      <c r="F148" s="233">
        <v>0.56051800318298417</v>
      </c>
      <c r="G148" s="233">
        <v>0.70199999999999996</v>
      </c>
      <c r="H148" s="234">
        <v>1</v>
      </c>
      <c r="I148" s="234">
        <v>0</v>
      </c>
      <c r="J148" s="235">
        <v>16</v>
      </c>
      <c r="K148" s="1"/>
      <c r="L148"/>
    </row>
    <row r="149" spans="1:12" ht="15" customHeight="1" x14ac:dyDescent="0.25">
      <c r="A149" s="2">
        <v>146</v>
      </c>
      <c r="B149" s="238" t="s">
        <v>16</v>
      </c>
      <c r="C149" s="242" t="s">
        <v>21</v>
      </c>
      <c r="D149" s="231" t="s">
        <v>74</v>
      </c>
      <c r="E149" s="232">
        <f t="shared" si="4"/>
        <v>39.5559319073962</v>
      </c>
      <c r="F149" s="241">
        <v>0.51254236577750889</v>
      </c>
      <c r="G149" s="247">
        <v>0.432</v>
      </c>
      <c r="H149" s="235">
        <v>2</v>
      </c>
      <c r="I149" s="235">
        <v>1</v>
      </c>
      <c r="J149" s="235">
        <v>16</v>
      </c>
      <c r="K149" s="1"/>
      <c r="L149"/>
    </row>
    <row r="150" spans="1:12" ht="15" customHeight="1" x14ac:dyDescent="0.25">
      <c r="A150" s="2">
        <v>147</v>
      </c>
      <c r="B150" s="229" t="s">
        <v>10</v>
      </c>
      <c r="C150" s="250" t="s">
        <v>35</v>
      </c>
      <c r="D150" s="231" t="s">
        <v>36</v>
      </c>
      <c r="E150" s="232">
        <f t="shared" si="4"/>
        <v>39.417267508487093</v>
      </c>
      <c r="F150" s="241">
        <v>0.51441442020369021</v>
      </c>
      <c r="G150" s="247">
        <v>0.49399999999999999</v>
      </c>
      <c r="H150" s="235">
        <v>1</v>
      </c>
      <c r="I150" s="235">
        <v>1</v>
      </c>
      <c r="J150" s="235">
        <v>21</v>
      </c>
      <c r="K150" s="1"/>
      <c r="L150"/>
    </row>
    <row r="151" spans="1:12" ht="15" customHeight="1" x14ac:dyDescent="0.25">
      <c r="A151" s="2">
        <v>148</v>
      </c>
      <c r="B151" s="243" t="s">
        <v>23</v>
      </c>
      <c r="C151" s="246" t="s">
        <v>26</v>
      </c>
      <c r="D151" s="231" t="s">
        <v>168</v>
      </c>
      <c r="E151" s="232">
        <f t="shared" si="4"/>
        <v>39.166865104900928</v>
      </c>
      <c r="F151" s="233">
        <v>0.40880476251762227</v>
      </c>
      <c r="G151" s="233">
        <v>0.53300000000000003</v>
      </c>
      <c r="H151" s="234">
        <v>1</v>
      </c>
      <c r="I151" s="234">
        <v>1</v>
      </c>
      <c r="J151" s="235">
        <v>42</v>
      </c>
      <c r="K151" s="1"/>
      <c r="L151"/>
    </row>
    <row r="152" spans="1:12" ht="15" customHeight="1" x14ac:dyDescent="0.25">
      <c r="A152" s="2">
        <v>149</v>
      </c>
      <c r="B152" s="238" t="s">
        <v>16</v>
      </c>
      <c r="C152" s="242" t="s">
        <v>21</v>
      </c>
      <c r="D152" s="231" t="s">
        <v>136</v>
      </c>
      <c r="E152" s="232">
        <f t="shared" si="4"/>
        <v>39.112206581510698</v>
      </c>
      <c r="F152" s="233">
        <v>0.5338929579562568</v>
      </c>
      <c r="G152" s="233">
        <v>0.72699999999999998</v>
      </c>
      <c r="H152" s="234">
        <v>1</v>
      </c>
      <c r="I152" s="234">
        <v>0</v>
      </c>
      <c r="J152" s="235">
        <v>16</v>
      </c>
      <c r="K152" s="1"/>
      <c r="L152"/>
    </row>
    <row r="153" spans="1:12" ht="15" customHeight="1" x14ac:dyDescent="0.25">
      <c r="A153" s="2">
        <v>150</v>
      </c>
      <c r="B153" s="243" t="s">
        <v>23</v>
      </c>
      <c r="C153" s="246" t="s">
        <v>26</v>
      </c>
      <c r="D153" s="231" t="s">
        <v>221</v>
      </c>
      <c r="E153" s="232">
        <f t="shared" si="4"/>
        <v>39.009738330772073</v>
      </c>
      <c r="F153" s="233">
        <v>0.3982337199385298</v>
      </c>
      <c r="G153" s="233">
        <v>0.5</v>
      </c>
      <c r="H153" s="234">
        <v>1</v>
      </c>
      <c r="I153" s="234">
        <v>1</v>
      </c>
      <c r="J153" s="235">
        <v>47</v>
      </c>
      <c r="K153" s="1"/>
      <c r="L153"/>
    </row>
    <row r="154" spans="1:12" ht="15" customHeight="1" x14ac:dyDescent="0.25">
      <c r="A154" s="2">
        <v>151</v>
      </c>
      <c r="B154" s="248" t="s">
        <v>29</v>
      </c>
      <c r="C154" s="255" t="s">
        <v>85</v>
      </c>
      <c r="D154" s="231" t="s">
        <v>167</v>
      </c>
      <c r="E154" s="232">
        <f t="shared" si="4"/>
        <v>38.862191565064187</v>
      </c>
      <c r="F154" s="241">
        <v>0.5602925975615406</v>
      </c>
      <c r="G154" s="247">
        <v>0.54600000000000004</v>
      </c>
      <c r="H154" s="235">
        <v>1</v>
      </c>
      <c r="I154" s="235">
        <v>0</v>
      </c>
      <c r="J154" s="235">
        <v>26</v>
      </c>
      <c r="K154" s="1"/>
      <c r="L154"/>
    </row>
    <row r="155" spans="1:12" ht="15" customHeight="1" x14ac:dyDescent="0.25">
      <c r="A155" s="2">
        <v>152</v>
      </c>
      <c r="B155" s="238" t="s">
        <v>16</v>
      </c>
      <c r="C155" s="252" t="s">
        <v>42</v>
      </c>
      <c r="D155" s="231" t="s">
        <v>90</v>
      </c>
      <c r="E155" s="232">
        <f t="shared" si="4"/>
        <v>38.849790172602049</v>
      </c>
      <c r="F155" s="233">
        <v>0.49239496414244927</v>
      </c>
      <c r="G155" s="233">
        <v>0.81499999999999995</v>
      </c>
      <c r="H155" s="234">
        <v>1</v>
      </c>
      <c r="I155" s="234">
        <v>0</v>
      </c>
      <c r="J155" s="235">
        <v>16</v>
      </c>
      <c r="K155" s="1"/>
      <c r="L155"/>
    </row>
    <row r="156" spans="1:12" ht="15" customHeight="1" x14ac:dyDescent="0.25">
      <c r="A156" s="2">
        <v>153</v>
      </c>
      <c r="B156" s="238" t="s">
        <v>16</v>
      </c>
      <c r="C156" s="252" t="s">
        <v>42</v>
      </c>
      <c r="D156" s="231" t="s">
        <v>80</v>
      </c>
      <c r="E156" s="232">
        <f t="shared" si="4"/>
        <v>38.73908930967621</v>
      </c>
      <c r="F156" s="241">
        <v>0.47173814343222897</v>
      </c>
      <c r="G156" s="247">
        <v>0.23499999999999999</v>
      </c>
      <c r="H156" s="235">
        <v>4</v>
      </c>
      <c r="I156" s="235">
        <v>1</v>
      </c>
      <c r="J156" s="235">
        <v>16</v>
      </c>
      <c r="K156" s="1"/>
      <c r="L156"/>
    </row>
    <row r="157" spans="1:12" ht="15" customHeight="1" x14ac:dyDescent="0.25">
      <c r="A157" s="2">
        <v>154</v>
      </c>
      <c r="B157" s="229" t="s">
        <v>10</v>
      </c>
      <c r="C157" s="253" t="s">
        <v>49</v>
      </c>
      <c r="D157" s="231" t="s">
        <v>106</v>
      </c>
      <c r="E157" s="232">
        <f t="shared" si="4"/>
        <v>38.706672891213444</v>
      </c>
      <c r="F157" s="233">
        <v>0.45936014938912262</v>
      </c>
      <c r="G157" s="233">
        <v>0.63900000000000001</v>
      </c>
      <c r="H157" s="234">
        <v>1</v>
      </c>
      <c r="I157" s="234">
        <v>1</v>
      </c>
      <c r="J157" s="235">
        <v>16</v>
      </c>
      <c r="K157" s="1"/>
      <c r="L157"/>
    </row>
    <row r="158" spans="1:12" ht="15" customHeight="1" x14ac:dyDescent="0.25">
      <c r="A158" s="2">
        <v>155</v>
      </c>
      <c r="B158" s="229" t="s">
        <v>10</v>
      </c>
      <c r="C158" s="256" t="s">
        <v>115</v>
      </c>
      <c r="D158" s="231" t="s">
        <v>203</v>
      </c>
      <c r="E158" s="232">
        <f t="shared" si="4"/>
        <v>38.619283250128333</v>
      </c>
      <c r="F158" s="241">
        <v>0.42246279800307995</v>
      </c>
      <c r="G158" s="247">
        <v>0.30099999999999999</v>
      </c>
      <c r="H158" s="235">
        <v>4</v>
      </c>
      <c r="I158" s="235">
        <v>1</v>
      </c>
      <c r="J158" s="235">
        <v>21</v>
      </c>
      <c r="K158" s="1"/>
      <c r="L158"/>
    </row>
    <row r="159" spans="1:12" ht="15" customHeight="1" x14ac:dyDescent="0.25">
      <c r="A159" s="2">
        <v>156</v>
      </c>
      <c r="B159" s="238" t="s">
        <v>16</v>
      </c>
      <c r="C159" s="252" t="s">
        <v>42</v>
      </c>
      <c r="D159" s="231" t="s">
        <v>56</v>
      </c>
      <c r="E159" s="232">
        <f t="shared" si="4"/>
        <v>36.992837580181025</v>
      </c>
      <c r="F159" s="233">
        <v>0.45182810192434469</v>
      </c>
      <c r="G159" s="233">
        <v>0.68</v>
      </c>
      <c r="H159" s="234">
        <v>2</v>
      </c>
      <c r="I159" s="234">
        <v>0</v>
      </c>
      <c r="J159" s="235">
        <v>16</v>
      </c>
      <c r="K159" s="1"/>
      <c r="L159"/>
    </row>
    <row r="160" spans="1:12" ht="15" customHeight="1" x14ac:dyDescent="0.25">
      <c r="A160" s="2">
        <v>157</v>
      </c>
      <c r="B160" s="243" t="s">
        <v>23</v>
      </c>
      <c r="C160" s="246" t="s">
        <v>26</v>
      </c>
      <c r="D160" s="231" t="s">
        <v>100</v>
      </c>
      <c r="E160" s="232">
        <f t="shared" si="4"/>
        <v>36.769182838177976</v>
      </c>
      <c r="F160" s="233">
        <v>0.48326038811627131</v>
      </c>
      <c r="G160" s="233">
        <v>0.53800000000000003</v>
      </c>
      <c r="H160" s="234">
        <v>0</v>
      </c>
      <c r="I160" s="234">
        <v>1</v>
      </c>
      <c r="J160" s="235">
        <v>21</v>
      </c>
      <c r="K160" s="1"/>
      <c r="L160"/>
    </row>
    <row r="161" spans="1:12" ht="15" customHeight="1" x14ac:dyDescent="0.25">
      <c r="A161" s="2">
        <v>158</v>
      </c>
      <c r="B161" s="243" t="s">
        <v>23</v>
      </c>
      <c r="C161" s="246" t="s">
        <v>26</v>
      </c>
      <c r="D161" s="231" t="s">
        <v>79</v>
      </c>
      <c r="E161" s="232">
        <f t="shared" si="4"/>
        <v>36.671273571638515</v>
      </c>
      <c r="F161" s="233">
        <v>0.49211056571932432</v>
      </c>
      <c r="G161" s="233">
        <v>0.4</v>
      </c>
      <c r="H161" s="234">
        <v>0</v>
      </c>
      <c r="I161" s="234">
        <v>1</v>
      </c>
      <c r="J161" s="235">
        <v>32</v>
      </c>
      <c r="K161" s="1"/>
      <c r="L161"/>
    </row>
    <row r="162" spans="1:12" ht="15" customHeight="1" x14ac:dyDescent="0.25">
      <c r="A162" s="2">
        <v>159</v>
      </c>
      <c r="B162" s="238" t="s">
        <v>16</v>
      </c>
      <c r="C162" s="252" t="s">
        <v>42</v>
      </c>
      <c r="D162" s="231" t="s">
        <v>66</v>
      </c>
      <c r="E162" s="232">
        <f t="shared" si="4"/>
        <v>36.495559277923938</v>
      </c>
      <c r="F162" s="233">
        <v>0.50029342267017463</v>
      </c>
      <c r="G162" s="233">
        <v>0.36899999999999999</v>
      </c>
      <c r="H162" s="234">
        <v>0</v>
      </c>
      <c r="I162" s="234">
        <v>1</v>
      </c>
      <c r="J162" s="235">
        <v>32</v>
      </c>
      <c r="K162" s="1"/>
      <c r="L162"/>
    </row>
    <row r="163" spans="1:12" ht="15" customHeight="1" x14ac:dyDescent="0.25">
      <c r="A163" s="2">
        <v>160</v>
      </c>
      <c r="B163" s="238" t="s">
        <v>16</v>
      </c>
      <c r="C163" s="242" t="s">
        <v>21</v>
      </c>
      <c r="D163" s="231" t="s">
        <v>83</v>
      </c>
      <c r="E163" s="232">
        <f t="shared" si="4"/>
        <v>36.147901972738438</v>
      </c>
      <c r="F163" s="241">
        <v>0.53514964734572257</v>
      </c>
      <c r="G163" s="247">
        <v>0.21099999999999999</v>
      </c>
      <c r="H163" s="235">
        <v>2</v>
      </c>
      <c r="I163" s="235">
        <v>0</v>
      </c>
      <c r="J163" s="235">
        <v>37</v>
      </c>
      <c r="K163" s="1"/>
      <c r="L163"/>
    </row>
    <row r="164" spans="1:12" ht="15" customHeight="1" x14ac:dyDescent="0.25">
      <c r="A164" s="2">
        <v>161</v>
      </c>
      <c r="B164" s="238" t="s">
        <v>16</v>
      </c>
      <c r="C164" s="252" t="s">
        <v>42</v>
      </c>
      <c r="D164" s="231" t="s">
        <v>159</v>
      </c>
      <c r="E164" s="232">
        <f t="shared" ref="E164:E195" si="5">(F164*100*2.5+G164*100+(H164/4)*100*0.5+(I164/4)*100+J164)/6</f>
        <v>36.10988809890744</v>
      </c>
      <c r="F164" s="233">
        <v>0.49143731437377852</v>
      </c>
      <c r="G164" s="233">
        <v>0.76300000000000001</v>
      </c>
      <c r="H164" s="234">
        <v>1</v>
      </c>
      <c r="I164" s="234">
        <v>0</v>
      </c>
      <c r="J164" s="235">
        <v>5</v>
      </c>
      <c r="K164" s="1"/>
      <c r="L164"/>
    </row>
    <row r="165" spans="1:12" ht="15" customHeight="1" x14ac:dyDescent="0.25">
      <c r="A165" s="2">
        <v>162</v>
      </c>
      <c r="B165" s="238" t="s">
        <v>16</v>
      </c>
      <c r="C165" s="252" t="s">
        <v>42</v>
      </c>
      <c r="D165" s="231" t="s">
        <v>65</v>
      </c>
      <c r="E165" s="232">
        <f t="shared" si="5"/>
        <v>35.684346322325425</v>
      </c>
      <c r="F165" s="233">
        <v>0.46682431173581024</v>
      </c>
      <c r="G165" s="233">
        <v>0.314</v>
      </c>
      <c r="H165" s="234">
        <v>2</v>
      </c>
      <c r="I165" s="234">
        <v>1</v>
      </c>
      <c r="J165" s="235">
        <v>16</v>
      </c>
      <c r="K165" s="1"/>
      <c r="L165"/>
    </row>
    <row r="166" spans="1:12" ht="15" customHeight="1" x14ac:dyDescent="0.25">
      <c r="A166" s="2">
        <v>163</v>
      </c>
      <c r="B166" s="238" t="s">
        <v>16</v>
      </c>
      <c r="C166" s="252" t="s">
        <v>42</v>
      </c>
      <c r="D166" s="231" t="s">
        <v>184</v>
      </c>
      <c r="E166" s="232">
        <f t="shared" si="5"/>
        <v>35.637081264623852</v>
      </c>
      <c r="F166" s="233">
        <v>0.50048995035097243</v>
      </c>
      <c r="G166" s="233">
        <v>0.67700000000000005</v>
      </c>
      <c r="H166" s="234">
        <v>0</v>
      </c>
      <c r="I166" s="234">
        <v>0</v>
      </c>
      <c r="J166" s="235">
        <v>21</v>
      </c>
      <c r="K166" s="1"/>
      <c r="L166"/>
    </row>
    <row r="167" spans="1:12" ht="15" customHeight="1" x14ac:dyDescent="0.25">
      <c r="A167" s="2">
        <v>164</v>
      </c>
      <c r="B167" s="238" t="s">
        <v>16</v>
      </c>
      <c r="C167" s="242" t="s">
        <v>21</v>
      </c>
      <c r="D167" s="231" t="s">
        <v>225</v>
      </c>
      <c r="E167" s="232">
        <f t="shared" si="5"/>
        <v>35.398139576655417</v>
      </c>
      <c r="F167" s="233">
        <v>0.41235534983972993</v>
      </c>
      <c r="G167" s="233">
        <v>0.63300000000000001</v>
      </c>
      <c r="H167" s="234">
        <v>2</v>
      </c>
      <c r="I167" s="234">
        <v>0</v>
      </c>
      <c r="J167" s="235">
        <v>21</v>
      </c>
      <c r="K167" s="1"/>
      <c r="L167"/>
    </row>
    <row r="168" spans="1:12" ht="15" customHeight="1" x14ac:dyDescent="0.25">
      <c r="A168" s="2">
        <v>165</v>
      </c>
      <c r="B168" s="238" t="s">
        <v>16</v>
      </c>
      <c r="C168" s="252" t="s">
        <v>42</v>
      </c>
      <c r="D168" s="231" t="s">
        <v>53</v>
      </c>
      <c r="E168" s="232">
        <f t="shared" si="5"/>
        <v>35.033189530723824</v>
      </c>
      <c r="F168" s="241">
        <v>0.48919654873737173</v>
      </c>
      <c r="G168" s="247">
        <v>0.41899999999999998</v>
      </c>
      <c r="H168" s="235">
        <v>2</v>
      </c>
      <c r="I168" s="235">
        <v>0</v>
      </c>
      <c r="J168" s="235">
        <v>21</v>
      </c>
      <c r="K168" s="1"/>
      <c r="L168"/>
    </row>
    <row r="169" spans="1:12" ht="15" customHeight="1" x14ac:dyDescent="0.25">
      <c r="A169" s="2">
        <v>166</v>
      </c>
      <c r="B169" s="243" t="s">
        <v>23</v>
      </c>
      <c r="C169" s="246" t="s">
        <v>26</v>
      </c>
      <c r="D169" s="231" t="s">
        <v>96</v>
      </c>
      <c r="E169" s="232">
        <f t="shared" si="5"/>
        <v>34.956725547201685</v>
      </c>
      <c r="F169" s="233">
        <v>0.37736141313284044</v>
      </c>
      <c r="G169" s="233">
        <v>0.45900000000000002</v>
      </c>
      <c r="H169" s="234">
        <v>1</v>
      </c>
      <c r="I169" s="234">
        <v>1</v>
      </c>
      <c r="J169" s="235">
        <v>32</v>
      </c>
      <c r="K169" s="1"/>
      <c r="L169"/>
    </row>
    <row r="170" spans="1:12" ht="15" customHeight="1" x14ac:dyDescent="0.25">
      <c r="A170" s="2">
        <v>167</v>
      </c>
      <c r="B170" s="229" t="s">
        <v>10</v>
      </c>
      <c r="C170" s="253" t="s">
        <v>49</v>
      </c>
      <c r="D170" s="231" t="s">
        <v>125</v>
      </c>
      <c r="E170" s="232">
        <f t="shared" si="5"/>
        <v>34.811039036360292</v>
      </c>
      <c r="F170" s="241">
        <v>0.47586493687264708</v>
      </c>
      <c r="G170" s="247">
        <v>0.22900000000000001</v>
      </c>
      <c r="H170" s="235">
        <v>0</v>
      </c>
      <c r="I170" s="235">
        <v>1</v>
      </c>
      <c r="J170" s="235">
        <v>42</v>
      </c>
      <c r="K170" s="1"/>
      <c r="L170"/>
    </row>
    <row r="171" spans="1:12" ht="15" customHeight="1" x14ac:dyDescent="0.25">
      <c r="A171" s="2">
        <v>168</v>
      </c>
      <c r="B171" s="238" t="s">
        <v>16</v>
      </c>
      <c r="C171" s="252" t="s">
        <v>42</v>
      </c>
      <c r="D171" s="231" t="s">
        <v>97</v>
      </c>
      <c r="E171" s="232">
        <f t="shared" si="5"/>
        <v>34.702454417668527</v>
      </c>
      <c r="F171" s="233">
        <v>0.56965890602404456</v>
      </c>
      <c r="G171" s="233">
        <v>0.248</v>
      </c>
      <c r="H171" s="234">
        <v>2</v>
      </c>
      <c r="I171" s="234">
        <v>0</v>
      </c>
      <c r="J171" s="235">
        <v>16</v>
      </c>
      <c r="K171" s="1"/>
      <c r="L171"/>
    </row>
    <row r="172" spans="1:12" ht="15" customHeight="1" x14ac:dyDescent="0.25">
      <c r="A172" s="2">
        <v>169</v>
      </c>
      <c r="B172" s="238" t="s">
        <v>16</v>
      </c>
      <c r="C172" s="252" t="s">
        <v>42</v>
      </c>
      <c r="D172" s="231" t="s">
        <v>59</v>
      </c>
      <c r="E172" s="232">
        <f t="shared" si="5"/>
        <v>34.67955049661041</v>
      </c>
      <c r="F172" s="241">
        <v>0.43190921191864984</v>
      </c>
      <c r="G172" s="247">
        <v>0.29099999999999998</v>
      </c>
      <c r="H172" s="235">
        <v>2</v>
      </c>
      <c r="I172" s="235">
        <v>1</v>
      </c>
      <c r="J172" s="235">
        <v>21</v>
      </c>
      <c r="K172" s="1"/>
      <c r="L172"/>
    </row>
    <row r="173" spans="1:12" ht="15" customHeight="1" x14ac:dyDescent="0.25">
      <c r="A173" s="2">
        <v>170</v>
      </c>
      <c r="B173" s="229" t="s">
        <v>10</v>
      </c>
      <c r="C173" s="250" t="s">
        <v>35</v>
      </c>
      <c r="D173" s="231" t="s">
        <v>162</v>
      </c>
      <c r="E173" s="232">
        <f t="shared" si="5"/>
        <v>34.646489098539178</v>
      </c>
      <c r="F173" s="241">
        <v>0.55951573836494028</v>
      </c>
      <c r="G173" s="247">
        <v>0.44500000000000001</v>
      </c>
      <c r="H173" s="235">
        <v>1</v>
      </c>
      <c r="I173" s="235">
        <v>0</v>
      </c>
      <c r="J173" s="235">
        <v>11</v>
      </c>
      <c r="K173" s="1"/>
      <c r="L173"/>
    </row>
    <row r="174" spans="1:12" ht="15" customHeight="1" x14ac:dyDescent="0.25">
      <c r="A174" s="2">
        <v>171</v>
      </c>
      <c r="B174" s="238" t="s">
        <v>16</v>
      </c>
      <c r="C174" s="252" t="s">
        <v>42</v>
      </c>
      <c r="D174" s="231" t="s">
        <v>60</v>
      </c>
      <c r="E174" s="232">
        <f t="shared" si="5"/>
        <v>34.565675356307921</v>
      </c>
      <c r="F174" s="241">
        <v>0.4735762085513901</v>
      </c>
      <c r="G174" s="247">
        <v>0.43</v>
      </c>
      <c r="H174" s="235">
        <v>2</v>
      </c>
      <c r="I174" s="235">
        <v>0</v>
      </c>
      <c r="J174" s="235">
        <v>21</v>
      </c>
      <c r="K174" s="1"/>
      <c r="L174"/>
    </row>
    <row r="175" spans="1:12" ht="15" customHeight="1" x14ac:dyDescent="0.25">
      <c r="A175" s="2">
        <v>172</v>
      </c>
      <c r="B175" s="238" t="s">
        <v>16</v>
      </c>
      <c r="C175" s="242" t="s">
        <v>21</v>
      </c>
      <c r="D175" s="231" t="s">
        <v>64</v>
      </c>
      <c r="E175" s="232">
        <f t="shared" si="5"/>
        <v>33.962747370522578</v>
      </c>
      <c r="F175" s="241">
        <v>0.49790593689254187</v>
      </c>
      <c r="G175" s="247">
        <v>0.38300000000000001</v>
      </c>
      <c r="H175" s="235">
        <v>2</v>
      </c>
      <c r="I175" s="235">
        <v>0</v>
      </c>
      <c r="J175" s="235">
        <v>16</v>
      </c>
      <c r="K175" s="1"/>
      <c r="L175"/>
    </row>
    <row r="176" spans="1:12" ht="15" customHeight="1" x14ac:dyDescent="0.25">
      <c r="A176" s="2">
        <v>173</v>
      </c>
      <c r="B176" s="229" t="s">
        <v>10</v>
      </c>
      <c r="C176" s="250" t="s">
        <v>35</v>
      </c>
      <c r="D176" s="231" t="s">
        <v>215</v>
      </c>
      <c r="E176" s="232">
        <f t="shared" si="5"/>
        <v>33.730524833260489</v>
      </c>
      <c r="F176" s="233">
        <v>0.59833259599825173</v>
      </c>
      <c r="G176" s="233">
        <v>0.29299999999999998</v>
      </c>
      <c r="H176" s="234">
        <v>1</v>
      </c>
      <c r="I176" s="234">
        <v>0</v>
      </c>
      <c r="J176" s="235">
        <v>11</v>
      </c>
      <c r="K176" s="1"/>
      <c r="L176"/>
    </row>
    <row r="177" spans="1:12" ht="15" customHeight="1" x14ac:dyDescent="0.25">
      <c r="A177" s="2">
        <v>174</v>
      </c>
      <c r="B177" s="238" t="s">
        <v>16</v>
      </c>
      <c r="C177" s="242" t="s">
        <v>21</v>
      </c>
      <c r="D177" s="231" t="s">
        <v>84</v>
      </c>
      <c r="E177" s="232">
        <f t="shared" si="5"/>
        <v>33.560221540465498</v>
      </c>
      <c r="F177" s="233">
        <v>0.40944531697117198</v>
      </c>
      <c r="G177" s="233">
        <v>0.45500000000000002</v>
      </c>
      <c r="H177" s="234">
        <v>3</v>
      </c>
      <c r="I177" s="234">
        <v>0</v>
      </c>
      <c r="J177" s="235">
        <v>16</v>
      </c>
      <c r="K177" s="1"/>
      <c r="L177"/>
    </row>
    <row r="178" spans="1:12" ht="15" customHeight="1" x14ac:dyDescent="0.25">
      <c r="A178" s="2">
        <v>175</v>
      </c>
      <c r="B178" s="229" t="s">
        <v>10</v>
      </c>
      <c r="C178" s="230" t="s">
        <v>11</v>
      </c>
      <c r="D178" s="231" t="s">
        <v>163</v>
      </c>
      <c r="E178" s="232">
        <f t="shared" si="5"/>
        <v>33.42517092801063</v>
      </c>
      <c r="F178" s="233">
        <v>0.36900410227225516</v>
      </c>
      <c r="G178" s="233">
        <v>0.36299999999999999</v>
      </c>
      <c r="H178" s="234">
        <v>2</v>
      </c>
      <c r="I178" s="234">
        <v>0</v>
      </c>
      <c r="J178" s="235">
        <v>47</v>
      </c>
      <c r="K178" s="1"/>
      <c r="L178"/>
    </row>
    <row r="179" spans="1:12" ht="15" customHeight="1" x14ac:dyDescent="0.25">
      <c r="A179" s="2">
        <v>176</v>
      </c>
      <c r="B179" s="229" t="s">
        <v>10</v>
      </c>
      <c r="C179" s="230" t="s">
        <v>11</v>
      </c>
      <c r="D179" s="231" t="s">
        <v>37</v>
      </c>
      <c r="E179" s="232">
        <f t="shared" si="5"/>
        <v>33.422744874306687</v>
      </c>
      <c r="F179" s="233">
        <v>0.39814587698336051</v>
      </c>
      <c r="G179" s="233">
        <v>0.72499999999999998</v>
      </c>
      <c r="H179" s="234">
        <v>1</v>
      </c>
      <c r="I179" s="234">
        <v>0</v>
      </c>
      <c r="J179" s="235">
        <v>16</v>
      </c>
      <c r="K179" s="1"/>
      <c r="L179"/>
    </row>
    <row r="180" spans="1:12" ht="15" customHeight="1" x14ac:dyDescent="0.25">
      <c r="A180" s="2">
        <v>177</v>
      </c>
      <c r="B180" s="229" t="s">
        <v>10</v>
      </c>
      <c r="C180" s="250" t="s">
        <v>35</v>
      </c>
      <c r="D180" s="231" t="s">
        <v>173</v>
      </c>
      <c r="E180" s="232">
        <f t="shared" si="5"/>
        <v>32.640578154670564</v>
      </c>
      <c r="F180" s="233">
        <v>0.56497387571209357</v>
      </c>
      <c r="G180" s="233">
        <v>0.186</v>
      </c>
      <c r="H180" s="234">
        <v>2</v>
      </c>
      <c r="I180" s="234">
        <v>0</v>
      </c>
      <c r="J180" s="235">
        <v>11</v>
      </c>
      <c r="K180" s="1"/>
      <c r="L180"/>
    </row>
    <row r="181" spans="1:12" ht="15" customHeight="1" x14ac:dyDescent="0.25">
      <c r="A181" s="2">
        <v>178</v>
      </c>
      <c r="B181" s="229" t="s">
        <v>10</v>
      </c>
      <c r="C181" s="253" t="s">
        <v>49</v>
      </c>
      <c r="D181" s="231" t="s">
        <v>120</v>
      </c>
      <c r="E181" s="232">
        <f t="shared" si="5"/>
        <v>30.538911531263164</v>
      </c>
      <c r="F181" s="241">
        <v>0.36613387675031595</v>
      </c>
      <c r="G181" s="247">
        <v>7.0000000000000001E-3</v>
      </c>
      <c r="H181" s="235">
        <v>4</v>
      </c>
      <c r="I181" s="235">
        <v>1</v>
      </c>
      <c r="J181" s="235">
        <v>16</v>
      </c>
      <c r="K181" s="1"/>
      <c r="L181"/>
    </row>
    <row r="182" spans="1:12" ht="15" customHeight="1" x14ac:dyDescent="0.25">
      <c r="A182" s="2">
        <v>179</v>
      </c>
      <c r="B182" s="229" t="s">
        <v>10</v>
      </c>
      <c r="C182" s="250" t="s">
        <v>35</v>
      </c>
      <c r="D182" s="231" t="s">
        <v>180</v>
      </c>
      <c r="E182" s="232">
        <f t="shared" si="5"/>
        <v>29.918805837060336</v>
      </c>
      <c r="F182" s="241">
        <v>0.50565134008944812</v>
      </c>
      <c r="G182" s="247">
        <v>0.17100000000000001</v>
      </c>
      <c r="H182" s="235">
        <v>2</v>
      </c>
      <c r="I182" s="235">
        <v>0</v>
      </c>
      <c r="J182" s="235">
        <v>11</v>
      </c>
      <c r="K182" s="1"/>
      <c r="L182"/>
    </row>
    <row r="183" spans="1:12" ht="15" customHeight="1" x14ac:dyDescent="0.25">
      <c r="A183" s="2">
        <v>180</v>
      </c>
      <c r="B183" s="229" t="s">
        <v>10</v>
      </c>
      <c r="C183" s="250" t="s">
        <v>35</v>
      </c>
      <c r="D183" s="231" t="s">
        <v>123</v>
      </c>
      <c r="E183" s="232">
        <f t="shared" si="5"/>
        <v>29.476187543092141</v>
      </c>
      <c r="F183" s="233">
        <v>0.35422850103421144</v>
      </c>
      <c r="G183" s="233">
        <v>0.47299999999999998</v>
      </c>
      <c r="H183" s="234">
        <v>2</v>
      </c>
      <c r="I183" s="234">
        <v>0</v>
      </c>
      <c r="J183" s="235">
        <v>16</v>
      </c>
      <c r="K183" s="1"/>
      <c r="L183"/>
    </row>
    <row r="184" spans="1:12" ht="15" customHeight="1" x14ac:dyDescent="0.25">
      <c r="A184" s="2">
        <v>181</v>
      </c>
      <c r="B184" s="229" t="s">
        <v>10</v>
      </c>
      <c r="C184" s="256" t="s">
        <v>115</v>
      </c>
      <c r="D184" s="231" t="s">
        <v>211</v>
      </c>
      <c r="E184" s="232">
        <f t="shared" si="5"/>
        <v>29.22697655353711</v>
      </c>
      <c r="F184" s="241">
        <v>0.40464743728489061</v>
      </c>
      <c r="G184" s="247">
        <v>0.13200000000000001</v>
      </c>
      <c r="H184" s="235">
        <v>4</v>
      </c>
      <c r="I184" s="235">
        <v>0</v>
      </c>
      <c r="J184" s="235">
        <v>11</v>
      </c>
      <c r="K184" s="1"/>
      <c r="L184"/>
    </row>
    <row r="185" spans="1:12" ht="15" customHeight="1" x14ac:dyDescent="0.25">
      <c r="A185" s="2">
        <v>182</v>
      </c>
      <c r="B185" s="229" t="s">
        <v>10</v>
      </c>
      <c r="C185" s="250" t="s">
        <v>35</v>
      </c>
      <c r="D185" s="231" t="s">
        <v>127</v>
      </c>
      <c r="E185" s="232">
        <f t="shared" si="5"/>
        <v>28.493261986180656</v>
      </c>
      <c r="F185" s="233">
        <v>0.37623828766833567</v>
      </c>
      <c r="G185" s="233">
        <v>0.48399999999999999</v>
      </c>
      <c r="H185" s="234">
        <v>1</v>
      </c>
      <c r="I185" s="234">
        <v>0</v>
      </c>
      <c r="J185" s="235">
        <v>16</v>
      </c>
      <c r="K185" s="1"/>
      <c r="L185"/>
    </row>
    <row r="186" spans="1:12" ht="15" customHeight="1" x14ac:dyDescent="0.25">
      <c r="A186" s="2">
        <v>183</v>
      </c>
      <c r="B186" s="238" t="s">
        <v>16</v>
      </c>
      <c r="C186" s="239" t="s">
        <v>17</v>
      </c>
      <c r="D186" s="231" t="s">
        <v>78</v>
      </c>
      <c r="E186" s="232">
        <f t="shared" si="5"/>
        <v>28.287827009511684</v>
      </c>
      <c r="F186" s="233">
        <v>0.42490784822828037</v>
      </c>
      <c r="G186" s="233">
        <v>0.47499999999999998</v>
      </c>
      <c r="H186" s="234">
        <v>0</v>
      </c>
      <c r="I186" s="234">
        <v>0</v>
      </c>
      <c r="J186" s="235">
        <v>16</v>
      </c>
      <c r="K186" s="1"/>
      <c r="L186"/>
    </row>
    <row r="187" spans="1:12" ht="15" customHeight="1" x14ac:dyDescent="0.25">
      <c r="A187" s="2">
        <v>184</v>
      </c>
      <c r="B187" s="238" t="s">
        <v>16</v>
      </c>
      <c r="C187" s="242" t="s">
        <v>21</v>
      </c>
      <c r="D187" s="231" t="s">
        <v>213</v>
      </c>
      <c r="E187" s="232">
        <f t="shared" si="5"/>
        <v>28.279369215677292</v>
      </c>
      <c r="F187" s="233">
        <v>0.39430486117625502</v>
      </c>
      <c r="G187" s="233">
        <v>0.42599999999999999</v>
      </c>
      <c r="H187" s="234">
        <v>1</v>
      </c>
      <c r="I187" s="234">
        <v>0</v>
      </c>
      <c r="J187" s="235">
        <v>16</v>
      </c>
      <c r="K187" s="1"/>
      <c r="L187"/>
    </row>
    <row r="188" spans="1:12" ht="15" customHeight="1" x14ac:dyDescent="0.25">
      <c r="A188" s="2">
        <v>185</v>
      </c>
      <c r="B188" s="238" t="s">
        <v>16</v>
      </c>
      <c r="C188" s="242" t="s">
        <v>21</v>
      </c>
      <c r="D188" s="231" t="s">
        <v>81</v>
      </c>
      <c r="E188" s="232">
        <f t="shared" si="5"/>
        <v>26.775385171040664</v>
      </c>
      <c r="F188" s="241">
        <v>0.4666092441049759</v>
      </c>
      <c r="G188" s="247">
        <v>0.03</v>
      </c>
      <c r="H188" s="235">
        <v>2</v>
      </c>
      <c r="I188" s="235">
        <v>0</v>
      </c>
      <c r="J188" s="235">
        <v>16</v>
      </c>
      <c r="K188" s="1"/>
      <c r="L188"/>
    </row>
    <row r="189" spans="1:12" ht="15" customHeight="1" x14ac:dyDescent="0.25">
      <c r="A189" s="2">
        <v>186</v>
      </c>
      <c r="B189" s="229" t="s">
        <v>10</v>
      </c>
      <c r="C189" s="250" t="s">
        <v>35</v>
      </c>
      <c r="D189" s="231" t="s">
        <v>107</v>
      </c>
      <c r="E189" s="232">
        <f t="shared" si="5"/>
        <v>26.40781163971667</v>
      </c>
      <c r="F189" s="233">
        <v>0.38298747935320004</v>
      </c>
      <c r="G189" s="233">
        <v>0.34200000000000003</v>
      </c>
      <c r="H189" s="234">
        <v>1</v>
      </c>
      <c r="I189" s="234">
        <v>0</v>
      </c>
      <c r="J189" s="235">
        <v>16</v>
      </c>
      <c r="K189" s="1"/>
      <c r="L189"/>
    </row>
    <row r="190" spans="1:12" ht="15" customHeight="1" x14ac:dyDescent="0.25">
      <c r="A190" s="2">
        <v>187</v>
      </c>
      <c r="B190" s="238" t="s">
        <v>16</v>
      </c>
      <c r="C190" s="242" t="s">
        <v>21</v>
      </c>
      <c r="D190" s="231" t="s">
        <v>189</v>
      </c>
      <c r="E190" s="232">
        <f t="shared" si="5"/>
        <v>25.626387372938609</v>
      </c>
      <c r="F190" s="241">
        <v>0.38583329695052654</v>
      </c>
      <c r="G190" s="247">
        <v>0.23799999999999999</v>
      </c>
      <c r="H190" s="235">
        <v>1</v>
      </c>
      <c r="I190" s="235">
        <v>0</v>
      </c>
      <c r="J190" s="235">
        <v>21</v>
      </c>
      <c r="K190" s="1"/>
      <c r="L190"/>
    </row>
    <row r="191" spans="1:12" ht="15" customHeight="1" x14ac:dyDescent="0.25">
      <c r="A191" s="2">
        <v>188</v>
      </c>
      <c r="B191" s="238" t="s">
        <v>16</v>
      </c>
      <c r="C191" s="239" t="s">
        <v>17</v>
      </c>
      <c r="D191" s="231" t="s">
        <v>130</v>
      </c>
      <c r="E191" s="232">
        <f t="shared" si="5"/>
        <v>25.429475675481289</v>
      </c>
      <c r="F191" s="241">
        <v>0.368307416211551</v>
      </c>
      <c r="G191" s="247">
        <v>0.27</v>
      </c>
      <c r="H191" s="235">
        <v>1</v>
      </c>
      <c r="I191" s="235">
        <v>0</v>
      </c>
      <c r="J191" s="235">
        <v>21</v>
      </c>
      <c r="K191" s="1"/>
      <c r="L191"/>
    </row>
    <row r="192" spans="1:12" ht="15" customHeight="1" x14ac:dyDescent="0.25">
      <c r="A192" s="2">
        <v>189</v>
      </c>
      <c r="B192" s="238" t="s">
        <v>16</v>
      </c>
      <c r="C192" s="252" t="s">
        <v>42</v>
      </c>
      <c r="D192" s="231" t="s">
        <v>142</v>
      </c>
      <c r="E192" s="232">
        <f t="shared" si="5"/>
        <v>24.874547956834174</v>
      </c>
      <c r="F192" s="233">
        <v>0.33418915096402019</v>
      </c>
      <c r="G192" s="233">
        <v>0.32200000000000001</v>
      </c>
      <c r="H192" s="234">
        <v>1</v>
      </c>
      <c r="I192" s="234">
        <v>0</v>
      </c>
      <c r="J192" s="235">
        <v>21</v>
      </c>
      <c r="K192" s="1"/>
      <c r="L192"/>
    </row>
    <row r="193" spans="1:12" ht="15" customHeight="1" x14ac:dyDescent="0.25">
      <c r="A193" s="2">
        <v>190</v>
      </c>
      <c r="B193" s="229" t="s">
        <v>10</v>
      </c>
      <c r="C193" s="253" t="s">
        <v>49</v>
      </c>
      <c r="D193" s="231" t="s">
        <v>151</v>
      </c>
      <c r="E193" s="232">
        <f t="shared" si="5"/>
        <v>24.467270731639132</v>
      </c>
      <c r="F193" s="233">
        <v>0.40001449755933915</v>
      </c>
      <c r="G193" s="233">
        <v>0.183</v>
      </c>
      <c r="H193" s="234">
        <v>1</v>
      </c>
      <c r="I193" s="234">
        <v>0</v>
      </c>
      <c r="J193" s="235">
        <v>16</v>
      </c>
      <c r="K193" s="1"/>
      <c r="L193"/>
    </row>
    <row r="194" spans="1:12" ht="15" customHeight="1" x14ac:dyDescent="0.25">
      <c r="A194" s="2">
        <v>191</v>
      </c>
      <c r="B194" s="238" t="s">
        <v>16</v>
      </c>
      <c r="C194" s="242" t="s">
        <v>21</v>
      </c>
      <c r="D194" s="231" t="s">
        <v>191</v>
      </c>
      <c r="E194" s="232">
        <f t="shared" si="5"/>
        <v>23.702456363084107</v>
      </c>
      <c r="F194" s="241">
        <v>0.4280589527140185</v>
      </c>
      <c r="G194" s="247">
        <v>0.11700000000000001</v>
      </c>
      <c r="H194" s="235">
        <v>1</v>
      </c>
      <c r="I194" s="235">
        <v>0</v>
      </c>
      <c r="J194" s="235">
        <v>11</v>
      </c>
      <c r="K194" s="1"/>
      <c r="L194"/>
    </row>
    <row r="195" spans="1:12" ht="15" customHeight="1" x14ac:dyDescent="0.25">
      <c r="A195" s="2">
        <v>192</v>
      </c>
      <c r="B195" s="243" t="s">
        <v>23</v>
      </c>
      <c r="C195" s="246" t="s">
        <v>26</v>
      </c>
      <c r="D195" s="231" t="s">
        <v>157</v>
      </c>
      <c r="E195" s="232">
        <f t="shared" si="5"/>
        <v>23.661693059198736</v>
      </c>
      <c r="F195" s="233">
        <v>0.31108063342076964</v>
      </c>
      <c r="G195" s="233">
        <v>0.23200000000000001</v>
      </c>
      <c r="H195" s="234">
        <v>0</v>
      </c>
      <c r="I195" s="234">
        <v>1</v>
      </c>
      <c r="J195" s="235">
        <v>16</v>
      </c>
      <c r="K195" s="1"/>
      <c r="L195"/>
    </row>
    <row r="196" spans="1:12" ht="15" customHeight="1" x14ac:dyDescent="0.25">
      <c r="A196" s="2">
        <v>193</v>
      </c>
      <c r="B196" s="229" t="s">
        <v>10</v>
      </c>
      <c r="C196" s="250" t="s">
        <v>35</v>
      </c>
      <c r="D196" s="231" t="s">
        <v>108</v>
      </c>
      <c r="E196" s="232">
        <f t="shared" ref="E196:E201" si="6">(F196*100*2.5+G196*100+(H196/4)*100*0.5+(I196/4)*100+J196)/6</f>
        <v>23.649126907460182</v>
      </c>
      <c r="F196" s="241">
        <v>0.41157904577904431</v>
      </c>
      <c r="G196" s="247">
        <v>0.34</v>
      </c>
      <c r="H196" s="235">
        <v>0</v>
      </c>
      <c r="I196" s="235">
        <v>0</v>
      </c>
      <c r="J196" s="235">
        <v>5</v>
      </c>
      <c r="K196" s="1"/>
      <c r="L196"/>
    </row>
    <row r="197" spans="1:12" ht="15" customHeight="1" x14ac:dyDescent="0.25">
      <c r="A197" s="2">
        <v>194</v>
      </c>
      <c r="B197" s="229" t="s">
        <v>10</v>
      </c>
      <c r="C197" s="250" t="s">
        <v>35</v>
      </c>
      <c r="D197" s="231" t="s">
        <v>201</v>
      </c>
      <c r="E197" s="232">
        <f t="shared" si="6"/>
        <v>22.615976310341114</v>
      </c>
      <c r="F197" s="241">
        <v>0.33198343144818676</v>
      </c>
      <c r="G197" s="247">
        <v>0.35199999999999998</v>
      </c>
      <c r="H197" s="235">
        <v>1</v>
      </c>
      <c r="I197" s="235">
        <v>0</v>
      </c>
      <c r="J197" s="235">
        <v>5</v>
      </c>
      <c r="K197" s="1"/>
      <c r="L197"/>
    </row>
    <row r="198" spans="1:12" ht="15" customHeight="1" x14ac:dyDescent="0.25">
      <c r="A198" s="2">
        <v>195</v>
      </c>
      <c r="B198" s="229" t="s">
        <v>10</v>
      </c>
      <c r="C198" s="250" t="s">
        <v>35</v>
      </c>
      <c r="D198" s="231" t="s">
        <v>223</v>
      </c>
      <c r="E198" s="232">
        <f t="shared" si="6"/>
        <v>21.614548725489069</v>
      </c>
      <c r="F198" s="241">
        <v>0.33314916941173767</v>
      </c>
      <c r="G198" s="247">
        <v>0.17899999999999999</v>
      </c>
      <c r="H198" s="235">
        <v>1</v>
      </c>
      <c r="I198" s="235">
        <v>0</v>
      </c>
      <c r="J198" s="235">
        <v>16</v>
      </c>
      <c r="K198" s="1"/>
      <c r="L198"/>
    </row>
    <row r="199" spans="1:12" ht="15" customHeight="1" x14ac:dyDescent="0.25">
      <c r="A199" s="2">
        <v>196</v>
      </c>
      <c r="B199" s="238" t="s">
        <v>16</v>
      </c>
      <c r="C199" s="242" t="s">
        <v>21</v>
      </c>
      <c r="D199" s="231" t="s">
        <v>197</v>
      </c>
      <c r="E199" s="232">
        <f t="shared" si="6"/>
        <v>19.603206847353583</v>
      </c>
      <c r="F199" s="233">
        <v>0.32167696433648602</v>
      </c>
      <c r="G199" s="233">
        <v>8.6999999999999994E-2</v>
      </c>
      <c r="H199" s="234">
        <v>1</v>
      </c>
      <c r="I199" s="234">
        <v>0</v>
      </c>
      <c r="J199" s="235">
        <v>16</v>
      </c>
      <c r="K199" s="1"/>
      <c r="L199"/>
    </row>
    <row r="200" spans="1:12" ht="15" customHeight="1" x14ac:dyDescent="0.25">
      <c r="A200" s="2">
        <v>197</v>
      </c>
      <c r="B200" s="229" t="s">
        <v>10</v>
      </c>
      <c r="C200" s="250" t="s">
        <v>35</v>
      </c>
      <c r="D200" s="231" t="s">
        <v>165</v>
      </c>
      <c r="E200" s="232">
        <f t="shared" si="6"/>
        <v>19.5</v>
      </c>
      <c r="F200" s="241">
        <v>0.33</v>
      </c>
      <c r="G200" s="241">
        <v>0.05</v>
      </c>
      <c r="H200" s="235">
        <v>1</v>
      </c>
      <c r="I200" s="235">
        <v>0</v>
      </c>
      <c r="J200" s="235">
        <v>17</v>
      </c>
      <c r="K200" s="1"/>
      <c r="L200"/>
    </row>
    <row r="201" spans="1:12" ht="15" customHeight="1" x14ac:dyDescent="0.25">
      <c r="A201" s="2">
        <v>198</v>
      </c>
      <c r="B201" s="229" t="s">
        <v>10</v>
      </c>
      <c r="C201" s="230" t="s">
        <v>11</v>
      </c>
      <c r="D201" s="231" t="s">
        <v>12</v>
      </c>
      <c r="E201" s="232">
        <f t="shared" si="6"/>
        <v>14.436681672655583</v>
      </c>
      <c r="F201" s="233">
        <v>0.229680360143734</v>
      </c>
      <c r="G201" s="233">
        <v>7.0000000000000001E-3</v>
      </c>
      <c r="H201" s="234">
        <v>1</v>
      </c>
      <c r="I201" s="234">
        <v>0</v>
      </c>
      <c r="J201" s="235">
        <v>16</v>
      </c>
      <c r="K201" s="1"/>
      <c r="L201"/>
    </row>
    <row r="202" spans="1:12" ht="9" customHeight="1" x14ac:dyDescent="0.25">
      <c r="A202" s="33"/>
      <c r="B202" s="33"/>
      <c r="C202" s="33"/>
      <c r="D202" s="34"/>
      <c r="E202" s="34"/>
      <c r="F202" s="35"/>
      <c r="G202" s="35"/>
      <c r="H202" s="35"/>
      <c r="I202" s="37"/>
      <c r="J202" s="32"/>
      <c r="K202" s="1"/>
    </row>
    <row r="203" spans="1:12" s="43" customFormat="1" ht="9" customHeight="1" x14ac:dyDescent="0.25">
      <c r="A203" s="259"/>
      <c r="B203" s="259"/>
      <c r="C203" s="259"/>
      <c r="D203" s="260"/>
      <c r="E203" s="260"/>
      <c r="F203" s="261">
        <v>2025</v>
      </c>
      <c r="G203" s="261">
        <v>2025</v>
      </c>
      <c r="H203" s="261" t="s">
        <v>824</v>
      </c>
      <c r="I203" s="261" t="s">
        <v>824</v>
      </c>
      <c r="J203" s="261">
        <v>2024</v>
      </c>
      <c r="L203" s="261"/>
    </row>
    <row r="204" spans="1:12" s="51" customFormat="1" x14ac:dyDescent="0.25">
      <c r="A204" s="121"/>
      <c r="B204" s="121"/>
      <c r="C204" s="121"/>
      <c r="D204" s="117"/>
      <c r="E204" s="117"/>
      <c r="F204" s="182" t="s">
        <v>825</v>
      </c>
      <c r="G204" s="182" t="s">
        <v>826</v>
      </c>
      <c r="H204" s="182" t="s">
        <v>827</v>
      </c>
      <c r="I204" s="262" t="s">
        <v>828</v>
      </c>
      <c r="J204" s="119" t="s">
        <v>829</v>
      </c>
      <c r="L204" s="121"/>
    </row>
    <row r="205" spans="1:12" ht="27" customHeight="1" x14ac:dyDescent="0.25">
      <c r="F205" s="265" t="s">
        <v>830</v>
      </c>
      <c r="G205" s="265" t="s">
        <v>831</v>
      </c>
    </row>
    <row r="206" spans="1:12" ht="45" customHeight="1" x14ac:dyDescent="0.25">
      <c r="A206" s="597" t="s">
        <v>1068</v>
      </c>
      <c r="B206" s="597"/>
      <c r="C206" s="597"/>
      <c r="D206" s="597"/>
      <c r="F206" s="266" t="s">
        <v>832</v>
      </c>
      <c r="G206" s="266" t="s">
        <v>833</v>
      </c>
    </row>
    <row r="207" spans="1:12" x14ac:dyDescent="0.25">
      <c r="G207" s="267" t="s">
        <v>834</v>
      </c>
      <c r="I207" s="112"/>
      <c r="J207" s="267" t="s">
        <v>835</v>
      </c>
    </row>
    <row r="208" spans="1:12" x14ac:dyDescent="0.25">
      <c r="F208" s="176"/>
      <c r="G208" s="176"/>
      <c r="H208" s="221" t="s">
        <v>836</v>
      </c>
      <c r="I208" s="221" t="s">
        <v>836</v>
      </c>
    </row>
    <row r="209" spans="6:9" x14ac:dyDescent="0.25">
      <c r="F209" s="176"/>
      <c r="G209" s="176"/>
      <c r="H209" s="268" t="s">
        <v>837</v>
      </c>
      <c r="I209" s="268" t="s">
        <v>838</v>
      </c>
    </row>
    <row r="210" spans="6:9" x14ac:dyDescent="0.25">
      <c r="F210" s="176"/>
      <c r="G210" s="176"/>
      <c r="H210" s="268" t="s">
        <v>839</v>
      </c>
      <c r="I210" s="268" t="s">
        <v>840</v>
      </c>
    </row>
    <row r="211" spans="6:9" x14ac:dyDescent="0.25">
      <c r="F211" s="176"/>
      <c r="G211" s="176"/>
      <c r="H211" s="268" t="s">
        <v>841</v>
      </c>
      <c r="I211" s="268" t="s">
        <v>842</v>
      </c>
    </row>
    <row r="212" spans="6:9" x14ac:dyDescent="0.25">
      <c r="F212" s="176"/>
      <c r="G212" s="176"/>
      <c r="H212" s="268" t="s">
        <v>843</v>
      </c>
      <c r="I212" s="268" t="s">
        <v>844</v>
      </c>
    </row>
    <row r="213" spans="6:9" x14ac:dyDescent="0.25">
      <c r="F213" s="176"/>
      <c r="G213" s="176"/>
      <c r="H213" s="268" t="s">
        <v>845</v>
      </c>
      <c r="I213" s="268" t="s">
        <v>846</v>
      </c>
    </row>
    <row r="214" spans="6:9" x14ac:dyDescent="0.25">
      <c r="F214" s="176"/>
      <c r="G214" s="176"/>
      <c r="H214" s="176"/>
      <c r="I214" s="176"/>
    </row>
    <row r="215" spans="6:9" x14ac:dyDescent="0.25">
      <c r="F215" s="176"/>
      <c r="G215" s="176"/>
      <c r="H215" s="268" t="s">
        <v>847</v>
      </c>
      <c r="I215" s="268" t="s">
        <v>847</v>
      </c>
    </row>
    <row r="216" spans="6:9" x14ac:dyDescent="0.25">
      <c r="F216" s="176"/>
      <c r="G216" s="176"/>
      <c r="H216" s="176"/>
      <c r="I216" s="261"/>
    </row>
  </sheetData>
  <autoFilter ref="B3:J3" xr:uid="{8F30628D-EC41-4A93-A1DA-9BF785FFCBB4}">
    <sortState ref="B6:J201">
      <sortCondition descending="1" ref="E3"/>
    </sortState>
  </autoFilter>
  <mergeCells count="7">
    <mergeCell ref="A206:D206"/>
    <mergeCell ref="F1:J1"/>
    <mergeCell ref="A1:A3"/>
    <mergeCell ref="B1:B3"/>
    <mergeCell ref="C1:C3"/>
    <mergeCell ref="D1:D3"/>
    <mergeCell ref="E1:E3"/>
  </mergeCells>
  <conditionalFormatting sqref="F3:F202 F204:F1048576">
    <cfRule type="colorScale" priority="10">
      <colorScale>
        <cfvo type="min"/>
        <cfvo type="percentile" val="50"/>
        <cfvo type="max"/>
        <color rgb="FFF8696B"/>
        <color rgb="FFFFEB84"/>
        <color rgb="FF63BE7B"/>
      </colorScale>
    </cfRule>
  </conditionalFormatting>
  <conditionalFormatting sqref="H204:H1048576 H202">
    <cfRule type="colorScale" priority="9">
      <colorScale>
        <cfvo type="min"/>
        <cfvo type="percentile" val="50"/>
        <cfvo type="max"/>
        <color rgb="FFF8696B"/>
        <color rgb="FFFFEB84"/>
        <color rgb="FF63BE7B"/>
      </colorScale>
    </cfRule>
  </conditionalFormatting>
  <conditionalFormatting sqref="G4:G202 G204:G1048576">
    <cfRule type="colorScale" priority="8">
      <colorScale>
        <cfvo type="min"/>
        <cfvo type="percentile" val="50"/>
        <cfvo type="max"/>
        <color rgb="FFF8696B"/>
        <color rgb="FFFFEB84"/>
        <color rgb="FF63BE7B"/>
      </colorScale>
    </cfRule>
  </conditionalFormatting>
  <conditionalFormatting sqref="J3:J202 J204:J206 J208:J1048576">
    <cfRule type="colorScale" priority="7">
      <colorScale>
        <cfvo type="num" val="5"/>
        <cfvo type="num" val="50"/>
        <cfvo type="num" val="100"/>
        <color rgb="FFF8696B"/>
        <color rgb="FFFFEB84"/>
        <color rgb="FF63BE7B"/>
      </colorScale>
    </cfRule>
  </conditionalFormatting>
  <conditionalFormatting sqref="G3">
    <cfRule type="colorScale" priority="6">
      <colorScale>
        <cfvo type="min"/>
        <cfvo type="percentile" val="50"/>
        <cfvo type="max"/>
        <color rgb="FFF8696B"/>
        <color rgb="FFFFEB84"/>
        <color rgb="FF63BE7B"/>
      </colorScale>
    </cfRule>
  </conditionalFormatting>
  <conditionalFormatting sqref="H3">
    <cfRule type="colorScale" priority="5">
      <colorScale>
        <cfvo type="min"/>
        <cfvo type="percentile" val="50"/>
        <cfvo type="max"/>
        <color rgb="FFF8696B"/>
        <color rgb="FFFFEB84"/>
        <color rgb="FF63BE7B"/>
      </colorScale>
    </cfRule>
  </conditionalFormatting>
  <conditionalFormatting sqref="I208:I215">
    <cfRule type="colorScale" priority="4">
      <colorScale>
        <cfvo type="min"/>
        <cfvo type="percentile" val="50"/>
        <cfvo type="max"/>
        <color rgb="FFF8696B"/>
        <color rgb="FFFFEB84"/>
        <color rgb="FF63BE7B"/>
      </colorScale>
    </cfRule>
  </conditionalFormatting>
  <conditionalFormatting sqref="E4:E201">
    <cfRule type="colorScale" priority="3">
      <colorScale>
        <cfvo type="min"/>
        <cfvo type="percentile" val="50"/>
        <cfvo type="max"/>
        <color rgb="FFF8696B"/>
        <color rgb="FFFFEB84"/>
        <color rgb="FF63BE7B"/>
      </colorScale>
    </cfRule>
  </conditionalFormatting>
  <conditionalFormatting sqref="H4:I201">
    <cfRule type="colorScale" priority="2">
      <colorScale>
        <cfvo type="num" val="0"/>
        <cfvo type="num" val="2"/>
        <cfvo type="num" val="4"/>
        <color rgb="FFF8696B"/>
        <color rgb="FFFFEB84"/>
        <color rgb="FF63BE7B"/>
      </colorScale>
    </cfRule>
  </conditionalFormatting>
  <conditionalFormatting sqref="J207">
    <cfRule type="colorScale" priority="1">
      <colorScale>
        <cfvo type="min"/>
        <cfvo type="percentile" val="50"/>
        <cfvo type="max"/>
        <color rgb="FFF8696B"/>
        <color rgb="FFFFEB84"/>
        <color rgb="FF63BE7B"/>
      </colorScale>
    </cfRule>
  </conditionalFormatting>
  <hyperlinks>
    <hyperlink ref="G204" r:id="rId1" xr:uid="{3BFB922C-CB4F-437B-812B-8D1F38D9C38D}"/>
    <hyperlink ref="F204" r:id="rId2" xr:uid="{CCD8CBFC-D3FF-4FFF-8634-8589D743108F}"/>
    <hyperlink ref="H204" r:id="rId3" xr:uid="{A33960A0-6223-4593-A594-ED7A4CA6E6E9}"/>
    <hyperlink ref="I204" r:id="rId4" xr:uid="{BD1AFB0F-30B5-4402-BB06-85C626A84018}"/>
    <hyperlink ref="J204" r:id="rId5" xr:uid="{C9AE24D3-C2E6-4B81-86EB-FFAEB948A23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Alk Global Prosperity Index</vt:lpstr>
      <vt:lpstr>Inflation- last 5 years average</vt:lpstr>
      <vt:lpstr>GDP PC PPP Growth L5yrs average</vt:lpstr>
      <vt:lpstr>Basic Services Access Index</vt:lpstr>
      <vt:lpstr>Infrastructure Index</vt:lpstr>
      <vt:lpstr>Healthcare System</vt:lpstr>
      <vt:lpstr>Biomedical &amp; BW Index</vt:lpstr>
      <vt:lpstr>Education Index</vt:lpstr>
      <vt:lpstr>Average quality of higher edu.</vt:lpstr>
      <vt:lpstr>Less Political CAH Index</vt:lpstr>
      <vt:lpstr>Less Legal Discrimination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GAMA</dc:creator>
  <cp:lastModifiedBy>GAMA</cp:lastModifiedBy>
  <dcterms:created xsi:type="dcterms:W3CDTF">2026-08-23T00:36:22Z</dcterms:created>
  <dcterms:modified xsi:type="dcterms:W3CDTF">2026-09-07T04:26:48Z</dcterms:modified>
</cp:coreProperties>
</file>